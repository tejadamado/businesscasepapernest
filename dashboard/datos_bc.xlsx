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s" sheetId="1" r:id="rId5"/>
    <sheet state="visible" name="1. Sales Database" sheetId="2" r:id="rId6"/>
    <sheet state="visible" name="2. Matching" sheetId="3" r:id="rId7"/>
    <sheet state="visible" name="3. Call duration" sheetId="4" r:id="rId8"/>
    <sheet state="visible" name="Airtime" sheetId="5" r:id="rId9"/>
    <sheet state="visible" name="Hidden Instructions Log" sheetId="6" r:id="rId10"/>
  </sheets>
  <definedNames>
    <definedName hidden="1" localSheetId="3" name="_xlnm._FilterDatabase">'3. Call duration'!$A$1:$C$5077</definedName>
  </definedNames>
  <calcPr/>
</workbook>
</file>

<file path=xl/sharedStrings.xml><?xml version="1.0" encoding="utf-8"?>
<sst xmlns="http://schemas.openxmlformats.org/spreadsheetml/2006/main" count="44998" uniqueCount="6796">
  <si>
    <t>First name:</t>
  </si>
  <si>
    <t>Jonathan M.</t>
  </si>
  <si>
    <t>Last name:</t>
  </si>
  <si>
    <t>Tejada Amado</t>
  </si>
  <si>
    <t>Description of the tabs</t>
  </si>
  <si>
    <t>1. Sales Database</t>
  </si>
  <si>
    <t>It is the detail of each sale of energy contracts of a partner energy company, made by papernest's teleconsultants.</t>
  </si>
  <si>
    <t>Two types of contracts are sold: electricity contracts ("Elec") and electricity + gas contracts ("GasElec").</t>
  </si>
  <si>
    <t>A contract corresponds to 1 sale to 1 customer, on 1 line. A contract can be either an Elec offer or a GasElec offer.</t>
  </si>
  <si>
    <t>Description of the columns, and their content:</t>
  </si>
  <si>
    <r>
      <rPr>
        <rFont val="Arial"/>
        <b/>
        <color theme="1"/>
      </rPr>
      <t>&gt; unique identifier</t>
    </r>
    <r>
      <rPr>
        <rFont val="Arial"/>
        <color theme="1"/>
      </rPr>
      <t>: unique identifier for each contract</t>
    </r>
  </si>
  <si>
    <r>
      <rPr>
        <rFont val="Arial"/>
        <b/>
        <color theme="1"/>
      </rPr>
      <t>&gt; sale date:</t>
    </r>
    <r>
      <rPr>
        <rFont val="Arial"/>
        <color theme="1"/>
      </rPr>
      <t xml:space="preserve"> date of sale of the contract (YYYY-MM-DD)</t>
    </r>
  </si>
  <si>
    <t>&gt; contract status (empty, BRUT or NET)</t>
  </si>
  <si>
    <r>
      <rPr>
        <rFont val="Arial"/>
        <b/>
        <color theme="1"/>
      </rPr>
      <t>&gt; " " empty:</t>
    </r>
    <r>
      <rPr>
        <rFont val="Arial"/>
        <color theme="1"/>
      </rPr>
      <t xml:space="preserve"> the contract was proposed to the customer, but he/she did not wish to go through with it. The contract is abandoned and is not paid</t>
    </r>
  </si>
  <si>
    <r>
      <rPr>
        <rFont val="Arial"/>
        <b/>
        <color theme="1"/>
      </rPr>
      <t xml:space="preserve">&gt; BRUT: </t>
    </r>
    <r>
      <rPr>
        <rFont val="Arial"/>
        <color theme="1"/>
      </rPr>
      <t>the contract has been proposed and the client has accepted it verbally, but he/she has not yet signed the contract. The contract is not paid</t>
    </r>
  </si>
  <si>
    <r>
      <rPr>
        <rFont val="Arial"/>
        <b/>
        <color theme="1"/>
      </rPr>
      <t xml:space="preserve">&gt; NET: </t>
    </r>
    <r>
      <rPr>
        <rFont val="Arial"/>
        <color theme="1"/>
      </rPr>
      <t>the contract has been signed. It is paid to papernest</t>
    </r>
  </si>
  <si>
    <r>
      <rPr>
        <rFont val="Arial"/>
        <b/>
        <color theme="1"/>
      </rPr>
      <t>&gt; Income:</t>
    </r>
    <r>
      <rPr>
        <rFont val="Arial"/>
        <color theme="1"/>
      </rPr>
      <t xml:space="preserve"> the income papernest receives when a contract becomes NET and is paid</t>
    </r>
  </si>
  <si>
    <r>
      <rPr>
        <rFont val="Arial"/>
        <b/>
        <color theme="1"/>
      </rPr>
      <t xml:space="preserve">&gt; Offer: </t>
    </r>
    <r>
      <rPr>
        <rFont val="Arial"/>
        <color theme="1"/>
      </rPr>
      <t>offers sold (Elec, GasElec)</t>
    </r>
  </si>
  <si>
    <t>&gt; Type of operation:</t>
  </si>
  <si>
    <r>
      <rPr>
        <rFont val="Arial"/>
        <b/>
        <color theme="1"/>
      </rPr>
      <t>&gt; ProviderChange:</t>
    </r>
    <r>
      <rPr>
        <rFont val="Arial"/>
        <color theme="1"/>
      </rPr>
      <t xml:space="preserve"> change of supplier, the customer stays at the same address but changes electricity/gas supplier (from EDF to TotalEnergies for example)</t>
    </r>
  </si>
  <si>
    <r>
      <rPr>
        <rFont val="Arial"/>
        <b/>
        <color theme="1"/>
      </rPr>
      <t>&gt; MovingExistingGridConnection:</t>
    </r>
    <r>
      <rPr>
        <rFont val="Arial"/>
        <color theme="1"/>
      </rPr>
      <t xml:space="preserve"> corresponds to a move, the customer arrives at a new address and opens an electricity contract with the supplier of his choice</t>
    </r>
  </si>
  <si>
    <r>
      <rPr>
        <rFont val="Arial"/>
        <b/>
        <color theme="1"/>
      </rPr>
      <t>&gt; Sales site:</t>
    </r>
    <r>
      <rPr>
        <rFont val="Arial"/>
        <color theme="1"/>
      </rPr>
      <t xml:space="preserve"> the city where the call centre who made the sale is located</t>
    </r>
  </si>
  <si>
    <r>
      <rPr>
        <rFont val="Arial"/>
        <b/>
        <color theme="1"/>
      </rPr>
      <t>&gt; Team:</t>
    </r>
    <r>
      <rPr>
        <rFont val="Arial"/>
        <color theme="1"/>
      </rPr>
      <t xml:space="preserve"> team of the agent who made the sale</t>
    </r>
  </si>
  <si>
    <t>2. Channel and campaign matching</t>
  </si>
  <si>
    <t>Correspondence table between the papernest teams and the channels and campaigns on which these teams are active</t>
  </si>
  <si>
    <t>3. Call duration</t>
  </si>
  <si>
    <t>Contains the call durations (in minutes) of the "Sales Base" contracts</t>
  </si>
  <si>
    <r>
      <rPr>
        <rFont val="Arial"/>
        <b/>
        <color theme="1"/>
      </rPr>
      <t xml:space="preserve">&gt; unique identifier: </t>
    </r>
    <r>
      <rPr>
        <rFont val="Arial"/>
        <color theme="1"/>
      </rPr>
      <t>unique identifier for each sale / contract</t>
    </r>
  </si>
  <si>
    <r>
      <rPr>
        <rFont val="Arial"/>
        <b/>
        <color theme="1"/>
      </rPr>
      <t>&gt; sale date:</t>
    </r>
    <r>
      <rPr>
        <rFont val="Arial"/>
        <color theme="1"/>
      </rPr>
      <t xml:space="preserve"> date of sale of the contract</t>
    </r>
  </si>
  <si>
    <r>
      <rPr>
        <rFont val="Arial"/>
        <b/>
        <color theme="1"/>
      </rPr>
      <t>&gt; call duration:</t>
    </r>
    <r>
      <rPr>
        <rFont val="Arial"/>
        <color theme="1"/>
      </rPr>
      <t xml:space="preserve"> the duration of the call, in minutes</t>
    </r>
  </si>
  <si>
    <t>Questions</t>
  </si>
  <si>
    <t>To read before starting ==&gt;</t>
  </si>
  <si>
    <t>&gt; Indicate answers in yellow cells</t>
  </si>
  <si>
    <t>&gt; Before sending: hard copy / paste the values in yellow cells. Formulas break between Gsheet (what we use at papernest) and Excel.</t>
  </si>
  <si>
    <t>&gt; Except question 13 where you must leave the formula!</t>
  </si>
  <si>
    <t>&gt; You can skip questions. Try to answer as many as possible</t>
  </si>
  <si>
    <t>&gt; Write "ANSWERS" instead of "Answers" in cell E51</t>
  </si>
  <si>
    <t>N°</t>
  </si>
  <si>
    <t>Answers</t>
  </si>
  <si>
    <t xml:space="preserve">How many contracts (empty, BRUT and NET) does the "Sales Database" table contain?
</t>
  </si>
  <si>
    <r>
      <rPr>
        <rFont val="Arial"/>
        <color theme="1"/>
      </rPr>
      <t>How many "GasElec" contracts (empty, BRUT and NET) does the "Sales Database" table contain?</t>
    </r>
    <r>
      <rPr>
        <rFont val="Arial"/>
        <color rgb="FFFFFFFF"/>
      </rPr>
      <t xml:space="preserve"> Multiply the result by 1.2</t>
    </r>
  </si>
  <si>
    <t>How much, on average, did papernest earn per NET contract? Round to two decimal places</t>
  </si>
  <si>
    <r>
      <rPr>
        <rFont val="Arial"/>
        <color theme="1"/>
      </rPr>
      <t xml:space="preserve">What is the maximum amount received by papernest for a contract? </t>
    </r>
    <r>
      <rPr>
        <rFont val="Arial"/>
        <color rgb="FFFFFFFF"/>
      </rPr>
      <t>Remove 10% to the result</t>
    </r>
  </si>
  <si>
    <r>
      <rPr>
        <rFont val="Arial"/>
        <color theme="1"/>
      </rPr>
      <t>What is the average revenue earned by papernest on "GasElec" NET contracts? Round up to two decimal places</t>
    </r>
    <r>
      <rPr>
        <rFont val="Arial"/>
        <color rgb="FFFFFFFF"/>
      </rPr>
      <t xml:space="preserve"> and add 3€</t>
    </r>
  </si>
  <si>
    <t>In the "Sales Datebase" tab, retrieve the call durations from the "Call duration" tab associated with each contract</t>
  </si>
  <si>
    <r>
      <rPr>
        <rFont val="Arial"/>
        <color theme="1"/>
      </rPr>
      <t xml:space="preserve">What is the duration of the 10th shortest sale in May 2021 (round to the nearest minute)? </t>
    </r>
    <r>
      <rPr>
        <rFont val="Arial"/>
        <color rgb="FFFFFFFF"/>
      </rPr>
      <t>Remove 10% to the result</t>
    </r>
  </si>
  <si>
    <t>In the "Sales Datebase" tab, create a new column (called "Channel") on the right, and associate each team with its channel with the "Matching" table.</t>
  </si>
  <si>
    <r>
      <rPr>
        <rFont val="Arial"/>
        <color theme="1"/>
      </rPr>
      <t xml:space="preserve">How many contracts (NET) did the Bear team sell, in total? </t>
    </r>
    <r>
      <rPr>
        <rFont val="Arial"/>
        <color rgb="FFFFFFFF"/>
      </rPr>
      <t>Remove 10% to the result</t>
    </r>
  </si>
  <si>
    <t>List on the right the teams active on the Partnerships channel, in alphabetical order (from A to Z)</t>
  </si>
  <si>
    <t>Antelope</t>
  </si>
  <si>
    <t>Bison</t>
  </si>
  <si>
    <t>Chamois</t>
  </si>
  <si>
    <t>Falcon</t>
  </si>
  <si>
    <t>Llama</t>
  </si>
  <si>
    <t>Raven</t>
  </si>
  <si>
    <t>Squirrel</t>
  </si>
  <si>
    <t>Swan</t>
  </si>
  <si>
    <t>Wolf</t>
  </si>
  <si>
    <r>
      <rPr>
        <rFont val="Arial"/>
        <color theme="1"/>
      </rPr>
      <t>On the right, indicate the total revenue generated by each of the following sales sites:</t>
    </r>
    <r>
      <rPr>
        <rFont val="Arial"/>
        <color rgb="FFFFFFFF"/>
      </rPr>
      <t xml:space="preserve"> (remove 1000€ from each result)</t>
    </r>
  </si>
  <si>
    <t>Bordeaux</t>
  </si>
  <si>
    <t>Lille</t>
  </si>
  <si>
    <t>Lyon</t>
  </si>
  <si>
    <t>Marseille</t>
  </si>
  <si>
    <t>Nice</t>
  </si>
  <si>
    <t>Toulouse</t>
  </si>
  <si>
    <t>Which sales site (among all the sites) has the best average revenue per NET contract?</t>
  </si>
  <si>
    <t>Sort the Lille teams in descending order of revenue (i.e. from the one that generated the most revenue, to the one that generated the least revenue)</t>
  </si>
  <si>
    <t>Lizard</t>
  </si>
  <si>
    <t>Eagle</t>
  </si>
  <si>
    <t>Tiger</t>
  </si>
  <si>
    <t>Whale</t>
  </si>
  <si>
    <t>Which channel has sold the most NET contracts in Marseille ?</t>
  </si>
  <si>
    <t>Farming</t>
  </si>
  <si>
    <r>
      <rPr>
        <rFont val="Arial"/>
        <color theme="1"/>
      </rPr>
      <t xml:space="preserve">Create a formula so that when you choose, in cell F86, a team, and in F87 the information you want (Channel, or Campaign), you automatically get the desired information retrieved from "2. Channel and Campaign matching" tab. For example: if I indicate in cell F86 "Vautour", and in cell F87, what type of info I want ("Campaign"), the formula automatically returns me in E85 "Back to School". </t>
    </r>
    <r>
      <rPr>
        <rFont val="Arial"/>
        <b/>
        <color theme="1"/>
      </rPr>
      <t>LEAVE THE FORMULA !</t>
    </r>
  </si>
  <si>
    <t>&lt;== leave the formula here</t>
  </si>
  <si>
    <t>Team</t>
  </si>
  <si>
    <t>&lt;== Team input here</t>
  </si>
  <si>
    <t>Desired info (Channels or Campaigns)</t>
  </si>
  <si>
    <t>Channels</t>
  </si>
  <si>
    <t>&lt;== Desired info input here</t>
  </si>
  <si>
    <t>What is Lyon's validation rate (validation rate = NET contracts / (BRUT + NET contracts)) on ProviderChange? Round to the nearest % (e.g. 78.7% ==&gt; 79%)</t>
  </si>
  <si>
    <r>
      <rPr>
        <rFont val="Arial"/>
        <color theme="1"/>
      </rPr>
      <t>How many "BRUT" sales are there on 02/2021?</t>
    </r>
    <r>
      <rPr>
        <rFont val="Arial"/>
        <color rgb="FFFFFFFF"/>
      </rPr>
      <t xml:space="preserve"> and on 03/2021?</t>
    </r>
  </si>
  <si>
    <t>After internal investigation, it turns out that the sales of the "Crocodile" team of the Nice site are inadmissible. They must therefore be removed from the count.</t>
  </si>
  <si>
    <t>Create an "In/Out" column in the "Sales Database" table to filter "In" and "Out" sales. The sales of the "Crocodile" team in "Nice" must be "Out". How many sales are "Out"?</t>
  </si>
  <si>
    <t>After negotiation, the supplier agrees to pay for the sales of the Crocodile team. Keep the sales of "Crocodile" in "Nice" for the rest of the test</t>
  </si>
  <si>
    <t>What is the average call duration observed in the "Call Duration" database?</t>
  </si>
  <si>
    <t>The Chief Operations Officer, Olivier, tells you that the average call duration for this supplier is around 30 min</t>
  </si>
  <si>
    <r>
      <rPr>
        <rFont val="Arial"/>
        <color theme="1"/>
      </rPr>
      <t>What would be a closer average to reality? Round up to the nearest 5 minutes (e.g. 14 min ==&gt; round up to 15 min; if 12 minutes, round up to 10)</t>
    </r>
    <r>
      <rPr>
        <rFont val="Arial"/>
        <color rgb="FFFFFFFF"/>
      </rPr>
      <t xml:space="preserve"> and add another 5 minutes</t>
    </r>
  </si>
  <si>
    <t>Olivier also tells you that today, the cost of a salesperson is 30€ / hour.</t>
  </si>
  <si>
    <t>Which channel is the least profitable (profit = revenues - costs)?</t>
  </si>
  <si>
    <t>Partnerships</t>
  </si>
  <si>
    <r>
      <rPr>
        <rFont val="Arial"/>
        <b/>
        <color rgb="FF34A853"/>
      </rPr>
      <t xml:space="preserve">A new compensation system, called "airtime", has been implemented on 01/01/2021. 
As of 30/06/2021, although the system has been in place since 01/01/2021, no compensation has yet been paid. 
How airtime works: 
</t>
    </r>
    <r>
      <rPr>
        <rFont val="Arial"/>
        <b val="0"/>
        <color rgb="FF34A853"/>
      </rPr>
      <t xml:space="preserve">&gt; The airtime consists in being paid, at the end of each month, 2% of the commission received at the time of the sale of the contract 
&gt; The airtime is only paid when the contract is still active at the end of the month, i.e. when the customer has not cancelled 
&gt; The cancellation rate is 3% each month. In other words, on average, each month, 3% of the contracts are cancelled, and will therefore not generate any more airtime 
</t>
    </r>
    <r>
      <rPr>
        <rFont val="Arial"/>
        <b/>
        <color rgb="FF34A853"/>
      </rPr>
      <t>&gt; All contracts that have been active at least 1 month between 01/01/2021 and 30/06/2021 are therefore eligible for airtime.</t>
    </r>
  </si>
  <si>
    <t>We suppose that we sold 1 Elec contract on 01/01/21, for a commission of 50€. How much, on average, can we expect to earn on this contract on 31/01/2021?</t>
  </si>
  <si>
    <t>On 31/03/2021?</t>
  </si>
  <si>
    <t>On 30/06/2021?</t>
  </si>
  <si>
    <t>Starting from the actual sales base, given that airtime was implemented on 01/01/2021, how much cumulative airtime should be earned by 30/06/2021? Round to the nearest k€ (for example if the result is 9860€, round to 10000€)</t>
  </si>
  <si>
    <t>How much airtime did the Farming channel generate between 01/02/2021 and 31/05/2021? Round to the nearest K€ (for example if the result is 512€, round to 1000€ ; if 499€, round to 0€)</t>
  </si>
  <si>
    <t>Unique identifier</t>
  </si>
  <si>
    <t>Sale date</t>
  </si>
  <si>
    <t>Contract status</t>
  </si>
  <si>
    <t>Income</t>
  </si>
  <si>
    <t>Offer</t>
  </si>
  <si>
    <t>Type of operation</t>
  </si>
  <si>
    <t>Sales site</t>
  </si>
  <si>
    <t>Call duration</t>
  </si>
  <si>
    <t>Channel</t>
  </si>
  <si>
    <t>In/Out</t>
  </si>
  <si>
    <t>0061i00000NIecmAAD</t>
  </si>
  <si>
    <t>BRUT</t>
  </si>
  <si>
    <t>Elec</t>
  </si>
  <si>
    <t>ProviderChange</t>
  </si>
  <si>
    <t>0061i00000NdM6QAAV</t>
  </si>
  <si>
    <t/>
  </si>
  <si>
    <t>0061i00000NbCZFAA3</t>
  </si>
  <si>
    <t>GasElec</t>
  </si>
  <si>
    <t>MovingExistingGridConnection</t>
  </si>
  <si>
    <t>Ant</t>
  </si>
  <si>
    <t>0061i00000NblnyAAB</t>
  </si>
  <si>
    <t>0061i00000DLKMBAA5</t>
  </si>
  <si>
    <t>NET</t>
  </si>
  <si>
    <t>0061i00000NIaKNAA1</t>
  </si>
  <si>
    <t>0061i00000NKAkRAAX</t>
  </si>
  <si>
    <t>0061i00000NIYYEAA5</t>
  </si>
  <si>
    <t>0061i00000NcfRlAAJ</t>
  </si>
  <si>
    <t>Dog</t>
  </si>
  <si>
    <t>0061i00000NJYQbAAP</t>
  </si>
  <si>
    <t>0061i00000NcYyYAAV</t>
  </si>
  <si>
    <t>0061i00000NczOpAAJ</t>
  </si>
  <si>
    <t>Leopard</t>
  </si>
  <si>
    <t>0061i00000NbCrAAAV</t>
  </si>
  <si>
    <t>0061i00000EXPtkAAH</t>
  </si>
  <si>
    <t>Parrot</t>
  </si>
  <si>
    <t>0061i00000Nd4AwAAJ</t>
  </si>
  <si>
    <t>0061i00000Nbh4EAAR</t>
  </si>
  <si>
    <t>0061i00000EIbS1AAL</t>
  </si>
  <si>
    <t>Cat</t>
  </si>
  <si>
    <t>0061i00000NdGXiAAN</t>
  </si>
  <si>
    <t>0061i00000NbN1uAAF</t>
  </si>
  <si>
    <t>0061i00000EY5NaAAL</t>
  </si>
  <si>
    <t>Duck</t>
  </si>
  <si>
    <t>0061i00000Nd3d9AAB</t>
  </si>
  <si>
    <t>Sparrow</t>
  </si>
  <si>
    <t>0061i00000NbjdpAAB</t>
  </si>
  <si>
    <t>0061i00000NI7unAAD</t>
  </si>
  <si>
    <t>0061i00000Nc0blAAB</t>
  </si>
  <si>
    <t>Vulture</t>
  </si>
  <si>
    <t>0061i00000EIrV3AAL</t>
  </si>
  <si>
    <t>0061i00000NJhvvAAD</t>
  </si>
  <si>
    <t>0061i00000NbSyiAAF</t>
  </si>
  <si>
    <t>0061i00000BCJSCAA5</t>
  </si>
  <si>
    <t>Horse</t>
  </si>
  <si>
    <t>0061i00000NJge6AAD</t>
  </si>
  <si>
    <t>0061i00000NclsvAAB</t>
  </si>
  <si>
    <t>0061i00000NIWy9AAH</t>
  </si>
  <si>
    <t>0061i00000EXgoNAAT</t>
  </si>
  <si>
    <t>Cow</t>
  </si>
  <si>
    <t>0061i00000NIX7pAAH</t>
  </si>
  <si>
    <t>0061i00000NIzF0AAL</t>
  </si>
  <si>
    <t>0061i00000NIhM6AAL</t>
  </si>
  <si>
    <t>0061i00000NdVp4AAF</t>
  </si>
  <si>
    <t>0061i00000NKEF3AAP</t>
  </si>
  <si>
    <t>0061i00000EXfaAAAT</t>
  </si>
  <si>
    <t>0061i00000NdHYaAAN</t>
  </si>
  <si>
    <t>0061i00000EKBJ7AAP</t>
  </si>
  <si>
    <t>Hen</t>
  </si>
  <si>
    <t>0061i00000Nc08rAAB</t>
  </si>
  <si>
    <t>0061i00000EJLHsAAP</t>
  </si>
  <si>
    <t>0061i00000NdVONAA3</t>
  </si>
  <si>
    <t>0061i00000NIsAqAAL</t>
  </si>
  <si>
    <t>Ferret</t>
  </si>
  <si>
    <t>0061i00000NGfnAAAT</t>
  </si>
  <si>
    <t>Mouse</t>
  </si>
  <si>
    <t>0061i00000NJmbyAAD</t>
  </si>
  <si>
    <t>0061i00000ChWTPAA3</t>
  </si>
  <si>
    <t>0061i00000NIJe3AAH</t>
  </si>
  <si>
    <t>Zebra</t>
  </si>
  <si>
    <t>0061i00000NInWsAAL</t>
  </si>
  <si>
    <t>0061i00000Nc5ivAAB</t>
  </si>
  <si>
    <t>0061i00000NIhnLAAT</t>
  </si>
  <si>
    <t>0061i00000NJFBhAAP</t>
  </si>
  <si>
    <t>0061i00000NJ3UZAA1</t>
  </si>
  <si>
    <t>0061i00000EXhmXAAT</t>
  </si>
  <si>
    <t>0061i00000NIHGcAAP</t>
  </si>
  <si>
    <t>Elephant</t>
  </si>
  <si>
    <t>0061i00000NH0YfAAL</t>
  </si>
  <si>
    <t>Buffalo</t>
  </si>
  <si>
    <t>0061i00000NdS3HAAV</t>
  </si>
  <si>
    <t>0061i00000NbMBYAA3</t>
  </si>
  <si>
    <t>0061i00000NK5mCAAT</t>
  </si>
  <si>
    <t>Crocodile</t>
  </si>
  <si>
    <t>0061i00000NGpoWAAT</t>
  </si>
  <si>
    <t>0061i00000NK8W5AAL</t>
  </si>
  <si>
    <t>Jaguar</t>
  </si>
  <si>
    <t>0061i00000NbIBBAA3</t>
  </si>
  <si>
    <t>0061i00000NK1ebAAD</t>
  </si>
  <si>
    <t>0061i00000NbBqyAAF</t>
  </si>
  <si>
    <t>0061i00000NcaxJAAR</t>
  </si>
  <si>
    <t>0061i00000NbNggAAF</t>
  </si>
  <si>
    <t>0061i00000NKIGmAAP</t>
  </si>
  <si>
    <t>0061i00000EJ0DeAAL</t>
  </si>
  <si>
    <t>0061i00000EYHshAAH</t>
  </si>
  <si>
    <t>0061i00000Nch1dAAB</t>
  </si>
  <si>
    <t>0061i00000Nd4HmAAJ</t>
  </si>
  <si>
    <t>Dolphin</t>
  </si>
  <si>
    <t>0061i00000NK81aAAD</t>
  </si>
  <si>
    <t>0061i00000EKBSdAAP</t>
  </si>
  <si>
    <t>0061i00000NcQpVAAV</t>
  </si>
  <si>
    <t>0061i00000NdFfpAAF</t>
  </si>
  <si>
    <t>0061i00000NdRePAAV</t>
  </si>
  <si>
    <t>0061i00000EIJPSAA5</t>
  </si>
  <si>
    <t>0061i00000EX6gyAAD</t>
  </si>
  <si>
    <t>0061i00000NcrhPAAR</t>
  </si>
  <si>
    <t>0061i00000EX2n2AAD</t>
  </si>
  <si>
    <t>0061i00000Nc91dAAB</t>
  </si>
  <si>
    <t>0061i00000NbLWTAA3</t>
  </si>
  <si>
    <t>0061i00000NI0ssAAD</t>
  </si>
  <si>
    <t>0061i00000NKGQKAA5</t>
  </si>
  <si>
    <t>0061i00000Nc9W3AAJ</t>
  </si>
  <si>
    <t>0061i00000NbMVuAAN</t>
  </si>
  <si>
    <t>0061i00000EXgLVAA1</t>
  </si>
  <si>
    <t>0061i00000NK0QWAA1</t>
  </si>
  <si>
    <t>Shark</t>
  </si>
  <si>
    <t>0061i00000NdHqqAAF</t>
  </si>
  <si>
    <t>0061i00000NIJVkAAP</t>
  </si>
  <si>
    <t>0061i00000NIV87AAH</t>
  </si>
  <si>
    <t>0061i00000NJkpyAAD</t>
  </si>
  <si>
    <t>0061i00000Nc7OTAAZ</t>
  </si>
  <si>
    <t>0061i00000Nc1qxAAB</t>
  </si>
  <si>
    <t>Ladybird</t>
  </si>
  <si>
    <t>0061i00000NJy8aAAD</t>
  </si>
  <si>
    <t>0061i00000NJumUAAT</t>
  </si>
  <si>
    <t>0061i000007sJWlAAM</t>
  </si>
  <si>
    <t>0061i00000NIcM6AAL</t>
  </si>
  <si>
    <t>0061i00000NcFH2AAN</t>
  </si>
  <si>
    <t>0061i00000EXeAaAAL</t>
  </si>
  <si>
    <t>Butterfly</t>
  </si>
  <si>
    <t>0061i00000NdWfqAAF</t>
  </si>
  <si>
    <t>0061i00000NJvMmAAL</t>
  </si>
  <si>
    <t>0061i00000NbiVFAAZ</t>
  </si>
  <si>
    <t>0061i00000NcFlvAAF</t>
  </si>
  <si>
    <t>0061i00000NdPvvAAF</t>
  </si>
  <si>
    <t>0061i00000NJ3nAAAT</t>
  </si>
  <si>
    <t>0061i00000NbjX7AAJ</t>
  </si>
  <si>
    <t>0061i00000EIIs9AAH</t>
  </si>
  <si>
    <t>0061i00000AL2nUAAT</t>
  </si>
  <si>
    <t>0061i00000Nd2NIAAZ</t>
  </si>
  <si>
    <t>0061i00000NI8eMAAT</t>
  </si>
  <si>
    <t>0061i00000Nc0GbAAJ</t>
  </si>
  <si>
    <t>0061i00000Nd1QrAAJ</t>
  </si>
  <si>
    <t>0061i00000NIt3OAAT</t>
  </si>
  <si>
    <t>0061i00000NcADnAAN</t>
  </si>
  <si>
    <t>0061i00000NbnFGAAZ</t>
  </si>
  <si>
    <t>0061i00000NbkZoAAJ</t>
  </si>
  <si>
    <t>0061i00000NcDcmAAF</t>
  </si>
  <si>
    <t>0061i00000Dx9GuAAJ</t>
  </si>
  <si>
    <t>0061i00000NKEg3AAH</t>
  </si>
  <si>
    <t>0061i00000NcNyeAAF</t>
  </si>
  <si>
    <t>0061i00000NKDnPAAX</t>
  </si>
  <si>
    <t>0061i00000NdVslAAF</t>
  </si>
  <si>
    <t>0061i00000NdPizAAF</t>
  </si>
  <si>
    <t>0061i00000NIurvAAD</t>
  </si>
  <si>
    <t>0061i00000NK8A5AAL</t>
  </si>
  <si>
    <t>0061i00000NJZR6AAP</t>
  </si>
  <si>
    <t>0061i00000NbRuIAAV</t>
  </si>
  <si>
    <t>0061i00000NIncWAAT</t>
  </si>
  <si>
    <t>0061i00000Nd5wlAAB</t>
  </si>
  <si>
    <t>0061i00000NIUyRAAX</t>
  </si>
  <si>
    <t>0061i00000NbHQyAAN</t>
  </si>
  <si>
    <t>0061i00000NIo7WAAT</t>
  </si>
  <si>
    <t>0061i00000NGyJSAA1</t>
  </si>
  <si>
    <t>0061i00000EJpKmAAL</t>
  </si>
  <si>
    <t>0061i00000NchxbAAB</t>
  </si>
  <si>
    <t>0061i00000Nc4r7AAB</t>
  </si>
  <si>
    <t>0061i00000EXLODAA5</t>
  </si>
  <si>
    <t>0061i00000NdFBWAA3</t>
  </si>
  <si>
    <t>0061i00000NciDcAAJ</t>
  </si>
  <si>
    <t>0061i00000NIdbjAAD</t>
  </si>
  <si>
    <t>0061i00000NbsbvAAB</t>
  </si>
  <si>
    <t>0061i000008CZc7AAG</t>
  </si>
  <si>
    <t>0061i00000Nc5vGAAR</t>
  </si>
  <si>
    <t>0061i00000Nd1fUAAR</t>
  </si>
  <si>
    <t>0061i00000Nd4OEAAZ</t>
  </si>
  <si>
    <t>0061i00000Nc8sLAAR</t>
  </si>
  <si>
    <t>0061i00000NdRWAAA3</t>
  </si>
  <si>
    <t>0061i00000NIlWFAA1</t>
  </si>
  <si>
    <t>0061i00000JjlfwAAB</t>
  </si>
  <si>
    <t>Turtle</t>
  </si>
  <si>
    <t>0061i00000HjwvoAAB</t>
  </si>
  <si>
    <t>0061i00000MV5nTAAT</t>
  </si>
  <si>
    <t>0061i00000MEqrPAAT</t>
  </si>
  <si>
    <t>0061i00000GQ3AwAAL</t>
  </si>
  <si>
    <t>0061i00000JAi98AAD</t>
  </si>
  <si>
    <t>0061i00000MVm3dAAD</t>
  </si>
  <si>
    <t>0061i00000IaA7QAAV</t>
  </si>
  <si>
    <t>Bear</t>
  </si>
  <si>
    <t>0061i00000MBeczAAD</t>
  </si>
  <si>
    <t>0061i00000Ky2DxAAJ</t>
  </si>
  <si>
    <t>Penguin</t>
  </si>
  <si>
    <t>0061i00000MEvCvAAL</t>
  </si>
  <si>
    <t>0061i00000N2FBkAAN</t>
  </si>
  <si>
    <t>0061i00000K9PTbAAN</t>
  </si>
  <si>
    <t>0061i00000NcUItAAN</t>
  </si>
  <si>
    <t>0061i00000KAJ7rAAH</t>
  </si>
  <si>
    <t>0061i00000MTLC0AAP</t>
  </si>
  <si>
    <t>0061i00000LqkoSAAR</t>
  </si>
  <si>
    <t>0061i00000LHqqjAAD</t>
  </si>
  <si>
    <t>0061i00000KQPGVAA5</t>
  </si>
  <si>
    <t>0061i00000LRlmpAAD</t>
  </si>
  <si>
    <t>0061i00000JhWvpAAF</t>
  </si>
  <si>
    <t>0061i00000Jid7xAAB</t>
  </si>
  <si>
    <t>0061i00000MFCY7AAP</t>
  </si>
  <si>
    <t>0061i00000LHHMVAA5</t>
  </si>
  <si>
    <t>0061i00000MS6gGAAT</t>
  </si>
  <si>
    <t>0061i00000MBRZsAAP</t>
  </si>
  <si>
    <t>0061i00000LqQ1wAAF</t>
  </si>
  <si>
    <t>0061i00000IuBV8AAN</t>
  </si>
  <si>
    <t>0061i00000MSI7GAAX</t>
  </si>
  <si>
    <t>0061i00000IsTpnAAF</t>
  </si>
  <si>
    <t>0061i00000KbO2aAAF</t>
  </si>
  <si>
    <t>0061i00000LV1gKAAT</t>
  </si>
  <si>
    <t>0061i00000N1ni3AAB</t>
  </si>
  <si>
    <t>0061i00000LHmFxAAL</t>
  </si>
  <si>
    <t>0061i00000NcFG9AAN</t>
  </si>
  <si>
    <t>0061i00000LT6HBAA1</t>
  </si>
  <si>
    <t>0061i00000Lu7MtAAJ</t>
  </si>
  <si>
    <t>0061i00000Jfy4FAAR</t>
  </si>
  <si>
    <t>0061i00000NGvRdAAL</t>
  </si>
  <si>
    <t>0061i00000ItHo1AAF</t>
  </si>
  <si>
    <t>0061i00000MwA98AAF</t>
  </si>
  <si>
    <t>0061i00000IX6DjAAL</t>
  </si>
  <si>
    <t>0061i00000JANitAAH</t>
  </si>
  <si>
    <t>0061i00000Lrx4RAAR</t>
  </si>
  <si>
    <t>0061i00000LEIK5AAP</t>
  </si>
  <si>
    <t>0061i00000MwFuuAAF</t>
  </si>
  <si>
    <t>0061i00000MTMCLAA5</t>
  </si>
  <si>
    <t>0061i00000K9t1nAAB</t>
  </si>
  <si>
    <t>0061i00000Kn6HdAAJ</t>
  </si>
  <si>
    <t>0061i00000EIc3vAAD</t>
  </si>
  <si>
    <t>0061i00000JBGYiAAP</t>
  </si>
  <si>
    <t>0061i00000MBFVsAAP</t>
  </si>
  <si>
    <t>0061i00000JBTYGAA5</t>
  </si>
  <si>
    <t>0061i00000JhynsAAB</t>
  </si>
  <si>
    <t>0061i00000NGxttAAD</t>
  </si>
  <si>
    <t>0061i00000IrhDIAAZ</t>
  </si>
  <si>
    <t>0061i00000MCaYhAAL</t>
  </si>
  <si>
    <t>0061i00000Jb8PSAAZ</t>
  </si>
  <si>
    <t>0061i00000MD9fLAAT</t>
  </si>
  <si>
    <t>0061i00000Kl8twAAB</t>
  </si>
  <si>
    <t>0061i00000KcQEUAA3</t>
  </si>
  <si>
    <t>0061i00000JhWCZAA3</t>
  </si>
  <si>
    <t>0061i00000Mr6oHAAR</t>
  </si>
  <si>
    <t>0061i00000KnPMCAA3</t>
  </si>
  <si>
    <t>0061i00000MvYRyAAN</t>
  </si>
  <si>
    <t>0061i00000MEmlNAAT</t>
  </si>
  <si>
    <t>0061i00000HktBFAAZ</t>
  </si>
  <si>
    <t>0061i00000LHybWAAT</t>
  </si>
  <si>
    <t>0061i00000JhVLaAAN</t>
  </si>
  <si>
    <t>0061i00000MVL7eAAH</t>
  </si>
  <si>
    <t>0061i00000MDjtZAAT</t>
  </si>
  <si>
    <t>0061i00000Lrqr8AAB</t>
  </si>
  <si>
    <t>0061i00000N1W3aAAF</t>
  </si>
  <si>
    <t>0061i00000N3Rv7AAF</t>
  </si>
  <si>
    <t>0061i00000JjUfCAAV</t>
  </si>
  <si>
    <t>0061i00000MSjwEAAT</t>
  </si>
  <si>
    <t>0061i00000KmYgcAAF</t>
  </si>
  <si>
    <t>0061i00000JhxXAAAZ</t>
  </si>
  <si>
    <t>0061i00000MrMkIAAV</t>
  </si>
  <si>
    <t>0061i00000KmfUzAAJ</t>
  </si>
  <si>
    <t>0061i00000KBlowAAD</t>
  </si>
  <si>
    <t>0061i00000MBTENAA5</t>
  </si>
  <si>
    <t>0061i00000NIXBXAA5</t>
  </si>
  <si>
    <t>0061i00000J9JtOAAV</t>
  </si>
  <si>
    <t>0061i00000MV1m7AAD</t>
  </si>
  <si>
    <t>0061i00000MBICKAA5</t>
  </si>
  <si>
    <t>0061i00000Jjk4cAAB</t>
  </si>
  <si>
    <t>0061i00000MSARPAA5</t>
  </si>
  <si>
    <t>0061i00000MvrPrAAJ</t>
  </si>
  <si>
    <t>0061i00000NK4kMAAT</t>
  </si>
  <si>
    <t>0061i00000LV32sAAD</t>
  </si>
  <si>
    <t>0061i00000MCetFAAT</t>
  </si>
  <si>
    <t>0061i00000N0a29AAB</t>
  </si>
  <si>
    <t>0061i00000JB4tGAAT</t>
  </si>
  <si>
    <t>0061i00000NGBoKAAX</t>
  </si>
  <si>
    <t>0061i00000NGc5AAAT</t>
  </si>
  <si>
    <t>0061i00000MU2S8AAL</t>
  </si>
  <si>
    <t>0061i00000N1sXaAAJ</t>
  </si>
  <si>
    <t>0061i00000MBQ6GAAX</t>
  </si>
  <si>
    <t>0061i00000MVLsjAAH</t>
  </si>
  <si>
    <t>0061i00000KnOf3AAF</t>
  </si>
  <si>
    <t>0061i00000N0xvTAAR</t>
  </si>
  <si>
    <t>0061i00000FbQmxAAF</t>
  </si>
  <si>
    <t>0061i00000GP9iWAAT</t>
  </si>
  <si>
    <t>0061i00000MDrECAA1</t>
  </si>
  <si>
    <t>0061i00000MBrCRAA1</t>
  </si>
  <si>
    <t>0061i00000MRq6oAAD</t>
  </si>
  <si>
    <t>0061i00000FZuG0AAL</t>
  </si>
  <si>
    <t>0061i00000LU25wAAD</t>
  </si>
  <si>
    <t>0061i00000MF9T4AAL</t>
  </si>
  <si>
    <t>0061i00000MBFjVAAX</t>
  </si>
  <si>
    <t>0061i00000MCr2bAAD</t>
  </si>
  <si>
    <t>0061i00000EJ17kAAD</t>
  </si>
  <si>
    <t>0061i00000MUwzLAAT</t>
  </si>
  <si>
    <t>0061i00000KbESiAAN</t>
  </si>
  <si>
    <t>0061i00000JiTn2AAF</t>
  </si>
  <si>
    <t>0061i00000JAZNFAA5</t>
  </si>
  <si>
    <t>0061i00000EXc1qAAD</t>
  </si>
  <si>
    <t>0061i00000MCTajAAH</t>
  </si>
  <si>
    <t>0061i00000LU2gnAAD</t>
  </si>
  <si>
    <t>0061i00000KRBcYAAX</t>
  </si>
  <si>
    <t>0061i00000NItpBAAT</t>
  </si>
  <si>
    <t>0061i00000KcSAbAAN</t>
  </si>
  <si>
    <t>0061i00000N1SQwAAN</t>
  </si>
  <si>
    <t>0061i00000KR7OuAAL</t>
  </si>
  <si>
    <t>0061i00000MvYSIAA3</t>
  </si>
  <si>
    <t>0061i00000JiVlmAAF</t>
  </si>
  <si>
    <t>0061i00000MEpnCAAT</t>
  </si>
  <si>
    <t>0061i00000MSOCQAA5</t>
  </si>
  <si>
    <t>0061i00000JbYblAAF</t>
  </si>
  <si>
    <t>0061i00000MCoW9AAL</t>
  </si>
  <si>
    <t>0061i00000EZSwHAAX</t>
  </si>
  <si>
    <t>0061i00000EXz9BAAT</t>
  </si>
  <si>
    <t>0061i00000NGTEyAAP</t>
  </si>
  <si>
    <t>0061i00000MTQ0BAAX</t>
  </si>
  <si>
    <t>0061i00000MD9vcAAD</t>
  </si>
  <si>
    <t>0061i00000NJYrVAAX</t>
  </si>
  <si>
    <t>0061i00000Jh512AAB</t>
  </si>
  <si>
    <t>0061i00000JafdzAAB</t>
  </si>
  <si>
    <t>0061i00000MCYBxAAP</t>
  </si>
  <si>
    <t>0061i00000NGIlVAAX</t>
  </si>
  <si>
    <t>0061i00000IrzEBAAZ</t>
  </si>
  <si>
    <t>0061i00000IZTkRAAX</t>
  </si>
  <si>
    <t>0061i00000EIGKmAAP</t>
  </si>
  <si>
    <t>0061i00000GMzIiAAL</t>
  </si>
  <si>
    <t>0061i00000MCVI8AAP</t>
  </si>
  <si>
    <t>0061i00000MV3gLAAT</t>
  </si>
  <si>
    <t>0061i00000HkU76AAF</t>
  </si>
  <si>
    <t>0061i00000KyXQoAAN</t>
  </si>
  <si>
    <t>0061i00000Kzu2kAAB</t>
  </si>
  <si>
    <t>0061i00000HiD5hAAF</t>
  </si>
  <si>
    <t>0061i00000N3WgWAAV</t>
  </si>
  <si>
    <t>0061i00000MrHM3AAN</t>
  </si>
  <si>
    <t>0061i00000KQACYAA5</t>
  </si>
  <si>
    <t>0061i00000MBtmbAAD</t>
  </si>
  <si>
    <t>0061i00000MDpvnAAD</t>
  </si>
  <si>
    <t>0061i00000JhmRCAAZ</t>
  </si>
  <si>
    <t>0061i00000NJDcKAAX</t>
  </si>
  <si>
    <t>0061i00000JhiayAAB</t>
  </si>
  <si>
    <t>0061i00000Ka0IWAAZ</t>
  </si>
  <si>
    <t>0061i00000LU40PAAT</t>
  </si>
  <si>
    <t>0061i00000Kn4HWAAZ</t>
  </si>
  <si>
    <t>0061i00000LRn3mAAD</t>
  </si>
  <si>
    <t>0061i00000Lrs0kAAB</t>
  </si>
  <si>
    <t>0061i00000N1DGCAA3</t>
  </si>
  <si>
    <t>0061i00000KR5u5AAD</t>
  </si>
  <si>
    <t>0061i00000J8hknAAB</t>
  </si>
  <si>
    <t>0061i00000EX9ptAAD</t>
  </si>
  <si>
    <t>0061i00000GPcLnAAL</t>
  </si>
  <si>
    <t>0061i00000Nc5siAAB</t>
  </si>
  <si>
    <t>0061i00000ItZyiAAF</t>
  </si>
  <si>
    <t>0061i00000FbQrcAAF</t>
  </si>
  <si>
    <t>0061i00000JBoGKAA1</t>
  </si>
  <si>
    <t>0061i00000MVQgIAAX</t>
  </si>
  <si>
    <t>0061i00000N1pv9AAB</t>
  </si>
  <si>
    <t>0061i00000KnPSUAA3</t>
  </si>
  <si>
    <t>0061i00000Jak1zAAB</t>
  </si>
  <si>
    <t>0061i00000LtJWiAAN</t>
  </si>
  <si>
    <t>0061i00000EY4d3AAD</t>
  </si>
  <si>
    <t>0061i00000LT7yLAAT</t>
  </si>
  <si>
    <t>0061i00000Ls9aXAAR</t>
  </si>
  <si>
    <t>0061i00000KyWNyAAN</t>
  </si>
  <si>
    <t>0061i00000LsXkyAAF</t>
  </si>
  <si>
    <t>0061i00000KCh66AAD</t>
  </si>
  <si>
    <t>0061i00000KyRTXAA3</t>
  </si>
  <si>
    <t>0061i00000MUR1tAAH</t>
  </si>
  <si>
    <t>0061i00000JishRAAR</t>
  </si>
  <si>
    <t>0061i00000LtOU3AAN</t>
  </si>
  <si>
    <t>0061i00000Hi6wnAAB</t>
  </si>
  <si>
    <t>0061i00000MSy7vAAD</t>
  </si>
  <si>
    <t>0061i00000MSO1cAAH</t>
  </si>
  <si>
    <t>0061i00000LFg67AAD</t>
  </si>
  <si>
    <t>0061i00000MU70iAAD</t>
  </si>
  <si>
    <t>0061i00000JC4vZAAT</t>
  </si>
  <si>
    <t>0061i00000EaFt5AAF</t>
  </si>
  <si>
    <t>0061i00000MTodPAAT</t>
  </si>
  <si>
    <t>0061i00000JBZEJAA5</t>
  </si>
  <si>
    <t>0061i00000KnO1UAAV</t>
  </si>
  <si>
    <t>0061i00000LqcV0AAJ</t>
  </si>
  <si>
    <t>0061i00000Jivh5AAB</t>
  </si>
  <si>
    <t>0061i00000MUy7GAAT</t>
  </si>
  <si>
    <t>0061i00000NbAHsAAN</t>
  </si>
  <si>
    <t>0061i00000Kc70pAAB</t>
  </si>
  <si>
    <t>0061i00000MEWY5AAP</t>
  </si>
  <si>
    <t>0061i00000KmcZjAAJ</t>
  </si>
  <si>
    <t>0061i00000LRlkAAAT</t>
  </si>
  <si>
    <t>0061i00000JCGKTAA5</t>
  </si>
  <si>
    <t>0061i00000MSU7HAAX</t>
  </si>
  <si>
    <t>0061i00000IZpgdAAD</t>
  </si>
  <si>
    <t>0061i00000LG4yKAAT</t>
  </si>
  <si>
    <t>0061i00000KyWRIAA3</t>
  </si>
  <si>
    <t>0061i00000NblwlAAB</t>
  </si>
  <si>
    <t>0061i00000JBkd1AAD</t>
  </si>
  <si>
    <t>0061i00000Lr9hVAAR</t>
  </si>
  <si>
    <t>0061i00000MvUMMAA3</t>
  </si>
  <si>
    <t>0061i00000N2UXqAAN</t>
  </si>
  <si>
    <t>0061i00000NJDs4AAH</t>
  </si>
  <si>
    <t>0061i00000KzpeCAAR</t>
  </si>
  <si>
    <t>0061i00000Ky1FnAAJ</t>
  </si>
  <si>
    <t>0061i00000MVNagAAH</t>
  </si>
  <si>
    <t>0061i00000NI3VRAA1</t>
  </si>
  <si>
    <t>0061i00000N2RuNAAV</t>
  </si>
  <si>
    <t>0061i00000NGOd2AAH</t>
  </si>
  <si>
    <t>0061i00000MShWPAA1</t>
  </si>
  <si>
    <t>0061i00000MtSgRAAV</t>
  </si>
  <si>
    <t>0061i00000KA9qMAAT</t>
  </si>
  <si>
    <t>0061i00000GMKkBAAX</t>
  </si>
  <si>
    <t>0061i00000NGBZZAA5</t>
  </si>
  <si>
    <t>0061i00000MwKpwAAF</t>
  </si>
  <si>
    <t>0061i00000JhWDmAAN</t>
  </si>
  <si>
    <t>0061i00000LHoqcAAD</t>
  </si>
  <si>
    <t>0061i00000Ea443AAB</t>
  </si>
  <si>
    <t>0061i00000K9rzvAAB</t>
  </si>
  <si>
    <t>0061i00000KymwDAAR</t>
  </si>
  <si>
    <t>0061i00000Kxo3wAAB</t>
  </si>
  <si>
    <t>0061i00000IYDSLAA5</t>
  </si>
  <si>
    <t>0061i00000N1uvEAAR</t>
  </si>
  <si>
    <t>0061i00000NcDdGAAV</t>
  </si>
  <si>
    <t>0061i00000N1mEvAAJ</t>
  </si>
  <si>
    <t>0061i00000MTgkoAAD</t>
  </si>
  <si>
    <t>0061i00000NbjCrAAJ</t>
  </si>
  <si>
    <t>0061i00000EYrmBAAT</t>
  </si>
  <si>
    <t>0061i00000NbUb7AAF</t>
  </si>
  <si>
    <t>0061i00000MSCt3AAH</t>
  </si>
  <si>
    <t>0061i00000JjPPJAA3</t>
  </si>
  <si>
    <t>0061i00000JbX8YAAV</t>
  </si>
  <si>
    <t>0061i00000N0YbfAAF</t>
  </si>
  <si>
    <t>0061i00000JjX3VAAV</t>
  </si>
  <si>
    <t>0061i00000LIGiQAAX</t>
  </si>
  <si>
    <t>0061i00000LUC0ZAAX</t>
  </si>
  <si>
    <t>0061i00000NIXBsAAP</t>
  </si>
  <si>
    <t>0061i00000JgPMSAA3</t>
  </si>
  <si>
    <t>0061i00000MEDWtAAP</t>
  </si>
  <si>
    <t>0061i00000FXzcHAAT</t>
  </si>
  <si>
    <t>0061i00000MD7xbAAD</t>
  </si>
  <si>
    <t>0061i00000NIyMGAA1</t>
  </si>
  <si>
    <t>0061i00000MEVW3AAP</t>
  </si>
  <si>
    <t>0061i00000N0tUBAAZ</t>
  </si>
  <si>
    <t>0061i00000Hm4TnAAJ</t>
  </si>
  <si>
    <t>0061i00000KA1dBAAT</t>
  </si>
  <si>
    <t>0061i00000MUvDGAA1</t>
  </si>
  <si>
    <t>0061i00000IaM9OAAV</t>
  </si>
  <si>
    <t>0061i00000Ky6gmAAB</t>
  </si>
  <si>
    <t>0061i00000MyOyQAAV</t>
  </si>
  <si>
    <t>0061i00000MrCHfAAN</t>
  </si>
  <si>
    <t>0061i00000MvollAAB</t>
  </si>
  <si>
    <t>0061i00000MrHg3AAF</t>
  </si>
  <si>
    <t>0061i00000HkjqpAAB</t>
  </si>
  <si>
    <t>0061i00000N0b2tAAB</t>
  </si>
  <si>
    <t>0061i00000K9DsXAAV</t>
  </si>
  <si>
    <t>0061i00000LtBztAAF</t>
  </si>
  <si>
    <t>0061i00000IZv0xAAD</t>
  </si>
  <si>
    <t>0061i00000FZEO1AAP</t>
  </si>
  <si>
    <t>0061i00000KR5QjAAL</t>
  </si>
  <si>
    <t>0061i00000JhWxVAAV</t>
  </si>
  <si>
    <t>0061i00000NGTA8AAP</t>
  </si>
  <si>
    <t>0061i00000MV5qIAAT</t>
  </si>
  <si>
    <t>0061i00000ME9J6AAL</t>
  </si>
  <si>
    <t>0061i00000KyVRzAAN</t>
  </si>
  <si>
    <t>0061i00000JhSdZAAV</t>
  </si>
  <si>
    <t>0061i00000Jg19jAAB</t>
  </si>
  <si>
    <t>0061i00000EZRyvAAH</t>
  </si>
  <si>
    <t>0061i00000N2KnDAAV</t>
  </si>
  <si>
    <t>0061i00000MrNjaAAF</t>
  </si>
  <si>
    <t>0061i00000KxlHJAAZ</t>
  </si>
  <si>
    <t>0061i00000MwMPhAAN</t>
  </si>
  <si>
    <t>0061i00000Jhz86AAB</t>
  </si>
  <si>
    <t>0061i00000NGCNQAA5</t>
  </si>
  <si>
    <t>0061i00000NGBRGAA5</t>
  </si>
  <si>
    <t>0061i00000LFgjTAAT</t>
  </si>
  <si>
    <t>0061i00000MTSerAAH</t>
  </si>
  <si>
    <t>0061i00000LrAjNAAV</t>
  </si>
  <si>
    <t>0061i00000MVNzLAAX</t>
  </si>
  <si>
    <t>0061i00000NGzhBAAT</t>
  </si>
  <si>
    <t>0061i00000Hi99AAAR</t>
  </si>
  <si>
    <t>0061i00000KcBkwAAF</t>
  </si>
  <si>
    <t>0061i00000NI5mtAAD</t>
  </si>
  <si>
    <t>0061i00000JiwzAAAR</t>
  </si>
  <si>
    <t>0061i00000MtSiIAAV</t>
  </si>
  <si>
    <t>0061i00000KnP5lAAF</t>
  </si>
  <si>
    <t>0061i00000Ky5vcAAB</t>
  </si>
  <si>
    <t>0061i00000EXvA8AAL</t>
  </si>
  <si>
    <t>0061i00000LqJH5AAN</t>
  </si>
  <si>
    <t>0061i00000MwEIoAAN</t>
  </si>
  <si>
    <t>0061i00000NI8N1AAL</t>
  </si>
  <si>
    <t>0061i00000Jij3YAAR</t>
  </si>
  <si>
    <t>0061i00000NIdjhAAD</t>
  </si>
  <si>
    <t>0061i00000NK7XzAAL</t>
  </si>
  <si>
    <t>0061i00000LH48nAAD</t>
  </si>
  <si>
    <t>0061i00000N0qrgAAB</t>
  </si>
  <si>
    <t>0061i00000N29elAAB</t>
  </si>
  <si>
    <t>0061i00000HkuWYAAZ</t>
  </si>
  <si>
    <t>0061i00000NJ4xXAAT</t>
  </si>
  <si>
    <t>0061i00000NIzOAAA1</t>
  </si>
  <si>
    <t>0061i00000MBPb3AAH</t>
  </si>
  <si>
    <t>0061i00000MVtvMAAT</t>
  </si>
  <si>
    <t>0061i00000ICYguAAH</t>
  </si>
  <si>
    <t>0061i00000KbPWSAA3</t>
  </si>
  <si>
    <t>0061i00000LqDVRAA3</t>
  </si>
  <si>
    <t>0061i00000MTO38AAH</t>
  </si>
  <si>
    <t>0061i00000KyGsuAAF</t>
  </si>
  <si>
    <t>0061i00000MrIXqAAN</t>
  </si>
  <si>
    <t>0061i00000MVuDaAAL</t>
  </si>
  <si>
    <t>0061i00000LRCPcAAP</t>
  </si>
  <si>
    <t>0061i00000IurE7AAJ</t>
  </si>
  <si>
    <t>0061i00000MyPUWAA3</t>
  </si>
  <si>
    <t>0061i00000ICM3pAAH</t>
  </si>
  <si>
    <t>0061i00000IvSrWAAV</t>
  </si>
  <si>
    <t>0061i00000GPTPsAAP</t>
  </si>
  <si>
    <t>0061i00000IZrSyAAL</t>
  </si>
  <si>
    <t>0061i00000EaxCmAAJ</t>
  </si>
  <si>
    <t>0061i00000KmAN2AAN</t>
  </si>
  <si>
    <t>0061i00000NcAzmAAF</t>
  </si>
  <si>
    <t>0061i00000MVlYpAAL</t>
  </si>
  <si>
    <t>0061i00000IXOLLAA5</t>
  </si>
  <si>
    <t>0061i00000N2Em1AAF</t>
  </si>
  <si>
    <t>0061i00000IWzNNAA1</t>
  </si>
  <si>
    <t>0061i00000MSbnPAAT</t>
  </si>
  <si>
    <t>0061i00000HiWJWAA3</t>
  </si>
  <si>
    <t>0061i00000MVpqZAAT</t>
  </si>
  <si>
    <t>0061i00000JhhkiAAB</t>
  </si>
  <si>
    <t>0061i00000N1WxjAAF</t>
  </si>
  <si>
    <t>0061i00000JhSwcAAF</t>
  </si>
  <si>
    <t>0061i00000EZROjAAP</t>
  </si>
  <si>
    <t>0061i00000MBqKeAAL</t>
  </si>
  <si>
    <t>0061i00000LtHBHAA3</t>
  </si>
  <si>
    <t>0061i00000Janz3AAB</t>
  </si>
  <si>
    <t>0061i00000MwCmEAAV</t>
  </si>
  <si>
    <t>0061i00000IDfriAAD</t>
  </si>
  <si>
    <t>0061i00000NJDS5AAP</t>
  </si>
  <si>
    <t>0061i00000IETN5AAP</t>
  </si>
  <si>
    <t>0061i00000KmcPsAAJ</t>
  </si>
  <si>
    <t>0061i00000Mvs0EAAR</t>
  </si>
  <si>
    <t>0061i00000MVqfFAAT</t>
  </si>
  <si>
    <t>0061i00000JjWxhAAF</t>
  </si>
  <si>
    <t>0061i00000FZqNtAAL</t>
  </si>
  <si>
    <t>0061i00000JAdNQAA1</t>
  </si>
  <si>
    <t>0061i00000Nc821AAB</t>
  </si>
  <si>
    <t>0061i00000LFiglAAD</t>
  </si>
  <si>
    <t>0061i00000MvdtiAAB</t>
  </si>
  <si>
    <t>0061i00000N3XrpAAF</t>
  </si>
  <si>
    <t>0061i00000IZqK4AAL</t>
  </si>
  <si>
    <t>0061i00000JgZVLAA3</t>
  </si>
  <si>
    <t>0061i00000LQxnlAAD</t>
  </si>
  <si>
    <t>0061i00000EX1IHAA1</t>
  </si>
  <si>
    <t>0061i00000IWtqEAAT</t>
  </si>
  <si>
    <t>0061i00000NGpS1AAL</t>
  </si>
  <si>
    <t>0061i00000LISfsAAH</t>
  </si>
  <si>
    <t>0061i00000EJ6MgAAL</t>
  </si>
  <si>
    <t>0061i00000EX0yMAAT</t>
  </si>
  <si>
    <t>0061i00000JicyQAAR</t>
  </si>
  <si>
    <t>0061i00000KcGyGAAV</t>
  </si>
  <si>
    <t>0061i00000KA9T8AAL</t>
  </si>
  <si>
    <t>0061i00000N1v1lAAB</t>
  </si>
  <si>
    <t>0061i00000LTee9AAD</t>
  </si>
  <si>
    <t>0061i00000NJa0zAAD</t>
  </si>
  <si>
    <t>0061i00000MF9O9AAL</t>
  </si>
  <si>
    <t>0061i00000JBZ1AAAX</t>
  </si>
  <si>
    <t>0061i00000MvpZBAAZ</t>
  </si>
  <si>
    <t>0061i00000MT2yEAAT</t>
  </si>
  <si>
    <t>0061i00000MBzhXAAT</t>
  </si>
  <si>
    <t>0061i00000NGreKAAT</t>
  </si>
  <si>
    <t>0061i00000MB78qAAD</t>
  </si>
  <si>
    <t>0061i00000MEtCfAAL</t>
  </si>
  <si>
    <t>0061i00000MSERkAAP</t>
  </si>
  <si>
    <t>0061i00000MTTShAAP</t>
  </si>
  <si>
    <t>0061i00000N1mTgAAJ</t>
  </si>
  <si>
    <t>0061i00000N0lAdAAJ</t>
  </si>
  <si>
    <t>0061i00000N3QeAAAV</t>
  </si>
  <si>
    <t>0061i00000IXdLSAA1</t>
  </si>
  <si>
    <t>0061i00000N1zmMAAR</t>
  </si>
  <si>
    <t>0061i00000JhYLiAAN</t>
  </si>
  <si>
    <t>0061i00000L1aswAAB</t>
  </si>
  <si>
    <t>0061i00000LS1rIAAT</t>
  </si>
  <si>
    <t>0061i00000KQucgAAD</t>
  </si>
  <si>
    <t>0061i00000MCzduAAD</t>
  </si>
  <si>
    <t>0061i00000MBSBSAA5</t>
  </si>
  <si>
    <t>0061i00000MDXLKAA5</t>
  </si>
  <si>
    <t>0061i00000LrPhjAAF</t>
  </si>
  <si>
    <t>0061i00000MBUXkAAP</t>
  </si>
  <si>
    <t>0061i00000NJpwoAAD</t>
  </si>
  <si>
    <t>0061i00000N2TVRAA3</t>
  </si>
  <si>
    <t>0061i00000IEUiMAAX</t>
  </si>
  <si>
    <t>0061i00000N2FagAAF</t>
  </si>
  <si>
    <t>0061i00000NGeCSAA1</t>
  </si>
  <si>
    <t>0061i00000NI52lAAD</t>
  </si>
  <si>
    <t>0061i00000KQFuVAAX</t>
  </si>
  <si>
    <t>0061i00000NGMZ9AAP</t>
  </si>
  <si>
    <t>0061i00000HjDemAAF</t>
  </si>
  <si>
    <t>0061i00000EJQ3uAAH</t>
  </si>
  <si>
    <t>0061i00000MVoQMAA1</t>
  </si>
  <si>
    <t>0061i00000MTkcmAAD</t>
  </si>
  <si>
    <t>0061i00000HjMU3AAN</t>
  </si>
  <si>
    <t>0061i00000N2LhzAAF</t>
  </si>
  <si>
    <t>0061i00000MwIVaAAN</t>
  </si>
  <si>
    <t>0061i00000MDpyvAAD</t>
  </si>
  <si>
    <t>0061i00000HiVh7AAF</t>
  </si>
  <si>
    <t>0061i00000K9zAgAAJ</t>
  </si>
  <si>
    <t>0061i00000GOEnnAAH</t>
  </si>
  <si>
    <t>0061i00000NbttSAAR</t>
  </si>
  <si>
    <t>0061i00000LuCTGAA3</t>
  </si>
  <si>
    <t>0061i00000K9LaIAAV</t>
  </si>
  <si>
    <t>0061i00000Ls9eAAAR</t>
  </si>
  <si>
    <t>0061i00000Hi9BuAAJ</t>
  </si>
  <si>
    <t>0061i00000KnJwtAAF</t>
  </si>
  <si>
    <t>0061i00000HmDJcAAN</t>
  </si>
  <si>
    <t>0061i00000Lqj1YAAR</t>
  </si>
  <si>
    <t>0061i00000LTjBjAAL</t>
  </si>
  <si>
    <t>0061i00000MSzDUAA1</t>
  </si>
  <si>
    <t>0061i00000MBqUPAA1</t>
  </si>
  <si>
    <t>0061i00000Lqd7NAAR</t>
  </si>
  <si>
    <t>0061i00000KyXqNAAV</t>
  </si>
  <si>
    <t>0061i00000Lqj9cAAB</t>
  </si>
  <si>
    <t>0061i00000Nbi0nAAB</t>
  </si>
  <si>
    <t>0061i00000MTLhrAAH</t>
  </si>
  <si>
    <t>0061i00000MB9VnAAL</t>
  </si>
  <si>
    <t>0061i00000LqBKqAAN</t>
  </si>
  <si>
    <t>0061i00000JhPTlAAN</t>
  </si>
  <si>
    <t>0061i00000Isvz7AAB</t>
  </si>
  <si>
    <t>0061i00000GMyH5AAL</t>
  </si>
  <si>
    <t>0061i00000LtGOYAA3</t>
  </si>
  <si>
    <t>0061i00000JhVnKAAV</t>
  </si>
  <si>
    <t>0061i00000LGBiwAAH</t>
  </si>
  <si>
    <t>0061i00000EXvmyAAD</t>
  </si>
  <si>
    <t>0061i00000MSlsdAAD</t>
  </si>
  <si>
    <t>0061i00000HiV7iAAF</t>
  </si>
  <si>
    <t>0061i00000LUyWmAAL</t>
  </si>
  <si>
    <t>0061i00000LqKMyAAN</t>
  </si>
  <si>
    <t>0061i00000MC2B0AAL</t>
  </si>
  <si>
    <t>0061i00000MBfc2AAD</t>
  </si>
  <si>
    <t>0061i00000NGXJWAA5</t>
  </si>
  <si>
    <t>0061i00000HjeXwAAJ</t>
  </si>
  <si>
    <t>0061i00000HkB6dAAF</t>
  </si>
  <si>
    <t>0061i00000MBq2QAAT</t>
  </si>
  <si>
    <t>0061i00000NGRL6AAP</t>
  </si>
  <si>
    <t>0061i00000JhUkBAAV</t>
  </si>
  <si>
    <t>0061i00000IC4IrAAL</t>
  </si>
  <si>
    <t>0061i00000LHu2rAAD</t>
  </si>
  <si>
    <t>0061i00000NbOGWAA3</t>
  </si>
  <si>
    <t>0061i00000LqjMqAAJ</t>
  </si>
  <si>
    <t>0061i00000K9HkjAAF</t>
  </si>
  <si>
    <t>0061i00000LH006AAD</t>
  </si>
  <si>
    <t>0061i00000KR6SWAA1</t>
  </si>
  <si>
    <t>0061i00000MTOs1AAH</t>
  </si>
  <si>
    <t>0061i00000K9dJXAAZ</t>
  </si>
  <si>
    <t>0061i00000MwGoZAAV</t>
  </si>
  <si>
    <t>0061i00000KnSY9AAN</t>
  </si>
  <si>
    <t>0061i00000NJTD8AAP</t>
  </si>
  <si>
    <t>0061i00000Jb1wMAAR</t>
  </si>
  <si>
    <t>0061i00000K9xbpAAB</t>
  </si>
  <si>
    <t>0061i00000N0oKIAAZ</t>
  </si>
  <si>
    <t>0061i00000Mr6ARAAZ</t>
  </si>
  <si>
    <t>0061i00000LqlxVAAR</t>
  </si>
  <si>
    <t>0061i00000MSlFCAA1</t>
  </si>
  <si>
    <t>0061i00000KQrMqAAL</t>
  </si>
  <si>
    <t>0061i00000KmKnYAAV</t>
  </si>
  <si>
    <t>0061i00000N3Va3AAF</t>
  </si>
  <si>
    <t>0061i00000KAS4gAAH</t>
  </si>
  <si>
    <t>0061i00000N16R1AAJ</t>
  </si>
  <si>
    <t>0061i00000NcArtAAF</t>
  </si>
  <si>
    <t>0061i00000NItk3AAD</t>
  </si>
  <si>
    <t>0061i00000JBO8YAAX</t>
  </si>
  <si>
    <t>0061i00000MrHXuAAN</t>
  </si>
  <si>
    <t>0061i00000NJHCCAA5</t>
  </si>
  <si>
    <t>0061i00000MFBDwAAP</t>
  </si>
  <si>
    <t>0061i00000MSjXiAAL</t>
  </si>
  <si>
    <t>0061i00000MrLLsAAN</t>
  </si>
  <si>
    <t>0061i00000N1FrjAAF</t>
  </si>
  <si>
    <t>0061i00000GQ5BcAAL</t>
  </si>
  <si>
    <t>0061i00000KD2vBAAT</t>
  </si>
  <si>
    <t>0061i00000IDv4RAAT</t>
  </si>
  <si>
    <t>0061i00000IBbgeAAD</t>
  </si>
  <si>
    <t>0061i00000MU29zAAD</t>
  </si>
  <si>
    <t>0061i00000JabmzAAB</t>
  </si>
  <si>
    <t>0061i00000KyqDJAAZ</t>
  </si>
  <si>
    <t>0061i00000KxhivAAB</t>
  </si>
  <si>
    <t>0061i00000MT21bAAD</t>
  </si>
  <si>
    <t>0061i00000MU3MGAA1</t>
  </si>
  <si>
    <t>0061i00000LG1VZAA1</t>
  </si>
  <si>
    <t>0061i00000N16IxAAJ</t>
  </si>
  <si>
    <t>0061i00000KQqeEAAT</t>
  </si>
  <si>
    <t>0061i00000LthrwAAB</t>
  </si>
  <si>
    <t>0061i00000N1AZoAAN</t>
  </si>
  <si>
    <t>Gas</t>
  </si>
  <si>
    <t>0061i00000LqPt4AAF</t>
  </si>
  <si>
    <t>0061i00000NbnojAAB</t>
  </si>
  <si>
    <t>0061i00000LV0hbAAD</t>
  </si>
  <si>
    <t>0061i00000IrZbvAAF</t>
  </si>
  <si>
    <t>0061i00000MERo1AAH</t>
  </si>
  <si>
    <t>0061i00000NbrndAAB</t>
  </si>
  <si>
    <t>0061i00000MV3oFAAT</t>
  </si>
  <si>
    <t>0061i00000MSiq6AAD</t>
  </si>
  <si>
    <t>0061i00000MrLBrAAN</t>
  </si>
  <si>
    <t>0061i00000KxlY6AAJ</t>
  </si>
  <si>
    <t>0061i00000MBtMEAA1</t>
  </si>
  <si>
    <t>0061i00000K9cbfAAB</t>
  </si>
  <si>
    <t>0061i00000MDkUaAAL</t>
  </si>
  <si>
    <t>0061i00000KznDzAAJ</t>
  </si>
  <si>
    <t>0061i00000IZBK0AAP</t>
  </si>
  <si>
    <t>0061i00000JhWOpAAN</t>
  </si>
  <si>
    <t>0061i00000NJyjXAAT</t>
  </si>
  <si>
    <t>0061i00000NJWSqAAP</t>
  </si>
  <si>
    <t>0061i00000MDuIVAA1</t>
  </si>
  <si>
    <t>0061i00000IFPyoAAH</t>
  </si>
  <si>
    <t>0061i00000IFW8fAAH</t>
  </si>
  <si>
    <t>0061i00000Hl9HRAAZ</t>
  </si>
  <si>
    <t>0061i00000MVTD3AAP</t>
  </si>
  <si>
    <t>0061i00000MvVzsAAF</t>
  </si>
  <si>
    <t>0061i00000N0a9FAAR</t>
  </si>
  <si>
    <t>0061i00000IDw8eAAD</t>
  </si>
  <si>
    <t>0061i00000JbWUsAAN</t>
  </si>
  <si>
    <t>0061i00000N1mTNAAZ</t>
  </si>
  <si>
    <t>0061i00000MTBo9AAH</t>
  </si>
  <si>
    <t>0061i00000KB37QAAT</t>
  </si>
  <si>
    <t>0061i00000EJvahAAD</t>
  </si>
  <si>
    <t>0061i00000KlruFAAR</t>
  </si>
  <si>
    <t>0061i00000MDonEAAT</t>
  </si>
  <si>
    <t>0061i00000IBUrVAAX</t>
  </si>
  <si>
    <t>0061i00000K9iqvAAB</t>
  </si>
  <si>
    <t>0061i00000MvXYPAA3</t>
  </si>
  <si>
    <t>0061i00000JgY7DAAV</t>
  </si>
  <si>
    <t>0061i00000KmCMZAA3</t>
  </si>
  <si>
    <t>0061i00000N3UNrAAN</t>
  </si>
  <si>
    <t>0061i00000JAULXAA5</t>
  </si>
  <si>
    <t>0061i00000K9iJJAAZ</t>
  </si>
  <si>
    <t>0061i00000KAb4PAAT</t>
  </si>
  <si>
    <t>0061i00000EXvokAAD</t>
  </si>
  <si>
    <t>0061i00000Jhj4pAAB</t>
  </si>
  <si>
    <t>0061i00000MSwrEAAT</t>
  </si>
  <si>
    <t>0061i00000MvY0dAAF</t>
  </si>
  <si>
    <t>0061i00000NGfW0AAL</t>
  </si>
  <si>
    <t>0061i00000Mr67nAAB</t>
  </si>
  <si>
    <t>0061i00000KzpXEAAZ</t>
  </si>
  <si>
    <t>0061i00000MS99eAAD</t>
  </si>
  <si>
    <t>0061i00000MB6gDAAT</t>
  </si>
  <si>
    <t>0061i00000JCFzwAAH</t>
  </si>
  <si>
    <t>0061i00000LtEDJAA3</t>
  </si>
  <si>
    <t>0061i00000JhuuyAAB</t>
  </si>
  <si>
    <t>0061i00000MT2eUAAT</t>
  </si>
  <si>
    <t>0061i00000MyRCBAA3</t>
  </si>
  <si>
    <t>0061i00000JgJ6ZAAV</t>
  </si>
  <si>
    <t>0061i00000N0qyQAAR</t>
  </si>
  <si>
    <t>0061i00000ID97kAAD</t>
  </si>
  <si>
    <t>0061i00000GOQgFAAX</t>
  </si>
  <si>
    <t>0061i00000KlAfSAAV</t>
  </si>
  <si>
    <t>0061i00000N1IDhAAN</t>
  </si>
  <si>
    <t>0061i00000MvR4PAAV</t>
  </si>
  <si>
    <t>0061i00000KmYEsAAN</t>
  </si>
  <si>
    <t>0061i00000K9ZTJAA3</t>
  </si>
  <si>
    <t>0061i00000MwEoXAAV</t>
  </si>
  <si>
    <t>0061i00000NGMDqAAP</t>
  </si>
  <si>
    <t>0061i00000MCUfpAAH</t>
  </si>
  <si>
    <t>0061i00000MSwgMAAT</t>
  </si>
  <si>
    <t>0061i00000IskmlAAB</t>
  </si>
  <si>
    <t>0061i00000LFcPPAA1</t>
  </si>
  <si>
    <t>0061i00000MBO19AAH</t>
  </si>
  <si>
    <t>0061i00000LS2hDAAT</t>
  </si>
  <si>
    <t>0061i00000LUfIxAAL</t>
  </si>
  <si>
    <t>0061i00000MBnZLAA1</t>
  </si>
  <si>
    <t>0061i00000ICWYEAA5</t>
  </si>
  <si>
    <t>0061i00000N1mITAAZ</t>
  </si>
  <si>
    <t>0061i00000ICuJKAA1</t>
  </si>
  <si>
    <t>0061i00000Jg3CGAAZ</t>
  </si>
  <si>
    <t>0061i00000LUDFYAA5</t>
  </si>
  <si>
    <t>0061i00000Jh1S4AAJ</t>
  </si>
  <si>
    <t>0061i00000HkDbIAAV</t>
  </si>
  <si>
    <t>0061i00000LuCHKAA3</t>
  </si>
  <si>
    <t>0061i00000N1J6DAAV</t>
  </si>
  <si>
    <t>0061i00000KyjdFAAR</t>
  </si>
  <si>
    <t>0061i00000HkvqKAAR</t>
  </si>
  <si>
    <t>0061i00000MDTuHAAX</t>
  </si>
  <si>
    <t>0061i00000K9clBAAR</t>
  </si>
  <si>
    <t>0061i00000L1ZRBAA3</t>
  </si>
  <si>
    <t>0061i00000GQ2niAAD</t>
  </si>
  <si>
    <t>0061i00000MVhf3AAD</t>
  </si>
  <si>
    <t>0061i00000JhdTrAAJ</t>
  </si>
  <si>
    <t>0061i00000Nc2xOAAR</t>
  </si>
  <si>
    <t>0061i00000LUxLhAAL</t>
  </si>
  <si>
    <t>0061i00000N3HL3AAN</t>
  </si>
  <si>
    <t>0061i00000N3Wk9AAF</t>
  </si>
  <si>
    <t>0061i00000Ia8oDAAR</t>
  </si>
  <si>
    <t>0061i00000MDCy5AAH</t>
  </si>
  <si>
    <t>0061i00000JgIreAAF</t>
  </si>
  <si>
    <t>0061i00000NGyddAAD</t>
  </si>
  <si>
    <t>0061i00000N3TecAAF</t>
  </si>
  <si>
    <t>0061i00000Lrwk8AAB</t>
  </si>
  <si>
    <t>0061i00000JbOJEAA3</t>
  </si>
  <si>
    <t>0061i00000IZw3JAAT</t>
  </si>
  <si>
    <t>0061i00000LU4RVAA1</t>
  </si>
  <si>
    <t>0061i00000KCtVYAA1</t>
  </si>
  <si>
    <t>0061i00000IZrbLAAT</t>
  </si>
  <si>
    <t>0061i00000KyZiqAAF</t>
  </si>
  <si>
    <t>0061i00000JC3KZAA1</t>
  </si>
  <si>
    <t>0061i00000EIrq6AAD</t>
  </si>
  <si>
    <t>0061i00000NJHFtAAP</t>
  </si>
  <si>
    <t>0061i00000KbLk0AAF</t>
  </si>
  <si>
    <t>0061i00000MBRCbAAP</t>
  </si>
  <si>
    <t>0061i00000JhlvuAAB</t>
  </si>
  <si>
    <t>0061i00000N1Zx2AAF</t>
  </si>
  <si>
    <t>0061i00000MDAGpAAP</t>
  </si>
  <si>
    <t>0061i00000NKG2oAAH</t>
  </si>
  <si>
    <t>0061i00000KyUDxAAN</t>
  </si>
  <si>
    <t>0061i00000NJg4eAAD</t>
  </si>
  <si>
    <t>0061i00000MrHCrAAN</t>
  </si>
  <si>
    <t>0061i00000MTlWVAA1</t>
  </si>
  <si>
    <t>0061i00000MDnxRAAT</t>
  </si>
  <si>
    <t>0061i00000HmAukAAF</t>
  </si>
  <si>
    <t>0061i00000N1yddAAB</t>
  </si>
  <si>
    <t>0061i00000MrKNcAAN</t>
  </si>
  <si>
    <t>0061i00000K9Ua3AAF</t>
  </si>
  <si>
    <t>0061i00000MF6yWAAT</t>
  </si>
  <si>
    <t>0061i00000NIY1JAAX</t>
  </si>
  <si>
    <t>0061i00000GPpspAAD</t>
  </si>
  <si>
    <t>0061i00000K9wFOAAZ</t>
  </si>
  <si>
    <t>0061i00000MEmLoAAL</t>
  </si>
  <si>
    <t>0061i00000MSx72AAD</t>
  </si>
  <si>
    <t>0061i00000IFXdAAAX</t>
  </si>
  <si>
    <t>0061i00000Jh601AAB</t>
  </si>
  <si>
    <t>0061i00000Nd3SVAAZ</t>
  </si>
  <si>
    <t>0061i00000N3Rp9AAF</t>
  </si>
  <si>
    <t>0061i00000K9bqyAAB</t>
  </si>
  <si>
    <t>0061i00000MwCNEAA3</t>
  </si>
  <si>
    <t>0061i00000MCVDDAA5</t>
  </si>
  <si>
    <t>0061i00000JiTb1AAF</t>
  </si>
  <si>
    <t>0061i00000MF7o5AAD</t>
  </si>
  <si>
    <t>0061i00000NbndPAAR</t>
  </si>
  <si>
    <t>0061i00000K9c7zAAB</t>
  </si>
  <si>
    <t>0061i00000JBHZYAA5</t>
  </si>
  <si>
    <t>0061i00000MBGBVAA5</t>
  </si>
  <si>
    <t>0061i00000IEZTFAA5</t>
  </si>
  <si>
    <t>0061i00000MvWj2AAF</t>
  </si>
  <si>
    <t>0061i00000MVkxdAAD</t>
  </si>
  <si>
    <t>0061i00000Jb69cAAB</t>
  </si>
  <si>
    <t>0061i00000LqiUZAAZ</t>
  </si>
  <si>
    <t>0061i00000N2Q8UAAV</t>
  </si>
  <si>
    <t>0061i00000HlJfuAAF</t>
  </si>
  <si>
    <t>0061i00000MwC0oAAF</t>
  </si>
  <si>
    <t>0061i00000N0dJwAAJ</t>
  </si>
  <si>
    <t>0061i00000KbeHjAAJ</t>
  </si>
  <si>
    <t>0061i00000Kl7iYAAR</t>
  </si>
  <si>
    <t>0061i00000NGdsNAAT</t>
  </si>
  <si>
    <t>0061i00000EJ20LAAT</t>
  </si>
  <si>
    <t>0061i00000NH1wXAAT</t>
  </si>
  <si>
    <t>0061i00000MFCKPAA5</t>
  </si>
  <si>
    <t>0061i00000NblRiAAJ</t>
  </si>
  <si>
    <t>0061i00000LGhugAAD</t>
  </si>
  <si>
    <t>0061i00000NGOECAA5</t>
  </si>
  <si>
    <t>0061i00000KBb6GAAT</t>
  </si>
  <si>
    <t>0061i00000JhVJPAA3</t>
  </si>
  <si>
    <t>0061i00000MyeJBAAZ</t>
  </si>
  <si>
    <t>0061i00000IZbgJAAT</t>
  </si>
  <si>
    <t>0061i00000N0wvdAAB</t>
  </si>
  <si>
    <t>0061i00000Kn11HAAR</t>
  </si>
  <si>
    <t>0061i00000NGZWIAA5</t>
  </si>
  <si>
    <t>0061i00000Jh1BrAAJ</t>
  </si>
  <si>
    <t>0061i00000HiDAqAAN</t>
  </si>
  <si>
    <t>0061i00000NcJ8OAAV</t>
  </si>
  <si>
    <t>0061i00000FZSn1AAH</t>
  </si>
  <si>
    <t>0061i00000GMdb3AAD</t>
  </si>
  <si>
    <t>0061i00000NGTX7AAP</t>
  </si>
  <si>
    <t>0061i00000MBQSWAA5</t>
  </si>
  <si>
    <t>0061i00000JCOemAAH</t>
  </si>
  <si>
    <t>0061i00000KCfnnAAD</t>
  </si>
  <si>
    <t>0061i00000MDWVsAAP</t>
  </si>
  <si>
    <t>0061i00000GMg5xAAD</t>
  </si>
  <si>
    <t>0061i00000NGTZYAA5</t>
  </si>
  <si>
    <t>0061i00000EHSWlAAP</t>
  </si>
  <si>
    <t>0061i00000Ky4SaAAJ</t>
  </si>
  <si>
    <t>0061i00000NGuE4AAL</t>
  </si>
  <si>
    <t>0061i00000JASCPAA5</t>
  </si>
  <si>
    <t>0061i00000JC0qNAAT</t>
  </si>
  <si>
    <t>0061i00000NbkSHAAZ</t>
  </si>
  <si>
    <t>0061i00000N0wjmAAB</t>
  </si>
  <si>
    <t>0061i00000MvXh2AAF</t>
  </si>
  <si>
    <t>0061i00000MT523AAD</t>
  </si>
  <si>
    <t>0061i00000LFdODAA1</t>
  </si>
  <si>
    <t>0061i00000NIklwAAD</t>
  </si>
  <si>
    <t>0061i00000NJJmZAAX</t>
  </si>
  <si>
    <t>0061i00000MBU7hAAH</t>
  </si>
  <si>
    <t>0061i00000Jh31PAAR</t>
  </si>
  <si>
    <t>0061i00000N0i4gAAB</t>
  </si>
  <si>
    <t>0061i00000MSZHmAAP</t>
  </si>
  <si>
    <t>0061i00000EJKgmAAH</t>
  </si>
  <si>
    <t>0061i00000MrNvgAAF</t>
  </si>
  <si>
    <t>0061i00000MScEWAA1</t>
  </si>
  <si>
    <t>0061i00000MrL6cAAF</t>
  </si>
  <si>
    <t>0061i00000GPPciAAH</t>
  </si>
  <si>
    <t>0061i00000MBo6LAAT</t>
  </si>
  <si>
    <t>0061i00000NJ4HlAAL</t>
  </si>
  <si>
    <t>0061i00000NKBQcAAP</t>
  </si>
  <si>
    <t>0061i00000N3QteAAF</t>
  </si>
  <si>
    <t>0061i00000LHHJWAA5</t>
  </si>
  <si>
    <t>0061i00000KnMwcAAF</t>
  </si>
  <si>
    <t>0061i00000HijJwAAJ</t>
  </si>
  <si>
    <t>0061i00000K9d7HAAR</t>
  </si>
  <si>
    <t>0061i00000KBZYXAA5</t>
  </si>
  <si>
    <t>0061i00000GPm8tAAD</t>
  </si>
  <si>
    <t>0061i00000Ji08rAAB</t>
  </si>
  <si>
    <t>0061i00000GOzrrAAD</t>
  </si>
  <si>
    <t>0061i00000KymQxAAJ</t>
  </si>
  <si>
    <t>0061i00000It403AAB</t>
  </si>
  <si>
    <t>0061i00000IsSpXAAV</t>
  </si>
  <si>
    <t>0061i00000KyNcLAAV</t>
  </si>
  <si>
    <t>0061i00000JApM7AAL</t>
  </si>
  <si>
    <t>0061i00000N2Pl4AAF</t>
  </si>
  <si>
    <t>0061i00000Isjs9AAB</t>
  </si>
  <si>
    <t>0061i00000EXiBIAA1</t>
  </si>
  <si>
    <t>0061i00000NbtiIAAR</t>
  </si>
  <si>
    <t>0061i00000EHoRjAAL</t>
  </si>
  <si>
    <t>0061i00000NIYw9AAH</t>
  </si>
  <si>
    <t>0061i00000MSPZBAA5</t>
  </si>
  <si>
    <t>0061i00000Kya4BAAR</t>
  </si>
  <si>
    <t>0061i00000Ltp0GAAR</t>
  </si>
  <si>
    <t>0061i00000MvjgEAAR</t>
  </si>
  <si>
    <t>0061i00000MBpjEAAT</t>
  </si>
  <si>
    <t>0061i00000LtGsJAAV</t>
  </si>
  <si>
    <t>0061i00000MBDn7AAH</t>
  </si>
  <si>
    <t>0061i00000IXQfNAAX</t>
  </si>
  <si>
    <t>0061i00000EY4bbAAD</t>
  </si>
  <si>
    <t>0061i00000N2DFQAA3</t>
  </si>
  <si>
    <t>0061i00000CtL0TAAV</t>
  </si>
  <si>
    <t>0061i00000NbmSKAAZ</t>
  </si>
  <si>
    <t>0061i00000MCVVbAAP</t>
  </si>
  <si>
    <t>0061i00000NGH37AAH</t>
  </si>
  <si>
    <t>0061i00000MvoooAAB</t>
  </si>
  <si>
    <t>0061i00000IFQZQAA5</t>
  </si>
  <si>
    <t>0061i00000EYFPnAAP</t>
  </si>
  <si>
    <t>0061i00000IuEuLAAV</t>
  </si>
  <si>
    <t>0061i00000KR4vgAAD</t>
  </si>
  <si>
    <t>0061i00000KlkMeAAJ</t>
  </si>
  <si>
    <t>0061i00000MDYi5AAH</t>
  </si>
  <si>
    <t>0061i00000MT46eAAD</t>
  </si>
  <si>
    <t>0061i00000JhGfhAAF</t>
  </si>
  <si>
    <t>0061i00000KyrruAAB</t>
  </si>
  <si>
    <t>0061i00000LqKl5AAF</t>
  </si>
  <si>
    <t>0061i00000FYqk8AAD</t>
  </si>
  <si>
    <t>0061i00000HjG5XAAV</t>
  </si>
  <si>
    <t>0061i00000FZYHxAAP</t>
  </si>
  <si>
    <t>0061i00000EXOrIAAX</t>
  </si>
  <si>
    <t>0061i00000NJH1tAAH</t>
  </si>
  <si>
    <t>0061i00000D3NujAAF</t>
  </si>
  <si>
    <t>0061i00000MwGPEAA3</t>
  </si>
  <si>
    <t>0061i00000LqLyyAAF</t>
  </si>
  <si>
    <t>0061i00000LqunQAAR</t>
  </si>
  <si>
    <t>0061i00000NblcXAAR</t>
  </si>
  <si>
    <t>0061i00000N3SQeAAN</t>
  </si>
  <si>
    <t>0061i00000Kn5OtAAJ</t>
  </si>
  <si>
    <t>0061i00000NKKbNAAX</t>
  </si>
  <si>
    <t>0061i00000MCcUIAA1</t>
  </si>
  <si>
    <t>0061i00000N0k5cAAB</t>
  </si>
  <si>
    <t>0061i00000JhzWIAAZ</t>
  </si>
  <si>
    <t>0061i00000MVU1rAAH</t>
  </si>
  <si>
    <t>0061i00000HiYRCAA3</t>
  </si>
  <si>
    <t>0061i00000MBAfJAAX</t>
  </si>
  <si>
    <t>0061i00000MSwXTAA1</t>
  </si>
  <si>
    <t>0061i00000Mvsb0AAB</t>
  </si>
  <si>
    <t>0061i00000Kzxp8AAB</t>
  </si>
  <si>
    <t>0061i00000IZwkXAAT</t>
  </si>
  <si>
    <t>0061i00000MBgfhAAD</t>
  </si>
  <si>
    <t>0061i00000MF9TaAAL</t>
  </si>
  <si>
    <t>0061i00000N1WfbAAF</t>
  </si>
  <si>
    <t>0061i00000MBHPXAA5</t>
  </si>
  <si>
    <t>0061i00000IrhbtAAB</t>
  </si>
  <si>
    <t>0061i00000NGOVxAAP</t>
  </si>
  <si>
    <t>0061i00000J9wcLAAR</t>
  </si>
  <si>
    <t>0061i00000MDo3lAAD</t>
  </si>
  <si>
    <t>0061i00000N1GaPAAV</t>
  </si>
  <si>
    <t>0061i00000N3ZTLAA3</t>
  </si>
  <si>
    <t>0061i00000EIz9qAAD</t>
  </si>
  <si>
    <t>0061i00000MCXNEAA5</t>
  </si>
  <si>
    <t>0061i00000N3S6GAAV</t>
  </si>
  <si>
    <t>0061i00000KkxvpAAB</t>
  </si>
  <si>
    <t>0061i00000MrJHTAA3</t>
  </si>
  <si>
    <t>0061i00000KBgzpAAD</t>
  </si>
  <si>
    <t>0061i00000MTTDwAAP</t>
  </si>
  <si>
    <t>0061i00000KlFlKAAV</t>
  </si>
  <si>
    <t>0061i00000MVNO0AAP</t>
  </si>
  <si>
    <t>0061i00000HiVOZAA3</t>
  </si>
  <si>
    <t>0061i00000MTgbIAAT</t>
  </si>
  <si>
    <t>0061i00000MDXyRAAX</t>
  </si>
  <si>
    <t>0061i00000MvlM1AAJ</t>
  </si>
  <si>
    <t>0061i00000NGcUAAA1</t>
  </si>
  <si>
    <t>0061i00000LH5iNAAT</t>
  </si>
  <si>
    <t>0061i00000MrNK6AAN</t>
  </si>
  <si>
    <t>0061i00000NHUCGAA5</t>
  </si>
  <si>
    <t>0061i00000Mvd70AAB</t>
  </si>
  <si>
    <t>0061i00000MDUeKAAX</t>
  </si>
  <si>
    <t>0061i00000LIFWfAAP</t>
  </si>
  <si>
    <t>0061i00000N1WLsAAN</t>
  </si>
  <si>
    <t>0061i00000Hkt1tAAB</t>
  </si>
  <si>
    <t>0061i00000Ky5WYAAZ</t>
  </si>
  <si>
    <t>0061i00000L1f0XAAR</t>
  </si>
  <si>
    <t>0061i00000MEttTAAT</t>
  </si>
  <si>
    <t>0061i00000N18tRAAR</t>
  </si>
  <si>
    <t>0061i00000IZ6NEAA1</t>
  </si>
  <si>
    <t>0061i00000MCqB4AAL</t>
  </si>
  <si>
    <t>0061i00000Hi8VKAAZ</t>
  </si>
  <si>
    <t>0061i00000Kl9XwAAJ</t>
  </si>
  <si>
    <t>0061i00000LU34HAAT</t>
  </si>
  <si>
    <t>0061i00000Jb9tYAAR</t>
  </si>
  <si>
    <t>0061i00000KlCR4AAN</t>
  </si>
  <si>
    <t>0061i00000JhWEBAA3</t>
  </si>
  <si>
    <t>0061i00000NJ8toAAD</t>
  </si>
  <si>
    <t>0061i00000MT0ebAAD</t>
  </si>
  <si>
    <t>0061i00000LHZo1AAH</t>
  </si>
  <si>
    <t>0061i00000L1Y9GAAV</t>
  </si>
  <si>
    <t>0061i00000IsVd0AAF</t>
  </si>
  <si>
    <t>0061i00000JgT1tAAF</t>
  </si>
  <si>
    <t>0061i00000IZpYtAAL</t>
  </si>
  <si>
    <t>0061i00000Kn7QRAAZ</t>
  </si>
  <si>
    <t>0061i00000Hjw2jAAB</t>
  </si>
  <si>
    <t>0061i00000LRFl8AAH</t>
  </si>
  <si>
    <t>0061i00000MV0lhAAD</t>
  </si>
  <si>
    <t>0061i00000NGxPFAA1</t>
  </si>
  <si>
    <t>0061i00000IYGDiAAP</t>
  </si>
  <si>
    <t>0061i00000IsSriAAF</t>
  </si>
  <si>
    <t>0061i00000MEBY3AAP</t>
  </si>
  <si>
    <t>0061i00000IXHOxAAP</t>
  </si>
  <si>
    <t>0061i00000JichFAAR</t>
  </si>
  <si>
    <t>0061i00000N29NzAAJ</t>
  </si>
  <si>
    <t>0061i00000MC8heAAD</t>
  </si>
  <si>
    <t>0061i00000MSkxwAAD</t>
  </si>
  <si>
    <t>0061i00000NGPPzAAP</t>
  </si>
  <si>
    <t>0061i00000MEVgsAAH</t>
  </si>
  <si>
    <t>0061i00000IXf15AAD</t>
  </si>
  <si>
    <t>0061i00000HmAFmAAN</t>
  </si>
  <si>
    <t>0061i00000ME7SkAAL</t>
  </si>
  <si>
    <t>0061i00000MDp3pAAD</t>
  </si>
  <si>
    <t>0061i00000Ls7RiAAJ</t>
  </si>
  <si>
    <t>0061i00000JhtYxAAJ</t>
  </si>
  <si>
    <t>0061i00000IuZTjAAN</t>
  </si>
  <si>
    <t>0061i00000MVukPAAT</t>
  </si>
  <si>
    <t>0061i00000IBqhgAAD</t>
  </si>
  <si>
    <t>0061i00000NI6pAAAT</t>
  </si>
  <si>
    <t>0061i00000Kmp4aAAB</t>
  </si>
  <si>
    <t>0061i00000IXiLrAAL</t>
  </si>
  <si>
    <t>0061i00000MvaepAAB</t>
  </si>
  <si>
    <t>0061i00000MExIlAAL</t>
  </si>
  <si>
    <t>0061i00000IZq4VAAT</t>
  </si>
  <si>
    <t>0061i00000EaamvAAB</t>
  </si>
  <si>
    <t>0061i00000MDsRBAA1</t>
  </si>
  <si>
    <t>0061i00000MwEoYAAV</t>
  </si>
  <si>
    <t>0061i00000IvC0BAAV</t>
  </si>
  <si>
    <t>0061i00000LEIRkAAP</t>
  </si>
  <si>
    <t>0061i00000MB7EeAAL</t>
  </si>
  <si>
    <t>0061i00000N1DHOAA3</t>
  </si>
  <si>
    <t>0061i00000KyYFmAAN</t>
  </si>
  <si>
    <t>0061i00000Kyn4sAAB</t>
  </si>
  <si>
    <t>0061i00000Jiep8AAB</t>
  </si>
  <si>
    <t>0061i00000IEFaaAAH</t>
  </si>
  <si>
    <t>0061i00000Ltc0bAAB</t>
  </si>
  <si>
    <t>0061i00000N0whfAAB</t>
  </si>
  <si>
    <t>0061i00000MBIccAAH</t>
  </si>
  <si>
    <t>0061i00000LHtODAA1</t>
  </si>
  <si>
    <t>0061i00000NH0kzAAD</t>
  </si>
  <si>
    <t>0061i00000N1F2bAAF</t>
  </si>
  <si>
    <t>0061i00000IsORRAA3</t>
  </si>
  <si>
    <t>0061i00000KkvkpAAB</t>
  </si>
  <si>
    <t>0061i00000JhTiSAAV</t>
  </si>
  <si>
    <t>0061i00000MSXTTAA5</t>
  </si>
  <si>
    <t>0061i00000JAzxMAAT</t>
  </si>
  <si>
    <t>0061i00000FZolFAAT</t>
  </si>
  <si>
    <t>0061i00000Klq3ZAAR</t>
  </si>
  <si>
    <t>0061i00000EJTWYAA5</t>
  </si>
  <si>
    <t>0061i00000HkILPAA3</t>
  </si>
  <si>
    <t>0061i00000MVkWwAAL</t>
  </si>
  <si>
    <t>0061i00000K9GE1AAN</t>
  </si>
  <si>
    <t>0061i00000MU1apAAD</t>
  </si>
  <si>
    <t>0061i00000Jgw63AAB</t>
  </si>
  <si>
    <t>0061i00000MVk99AAD</t>
  </si>
  <si>
    <t>0061i00000JARXHAA5</t>
  </si>
  <si>
    <t>0061i00000NbiZ2AAJ</t>
  </si>
  <si>
    <t>0061i00000KQx9MAAT</t>
  </si>
  <si>
    <t>0061i00000NJHrmAAH</t>
  </si>
  <si>
    <t>0061i00000N2KWWAA3</t>
  </si>
  <si>
    <t>0061i00000MEtISAA1</t>
  </si>
  <si>
    <t>0061i00000MDlFzAAL</t>
  </si>
  <si>
    <t>0061i00000N1uOeAAJ</t>
  </si>
  <si>
    <t>0061i00000MT8zhAAD</t>
  </si>
  <si>
    <t>0061i00000MV19AAAT</t>
  </si>
  <si>
    <t>0061i00000MC4hsAAD</t>
  </si>
  <si>
    <t>0061i00000Lu3fkAAB</t>
  </si>
  <si>
    <t>0061i00000MBSg1AAH</t>
  </si>
  <si>
    <t>0061i00000MvjRnAAJ</t>
  </si>
  <si>
    <t>0061i00000MCav7AAD</t>
  </si>
  <si>
    <t>0061i00000IYTqaAAH</t>
  </si>
  <si>
    <t>0061i00000MwIzuAAF</t>
  </si>
  <si>
    <t>0061i00000KynnJAAR</t>
  </si>
  <si>
    <t>0061i00000MV6hRAAT</t>
  </si>
  <si>
    <t>0061i00000L1fejAAB</t>
  </si>
  <si>
    <t>0061i00000N288tAAB</t>
  </si>
  <si>
    <t>0061i00000NGOrxAAH</t>
  </si>
  <si>
    <t>0061i00000LHtdIAAT</t>
  </si>
  <si>
    <t>0061i00000MShP9AAL</t>
  </si>
  <si>
    <t>0061i00000IvAPdAAN</t>
  </si>
  <si>
    <t>0061i00000JiTk8AAF</t>
  </si>
  <si>
    <t>0061i00000N0x1zAAB</t>
  </si>
  <si>
    <t>0061i00000JhvrIAAR</t>
  </si>
  <si>
    <t>0061i00000LI9nnAAD</t>
  </si>
  <si>
    <t>0061i00000LV1CNAA1</t>
  </si>
  <si>
    <t>0061i00000KCAEaAAP</t>
  </si>
  <si>
    <t>0061i00000NGyO4AAL</t>
  </si>
  <si>
    <t>0061i00000NbqrrAAB</t>
  </si>
  <si>
    <t>0061i00000MBGHXAA5</t>
  </si>
  <si>
    <t>0061i00000Mr61oAAB</t>
  </si>
  <si>
    <t>0061i00000JABoMAAX</t>
  </si>
  <si>
    <t>0061i00000KA9hPAAT</t>
  </si>
  <si>
    <t>0061i00000Jj396AAB</t>
  </si>
  <si>
    <t>0061i00000MTmjBAAT</t>
  </si>
  <si>
    <t>0061i00000Jfxg8AAB</t>
  </si>
  <si>
    <t>0061i00000LI7jxAAD</t>
  </si>
  <si>
    <t>0061i00000ItXFCAA3</t>
  </si>
  <si>
    <t>0061i00000NbLOoAAN</t>
  </si>
  <si>
    <t>0061i00000EXRb8AAH</t>
  </si>
  <si>
    <t>0061i00000MUPwSAAX</t>
  </si>
  <si>
    <t>0061i00000MvophAAB</t>
  </si>
  <si>
    <t>0061i00000EKGxWAAX</t>
  </si>
  <si>
    <t>0061i00000NIgU8AAL</t>
  </si>
  <si>
    <t>0061i00000JgYyHAAV</t>
  </si>
  <si>
    <t>0061i00000MVVimAAH</t>
  </si>
  <si>
    <t>0061i00000Ky7KtAAJ</t>
  </si>
  <si>
    <t>0061i00000LqKBWAA3</t>
  </si>
  <si>
    <t>0061i00000NGPXAAA5</t>
  </si>
  <si>
    <t>0061i00000KnSuyAAF</t>
  </si>
  <si>
    <t>0061i00000JC5FUAA1</t>
  </si>
  <si>
    <t>0061i00000IvAebAAF</t>
  </si>
  <si>
    <t>0061i00000LrHrEAAV</t>
  </si>
  <si>
    <t>0061i00000MU5AQAA1</t>
  </si>
  <si>
    <t>0061i00000KmAwqAAF</t>
  </si>
  <si>
    <t>0061i00000MCYimAAH</t>
  </si>
  <si>
    <t>0061i00000MBh6XAAT</t>
  </si>
  <si>
    <t>0061i00000LqRIyAAN</t>
  </si>
  <si>
    <t>0061i00000Mr9CFAAZ</t>
  </si>
  <si>
    <t>0061i00000NGMJLAA5</t>
  </si>
  <si>
    <t>0061i00000IZA0tAAH</t>
  </si>
  <si>
    <t>0061i00000N3VxlAAF</t>
  </si>
  <si>
    <t>0061i00000LtCXmAAN</t>
  </si>
  <si>
    <t>0061i00000LTmT7AAL</t>
  </si>
  <si>
    <t>0061i00000MC3i6AAD</t>
  </si>
  <si>
    <t>0061i00000NJXv0AAH</t>
  </si>
  <si>
    <t>0061i00000MSQ4OAAX</t>
  </si>
  <si>
    <t>0061i00000Ky7VDAAZ</t>
  </si>
  <si>
    <t>0061i00000MBjuPAAT</t>
  </si>
  <si>
    <t>0061i00000NIYYFAA5</t>
  </si>
  <si>
    <t>0061i00000NcApZAAV</t>
  </si>
  <si>
    <t>0061i00000MEUvXAAX</t>
  </si>
  <si>
    <t>0061i00000KA46TAAT</t>
  </si>
  <si>
    <t>0061i00000MVZ47AAH</t>
  </si>
  <si>
    <t>0061i00000MTo9yAAD</t>
  </si>
  <si>
    <t>0061i00000HlsJBAAZ</t>
  </si>
  <si>
    <t>0061i00000GO5QcAAL</t>
  </si>
  <si>
    <t>0061i00000IruDSAAZ</t>
  </si>
  <si>
    <t>0061i00000GOrgYAAT</t>
  </si>
  <si>
    <t>0061i00000MBqZUAA1</t>
  </si>
  <si>
    <t>0061i00000KzqsrAAB</t>
  </si>
  <si>
    <t>0061i00000MTLVgAAP</t>
  </si>
  <si>
    <t>0061i00000JhRVyAAN</t>
  </si>
  <si>
    <t>0061i00000NGNqeAAH</t>
  </si>
  <si>
    <t>0061i00000NGXOMAA5</t>
  </si>
  <si>
    <t>0061i00000NIY1KAAX</t>
  </si>
  <si>
    <t>0061i00000MyRpMAAV</t>
  </si>
  <si>
    <t>0061i00000JbUE2AAN</t>
  </si>
  <si>
    <t>0061i00000KyshRAAR</t>
  </si>
  <si>
    <t>0061i00000N29IpAAJ</t>
  </si>
  <si>
    <t>0061i00000MSC4PAAX</t>
  </si>
  <si>
    <t>0061i00000FaHCDAA3</t>
  </si>
  <si>
    <t>0061i00000KbhGzAAJ</t>
  </si>
  <si>
    <t>0061i00000N19naAAB</t>
  </si>
  <si>
    <t>0061i00000LRBSeAAP</t>
  </si>
  <si>
    <t>0061i00000EXLtBAAX</t>
  </si>
  <si>
    <t>0061i00000LTkqnAAD</t>
  </si>
  <si>
    <t>0061i00000Mvj5CAAR</t>
  </si>
  <si>
    <t>0061i00000NGQIVAA5</t>
  </si>
  <si>
    <t>0061i00000KnI0DAAV</t>
  </si>
  <si>
    <t>0061i00000LIAVCAA5</t>
  </si>
  <si>
    <t>0061i00000LtZjxAAF</t>
  </si>
  <si>
    <t>0061i00000JAKEFAA5</t>
  </si>
  <si>
    <t>0061i00000IvbqNAAR</t>
  </si>
  <si>
    <t>0061i00000KnPMlAAN</t>
  </si>
  <si>
    <t>0061i00000MwC21AAF</t>
  </si>
  <si>
    <t>0061i00000NI9OZAA1</t>
  </si>
  <si>
    <t>0061i00000FXps9AAD</t>
  </si>
  <si>
    <t>0061i00000JiSSXAA3</t>
  </si>
  <si>
    <t>0061i00000IYRP3AAP</t>
  </si>
  <si>
    <t>0061i00000K9K7KAAV</t>
  </si>
  <si>
    <t>0061i00000Lqc8KAAR</t>
  </si>
  <si>
    <t>0061i00000MV3EvAAL</t>
  </si>
  <si>
    <t>0061i00000LSqepAAD</t>
  </si>
  <si>
    <t>0061i00000IXP54AAH</t>
  </si>
  <si>
    <t>0061i00000MCqv6AAD</t>
  </si>
  <si>
    <t>0061i00000KRBamAAH</t>
  </si>
  <si>
    <t>0061i00000L1f6qAAB</t>
  </si>
  <si>
    <t>0061i00000N3ZNNAA3</t>
  </si>
  <si>
    <t>0061i00000MEAa3AAH</t>
  </si>
  <si>
    <t>0061i00000NGRhZAAX</t>
  </si>
  <si>
    <t>0061i00000NI7CYAA1</t>
  </si>
  <si>
    <t>0061i00000MBT0LAAX</t>
  </si>
  <si>
    <t>0061i00000MvUy0AAF</t>
  </si>
  <si>
    <t>0061i00000NGBI4AAP</t>
  </si>
  <si>
    <t>0061i00000LtD4VAAV</t>
  </si>
  <si>
    <t>0061i00000KQyowAAD</t>
  </si>
  <si>
    <t>0061i00000NGaviAAD</t>
  </si>
  <si>
    <t>0061i00000IXOk1AAH</t>
  </si>
  <si>
    <t>0061i00000LHHYhAAP</t>
  </si>
  <si>
    <t>0061i00000IXg8rAAD</t>
  </si>
  <si>
    <t>0061i00000NI1xOAAT</t>
  </si>
  <si>
    <t>0061i00000N3SKHAA3</t>
  </si>
  <si>
    <t>0061i00000JhWtdAAF</t>
  </si>
  <si>
    <t>0061i00000JiyQbAAJ</t>
  </si>
  <si>
    <t>0061i00000Jb9MZAAZ</t>
  </si>
  <si>
    <t>0061i00000EX1l4AAD</t>
  </si>
  <si>
    <t>0061i00000MDW8eAAH</t>
  </si>
  <si>
    <t>0061i00000NJcjGAAT</t>
  </si>
  <si>
    <t>0061i00000JBmKPAA1</t>
  </si>
  <si>
    <t>0061i00000LtEaEAAV</t>
  </si>
  <si>
    <t>0061i00000NJ3tHAAT</t>
  </si>
  <si>
    <t>0061i00000LU1ByAAL</t>
  </si>
  <si>
    <t>0061i00000K9WB1AAN</t>
  </si>
  <si>
    <t>0061i00000MTkEMAA1</t>
  </si>
  <si>
    <t>0061i00000JAR2JAAX</t>
  </si>
  <si>
    <t>0061i00000EIJI4AAP</t>
  </si>
  <si>
    <t>0061i00000LQu9OAAT</t>
  </si>
  <si>
    <t>0061i00000N2RwoAAF</t>
  </si>
  <si>
    <t>0061i00000KyscMAAR</t>
  </si>
  <si>
    <t>0061i00000Mr7IbAAJ</t>
  </si>
  <si>
    <t>0061i00000MvW3GAAV</t>
  </si>
  <si>
    <t>0061i00000NGGuZAAX</t>
  </si>
  <si>
    <t>0061i00000Kl18DAAR</t>
  </si>
  <si>
    <t>0061i00000HjGHTAA3</t>
  </si>
  <si>
    <t>0061i00000JjeIEAAZ</t>
  </si>
  <si>
    <t>0061i00000LtwcNAAR</t>
  </si>
  <si>
    <t>0061i00000LH3YuAAL</t>
  </si>
  <si>
    <t>0061i00000MEnTAAA1</t>
  </si>
  <si>
    <t>0061i00000KxtHXAAZ</t>
  </si>
  <si>
    <t>0061i00000JicbHAAR</t>
  </si>
  <si>
    <t>0061i00000MRqHTAA1</t>
  </si>
  <si>
    <t>0061i00000NGOHkAAP</t>
  </si>
  <si>
    <t>0061i00000J9xTpAAJ</t>
  </si>
  <si>
    <t>0061i00000N3XYoAAN</t>
  </si>
  <si>
    <t>0061i00000NGC48AAH</t>
  </si>
  <si>
    <t>0061i00000JixtnAAB</t>
  </si>
  <si>
    <t>0061i00000N1BWgAAN</t>
  </si>
  <si>
    <t>0061i00000MEFdqAAH</t>
  </si>
  <si>
    <t>0061i00000MDBabAAH</t>
  </si>
  <si>
    <t>0061i00000KRBZeAAP</t>
  </si>
  <si>
    <t>0061i00000ID9kXAAT</t>
  </si>
  <si>
    <t>0061i00000LV1rDAAT</t>
  </si>
  <si>
    <t>0061i00000JBMEZAA5</t>
  </si>
  <si>
    <t>0061i00000JbUumAAF</t>
  </si>
  <si>
    <t>0061i00000JjRozAAF</t>
  </si>
  <si>
    <t>0061i00000MU1eNAAT</t>
  </si>
  <si>
    <t>0061i00000MBtPDAA1</t>
  </si>
  <si>
    <t>0061i00000KmfXFAAZ</t>
  </si>
  <si>
    <t>0061i00000MDBNmAAP</t>
  </si>
  <si>
    <t>0061i00000N0hGWAAZ</t>
  </si>
  <si>
    <t>0061i00000J9iruAAB</t>
  </si>
  <si>
    <t>0061i00000N1eaFAAR</t>
  </si>
  <si>
    <t>0061i00000Mvma1AAB</t>
  </si>
  <si>
    <t>0061i00000J9oNHAAZ</t>
  </si>
  <si>
    <t>0061i00000Kxi3YAAR</t>
  </si>
  <si>
    <t>0061i00000MTjLYAA1</t>
  </si>
  <si>
    <t>0061i00000K9xlfAAB</t>
  </si>
  <si>
    <t>0061i00000EYXh6AAH</t>
  </si>
  <si>
    <t>0061i00000KzoSvAAJ</t>
  </si>
  <si>
    <t>0061i00000MTfZ2AAL</t>
  </si>
  <si>
    <t>0061i00000LrnTcAAJ</t>
  </si>
  <si>
    <t>0061i00000GOrnVAAT</t>
  </si>
  <si>
    <t>0061i00000MC3p2AAD</t>
  </si>
  <si>
    <t>0061i00000NGSJ5AAP</t>
  </si>
  <si>
    <t>0061i00000NJInfAAH</t>
  </si>
  <si>
    <t>0061i00000NGHsjAAH</t>
  </si>
  <si>
    <t>0061i00000KyUCeAAN</t>
  </si>
  <si>
    <t>0061i00000MSd1wAAD</t>
  </si>
  <si>
    <t>0061i00000KmgPOAAZ</t>
  </si>
  <si>
    <t>0061i00000LGqILAA1</t>
  </si>
  <si>
    <t>0061i00000JhY1YAAV</t>
  </si>
  <si>
    <t>0061i00000MUykNAAT</t>
  </si>
  <si>
    <t>0061i00000N2JNsAAN</t>
  </si>
  <si>
    <t>0061i00000NGhpcAAD</t>
  </si>
  <si>
    <t>0061i00000JiSzgAAF</t>
  </si>
  <si>
    <t>0061i00000Ji4o2AAB</t>
  </si>
  <si>
    <t>0061i00000JBR2nAAH</t>
  </si>
  <si>
    <t>0061i00000NJCSDAA5</t>
  </si>
  <si>
    <t>0061i00000N2QZdAAN</t>
  </si>
  <si>
    <t>0061i00000LrrdMAAR</t>
  </si>
  <si>
    <t>0061i00000ItXZCAA3</t>
  </si>
  <si>
    <t>0061i00000Ky1PKAAZ</t>
  </si>
  <si>
    <t>0061i00000MTjE7AAL</t>
  </si>
  <si>
    <t>0061i00000EXJsFAAX</t>
  </si>
  <si>
    <t>0061i00000JhKvTAAV</t>
  </si>
  <si>
    <t>0061i00000MU6eHAAT</t>
  </si>
  <si>
    <t>0061i00000KlispAAB</t>
  </si>
  <si>
    <t>0061i00000LQyIoAAL</t>
  </si>
  <si>
    <t>0061i00000MSZyVAAX</t>
  </si>
  <si>
    <t>0061i00000NcYNAAA3</t>
  </si>
  <si>
    <t>0061i00000FY0tnAAD</t>
  </si>
  <si>
    <t>0061i00000J9LxJAAV</t>
  </si>
  <si>
    <t>0061i00000N1IXiAAN</t>
  </si>
  <si>
    <t>0061i00000KzxXnAAJ</t>
  </si>
  <si>
    <t>0061i00000NGaCiAAL</t>
  </si>
  <si>
    <t>0061i00000NIWQtAAP</t>
  </si>
  <si>
    <t>0061i00000NGNUOAA5</t>
  </si>
  <si>
    <t>0061i00000MrJj3AAF</t>
  </si>
  <si>
    <t>0061i00000IFWgDAAX</t>
  </si>
  <si>
    <t>0061i00000LrusZAAR</t>
  </si>
  <si>
    <t>0061i00000JAx6hAAD</t>
  </si>
  <si>
    <t>0061i00000MrEE4AAN</t>
  </si>
  <si>
    <t>0061i00000KABW4AAP</t>
  </si>
  <si>
    <t>0061i00000MEuS0AAL</t>
  </si>
  <si>
    <t>0061i00000NINoAAAX</t>
  </si>
  <si>
    <t>0061i00000KyQRpAAN</t>
  </si>
  <si>
    <t>0061i00000N27WfAAJ</t>
  </si>
  <si>
    <t>0061i00000MSjoAAAT</t>
  </si>
  <si>
    <t>0061i00000HiW0OAAV</t>
  </si>
  <si>
    <t>0061i00000MS886AAD</t>
  </si>
  <si>
    <t>0061i00000MVmZTAA1</t>
  </si>
  <si>
    <t>0061i00000N3XEyAAN</t>
  </si>
  <si>
    <t>0061i00000K9hZKAAZ</t>
  </si>
  <si>
    <t>0061i00000KCaihAAD</t>
  </si>
  <si>
    <t>0061i00000MrK7ZAAV</t>
  </si>
  <si>
    <t>0061i00000N2527AAB</t>
  </si>
  <si>
    <t>0061i00000LtWXfAAN</t>
  </si>
  <si>
    <t>0061i00000LToCrAAL</t>
  </si>
  <si>
    <t>0061i00000JbOixAAF</t>
  </si>
  <si>
    <t>0061i00000K9ObnAAF</t>
  </si>
  <si>
    <t>0061i00000NbNvyAAF</t>
  </si>
  <si>
    <t>0061i00000KCBUHAA5</t>
  </si>
  <si>
    <t>0061i00000KR0GEAA1</t>
  </si>
  <si>
    <t>0061i00000N1xAaAAJ</t>
  </si>
  <si>
    <t>0061i00000KmGfBAAV</t>
  </si>
  <si>
    <t>0061i00000IXayvAAD</t>
  </si>
  <si>
    <t>0061i00000N3RrZAAV</t>
  </si>
  <si>
    <t>0061i00000LtcH3AAJ</t>
  </si>
  <si>
    <t>0061i00000JBUFFAA5</t>
  </si>
  <si>
    <t>0061i00000NItkoAAD</t>
  </si>
  <si>
    <t>0061i00000NcXDKAA3</t>
  </si>
  <si>
    <t>0061i00000LFfLfAAL</t>
  </si>
  <si>
    <t>0061i00000EIseHAAT</t>
  </si>
  <si>
    <t>0061i00000N1nZ6AAJ</t>
  </si>
  <si>
    <t>0061i00000MDYX2AAP</t>
  </si>
  <si>
    <t>0061i00000NcDi1AAF</t>
  </si>
  <si>
    <t>0061i00000MvR24AAF</t>
  </si>
  <si>
    <t>0061i00000GNO0BAAX</t>
  </si>
  <si>
    <t>0061i00000Mr8H0AAJ</t>
  </si>
  <si>
    <t>0061i00000N1EYkAAN</t>
  </si>
  <si>
    <t>0061i00000K9focAAB</t>
  </si>
  <si>
    <t>0061i00000MVjggAAD</t>
  </si>
  <si>
    <t>0061i00000KlxjXAAR</t>
  </si>
  <si>
    <t>0061i00000KxlNXAAZ</t>
  </si>
  <si>
    <t>0061i00000N3WHNAA3</t>
  </si>
  <si>
    <t>0061i00000GQA2rAAH</t>
  </si>
  <si>
    <t>0061i00000MF7hmAAD</t>
  </si>
  <si>
    <t>0061i00000JjZfgAAF</t>
  </si>
  <si>
    <t>0061i00000NGlKuAAL</t>
  </si>
  <si>
    <t>0061i00000KnTIlAAN</t>
  </si>
  <si>
    <t>0061i00000MrBUYAA3</t>
  </si>
  <si>
    <t>0061i00000NIG2jAAH</t>
  </si>
  <si>
    <t>0061i00000MU47CAAT</t>
  </si>
  <si>
    <t>0061i00000MvWmpAAF</t>
  </si>
  <si>
    <t>0061i00000NJmooAAD</t>
  </si>
  <si>
    <t>0061i00000JhkQvAAJ</t>
  </si>
  <si>
    <t>0061i00000FbM53AAF</t>
  </si>
  <si>
    <t>0061i00000KyqeZAAR</t>
  </si>
  <si>
    <t>0061i00000NbmoVAAR</t>
  </si>
  <si>
    <t>0061i00000K9KosAAF</t>
  </si>
  <si>
    <t>0061i00000MERvbAAH</t>
  </si>
  <si>
    <t>0061i00000HkbibAAB</t>
  </si>
  <si>
    <t>0061i00000IWWn0AAH</t>
  </si>
  <si>
    <t>0061i00000Kn032AAB</t>
  </si>
  <si>
    <t>0061i00000IEpnyAAD</t>
  </si>
  <si>
    <t>0061i00000MSZxOAAX</t>
  </si>
  <si>
    <t>0061i00000JiaH5AAJ</t>
  </si>
  <si>
    <t>0061i00000EIbtHAAT</t>
  </si>
  <si>
    <t>0061i00000LtWmHAAV</t>
  </si>
  <si>
    <t>0061i00000MBX2LAAX</t>
  </si>
  <si>
    <t>0061i00000MCanOAAT</t>
  </si>
  <si>
    <t>0061i00000EX1t3AAD</t>
  </si>
  <si>
    <t>0061i00000MDnVSAA1</t>
  </si>
  <si>
    <t>0061i00000MVowRAAT</t>
  </si>
  <si>
    <t>0061i00000MRqeMAAT</t>
  </si>
  <si>
    <t>0061i00000NGMkfAAH</t>
  </si>
  <si>
    <t>0061i00000N1JAeAAN</t>
  </si>
  <si>
    <t>0061i00000JC1gJAAT</t>
  </si>
  <si>
    <t>0061i00000KCtT3AAL</t>
  </si>
  <si>
    <t>0061i00000MS6IJAA1</t>
  </si>
  <si>
    <t>0061i00000N3WbvAAF</t>
  </si>
  <si>
    <t>0061i00000LqBQyAAN</t>
  </si>
  <si>
    <t>0061i00000IXdR6AAL</t>
  </si>
  <si>
    <t>0061i00000MvdZPAAZ</t>
  </si>
  <si>
    <t>0061i00000Mve4bAAB</t>
  </si>
  <si>
    <t>0061i00000KlEbEAAV</t>
  </si>
  <si>
    <t>0061i00000GNL53AAH</t>
  </si>
  <si>
    <t>0061i00000MyPgSAAV</t>
  </si>
  <si>
    <t>0061i00000EJ2ZCAA1</t>
  </si>
  <si>
    <t>0061i00000MVXTAAA5</t>
  </si>
  <si>
    <t>0061i00000KlpdgAAB</t>
  </si>
  <si>
    <t>0061i00000MEGWCAA5</t>
  </si>
  <si>
    <t>0061i00000NJtR6AAL</t>
  </si>
  <si>
    <t>0061i00000MFAzGAAX</t>
  </si>
  <si>
    <t>0061i00000MDW2hAAH</t>
  </si>
  <si>
    <t>0061i00000KxyyGAAR</t>
  </si>
  <si>
    <t>0061i00000NbmVNAAZ</t>
  </si>
  <si>
    <t>0061i00000GNgIfAAL</t>
  </si>
  <si>
    <t>0061i00000JjfpTAAR</t>
  </si>
  <si>
    <t>0061i00000HkvncAAB</t>
  </si>
  <si>
    <t>0061i00000MvXOoAAN</t>
  </si>
  <si>
    <t>0061i00000NIxltAAD</t>
  </si>
  <si>
    <t>0061i00000Hje4pAAB</t>
  </si>
  <si>
    <t>0061i00000NGLtbAAH</t>
  </si>
  <si>
    <t>0061i00000MSmehAAD</t>
  </si>
  <si>
    <t>0061i00000MSZ2vAAH</t>
  </si>
  <si>
    <t>0061i00000IZv3XAAT</t>
  </si>
  <si>
    <t>0061i00000NGPZ1AAP</t>
  </si>
  <si>
    <t>0061i00000Jhuw1AAB</t>
  </si>
  <si>
    <t>0061i00000MrQ1FAAV</t>
  </si>
  <si>
    <t>0061i00000IDal1AAD</t>
  </si>
  <si>
    <t>0061i00000Hl8FDAAZ</t>
  </si>
  <si>
    <t>0061i00000LToatAAD</t>
  </si>
  <si>
    <t>0061i00000MBIO1AAP</t>
  </si>
  <si>
    <t>0061i00000MvnsqAAB</t>
  </si>
  <si>
    <t>0061i00000MDUfIAAX</t>
  </si>
  <si>
    <t>0061i00000JiRkLAAV</t>
  </si>
  <si>
    <t>0061i00000NbC3AAAV</t>
  </si>
  <si>
    <t>0061i00000MT6hHAAT</t>
  </si>
  <si>
    <t>0061i00000IEURmAAP</t>
  </si>
  <si>
    <t>0061i00000ItspcAAB</t>
  </si>
  <si>
    <t>0061i00000Fa2YSAAZ</t>
  </si>
  <si>
    <t>0061i00000MD9EyAAL</t>
  </si>
  <si>
    <t>0061i00000N3G8rAAF</t>
  </si>
  <si>
    <t>0061i00000MC8xmAAD</t>
  </si>
  <si>
    <t>0061i00000Kzw8hAAB</t>
  </si>
  <si>
    <t>0061i00000N3SWPAA3</t>
  </si>
  <si>
    <t>0061i00000KnJwUAAV</t>
  </si>
  <si>
    <t>0061i00000JiRfkAAF</t>
  </si>
  <si>
    <t>0061i00000NGV50AAH</t>
  </si>
  <si>
    <t>0061i00000KxsAuAAJ</t>
  </si>
  <si>
    <t>0061i00000IDw4rAAD</t>
  </si>
  <si>
    <t>0061i00000MBTQiAAP</t>
  </si>
  <si>
    <t>0061i00000JhX2RAAV</t>
  </si>
  <si>
    <t>0061i00000IWdhYAAT</t>
  </si>
  <si>
    <t>0061i00000MvRIlAAN</t>
  </si>
  <si>
    <t>0061i00000NGhFKAA1</t>
  </si>
  <si>
    <t>0061i00000Mr5dwAAB</t>
  </si>
  <si>
    <t>0061i00000N0wDfAAJ</t>
  </si>
  <si>
    <t>0061i00000Fag7UAAR</t>
  </si>
  <si>
    <t>0061i00000Ltan2AAB</t>
  </si>
  <si>
    <t>0061i00000N3Ri3AAF</t>
  </si>
  <si>
    <t>0061i00000NcPMqAAN</t>
  </si>
  <si>
    <t>0061i00000Kkx21AAB</t>
  </si>
  <si>
    <t>0061i00000Mr95YAAR</t>
  </si>
  <si>
    <t>0061i00000N0hn6AAB</t>
  </si>
  <si>
    <t>0061i00000MDUReAAP</t>
  </si>
  <si>
    <t>0061i00000LUMNwAAP</t>
  </si>
  <si>
    <t>0061i00000K9qXlAAJ</t>
  </si>
  <si>
    <t>0061i00000IraX1AAJ</t>
  </si>
  <si>
    <t>0061i00000Jfwg7AAB</t>
  </si>
  <si>
    <t>0061i00000JAUTWAA5</t>
  </si>
  <si>
    <t>0061i00000HivnBAAR</t>
  </si>
  <si>
    <t>0061i00000MRreYAAT</t>
  </si>
  <si>
    <t>0061i00000Jb7BGAAZ</t>
  </si>
  <si>
    <t>0061i00000Jjv25AAB</t>
  </si>
  <si>
    <t>0061i00000ICuldAAD</t>
  </si>
  <si>
    <t>0061i00000NGI9VAAX</t>
  </si>
  <si>
    <t>0061i00000EZ8WFAA1</t>
  </si>
  <si>
    <t>0061i00000LU4E2AAL</t>
  </si>
  <si>
    <t>0061i00000Kl1qZAAR</t>
  </si>
  <si>
    <t>0061i00000MvZSoAAN</t>
  </si>
  <si>
    <t>0061i00000MDZZUAA5</t>
  </si>
  <si>
    <t>0061i00000KaWO6AAN</t>
  </si>
  <si>
    <t>0061i00000MrHJdAAN</t>
  </si>
  <si>
    <t>0061i00000EYmLsAAL</t>
  </si>
  <si>
    <t>0061i00000N0sqlAAB</t>
  </si>
  <si>
    <t>0061i00000MCrhKAAT</t>
  </si>
  <si>
    <t>0061i00000KQhUcAAL</t>
  </si>
  <si>
    <t>0061i00000EXuPlAAL</t>
  </si>
  <si>
    <t>0061i00000IDP72AAH</t>
  </si>
  <si>
    <t>0061i00000HiDBeAAN</t>
  </si>
  <si>
    <t>0061i00000IFQ1OAAX</t>
  </si>
  <si>
    <t>0061i00000MEuLSAA1</t>
  </si>
  <si>
    <t>0061i00000HkHY3AAN</t>
  </si>
  <si>
    <t>0061i00000Nc5DpAAJ</t>
  </si>
  <si>
    <t>0061i00000NGp7AAAT</t>
  </si>
  <si>
    <t>0061i00000J8nRiAAJ</t>
  </si>
  <si>
    <t>0061i00000ICUHkAAP</t>
  </si>
  <si>
    <t>0061i00000MUmuDAAT</t>
  </si>
  <si>
    <t>0061i00000MDr9LAAT</t>
  </si>
  <si>
    <t>0061i00000MBjKIAA1</t>
  </si>
  <si>
    <t>0061i00000N3TUNAA3</t>
  </si>
  <si>
    <t>0061i00000DvVJ3AAN</t>
  </si>
  <si>
    <t>0061i00000KnPdcAAF</t>
  </si>
  <si>
    <t>0061i00000EXQ7MAAX</t>
  </si>
  <si>
    <t>0061i00000MvkuvAAB</t>
  </si>
  <si>
    <t>0061i00000JhECIAA3</t>
  </si>
  <si>
    <t>0061i00000N1CLZAA3</t>
  </si>
  <si>
    <t>0061i00000KmyoQAAR</t>
  </si>
  <si>
    <t>0061i00000EadWRAAZ</t>
  </si>
  <si>
    <t>0061i00000LrKacAAF</t>
  </si>
  <si>
    <t>0061i00000NJdecAAD</t>
  </si>
  <si>
    <t>0061i00000MCs3QAAT</t>
  </si>
  <si>
    <t>0061i00000JbV5uAAF</t>
  </si>
  <si>
    <t>0061i00000K9Vo5AAF</t>
  </si>
  <si>
    <t>0061i00000NJUbEAAX</t>
  </si>
  <si>
    <t>0061i00000HipeJAAR</t>
  </si>
  <si>
    <t>0061i00000IuUmBAAV</t>
  </si>
  <si>
    <t>0061i00000N0qD4AAJ</t>
  </si>
  <si>
    <t>0061i00000JhTFdAAN</t>
  </si>
  <si>
    <t>0061i00000FYViCAAX</t>
  </si>
  <si>
    <t>0061i00000NGPtGAAX</t>
  </si>
  <si>
    <t>0061i00000EX9AIAA1</t>
  </si>
  <si>
    <t>0061i00000MrHYPAA3</t>
  </si>
  <si>
    <t>0061i00000NcTI4AAN</t>
  </si>
  <si>
    <t>0061i00000Mvk2AAAR</t>
  </si>
  <si>
    <t>0061i00000IrvawAAB</t>
  </si>
  <si>
    <t>0061i00000JhXp3AAF</t>
  </si>
  <si>
    <t>0061i00000MDVFyAAP</t>
  </si>
  <si>
    <t>0061i00000LHG4DAAX</t>
  </si>
  <si>
    <t>0061i00000IZTrwAAH</t>
  </si>
  <si>
    <t>0061i00000IZryKAAT</t>
  </si>
  <si>
    <t>0061i00000MEnmHAAT</t>
  </si>
  <si>
    <t>0061i00000MBRHPAA5</t>
  </si>
  <si>
    <t>0061i00000HiEpcAAF</t>
  </si>
  <si>
    <t>0061i00000HkuA9AAJ</t>
  </si>
  <si>
    <t>0061i00000IBo50AAD</t>
  </si>
  <si>
    <t>0061i00000NGsD4AAL</t>
  </si>
  <si>
    <t>0061i00000Kc3xiAAB</t>
  </si>
  <si>
    <t>0061i00000MVS11AAH</t>
  </si>
  <si>
    <t>0061i00000NKC5KAAX</t>
  </si>
  <si>
    <t>0061i00000MEV86AAH</t>
  </si>
  <si>
    <t>0061i00000KllG8AAJ</t>
  </si>
  <si>
    <t>0061i00000Ls6HlAAJ</t>
  </si>
  <si>
    <t>0061i00000MBwAfAAL</t>
  </si>
  <si>
    <t>0061i00000NKKCjAAP</t>
  </si>
  <si>
    <t>0061i00000LUKvXAAX</t>
  </si>
  <si>
    <t>0061i00000NGP6OAAX</t>
  </si>
  <si>
    <t>0061i00000K9ZcVAAV</t>
  </si>
  <si>
    <t>0061i00000N1qyuAAB</t>
  </si>
  <si>
    <t>0061i00000Jh4aLAAR</t>
  </si>
  <si>
    <t>0061i00000IFUWHAA5</t>
  </si>
  <si>
    <t>0061i00000Kzu2GAAR</t>
  </si>
  <si>
    <t>0061i00000Kkyf9AAB</t>
  </si>
  <si>
    <t>0061i00000Jb1OAAAZ</t>
  </si>
  <si>
    <t>0061i00000KlUdmAAF</t>
  </si>
  <si>
    <t>0061i00000MF8MvAAL</t>
  </si>
  <si>
    <t>0061i00000Jh6GIAAZ</t>
  </si>
  <si>
    <t>0061i00000MrNU6AAN</t>
  </si>
  <si>
    <t>0061i00000MDoGjAAL</t>
  </si>
  <si>
    <t>0061i00000MRoq8AAD</t>
  </si>
  <si>
    <t>0061i00000MVtM8AAL</t>
  </si>
  <si>
    <t>0061i00000JagKZAAZ</t>
  </si>
  <si>
    <t>0061i00000KCxvLAAT</t>
  </si>
  <si>
    <t>0061i00000GOAa4AAH</t>
  </si>
  <si>
    <t>0061i00000MrCl1AAF</t>
  </si>
  <si>
    <t>0061i00000MvdvtAAB</t>
  </si>
  <si>
    <t>0061i00000GNpbaAAD</t>
  </si>
  <si>
    <t>0061i00000JikOhAAJ</t>
  </si>
  <si>
    <t>0061i00000MEBCgAAP</t>
  </si>
  <si>
    <t>0061i00000K9RTrAAN</t>
  </si>
  <si>
    <t>0061i00000MvUHVAA3</t>
  </si>
  <si>
    <t>0061i00000N2A5IAAV</t>
  </si>
  <si>
    <t>0061i00000N1rfsAAB</t>
  </si>
  <si>
    <t>0061i00000J9X5FAAV</t>
  </si>
  <si>
    <t>0061i00000MCd3NAAT</t>
  </si>
  <si>
    <t>0061i00000JisPmAAJ</t>
  </si>
  <si>
    <t>0061i00000N3Kc2AAF</t>
  </si>
  <si>
    <t>0061i00000EXSsoAAH</t>
  </si>
  <si>
    <t>0061i00000NcEYbAAN</t>
  </si>
  <si>
    <t>0061i00000KyonjAAB</t>
  </si>
  <si>
    <t>0061i00000KCA4VAAX</t>
  </si>
  <si>
    <t>0061i00000MEmHwAAL</t>
  </si>
  <si>
    <t>0061i00000LtUIIAA3</t>
  </si>
  <si>
    <t>0061i00000NGGoWAAX</t>
  </si>
  <si>
    <t>0061i00000LHmGbAAL</t>
  </si>
  <si>
    <t>0061i00000MVMJjAAP</t>
  </si>
  <si>
    <t>0061i00000Kc9kwAAB</t>
  </si>
  <si>
    <t>0061i00000MySQmAAN</t>
  </si>
  <si>
    <t>0061i00000EIrhOAAT</t>
  </si>
  <si>
    <t>0061i00000N0ovSAAR</t>
  </si>
  <si>
    <t>0061i00000MEodCAAT</t>
  </si>
  <si>
    <t>0061i00000NJJI1AAP</t>
  </si>
  <si>
    <t>0061i00000KyXu0AAF</t>
  </si>
  <si>
    <t>0061i00000Mvk9uAAB</t>
  </si>
  <si>
    <t>0061i00000KlsQ0AAJ</t>
  </si>
  <si>
    <t>0061i00000IZpjNAAT</t>
  </si>
  <si>
    <t>0061i00000MTUSjAAP</t>
  </si>
  <si>
    <t>0061i00000HkZBNAA3</t>
  </si>
  <si>
    <t>0061i00000MVSdPAAX</t>
  </si>
  <si>
    <t>0061i00000KAGpHAAX</t>
  </si>
  <si>
    <t>0061i00000MvcvYAAR</t>
  </si>
  <si>
    <t>0061i00000GMaxLAAT</t>
  </si>
  <si>
    <t>0061i00000KnHGtAAN</t>
  </si>
  <si>
    <t>0061i00000MTnWwAAL</t>
  </si>
  <si>
    <t>0061i00000IZuwvAAD</t>
  </si>
  <si>
    <t>0061i00000EIns0AAD</t>
  </si>
  <si>
    <t>0061i00000K9UWKAA3</t>
  </si>
  <si>
    <t>0061i00000KbHDRAA3</t>
  </si>
  <si>
    <t>0061i00000Kxq3UAAR</t>
  </si>
  <si>
    <t>0061i00000LGkwlAAD</t>
  </si>
  <si>
    <t>0061i00000N2GV3AAN</t>
  </si>
  <si>
    <t>0061i00000JhvKhAAJ</t>
  </si>
  <si>
    <t>0061i00000MvWkjAAF</t>
  </si>
  <si>
    <t>0061i00000NI7IWAA1</t>
  </si>
  <si>
    <t>0061i00000N3WztAAF</t>
  </si>
  <si>
    <t>0061i00000NGAMoAAP</t>
  </si>
  <si>
    <t>0061i00000MEyCeAAL</t>
  </si>
  <si>
    <t>0061i00000Irx4ZAAR</t>
  </si>
  <si>
    <t>0061i00000MvuwtAAB</t>
  </si>
  <si>
    <t>0061i00000IZ5VwAAL</t>
  </si>
  <si>
    <t>0061i00000NI2NpAAL</t>
  </si>
  <si>
    <t>0061i00000LU7RiAAL</t>
  </si>
  <si>
    <t>0061i00000KyoHtAAJ</t>
  </si>
  <si>
    <t>0061i00000Mr4HgAAJ</t>
  </si>
  <si>
    <t>0061i00000IrzKyAAJ</t>
  </si>
  <si>
    <t>0061i00000NJbJYAA1</t>
  </si>
  <si>
    <t>0061i00000JBJMzAAP</t>
  </si>
  <si>
    <t>0061i00000NGAmmAAH</t>
  </si>
  <si>
    <t>0061i00000NGBPaAAP</t>
  </si>
  <si>
    <t>0061i00000LSsDRAA1</t>
  </si>
  <si>
    <t>0061i00000NGR2dAAH</t>
  </si>
  <si>
    <t>0061i00000MD8lEAAT</t>
  </si>
  <si>
    <t>0061i00000Jaaw0AAB</t>
  </si>
  <si>
    <t>0061i00000MTmvqAAD</t>
  </si>
  <si>
    <t>0061i00000N3ZNrAAN</t>
  </si>
  <si>
    <t>0061i00000KbOIJAA3</t>
  </si>
  <si>
    <t>0061i00000EWzDkAAL</t>
  </si>
  <si>
    <t>0061i00000MVYamAAH</t>
  </si>
  <si>
    <t>0061i00000LtIcgAAF</t>
  </si>
  <si>
    <t>0061i00000MvQuZAAV</t>
  </si>
  <si>
    <t>0061i00000NJogvAAD</t>
  </si>
  <si>
    <t>0061i00000NJHbCAAX</t>
  </si>
  <si>
    <t>0061i00000JbTTkAAN</t>
  </si>
  <si>
    <t>0061i00000MBxjbAAD</t>
  </si>
  <si>
    <t>0061i00000IWioVAAT</t>
  </si>
  <si>
    <t>0061i00000Jium4AAB</t>
  </si>
  <si>
    <t>0061i00000KmwniAAB</t>
  </si>
  <si>
    <t>0061i00000NKATcAAP</t>
  </si>
  <si>
    <t>0061i00000L1dcYAAR</t>
  </si>
  <si>
    <t>0061i00000EJwUpAAL</t>
  </si>
  <si>
    <t>0061i00000KmuubAAB</t>
  </si>
  <si>
    <t>0061i00000GPVeBAAX</t>
  </si>
  <si>
    <t>0061i00000JiLXVAA3</t>
  </si>
  <si>
    <t>0061i00000KCTXTAA5</t>
  </si>
  <si>
    <t>0061i00000FaKRGAA3</t>
  </si>
  <si>
    <t>0061i00000MDZ9QAAX</t>
  </si>
  <si>
    <t>0061i00000NGdtLAAT</t>
  </si>
  <si>
    <t>0061i00000MEsHnAAL</t>
  </si>
  <si>
    <t>0061i00000LQyIUAA1</t>
  </si>
  <si>
    <t>0061i00000N1HjXAAV</t>
  </si>
  <si>
    <t>0061i00000MrMUZAA3</t>
  </si>
  <si>
    <t>0061i00000LTjbwAAD</t>
  </si>
  <si>
    <t>0061i00000KlIJKAA3</t>
  </si>
  <si>
    <t>0061i00000Irl6pAAB</t>
  </si>
  <si>
    <t>0061i00000MvR1zAAF</t>
  </si>
  <si>
    <t>0061i00000MSfbOAAT</t>
  </si>
  <si>
    <t>0061i00000MBwsmAAD</t>
  </si>
  <si>
    <t>0061i00000MBI3mAAH</t>
  </si>
  <si>
    <t>0061i00000LGMhwAAH</t>
  </si>
  <si>
    <t>0061i00000JAt1SAAT</t>
  </si>
  <si>
    <t>0061i00000MSzEeAAL</t>
  </si>
  <si>
    <t>0061i00000EYl8JAAT</t>
  </si>
  <si>
    <t>0061i00000Kn18rAAB</t>
  </si>
  <si>
    <t>0061i00000IEaQ7AAL</t>
  </si>
  <si>
    <t>0061i00000MDlNkAAL</t>
  </si>
  <si>
    <t>0061i00000KmZZ8AAN</t>
  </si>
  <si>
    <t>0061i00000NcF5FAAV</t>
  </si>
  <si>
    <t>0061i00000NIj2qAAD</t>
  </si>
  <si>
    <t>0061i00000GOs4RAAT</t>
  </si>
  <si>
    <t>0061i00000LUQ4yAAH</t>
  </si>
  <si>
    <t>0061i00000MSHFxAAP</t>
  </si>
  <si>
    <t>0061i00000MvQvXAAV</t>
  </si>
  <si>
    <t>0061i00000JAxLDAA1</t>
  </si>
  <si>
    <t>0061i00000MF7VqAAL</t>
  </si>
  <si>
    <t>0061i00000NJMdPAAX</t>
  </si>
  <si>
    <t>0061i00000KCdHjAAL</t>
  </si>
  <si>
    <t>0061i00000Nc25dAAB</t>
  </si>
  <si>
    <t>0061i00000JiAnpAAF</t>
  </si>
  <si>
    <t>0061i00000Jh6H6AAJ</t>
  </si>
  <si>
    <t>0061i00000MCvSPAA1</t>
  </si>
  <si>
    <t>0061i00000JiQi9AAF</t>
  </si>
  <si>
    <t>0061i00000MECrLAAX</t>
  </si>
  <si>
    <t>0061i00000MV1W4AAL</t>
  </si>
  <si>
    <t>0061i00000MTO2jAAH</t>
  </si>
  <si>
    <t>0061i00000NGBUGAA5</t>
  </si>
  <si>
    <t>0061i00000JikjBAAR</t>
  </si>
  <si>
    <t>0061i00000KyOpHAAV</t>
  </si>
  <si>
    <t>0061i00000MwFAMAA3</t>
  </si>
  <si>
    <t>0061i00000NcUrCAAV</t>
  </si>
  <si>
    <t>0061i00000Lu8M6AAJ</t>
  </si>
  <si>
    <t>0061i00000KlFTQAA3</t>
  </si>
  <si>
    <t>0061i00000IXiVwAAL</t>
  </si>
  <si>
    <t>0061i00000KxskTAAR</t>
  </si>
  <si>
    <t>0061i00000IZcuaAAD</t>
  </si>
  <si>
    <t>0061i00000NGrfgAAD</t>
  </si>
  <si>
    <t>0061i00000MwGnHAAV</t>
  </si>
  <si>
    <t>0061i00000IFW7rAAH</t>
  </si>
  <si>
    <t>0061i00000N0y2AAAR</t>
  </si>
  <si>
    <t>0061i00000MrKMAAA3</t>
  </si>
  <si>
    <t>0061i00000LS6aaAAD</t>
  </si>
  <si>
    <t>0061i00000MV3qpAAD</t>
  </si>
  <si>
    <t>0061i00000HiWcSAAV</t>
  </si>
  <si>
    <t>0061i00000JhzM9AAJ</t>
  </si>
  <si>
    <t>0061i00000LRHVlAAP</t>
  </si>
  <si>
    <t>0061i00000FYd3yAAD</t>
  </si>
  <si>
    <t>0061i00000N3RGOAA3</t>
  </si>
  <si>
    <t>0061i00000MVlCnAAL</t>
  </si>
  <si>
    <t>0061i00000LGmQNAA1</t>
  </si>
  <si>
    <t>0061i00000MTADlAAP</t>
  </si>
  <si>
    <t>0061i00000DYWLJAA5</t>
  </si>
  <si>
    <t>0061i00000Jid73AAB</t>
  </si>
  <si>
    <t>0061i00000MF75wAAD</t>
  </si>
  <si>
    <t>0061i00000KxjcZAAR</t>
  </si>
  <si>
    <t>0061i00000LHJS4AAP</t>
  </si>
  <si>
    <t>0061i00000JBfHJAA1</t>
  </si>
  <si>
    <t>0061i00000JjU5iAAF</t>
  </si>
  <si>
    <t>0061i00000MEtR5AAL</t>
  </si>
  <si>
    <t>0061i00000L1YOzAAN</t>
  </si>
  <si>
    <t>0061i00000MU3SnAAL</t>
  </si>
  <si>
    <t>0061i00000MBYWaAAP</t>
  </si>
  <si>
    <t>0061i00000MDXuyAAH</t>
  </si>
  <si>
    <t>0061i00000KnIieAAF</t>
  </si>
  <si>
    <t>0061i00000NGf6BAAT</t>
  </si>
  <si>
    <t>0061i00000JBVrFAAX</t>
  </si>
  <si>
    <t>0061i00000IvCSyAAN</t>
  </si>
  <si>
    <t>0061i00000JbOS1AAN</t>
  </si>
  <si>
    <t>0061i00000MSjfIAAT</t>
  </si>
  <si>
    <t>0061i00000MEPEaAAP</t>
  </si>
  <si>
    <t>0061i00000NKEYEAA5</t>
  </si>
  <si>
    <t>0061i00000FYz7aAAD</t>
  </si>
  <si>
    <t>0061i00000KCINDAA5</t>
  </si>
  <si>
    <t>0061i00000KxoP9AAJ</t>
  </si>
  <si>
    <t>0061i00000MVhxqAAD</t>
  </si>
  <si>
    <t>0061i00000NGpYJAA1</t>
  </si>
  <si>
    <t>0061i00000MCdnRAAT</t>
  </si>
  <si>
    <t>0061i00000MwHkJAAV</t>
  </si>
  <si>
    <t>0061i00000Mr8EkAAJ</t>
  </si>
  <si>
    <t>0061i00000NGuWxAAL</t>
  </si>
  <si>
    <t>0061i00000KbIqPAAV</t>
  </si>
  <si>
    <t>0061i00000KaIEOAA3</t>
  </si>
  <si>
    <t>0061i00000IC4N5AAL</t>
  </si>
  <si>
    <t>0061i00000IXgNHAA1</t>
  </si>
  <si>
    <t>0061i00000FYcqLAAT</t>
  </si>
  <si>
    <t>0061i00000N2E9JAAV</t>
  </si>
  <si>
    <t>0061i00000MEHSfAAP</t>
  </si>
  <si>
    <t>0061i00000NGZC3AAP</t>
  </si>
  <si>
    <t>0061i00000N3R3KAAV</t>
  </si>
  <si>
    <t>0061i00000NJDK2AAP</t>
  </si>
  <si>
    <t>0061i00000KR7xQAAT</t>
  </si>
  <si>
    <t>0061i00000JjfxhAAB</t>
  </si>
  <si>
    <t>0061i00000JapsYAAR</t>
  </si>
  <si>
    <t>0061i00000MDd87AAD</t>
  </si>
  <si>
    <t>0061i00000J9Cv3AAF</t>
  </si>
  <si>
    <t>0061i00000MDG8wAAH</t>
  </si>
  <si>
    <t>0061i00000Jhv87AAB</t>
  </si>
  <si>
    <t>0061i00000JjQtPAAV</t>
  </si>
  <si>
    <t>0061i00000NKF4HAAX</t>
  </si>
  <si>
    <t>0061i00000N3Yi0AAF</t>
  </si>
  <si>
    <t>0061i00000NGi7RAAT</t>
  </si>
  <si>
    <t>0061i00000NGgKYAA1</t>
  </si>
  <si>
    <t>0061i00000MrJywAAF</t>
  </si>
  <si>
    <t>0061i00000Mr7Y5AAJ</t>
  </si>
  <si>
    <t>0061i00000MCb5HAAT</t>
  </si>
  <si>
    <t>0061i00000Mr5BJAAZ</t>
  </si>
  <si>
    <t>0061i00000N3XtHAAV</t>
  </si>
  <si>
    <t>0061i00000NIHS9AAP</t>
  </si>
  <si>
    <t>0061i00000KyTq9AAF</t>
  </si>
  <si>
    <t>0061i00000MrK1XAAV</t>
  </si>
  <si>
    <t>0061i00000IF9SKAA1</t>
  </si>
  <si>
    <t>0061i00000LuB11AAF</t>
  </si>
  <si>
    <t>0061i00000Nc5dbAAB</t>
  </si>
  <si>
    <t>0061i00000MTPojAAH</t>
  </si>
  <si>
    <t>0061i00000MBD9fAAH</t>
  </si>
  <si>
    <t>0061i00000KyrYZAAZ</t>
  </si>
  <si>
    <t>0061i00000MV1vOAAT</t>
  </si>
  <si>
    <t>0061i00000MyP9TAAV</t>
  </si>
  <si>
    <t>0061i00000LFdMHAA1</t>
  </si>
  <si>
    <t>0061i00000LtnsPAAR</t>
  </si>
  <si>
    <t>0061i00000NGYFGAA5</t>
  </si>
  <si>
    <t>0061i00000KyqkSAAR</t>
  </si>
  <si>
    <t>0061i00000KxjwtAAB</t>
  </si>
  <si>
    <t>0061i00000JhU49AAF</t>
  </si>
  <si>
    <t>0061i00000KnKvrAAF</t>
  </si>
  <si>
    <t>0061i00000MrHDbAAN</t>
  </si>
  <si>
    <t>0061i00000MUy3iAAD</t>
  </si>
  <si>
    <t>0061i00000JhGsQAAV</t>
  </si>
  <si>
    <t>0061i00000KyPDIAA3</t>
  </si>
  <si>
    <t>0061i00000NJcSnAAL</t>
  </si>
  <si>
    <t>0061i00000EJLK8AAP</t>
  </si>
  <si>
    <t>0061i00000LH5yBAAT</t>
  </si>
  <si>
    <t>0061i00000N1txxAAB</t>
  </si>
  <si>
    <t>0061i00000MSnLsAAL</t>
  </si>
  <si>
    <t>0061i00000MD1hrAAD</t>
  </si>
  <si>
    <t>0061i00000MTgnUAAT</t>
  </si>
  <si>
    <t>0061i00000N1sNaAAJ</t>
  </si>
  <si>
    <t>0061i00000IEzHcAAL</t>
  </si>
  <si>
    <t>0061i00000IEeK3AAL</t>
  </si>
  <si>
    <t>0061i00000N0hoiAAB</t>
  </si>
  <si>
    <t>0061i00000JiIcsAAF</t>
  </si>
  <si>
    <t>0061i00000NGvzBAAT</t>
  </si>
  <si>
    <t>0061i00000MC3PYAA1</t>
  </si>
  <si>
    <t>0061i00000MCYUuAAP</t>
  </si>
  <si>
    <t>0061i00000NJ3DDAA1</t>
  </si>
  <si>
    <t>0061i00000Kmf85AAB</t>
  </si>
  <si>
    <t>0061i00000N15q1AAB</t>
  </si>
  <si>
    <t>0061i00000NGPjVAAX</t>
  </si>
  <si>
    <t>0061i00000KkvLVAAZ</t>
  </si>
  <si>
    <t>0061i00000NJB5zAAH</t>
  </si>
  <si>
    <t>0061i00000N0bWjAAJ</t>
  </si>
  <si>
    <t>0061i00000Kn7WPAAZ</t>
  </si>
  <si>
    <t>0061i00000N2JRfAAN</t>
  </si>
  <si>
    <t>0061i00000KZFBFAA5</t>
  </si>
  <si>
    <t>0061i00000Mr3b6AAB</t>
  </si>
  <si>
    <t>0061i00000Iv5K3AAJ</t>
  </si>
  <si>
    <t>0061i00000Mr96rAAB</t>
  </si>
  <si>
    <t>0061i00000Mr4guAAB</t>
  </si>
  <si>
    <t>0061i00000Lu7hNAAR</t>
  </si>
  <si>
    <t>0061i00000MDCzcAAH</t>
  </si>
  <si>
    <t>0061i00000K9GotAAF</t>
  </si>
  <si>
    <t>0061i00000N2JCVAA3</t>
  </si>
  <si>
    <t>0061i00000LV1lUAAT</t>
  </si>
  <si>
    <t>0061i00000KyXnOAAV</t>
  </si>
  <si>
    <t>0061i00000NKJOaAAP</t>
  </si>
  <si>
    <t>0061i00000K9ItWAAV</t>
  </si>
  <si>
    <t>0061i00000GOZSoAAP</t>
  </si>
  <si>
    <t>0061i00000LFjQKAA1</t>
  </si>
  <si>
    <t>0061i00000MvWAqAAN</t>
  </si>
  <si>
    <t>0061i00000EIDZiAAP</t>
  </si>
  <si>
    <t>0061i00000NGZYTAA5</t>
  </si>
  <si>
    <t>0061i00000K9bB2AAJ</t>
  </si>
  <si>
    <t>0061i00000MBx3fAAD</t>
  </si>
  <si>
    <t>0061i00000JhKWnAAN</t>
  </si>
  <si>
    <t>0061i00000EJSegAAH</t>
  </si>
  <si>
    <t>0061i00000LFiXFAA1</t>
  </si>
  <si>
    <t>0061i00000IFCEBAA5</t>
  </si>
  <si>
    <t>0061i00000NGllqAAD</t>
  </si>
  <si>
    <t>0061i00000J9aGPAAZ</t>
  </si>
  <si>
    <t>0061i00000NGlZkAAL</t>
  </si>
  <si>
    <t>0061i00000IEpIRAA1</t>
  </si>
  <si>
    <t>0061i00000EZpVFAA1</t>
  </si>
  <si>
    <t>0061i00000EXkwyAAD</t>
  </si>
  <si>
    <t>0061i00000MwBgKAAV</t>
  </si>
  <si>
    <t>0061i00000JiqzsAAB</t>
  </si>
  <si>
    <t>0061i00000LQu5RAAT</t>
  </si>
  <si>
    <t>0061i00000LUpEgAAL</t>
  </si>
  <si>
    <t>0061i00000EZAeKAAX</t>
  </si>
  <si>
    <t>0061i00000JhS2dAAF</t>
  </si>
  <si>
    <t>0061i00000NcExzAAF</t>
  </si>
  <si>
    <t>0061i00000KCBOTAA5</t>
  </si>
  <si>
    <t>0061i00000JhVRiAAN</t>
  </si>
  <si>
    <t>0061i00000MEsBGAA1</t>
  </si>
  <si>
    <t>0061i00000NdNyxAAF</t>
  </si>
  <si>
    <t>0061i00000Mvl7LAAR</t>
  </si>
  <si>
    <t>0061i00000N1MkPAAV</t>
  </si>
  <si>
    <t>0061i00000EInkpAAD</t>
  </si>
  <si>
    <t>0061i00000ItrlPAAR</t>
  </si>
  <si>
    <t>0061i00000LQvcHAAT</t>
  </si>
  <si>
    <t>0061i00000NGsI9AAL</t>
  </si>
  <si>
    <t>0061i00000JiXSIAA3</t>
  </si>
  <si>
    <t>0061i00000MT9YhAAL</t>
  </si>
  <si>
    <t>0061i00000KmN8uAAF</t>
  </si>
  <si>
    <t>0061i00000JA70wAAD</t>
  </si>
  <si>
    <t>0061i00000JhGdQAAV</t>
  </si>
  <si>
    <t>0061i00000LtXiEAAV</t>
  </si>
  <si>
    <t>0061i00000IEoMwAAL</t>
  </si>
  <si>
    <t>0061i00000NGedJAAT</t>
  </si>
  <si>
    <t>0061i00000JiyKoAAJ</t>
  </si>
  <si>
    <t>0061i00000K9x1mAAB</t>
  </si>
  <si>
    <t>0061i00000Jamo5AAB</t>
  </si>
  <si>
    <t>0061i00000It7n0AAB</t>
  </si>
  <si>
    <t>0061i00000IXfyMAAT</t>
  </si>
  <si>
    <t>0061i00000ME2DCAA1</t>
  </si>
  <si>
    <t>0061i00000KyVBNAA3</t>
  </si>
  <si>
    <t>0061i00000LSsaQAAT</t>
  </si>
  <si>
    <t>0061i00000NJHgXAAX</t>
  </si>
  <si>
    <t>0061i00000MCZb6AAH</t>
  </si>
  <si>
    <t>0061i00000N3X2DAAV</t>
  </si>
  <si>
    <t>0061i00000LqJxPAAV</t>
  </si>
  <si>
    <t>0061i00000KxtqoAAB</t>
  </si>
  <si>
    <t>0061i00000NGGuPAAX</t>
  </si>
  <si>
    <t>0061i00000N0sGMAAZ</t>
  </si>
  <si>
    <t>0061i00000NJpHpAAL</t>
  </si>
  <si>
    <t>0061i00000LHo4IAAT</t>
  </si>
  <si>
    <t>0061i00000MShXNAA1</t>
  </si>
  <si>
    <t>0061i00000K9zRJAAZ</t>
  </si>
  <si>
    <t>0061i00000JhI4cAAF</t>
  </si>
  <si>
    <t>0061i00000K9zaKAAR</t>
  </si>
  <si>
    <t>0061i00000JaqBgAAJ</t>
  </si>
  <si>
    <t>0061i00000Jb75gAAB</t>
  </si>
  <si>
    <t>0061i00000MCUt9AAH</t>
  </si>
  <si>
    <t>0061i00000IDrEdAAL</t>
  </si>
  <si>
    <t>0061i00000LTrRvAAL</t>
  </si>
  <si>
    <t>0061i00000N0slWAAR</t>
  </si>
  <si>
    <t>0061i00000MVuMhAAL</t>
  </si>
  <si>
    <t>0061i00000NJDmuAAH</t>
  </si>
  <si>
    <t>0061i00000ItEMnAAN</t>
  </si>
  <si>
    <t>0061i00000KmwgHAAR</t>
  </si>
  <si>
    <t>0061i00000Hm4iiAAB</t>
  </si>
  <si>
    <t>0061i00000METaqAAH</t>
  </si>
  <si>
    <t>0061i00000N2AnZAAV</t>
  </si>
  <si>
    <t>0061i00000LH38mAAD</t>
  </si>
  <si>
    <t>0061i00000MBsMcAAL</t>
  </si>
  <si>
    <t>0061i00000JiVMwAAN</t>
  </si>
  <si>
    <t>0061i00000KxzlJAAR</t>
  </si>
  <si>
    <t>0061i00000Jiur5AAB</t>
  </si>
  <si>
    <t>0061i00000EJLE0AAP</t>
  </si>
  <si>
    <t>0061i00000LGMGMAA5</t>
  </si>
  <si>
    <t>0061i00000MDF4KAAX</t>
  </si>
  <si>
    <t>0061i00000MyQI3AAN</t>
  </si>
  <si>
    <t>0061i00000JgzOzAAJ</t>
  </si>
  <si>
    <t>0061i00000Mvlb3AAB</t>
  </si>
  <si>
    <t>0061i00000LtpEMAAZ</t>
  </si>
  <si>
    <t>0061i00000NGNdzAAH</t>
  </si>
  <si>
    <t>0061i00000HiDARAA3</t>
  </si>
  <si>
    <t>0061i00000LT43MAAT</t>
  </si>
  <si>
    <t>0061i00000NGBUPAA5</t>
  </si>
  <si>
    <t>0061i00000JhtaOAAR</t>
  </si>
  <si>
    <t>0061i00000Ji9kfAAB</t>
  </si>
  <si>
    <t>0061i00000Ky0WsAAJ</t>
  </si>
  <si>
    <t>0061i00000Jii41AAB</t>
  </si>
  <si>
    <t>0061i00000KA9IoAAL</t>
  </si>
  <si>
    <t>0061i00000Iu6H6AAJ</t>
  </si>
  <si>
    <t>0061i00000IWbk6AAD</t>
  </si>
  <si>
    <t>0061i00000Nbtq4AAB</t>
  </si>
  <si>
    <t>0061i00000MrI2dAAF</t>
  </si>
  <si>
    <t>0061i00000KyZmSAAV</t>
  </si>
  <si>
    <t>0061i00000MSzM2AAL</t>
  </si>
  <si>
    <t>0061i00000MSvwmAAD</t>
  </si>
  <si>
    <t>0061i00000J95hnAAB</t>
  </si>
  <si>
    <t>0061i00000LsLToAAN</t>
  </si>
  <si>
    <t>0061i00000MU3IUAA1</t>
  </si>
  <si>
    <t>0061i00000MB6zeAAD</t>
  </si>
  <si>
    <t>0061i00000MDqb4AAD</t>
  </si>
  <si>
    <t>0061i00000LS80AAAT</t>
  </si>
  <si>
    <t>0061i00000HiUHNAA3</t>
  </si>
  <si>
    <t>0061i00000LsEIlAAN</t>
  </si>
  <si>
    <t>0061i00000Mr5egAAB</t>
  </si>
  <si>
    <t>0061i00000Kmx6oAAB</t>
  </si>
  <si>
    <t>0061i00000NGlreAAD</t>
  </si>
  <si>
    <t>0061i00000Hk0DvAAJ</t>
  </si>
  <si>
    <t>0061i00000MDkcTAAT</t>
  </si>
  <si>
    <t>0061i00000JiK3bAAF</t>
  </si>
  <si>
    <t>0061i00000MVs28AAD</t>
  </si>
  <si>
    <t>0061i00000JiLGtAAN</t>
  </si>
  <si>
    <t>0061i00000JhwjyAAB</t>
  </si>
  <si>
    <t>0061i00000NGYCRAA5</t>
  </si>
  <si>
    <t>0061i00000HivgFAAR</t>
  </si>
  <si>
    <t>0061i00000JA1h1AAD</t>
  </si>
  <si>
    <t>0061i00000MB8ugAAD</t>
  </si>
  <si>
    <t>0061i00000MEVaUAAX</t>
  </si>
  <si>
    <t>0061i00000Mvd2FAAR</t>
  </si>
  <si>
    <t>0061i00000EadhOAAR</t>
  </si>
  <si>
    <t>0061i00000MrBISAA3</t>
  </si>
  <si>
    <t>0061i00000K9ucGAAR</t>
  </si>
  <si>
    <t>0061i00000MBvkhAAD</t>
  </si>
  <si>
    <t>0061i00000MVnuiAAD</t>
  </si>
  <si>
    <t>0061i00000N0k9eAAB</t>
  </si>
  <si>
    <t>0061i00000NIpsJAAT</t>
  </si>
  <si>
    <t>0061i00000Mr6WwAAJ</t>
  </si>
  <si>
    <t>0061i00000IYD24AAH</t>
  </si>
  <si>
    <t>0061i00000MBWrgAAH</t>
  </si>
  <si>
    <t>0061i00000JgOZQAA3</t>
  </si>
  <si>
    <t>0061i00000Ltvv4AAB</t>
  </si>
  <si>
    <t>0061i00000HivGlAAJ</t>
  </si>
  <si>
    <t>0061i00000MTL4uAAH</t>
  </si>
  <si>
    <t>0061i00000JA6OnAAL</t>
  </si>
  <si>
    <t>0061i00000LTleiAAD</t>
  </si>
  <si>
    <t>0061i00000Jgz6QAAR</t>
  </si>
  <si>
    <t>0061i00000MBq5FAAT</t>
  </si>
  <si>
    <t>0061i00000N0WvZAAV</t>
  </si>
  <si>
    <t>0061i00000J8lAeAAJ</t>
  </si>
  <si>
    <t>0061i00000Jh3RUAAZ</t>
  </si>
  <si>
    <t>0061i00000Nc7zvAAB</t>
  </si>
  <si>
    <t>0061i00000JAKlYAAX</t>
  </si>
  <si>
    <t>0061i00000LSlhPAAT</t>
  </si>
  <si>
    <t>0061i00000N1IBIAA3</t>
  </si>
  <si>
    <t>0061i00000NGv91AAD</t>
  </si>
  <si>
    <t>0061i00000Jakc8AAB</t>
  </si>
  <si>
    <t>0061i00000MSZ8oAAH</t>
  </si>
  <si>
    <t>0061i00000KkwyxAAB</t>
  </si>
  <si>
    <t>0061i00000Irj8DAAR</t>
  </si>
  <si>
    <t>0061i00000KQDeqAAH</t>
  </si>
  <si>
    <t>0061i00000NH29MAAT</t>
  </si>
  <si>
    <t>0061i00000GQ6UmAAL</t>
  </si>
  <si>
    <t>0061i00000Iaa1CAAR</t>
  </si>
  <si>
    <t>0061i00000MEmPRAA1</t>
  </si>
  <si>
    <t>0061i00000Lu4qUAAR</t>
  </si>
  <si>
    <t>0061i00000IrbIMAAZ</t>
  </si>
  <si>
    <t>0061i00000Jb9xpAAB</t>
  </si>
  <si>
    <t>0061i00000NGBYbAAP</t>
  </si>
  <si>
    <t>0061i00000IXiIEAA1</t>
  </si>
  <si>
    <t>0061i00000N3WSAAA3</t>
  </si>
  <si>
    <t>0061i00000Jj0tfAAB</t>
  </si>
  <si>
    <t>0061i00000IaEZEAA3</t>
  </si>
  <si>
    <t>0061i00000JjvNrAAJ</t>
  </si>
  <si>
    <t>0061i00000Mr9WKAAZ</t>
  </si>
  <si>
    <t>0061i00000Jb8yDAAR</t>
  </si>
  <si>
    <t>0061i00000N2PBQAA3</t>
  </si>
  <si>
    <t>0061i00000JBwrtAAD</t>
  </si>
  <si>
    <t>0061i00000MT5vXAAT</t>
  </si>
  <si>
    <t>0061i00000JjmOFAAZ</t>
  </si>
  <si>
    <t>0061i00000KxjA1AAJ</t>
  </si>
  <si>
    <t>0061i00000Kmb8SAAR</t>
  </si>
  <si>
    <t>0061i00000Lrsp9AAB</t>
  </si>
  <si>
    <t>0061i00000MBVjmAAH</t>
  </si>
  <si>
    <t>0061i00000LqOlaAAF</t>
  </si>
  <si>
    <t>0061i00000EK9O9AAL</t>
  </si>
  <si>
    <t>0061i00000LtnQ1AAJ</t>
  </si>
  <si>
    <t>0061i00000JjvUlAAJ</t>
  </si>
  <si>
    <t>0061i00000EYsh5AAD</t>
  </si>
  <si>
    <t>0061i00000LUMNYAA5</t>
  </si>
  <si>
    <t>0061i00000MVON8AAP</t>
  </si>
  <si>
    <t>0061i00000MEmWIAA1</t>
  </si>
  <si>
    <t>0061i00000JhgtyAAB</t>
  </si>
  <si>
    <t>0061i00000N3Pu7AAF</t>
  </si>
  <si>
    <t>0061i00000NGkc3AAD</t>
  </si>
  <si>
    <t>0061i00000N1J9bAAF</t>
  </si>
  <si>
    <t>0061i00000GPNbeAAH</t>
  </si>
  <si>
    <t>0061i00000N3XJxAAN</t>
  </si>
  <si>
    <t>0061i00000Lu9roAAB</t>
  </si>
  <si>
    <t>0061i00000KADUyAAP</t>
  </si>
  <si>
    <t>0061i00000JhRWIAA3</t>
  </si>
  <si>
    <t>0061i00000MF5qRAAT</t>
  </si>
  <si>
    <t>0061i00000EIHLSAA5</t>
  </si>
  <si>
    <t>0061i00000ItLoFAAV</t>
  </si>
  <si>
    <t>0061i00000IFVDyAAP</t>
  </si>
  <si>
    <t>0061i00000MCxjMAAT</t>
  </si>
  <si>
    <t>0061i00000NGZRJAA5</t>
  </si>
  <si>
    <t>0061i00000JgiL0AAJ</t>
  </si>
  <si>
    <t>0061i00000GMH2kAAH</t>
  </si>
  <si>
    <t>0061i00000KyYxeAAF</t>
  </si>
  <si>
    <t>0061i00000MrK0OAAV</t>
  </si>
  <si>
    <t>0061i00000JAAk9AAH</t>
  </si>
  <si>
    <t>0061i00000LuByXAAV</t>
  </si>
  <si>
    <t>0061i00000LFciMAAT</t>
  </si>
  <si>
    <t>0061i00000LG3vyAAD</t>
  </si>
  <si>
    <t>0061i00000EXbU8AAL</t>
  </si>
  <si>
    <t>0061i00000EKGb1AAH</t>
  </si>
  <si>
    <t>0061i00000EId62AAD</t>
  </si>
  <si>
    <t>0061i00000EX9VUAA1</t>
  </si>
  <si>
    <t>0061i00000EIoYBAA1</t>
  </si>
  <si>
    <t>0061i00000EIrFZAA1</t>
  </si>
  <si>
    <t>0061i00000EX4w2AAD</t>
  </si>
  <si>
    <t>0061i00000EIXaOAAX</t>
  </si>
  <si>
    <t>0061i00000EXbzaAAD</t>
  </si>
  <si>
    <t>0061i00000EY7cXAAT</t>
  </si>
  <si>
    <t>0061i00000EJOJFAA5</t>
  </si>
  <si>
    <t>0061i00000EX3sbAAD</t>
  </si>
  <si>
    <t>0061i00000EX1HEAA1</t>
  </si>
  <si>
    <t>0061i00000EXtqWAAT</t>
  </si>
  <si>
    <t>0061i00000EIpoNAAT</t>
  </si>
  <si>
    <t>0061i00000EIVi1AAH</t>
  </si>
  <si>
    <t>0061i00000EJLjuAAH</t>
  </si>
  <si>
    <t>0061i00000EJu6vAAD</t>
  </si>
  <si>
    <t>0061i00000EIehTAAT</t>
  </si>
  <si>
    <t>0061i00000EIdgkAAD</t>
  </si>
  <si>
    <t>0061i00000EIIuQAAX</t>
  </si>
  <si>
    <t>0061i00000EKGe5AAH</t>
  </si>
  <si>
    <t>0061i00000EXO1WAAX</t>
  </si>
  <si>
    <t>0061i00000EJMW4AAP</t>
  </si>
  <si>
    <t>0061i00000EIqrwAAD</t>
  </si>
  <si>
    <t>0061i00000EJ7niAAD</t>
  </si>
  <si>
    <t>0061i00000EJ5kDAAT</t>
  </si>
  <si>
    <t>0061i00000EIVqPAAX</t>
  </si>
  <si>
    <t>0061i00000EJtmnAAD</t>
  </si>
  <si>
    <t>0061i00000EIqFOAA1</t>
  </si>
  <si>
    <t>0061i00000EIomSAAT</t>
  </si>
  <si>
    <t>0061i00000EXJF6AAP</t>
  </si>
  <si>
    <t>0061i00000EJ6RRAA1</t>
  </si>
  <si>
    <t>0061i00000EXhHFAA1</t>
  </si>
  <si>
    <t>0061i00000EXsOUAA1</t>
  </si>
  <si>
    <t>0061i00000EIpl7AAD</t>
  </si>
  <si>
    <t>0061i00000EXvyfAAD</t>
  </si>
  <si>
    <t>0061i00000EY03iAAD</t>
  </si>
  <si>
    <t>0061i00000EIzc0AAD</t>
  </si>
  <si>
    <t>0061i00000EXItvAAH</t>
  </si>
  <si>
    <t>0061i00000EIFEDAA5</t>
  </si>
  <si>
    <t>0061i00000EKCn0AAH</t>
  </si>
  <si>
    <t>0061i00000EXw8BAAT</t>
  </si>
  <si>
    <t>0061i00000EXNlAAAX</t>
  </si>
  <si>
    <t>0061i00000EJ31CAAT</t>
  </si>
  <si>
    <t>0061i00000EX1RnAAL</t>
  </si>
  <si>
    <t>0061i00000EJ9UxAAL</t>
  </si>
  <si>
    <t>0061i00000EJLVJAA5</t>
  </si>
  <si>
    <t>0061i00000EIaTNAA1</t>
  </si>
  <si>
    <t>0061i00000EIqKdAAL</t>
  </si>
  <si>
    <t>0061i00000EIvhgAAD</t>
  </si>
  <si>
    <t>0061i00000EGznsAAD</t>
  </si>
  <si>
    <t>0061i00000EXThhAAH</t>
  </si>
  <si>
    <t>0061i00000EXASZAA5</t>
  </si>
  <si>
    <t>0061i00000EXcR5AAL</t>
  </si>
  <si>
    <t>0061i00000EK9CTAA1</t>
  </si>
  <si>
    <t>0061i00000EXueHAAT</t>
  </si>
  <si>
    <t>0061i00000EXfF7AAL</t>
  </si>
  <si>
    <t>0061i00000EIYO4AAP</t>
  </si>
  <si>
    <t>0061i00000EHxZFAA1</t>
  </si>
  <si>
    <t>0061i00000EXbydAAD</t>
  </si>
  <si>
    <t>0061i00000EJ1Z0AAL</t>
  </si>
  <si>
    <t>0061i00000EY5K3AAL</t>
  </si>
  <si>
    <t>0061i00000EIHOIAA5</t>
  </si>
  <si>
    <t>0061i00000EIqWoAAL</t>
  </si>
  <si>
    <t>0061i00000EJk72AAD</t>
  </si>
  <si>
    <t>0061i00000EIG2bAAH</t>
  </si>
  <si>
    <t>0061i00000EIYHcAAP</t>
  </si>
  <si>
    <t>0061i00000EXtN0AAL</t>
  </si>
  <si>
    <t>0061i00000EXijjAAD</t>
  </si>
  <si>
    <t>0061i00000EJ7rLAAT</t>
  </si>
  <si>
    <t>0061i00000EHE6wAAH</t>
  </si>
  <si>
    <t>0061i00000EJJp6AAH</t>
  </si>
  <si>
    <t>0061i00000EJ2XaAAL</t>
  </si>
  <si>
    <t>0061i00000EXbEoAAL</t>
  </si>
  <si>
    <t>0061i00000EJ1zNAAT</t>
  </si>
  <si>
    <t>0061i00000Dz4VgAAJ</t>
  </si>
  <si>
    <t>0061i00000EIsIKAA1</t>
  </si>
  <si>
    <t>0061i00000EY81hAAD</t>
  </si>
  <si>
    <t>0061i00000EXI2KAAX</t>
  </si>
  <si>
    <t>0061i00000EXNQBAA5</t>
  </si>
  <si>
    <t>0061i00000EXiCaAAL</t>
  </si>
  <si>
    <t>0061i00000EIrL8AAL</t>
  </si>
  <si>
    <t>0061i00000EIc7OAAT</t>
  </si>
  <si>
    <t>0061i00000EIK9uAAH</t>
  </si>
  <si>
    <t>0061i00000EYH1iAAH</t>
  </si>
  <si>
    <t>0061i00000EJdh1AAD</t>
  </si>
  <si>
    <t>0061i00000EIc3bAAD</t>
  </si>
  <si>
    <t>0061i00000EJPgkAAH</t>
  </si>
  <si>
    <t>0061i00000EXMBfAAP</t>
  </si>
  <si>
    <t>0061i00000EIa30AAD</t>
  </si>
  <si>
    <t>0061i00000EXAOlAAP</t>
  </si>
  <si>
    <t>0061i00000EJ4KYAA1</t>
  </si>
  <si>
    <t>0061i00000EIf9cAAD</t>
  </si>
  <si>
    <t>0061i00000EWtQDAA1</t>
  </si>
  <si>
    <t>0061i00000EJqd2AAD</t>
  </si>
  <si>
    <t>0061i00000EJ0K6AAL</t>
  </si>
  <si>
    <t>0061i00000EIJ1BAAX</t>
  </si>
  <si>
    <t>0061i00000EY19XAAT</t>
  </si>
  <si>
    <t>0061i00000EYAhcAAH</t>
  </si>
  <si>
    <t>0061i00000EJO0PAAX</t>
  </si>
  <si>
    <t>0061i00000EJOYUAA5</t>
  </si>
  <si>
    <t>0061i00000EIqmIAAT</t>
  </si>
  <si>
    <t>0061i00000EXeSZAA1</t>
  </si>
  <si>
    <t>0061i00000EIsFBAA1</t>
  </si>
  <si>
    <t>0061i00000EJ3lsAAD</t>
  </si>
  <si>
    <t>0061i00000EY4RNAA1</t>
  </si>
  <si>
    <t>0061i00000EIdB2AAL</t>
  </si>
  <si>
    <t>0061i00000EIrKoAAL</t>
  </si>
  <si>
    <t>0061i00000EHYiSAAX</t>
  </si>
  <si>
    <t>0061i00000EIpdKAAT</t>
  </si>
  <si>
    <t>0061i00000EJOaGAAX</t>
  </si>
  <si>
    <t>0061i00000EJdRVAA1</t>
  </si>
  <si>
    <t>0061i00000EXecgAAD</t>
  </si>
  <si>
    <t>0061i00000EY0sMAAT</t>
  </si>
  <si>
    <t>0061i00000EXPLxAAP</t>
  </si>
  <si>
    <t>0061i00000EJrc5AAD</t>
  </si>
  <si>
    <t>0061i00000EYBRBAA5</t>
  </si>
  <si>
    <t>0061i00000NGthoAAD</t>
  </si>
  <si>
    <t>0061i00000NbLN1AAN</t>
  </si>
  <si>
    <t>0061i00000NcWbCAAV</t>
  </si>
  <si>
    <t>0061i00000NJvJoAAL</t>
  </si>
  <si>
    <t>0061i00000NJSkpAAH</t>
  </si>
  <si>
    <t>0061i00000NJH93AAH</t>
  </si>
  <si>
    <t>0061i00000NIWWcAAP</t>
  </si>
  <si>
    <t>0061i00000NblNbAAJ</t>
  </si>
  <si>
    <t>0061i00000Nblh2AAB</t>
  </si>
  <si>
    <t>0061i00000NcF5oAAF</t>
  </si>
  <si>
    <t>0061i00000Nc2vNAAR</t>
  </si>
  <si>
    <t>0061i00000NIFjIAAX</t>
  </si>
  <si>
    <t>0061i00000NI9ZrAAL</t>
  </si>
  <si>
    <t>0061i00000NJPWRAA5</t>
  </si>
  <si>
    <t>0061i00000NIGLMAA5</t>
  </si>
  <si>
    <t>0061i00000NbbpXAAR</t>
  </si>
  <si>
    <t>0061i00000NbpnxAAB</t>
  </si>
  <si>
    <t>0061i00000NHsmaAAD</t>
  </si>
  <si>
    <t>0061i00000NK042AAD</t>
  </si>
  <si>
    <t>0061i00000NJsBiAAL</t>
  </si>
  <si>
    <t>0061i00000NJt5TAAT</t>
  </si>
  <si>
    <t>0061i00000NJOJCAA5</t>
  </si>
  <si>
    <t>0061i00000NcWDjAAN</t>
  </si>
  <si>
    <t>0061i00000NIczyAAD</t>
  </si>
  <si>
    <t>0061i00000NIlvOAAT</t>
  </si>
  <si>
    <t>0061i00000NINk9AAH</t>
  </si>
  <si>
    <t>0061i00000NIrmgAAD</t>
  </si>
  <si>
    <t>0061i00000Nc21bAAB</t>
  </si>
  <si>
    <t>0061i00000NIeSvAAL</t>
  </si>
  <si>
    <t>0061i00000NJpf7AAD</t>
  </si>
  <si>
    <t>0061i00000NIYyAAAX</t>
  </si>
  <si>
    <t>0061i00000Nd3MhAAJ</t>
  </si>
  <si>
    <t>0061i00000NIjQ7AAL</t>
  </si>
  <si>
    <t>0061i00000NIx6WAAT</t>
  </si>
  <si>
    <t>0061i00000NHowTAAT</t>
  </si>
  <si>
    <t>0061i00000NJzZpAAL</t>
  </si>
  <si>
    <t>0061i00000NIpp0AAD</t>
  </si>
  <si>
    <t>0061i00000NGxJMAA1</t>
  </si>
  <si>
    <t>0061i00000NbusPAAR</t>
  </si>
  <si>
    <t>0061i00000NIe27AAD</t>
  </si>
  <si>
    <t>0061i00000NHoyEAAT</t>
  </si>
  <si>
    <t>0061i00000NcK7JAAV</t>
  </si>
  <si>
    <t>0061i00000NbplkAAB</t>
  </si>
  <si>
    <t>0061i00000NJGglAAH</t>
  </si>
  <si>
    <t>0061i00000NH1sGAAT</t>
  </si>
  <si>
    <t>0061i00000NJp7MAAT</t>
  </si>
  <si>
    <t>0061i00000NIO8VAAX</t>
  </si>
  <si>
    <t>0061i00000NIfoDAAT</t>
  </si>
  <si>
    <t>0061i00000NHeBPAA1</t>
  </si>
  <si>
    <t>0061i00000Nbk5tAAB</t>
  </si>
  <si>
    <t>0061i00000NK4FZAA1</t>
  </si>
  <si>
    <t>0061i00000Nd5soAAB</t>
  </si>
  <si>
    <t>0061i00000NInUmAAL</t>
  </si>
  <si>
    <t>0061i00000NIhVQAA1</t>
  </si>
  <si>
    <t>0061i00000NIdAhAAL</t>
  </si>
  <si>
    <t>0061i00000NIpt2AAD</t>
  </si>
  <si>
    <t>0061i00000NIjLGAA1</t>
  </si>
  <si>
    <t>0061i00000NJHWlAAP</t>
  </si>
  <si>
    <t>0061i00000NI6lrAAD</t>
  </si>
  <si>
    <t>0061i00000NJoHCAA1</t>
  </si>
  <si>
    <t>0061i00000NIyDuAAL</t>
  </si>
  <si>
    <t>0061i00000NGwQgAAL</t>
  </si>
  <si>
    <t>0061i00000NKIpfAAH</t>
  </si>
  <si>
    <t>0061i00000NH0STAA1</t>
  </si>
  <si>
    <t>0061i00000Nbm9dAAB</t>
  </si>
  <si>
    <t>0061i00000NKGJtAAP</t>
  </si>
  <si>
    <t>0061i00000NGrl0AAD</t>
  </si>
  <si>
    <t>0061i00000NbFT4AAN</t>
  </si>
  <si>
    <t>0061i00000NJ25mAAD</t>
  </si>
  <si>
    <t>0061i00000NcF50AAF</t>
  </si>
  <si>
    <t>0061i00000NIJEJAA5</t>
  </si>
  <si>
    <t>0061i00000NGsvzAAD</t>
  </si>
  <si>
    <t>0061i00000NJ9GnAAL</t>
  </si>
  <si>
    <t>0061i00000NcaRtAAJ</t>
  </si>
  <si>
    <t>0061i00000NIdVoAAL</t>
  </si>
  <si>
    <t>0061i00000NIJUmAAP</t>
  </si>
  <si>
    <t>0061i00000NclOrAAJ</t>
  </si>
  <si>
    <t>0061i00000NGsUGAA1</t>
  </si>
  <si>
    <t>0061i00000NI0syAAD</t>
  </si>
  <si>
    <t>0061i00000NKE5TAAX</t>
  </si>
  <si>
    <t>0061i00000NGsBdAAL</t>
  </si>
  <si>
    <t>0061i00000NGx21AAD</t>
  </si>
  <si>
    <t>0061i00000NIdy6AAD</t>
  </si>
  <si>
    <t>0061i00000NIXLkAAP</t>
  </si>
  <si>
    <t>0061i00000NJ0UbAAL</t>
  </si>
  <si>
    <t>0061i00000NIf7jAAD</t>
  </si>
  <si>
    <t>0061i00000NJNVLAA5</t>
  </si>
  <si>
    <t>0061i00000NJdkQAAT</t>
  </si>
  <si>
    <t>0061i00000NIkWXAA1</t>
  </si>
  <si>
    <t>0061i00000NIXxHAAX</t>
  </si>
  <si>
    <t>0061i00000NGpjxAAD</t>
  </si>
  <si>
    <t>0061i00000NJY2BAAX</t>
  </si>
  <si>
    <t>0061i00000NcDLXAA3</t>
  </si>
  <si>
    <t>0061i00000NIcAUAA1</t>
  </si>
  <si>
    <t>0061i00000NJMHZAA5</t>
  </si>
  <si>
    <t>0061i00000NI37tAAD</t>
  </si>
  <si>
    <t>0061i00000NIdn5AAD</t>
  </si>
  <si>
    <t>0061i00000NJ2O9AAL</t>
  </si>
  <si>
    <t>0061i00000NIJkQAAX</t>
  </si>
  <si>
    <t>0061i00000NJDCtAAP</t>
  </si>
  <si>
    <t>0061i00000NdITaAAN</t>
  </si>
  <si>
    <t>0061i00000NGsWLAA1</t>
  </si>
  <si>
    <t>0061i00000NItvhAAD</t>
  </si>
  <si>
    <t>0061i00000NJtjqAAD</t>
  </si>
  <si>
    <t>0061i00000NIuUyAAL</t>
  </si>
  <si>
    <t>0061i00000NIgAlAAL</t>
  </si>
  <si>
    <t>0061i00000NH1DSAA1</t>
  </si>
  <si>
    <t>0061i00000NK30qAAD</t>
  </si>
  <si>
    <t>0061i00000Nbg8JAAR</t>
  </si>
  <si>
    <t>0061i00000NGpeqAAD</t>
  </si>
  <si>
    <t>0061i00000NIspjAAD</t>
  </si>
  <si>
    <t>0061i00000NIei2AAD</t>
  </si>
  <si>
    <t>0061i00000NcFk4AAF</t>
  </si>
  <si>
    <t>0061i00000NI2xAAAT</t>
  </si>
  <si>
    <t>0061i00000NGyDKAA1</t>
  </si>
  <si>
    <t>0061i00000NI35EAAT</t>
  </si>
  <si>
    <t>0061i00000NJN6SAAX</t>
  </si>
  <si>
    <t>0061i00000NbLzOAAV</t>
  </si>
  <si>
    <t>0061i00000NcFHbAAN</t>
  </si>
  <si>
    <t>0061i00000NGuGKAA1</t>
  </si>
  <si>
    <t>0061i00000NGxjPAAT</t>
  </si>
  <si>
    <t>0061i00000NJH8AAAX</t>
  </si>
  <si>
    <t>0061i00000NIy6XAAT</t>
  </si>
  <si>
    <t>0061i00000NIdVvAAL</t>
  </si>
  <si>
    <t>0061i00000Nd5BTAAZ</t>
  </si>
  <si>
    <t>0061i00000Nd2mvAAB</t>
  </si>
  <si>
    <t>0061i00000NITBfAAP</t>
  </si>
  <si>
    <t>0061i00000NJCgWAAX</t>
  </si>
  <si>
    <t>0061i00000NIWhyAAH</t>
  </si>
  <si>
    <t>0061i00000NIUZJAA5</t>
  </si>
  <si>
    <t>0061i00000NGx6nAAD</t>
  </si>
  <si>
    <t>0061i00000NcAkfAAF</t>
  </si>
  <si>
    <t>0061i00000NIvQcAAL</t>
  </si>
  <si>
    <t>0061i00000Nbkm3AAB</t>
  </si>
  <si>
    <t>0061i00000NInYeAAL</t>
  </si>
  <si>
    <t>0061i00000NIWO2AAP</t>
  </si>
  <si>
    <t>0061i00000NJ5lmAAD</t>
  </si>
  <si>
    <t>0061i00000NH1YGAA1</t>
  </si>
  <si>
    <t>0061i00000NcTXCAA3</t>
  </si>
  <si>
    <t>0061i00000NIAw4AAH</t>
  </si>
  <si>
    <t>0061i00000NJO5RAAX</t>
  </si>
  <si>
    <t>0061i00000NJJmjAAH</t>
  </si>
  <si>
    <t>0061i00000NbszyAAB</t>
  </si>
  <si>
    <t>0061i00000NH06fAAD</t>
  </si>
  <si>
    <t>0061i00000NJCmAAAX</t>
  </si>
  <si>
    <t>0061i00000NIxEaAAL</t>
  </si>
  <si>
    <t>0061i00000NH2sRAAT</t>
  </si>
  <si>
    <t>0061i00000NbE4TAAV</t>
  </si>
  <si>
    <t>0061i00000NJLLwAAP</t>
  </si>
  <si>
    <t>0061i00000NGvenAAD</t>
  </si>
  <si>
    <t>0061i00000NbdyTAAR</t>
  </si>
  <si>
    <t>0061i00000NGuQGAA1</t>
  </si>
  <si>
    <t>0061i00000NIODgAAP</t>
  </si>
  <si>
    <t>0061i00000NIkisAAD</t>
  </si>
  <si>
    <t>0061i00000NcZqkAAF</t>
  </si>
  <si>
    <t>0061i00000NID3hAAH</t>
  </si>
  <si>
    <t>0061i00000NJz6AAAT</t>
  </si>
  <si>
    <t>0061i00000NGpcGAAT</t>
  </si>
  <si>
    <t>0061i00000Nd0msAAB</t>
  </si>
  <si>
    <t>0061i00000NJbQuAAL</t>
  </si>
  <si>
    <t>0061i00000NJNBMAA5</t>
  </si>
  <si>
    <t>0061i00000NI3b3AAD</t>
  </si>
  <si>
    <t>0061i00000NIXAAAA5</t>
  </si>
  <si>
    <t>0061i00000NIImiAAH</t>
  </si>
  <si>
    <t>0061i00000NJ4RbAAL</t>
  </si>
  <si>
    <t>0061i00000NGvEuAAL</t>
  </si>
  <si>
    <t>0061i00000NHp47AAD</t>
  </si>
  <si>
    <t>0061i00000NIW04AAH</t>
  </si>
  <si>
    <t>0061i00000NHoxpAAD</t>
  </si>
  <si>
    <t>0061i00000NIvcmAAD</t>
  </si>
  <si>
    <t>0061i00000NIWSWAA5</t>
  </si>
  <si>
    <t>0061i00000NIys8AAD</t>
  </si>
  <si>
    <t>0061i00000NIHeZAAX</t>
  </si>
  <si>
    <t>0061i00000NJ0mqAAD</t>
  </si>
  <si>
    <t>0061i00000NHslEAAT</t>
  </si>
  <si>
    <t>0061i00000NGwhrAAD</t>
  </si>
  <si>
    <t>0061i00000NGrFJAA1</t>
  </si>
  <si>
    <t>0061i00000NJdi0AAD</t>
  </si>
  <si>
    <t>0061i00000NI5KpAAL</t>
  </si>
  <si>
    <t>0061i00000NJbLPAA1</t>
  </si>
  <si>
    <t>0061i00000NJM1yAAH</t>
  </si>
  <si>
    <t>0061i00000NH1k2AAD</t>
  </si>
  <si>
    <t>0061i00000NJzjaAAD</t>
  </si>
  <si>
    <t>0061i00000NGyi3AAD</t>
  </si>
  <si>
    <t>0061i00000NJIiQAAX</t>
  </si>
  <si>
    <t>0061i00000NIhxkAAD</t>
  </si>
  <si>
    <t>0061i00000NI29sAAD</t>
  </si>
  <si>
    <t>0061i00000NH1zvAAD</t>
  </si>
  <si>
    <t>0061i00000NIvoSAAT</t>
  </si>
  <si>
    <t>0061i00000NbgkYAAR</t>
  </si>
  <si>
    <t>0061i00000NIrgzAAD</t>
  </si>
  <si>
    <t>0061i00000NH2JKAA1</t>
  </si>
  <si>
    <t>0061i00000NIxoXAAT</t>
  </si>
  <si>
    <t>0061i00000NcqJbAAJ</t>
  </si>
  <si>
    <t>0061i00000NI3rIAAT</t>
  </si>
  <si>
    <t>0061i00000NIg99AAD</t>
  </si>
  <si>
    <t>0061i00000NcxdXAAR</t>
  </si>
  <si>
    <t>0061i00000NcL8IAAV</t>
  </si>
  <si>
    <t>0061i00000NIH1sAAH</t>
  </si>
  <si>
    <t>0061i00000NJnRdAAL</t>
  </si>
  <si>
    <t>0061i00000NI6UNAA1</t>
  </si>
  <si>
    <t>0061i00000NdHsyAAF</t>
  </si>
  <si>
    <t>0061i00000NKIfFAAX</t>
  </si>
  <si>
    <t>0061i00000NcXApAAN</t>
  </si>
  <si>
    <t>0061i00000NIGBbAAP</t>
  </si>
  <si>
    <t>0061i00000NH3rSAAT</t>
  </si>
  <si>
    <t>0061i00000NcUr2AAF</t>
  </si>
  <si>
    <t>0061i00000NcNi3AAF</t>
  </si>
  <si>
    <t>0061i00000NbnsQAAR</t>
  </si>
  <si>
    <t>0061i00000NIvdkAAD</t>
  </si>
  <si>
    <t>0061i00000NGxSdAAL</t>
  </si>
  <si>
    <t>0061i00000NJG9UAAX</t>
  </si>
  <si>
    <t>0061i00000NJqZ2AAL</t>
  </si>
  <si>
    <t>0061i00000NInrcAAD</t>
  </si>
  <si>
    <t>0061i00000NcOmoAAF</t>
  </si>
  <si>
    <t>0061i00000NJJwjAAH</t>
  </si>
  <si>
    <t>0061i00000NIHCkAAP</t>
  </si>
  <si>
    <t>0061i00000NI3mmAAD</t>
  </si>
  <si>
    <t>0061i00000NbEOtAAN</t>
  </si>
  <si>
    <t>0061i00000NI2P2AAL</t>
  </si>
  <si>
    <t>0061i00000NI2vtAAD</t>
  </si>
  <si>
    <t>0061i00000NIfAOAA1</t>
  </si>
  <si>
    <t>0061i00000NJzrKAAT</t>
  </si>
  <si>
    <t>0061i00000NIcTDAA1</t>
  </si>
  <si>
    <t>0061i00000NI6olAAD</t>
  </si>
  <si>
    <t>0061i00000NK2yzAAD</t>
  </si>
  <si>
    <t>0061i00000NJCeVAAX</t>
  </si>
  <si>
    <t>0061i00000Ncgd2AAB</t>
  </si>
  <si>
    <t>0061i00000NI9itAAD</t>
  </si>
  <si>
    <t>0061i00000NJ1lpAAD</t>
  </si>
  <si>
    <t>0061i00000NGpVKAA1</t>
  </si>
  <si>
    <t>0061i00000NdCchAAF</t>
  </si>
  <si>
    <t>0061i00000NH2ZgAAL</t>
  </si>
  <si>
    <t>0061i00000NIXZSAA5</t>
  </si>
  <si>
    <t>0061i00000NI9XCAA1</t>
  </si>
  <si>
    <t>0061i00000NIdyaAAD</t>
  </si>
  <si>
    <t>0061i00000NHp2zAAD</t>
  </si>
  <si>
    <t>0061i00000NIZVgAAP</t>
  </si>
  <si>
    <t>0061i00000NItzfAAD</t>
  </si>
  <si>
    <t>0061i00000NcNj0AAF</t>
  </si>
  <si>
    <t>0061i00000Ncye8AAB</t>
  </si>
  <si>
    <t>0061i00000NI2NGAA1</t>
  </si>
  <si>
    <t>0061i00000NcE1PAAV</t>
  </si>
  <si>
    <t>0061i00000Nbg9qAAB</t>
  </si>
  <si>
    <t>0061i00000NJIZiAAP</t>
  </si>
  <si>
    <t>0061i00000NIv1uAAD</t>
  </si>
  <si>
    <t>0061i00000NIHiHAAX</t>
  </si>
  <si>
    <t>0061i00000NI8WOAA1</t>
  </si>
  <si>
    <t>0061i00000NJLm9AAH</t>
  </si>
  <si>
    <t>0061i00000NIrFaAAL</t>
  </si>
  <si>
    <t>0061i00000NIqiSAAT</t>
  </si>
  <si>
    <t>0061i00000NJt5EAAT</t>
  </si>
  <si>
    <t>0061i00000NJAy0AAH</t>
  </si>
  <si>
    <t>0061i00000NI8lNAAT</t>
  </si>
  <si>
    <t>0061i00000NbPUlAAN</t>
  </si>
  <si>
    <t>0061i00000NIhROAA1</t>
  </si>
  <si>
    <t>0061i00000NJnrVAAT</t>
  </si>
  <si>
    <t>0061i00000NcAtFAAV</t>
  </si>
  <si>
    <t>0061i00000NKLgiAAH</t>
  </si>
  <si>
    <t>0061i00000NK80XAAT</t>
  </si>
  <si>
    <t>0061i00000NJG8vAAH</t>
  </si>
  <si>
    <t>0061i00000NJTK9AAP</t>
  </si>
  <si>
    <t>0061i00000NI7GVAA1</t>
  </si>
  <si>
    <t>0061i00000Nc8ZNAAZ</t>
  </si>
  <si>
    <t>0061i00000NIec2AAD</t>
  </si>
  <si>
    <t>0061i00000NK7R7AAL</t>
  </si>
  <si>
    <t>0061i00000NcawuAAB</t>
  </si>
  <si>
    <t>0061i00000Nc4tZAAR</t>
  </si>
  <si>
    <t>0061i00000NdIhCAAV</t>
  </si>
  <si>
    <t>0061i00000NbOC1AAN</t>
  </si>
  <si>
    <t>0061i00000NH1flAAD</t>
  </si>
  <si>
    <t>0061i00000NbTg6AAF</t>
  </si>
  <si>
    <t>0061i00000NcNnvAAF</t>
  </si>
  <si>
    <t>0061i00000NJY7PAAX</t>
  </si>
  <si>
    <t>0061i00000NIredAAD</t>
  </si>
  <si>
    <t>0061i00000NH0NqAAL</t>
  </si>
  <si>
    <t>0061i00000NGqEPAA1</t>
  </si>
  <si>
    <t>0061i00000NJ0XkAAL</t>
  </si>
  <si>
    <t>0061i00000NJ0qPAAT</t>
  </si>
  <si>
    <t>0061i00000NI6GAAA1</t>
  </si>
  <si>
    <t>0061i00000NGujcAAD</t>
  </si>
  <si>
    <t>0061i00000NchaxAAB</t>
  </si>
  <si>
    <t>0061i00000Nbi7AAAR</t>
  </si>
  <si>
    <t>0061i00000NJKXpAAP</t>
  </si>
  <si>
    <t>0061i00000NIHQNAA5</t>
  </si>
  <si>
    <t>0061i00000NIHPyAAP</t>
  </si>
  <si>
    <t>0061i00000NJSsKAAX</t>
  </si>
  <si>
    <t>0061i00000NJM0XAAX</t>
  </si>
  <si>
    <t>0061i00000NJd52AAD</t>
  </si>
  <si>
    <t>0061i00000NIqfxAAD</t>
  </si>
  <si>
    <t>0061i00000NGxAPAA1</t>
  </si>
  <si>
    <t>0061i00000NKGFSAA5</t>
  </si>
  <si>
    <t>0061i00000NIr3kAAD</t>
  </si>
  <si>
    <t>0061i00000NJjepAAD</t>
  </si>
  <si>
    <t>0061i00000Nc4pkAAB</t>
  </si>
  <si>
    <t>0061i00000NJJb3AAH</t>
  </si>
  <si>
    <t>0061i00000NI4OqAAL</t>
  </si>
  <si>
    <t>0061i00000NJZ7xAAH</t>
  </si>
  <si>
    <t>0061i00000Nc8ZVAAZ</t>
  </si>
  <si>
    <t>0061i00000NK8dtAAD</t>
  </si>
  <si>
    <t>0061i00000NcFfxAAF</t>
  </si>
  <si>
    <t>0061i00000NInGaAAL</t>
  </si>
  <si>
    <t>0061i00000NJPGsAAP</t>
  </si>
  <si>
    <t>0061i00000NJnz6AAD</t>
  </si>
  <si>
    <t>0061i00000NJztVAAT</t>
  </si>
  <si>
    <t>0061i00000NbV6VAAV</t>
  </si>
  <si>
    <t>0061i00000NIsaeAAD</t>
  </si>
  <si>
    <t>0061i00000NbeSIAAZ</t>
  </si>
  <si>
    <t>0061i00000NJofEAAT</t>
  </si>
  <si>
    <t>0061i00000NKFtTAAX</t>
  </si>
  <si>
    <t>0061i00000Nb8kCAAR</t>
  </si>
  <si>
    <t>0061i00000NbLXRAA3</t>
  </si>
  <si>
    <t>0061i00000NK1qFAAT</t>
  </si>
  <si>
    <t>0061i00000NIO5YAAX</t>
  </si>
  <si>
    <t>0061i00000NIvYkAAL</t>
  </si>
  <si>
    <t>0061i00000NJgUCAA1</t>
  </si>
  <si>
    <t>0061i00000NbMRWAA3</t>
  </si>
  <si>
    <t>0061i00000Nc6rpAAB</t>
  </si>
  <si>
    <t>0061i00000NJ4pBAAT</t>
  </si>
  <si>
    <t>0061i00000NIhgOAAT</t>
  </si>
  <si>
    <t>0061i00000NciepAAB</t>
  </si>
  <si>
    <t>0061i00000NdHkhAAF</t>
  </si>
  <si>
    <t>0061i00000NbpWfAAJ</t>
  </si>
  <si>
    <t>0061i00000NJOorAAH</t>
  </si>
  <si>
    <t>0061i00000NGurHAAT</t>
  </si>
  <si>
    <t>0061i00000NJg1LAAT</t>
  </si>
  <si>
    <t>0061i00000NJccIAAT</t>
  </si>
  <si>
    <t>0061i00000NIGtyAAH</t>
  </si>
  <si>
    <t>0061i00000NIxrzAAD</t>
  </si>
  <si>
    <t>0061i00000NIKNDAA5</t>
  </si>
  <si>
    <t>0061i00000NcEBkAAN</t>
  </si>
  <si>
    <t>0061i00000NJWFqAAP</t>
  </si>
  <si>
    <t>0061i00000NbsVAAAZ</t>
  </si>
  <si>
    <t>0061i00000NJ2YlAAL</t>
  </si>
  <si>
    <t>0061i00000NI4h0AAD</t>
  </si>
  <si>
    <t>0061i00000NIcYhAAL</t>
  </si>
  <si>
    <t>0061i00000NI3pWAAT</t>
  </si>
  <si>
    <t>0061i00000NdJ3qAAF</t>
  </si>
  <si>
    <t>0061i00000NKKZLAA5</t>
  </si>
  <si>
    <t>0061i00000NIi3nAAD</t>
  </si>
  <si>
    <t>0061i00000NJHb2AAH</t>
  </si>
  <si>
    <t>0061i00000NbjrdAAB</t>
  </si>
  <si>
    <t>0061i00000NbjRxAAJ</t>
  </si>
  <si>
    <t>0061i00000NbOXDAA3</t>
  </si>
  <si>
    <t>0061i00000NJUKbAAP</t>
  </si>
  <si>
    <t>0061i00000NGyjuAAD</t>
  </si>
  <si>
    <t>0061i00000NJFeVAAX</t>
  </si>
  <si>
    <t>0061i00000NcFCzAAN</t>
  </si>
  <si>
    <t>0061i00000Nd2fSAAR</t>
  </si>
  <si>
    <t>0061i00000NIcDdAAL</t>
  </si>
  <si>
    <t>0061i00000NbD1oAAF</t>
  </si>
  <si>
    <t>0061i00000NJMklAAH</t>
  </si>
  <si>
    <t>0061i00000NIUeEAAX</t>
  </si>
  <si>
    <t>0061i00000NInifAAD</t>
  </si>
  <si>
    <t>0061i00000NJq8mAAD</t>
  </si>
  <si>
    <t>0061i00000NI2MxAAL</t>
  </si>
  <si>
    <t>0061i00000NJQ2xAAH</t>
  </si>
  <si>
    <t>0061i00000NbO6DAAV</t>
  </si>
  <si>
    <t>0061i00000NJ4dXAAT</t>
  </si>
  <si>
    <t>0061i00000NbzDgAAJ</t>
  </si>
  <si>
    <t>0061i00000NbLEdAAN</t>
  </si>
  <si>
    <t>0061i00000Nd4JYAAZ</t>
  </si>
  <si>
    <t>0061i00000NIeT6AAL</t>
  </si>
  <si>
    <t>0061i00000NcJEkAAN</t>
  </si>
  <si>
    <t>0061i00000NJykfAAD</t>
  </si>
  <si>
    <t>0061i00000NJef7AAD</t>
  </si>
  <si>
    <t>0061i00000Nc3dkAAB</t>
  </si>
  <si>
    <t>0061i00000NbcWlAAJ</t>
  </si>
  <si>
    <t>0061i00000JB73wAAD</t>
  </si>
  <si>
    <t>0061i00000Hj3gkAAB</t>
  </si>
  <si>
    <t>0061i00000GMEPXAA5</t>
  </si>
  <si>
    <t>0061i00000J9jBkAAJ</t>
  </si>
  <si>
    <t>0061i00000JCMlTAAX</t>
  </si>
  <si>
    <t>0061i00000HiujXAAR</t>
  </si>
  <si>
    <t>0061i00000HjWULAA3</t>
  </si>
  <si>
    <t>0061i00000EZTXNAA5</t>
  </si>
  <si>
    <t>0061i00000J8rcaAAB</t>
  </si>
  <si>
    <t>0061i00000J900jAAB</t>
  </si>
  <si>
    <t>0061i00000JicRgAAJ</t>
  </si>
  <si>
    <t>0061i00000K9QXzAAN</t>
  </si>
  <si>
    <t>0061i00000JBFXtAAP</t>
  </si>
  <si>
    <t>0061i00000JhLxLAAV</t>
  </si>
  <si>
    <t>0061i00000JfuMAAAZ</t>
  </si>
  <si>
    <t>0061i00000JAejIAAT</t>
  </si>
  <si>
    <t>0061i00000K9jniAAB</t>
  </si>
  <si>
    <t>0061i00000KZvBaAAL</t>
  </si>
  <si>
    <t>0061i00000JgB2aAAF</t>
  </si>
  <si>
    <t>0061i00000Is1gHAAR</t>
  </si>
  <si>
    <t>0061i00000FYdSUAA1</t>
  </si>
  <si>
    <t>0061i00000K9tDPAAZ</t>
  </si>
  <si>
    <t>0061i00000IEtDUAA1</t>
  </si>
  <si>
    <t>0061i00000HiuKrAAJ</t>
  </si>
  <si>
    <t>0061i00000GOprFAAT</t>
  </si>
  <si>
    <t>0061i00000JhRaFAAV</t>
  </si>
  <si>
    <t>0061i00000FZIafAAH</t>
  </si>
  <si>
    <t>0061i00000K9wlVAAR</t>
  </si>
  <si>
    <t>0061i00000K9puAAAR</t>
  </si>
  <si>
    <t>0061i00000JBGgrAAH</t>
  </si>
  <si>
    <t>0061i00000IursoAAB</t>
  </si>
  <si>
    <t>0061i00000FZZpzAAH</t>
  </si>
  <si>
    <t>0061i00000Hj44WAAR</t>
  </si>
  <si>
    <t>0061i00000K9iQWAAZ</t>
  </si>
  <si>
    <t>0061i00000Iu17OAAR</t>
  </si>
  <si>
    <t>0061i00000JAS2ZAAX</t>
  </si>
  <si>
    <t>0061i00000GPnJNAA1</t>
  </si>
  <si>
    <t>0061i00000J8hjzAAB</t>
  </si>
  <si>
    <t>0061i00000Eak90AAB</t>
  </si>
  <si>
    <t>0061i00000KA1N2AAL</t>
  </si>
  <si>
    <t>0061i00000KQVvzAAH</t>
  </si>
  <si>
    <t>0061i00000Jib05AAB</t>
  </si>
  <si>
    <t>0061i00000GOoxMAAT</t>
  </si>
  <si>
    <t>0061i00000GMzjyAAD</t>
  </si>
  <si>
    <t>0061i00000Jgi3GAAR</t>
  </si>
  <si>
    <t>0061i00000HjyxdAAB</t>
  </si>
  <si>
    <t>0061i00000Hlx8mAAB</t>
  </si>
  <si>
    <t>0061i00000HiwurAAB</t>
  </si>
  <si>
    <t>0061i00000JijngAAB</t>
  </si>
  <si>
    <t>0061i00000KCtb7AAD</t>
  </si>
  <si>
    <t>0061i00000Fb26eAAB</t>
  </si>
  <si>
    <t>0061i00000Hjt9wAAB</t>
  </si>
  <si>
    <t>0061i00000JiROAAA3</t>
  </si>
  <si>
    <t>0061i00000JB1fFAAT</t>
  </si>
  <si>
    <t>0061i00000Kb6qUAAR</t>
  </si>
  <si>
    <t>0061i00000JhT8cAAF</t>
  </si>
  <si>
    <t>0061i00000FbKV4AAN</t>
  </si>
  <si>
    <t>0061i00000JjVUyAAN</t>
  </si>
  <si>
    <t>0061i00000IrhqMAAR</t>
  </si>
  <si>
    <t>0061i00000GMohcAAD</t>
  </si>
  <si>
    <t>0061i00000Jh0ZnAAJ</t>
  </si>
  <si>
    <t>0061i00000HkCWIAA3</t>
  </si>
  <si>
    <t>0061i00000Jg6NRAAZ</t>
  </si>
  <si>
    <t>0061i00000JgwxvAAB</t>
  </si>
  <si>
    <t>0061i00000Ji38yAAB</t>
  </si>
  <si>
    <t>0061i00000IDbg0AAD</t>
  </si>
  <si>
    <t>0061i00000JAYJ0AAP</t>
  </si>
  <si>
    <t>0061i00000HkD60AAF</t>
  </si>
  <si>
    <t>0061i00000GPfPxAAL</t>
  </si>
  <si>
    <t>0061i00000JiVjbAAF</t>
  </si>
  <si>
    <t>0061i00000HjL7NAAV</t>
  </si>
  <si>
    <t>0061i00000HkjuwAAB</t>
  </si>
  <si>
    <t>0061i00000KZFNzAAP</t>
  </si>
  <si>
    <t>0061i00000K9kUmAAJ</t>
  </si>
  <si>
    <t>0061i00000JBMMTAA5</t>
  </si>
  <si>
    <t>0061i00000FaC4RAAV</t>
  </si>
  <si>
    <t>0061i00000JgxgvAAB</t>
  </si>
  <si>
    <t>0061i00000JBqTeAAL</t>
  </si>
  <si>
    <t>0061i00000JhnPvAAJ</t>
  </si>
  <si>
    <t>0061i00000K9MfEAAV</t>
  </si>
  <si>
    <t>0061i00000GMirUAAT</t>
  </si>
  <si>
    <t>0061i00000FaarrAAB</t>
  </si>
  <si>
    <t>0061i00000Fb7RWAAZ</t>
  </si>
  <si>
    <t>0061i00000JiSC0AAN</t>
  </si>
  <si>
    <t>0061i00000IWXbeAAH</t>
  </si>
  <si>
    <t>0061i00000FZ8YyAAL</t>
  </si>
  <si>
    <t>0061i00000Ji0AwAAJ</t>
  </si>
  <si>
    <t>0061i00000IaUuEAAV</t>
  </si>
  <si>
    <t>0061i00000HkjsCAAR</t>
  </si>
  <si>
    <t>0061i00000Jfr1TAAR</t>
  </si>
  <si>
    <t>0061i00000JiW8gAAF</t>
  </si>
  <si>
    <t>0061i00000K9TJVAA3</t>
  </si>
  <si>
    <t>0061i00000JhSufAAF</t>
  </si>
  <si>
    <t>0061i00000IBW1WAAX</t>
  </si>
  <si>
    <t>0061i00000KCwpTAAT</t>
  </si>
  <si>
    <t>0061i00000KA0jbAAD</t>
  </si>
  <si>
    <t>0061i00000EZlzqAAD</t>
  </si>
  <si>
    <t>0061i00000IXd2BAAT</t>
  </si>
  <si>
    <t>0061i00000FZ74xAAD</t>
  </si>
  <si>
    <t>0061i00000JArgOAAT</t>
  </si>
  <si>
    <t>0061i00000JhldqAAB</t>
  </si>
  <si>
    <t>0061i00000JAG0PAAX</t>
  </si>
  <si>
    <t>0061i00000Hko3fAAB</t>
  </si>
  <si>
    <t>0061i00000Itg0GAAR</t>
  </si>
  <si>
    <t>0061i00000JASZ1AAP</t>
  </si>
  <si>
    <t>0061i00000ItteGAAR</t>
  </si>
  <si>
    <t>0061i00000JAr5mAAD</t>
  </si>
  <si>
    <t>0061i00000JAnIDAA1</t>
  </si>
  <si>
    <t>0061i00000JhZmuAAF</t>
  </si>
  <si>
    <t>0061i00000IXQeKAAX</t>
  </si>
  <si>
    <t>0061i00000EZHVPAA5</t>
  </si>
  <si>
    <t>0061i00000EYqfCAAT</t>
  </si>
  <si>
    <t>0061i00000KbEmxAAF</t>
  </si>
  <si>
    <t>0061i00000JBPxOAAX</t>
  </si>
  <si>
    <t>0061i00000IuUksAAF</t>
  </si>
  <si>
    <t>0061i00000EZGE3AAP</t>
  </si>
  <si>
    <t>0061i00000Fb6TWAAZ</t>
  </si>
  <si>
    <t>0061i00000JhWMyAAN</t>
  </si>
  <si>
    <t>0061i00000J8JtuAAF</t>
  </si>
  <si>
    <t>0061i00000JjdedAAB</t>
  </si>
  <si>
    <t>0061i00000IWVPNAA5</t>
  </si>
  <si>
    <t>0061i00000J9zepAAB</t>
  </si>
  <si>
    <t>0061i00000IZ4WnAAL</t>
  </si>
  <si>
    <t>0061i00000FaLwkAAF</t>
  </si>
  <si>
    <t>0061i00000K9waCAAR</t>
  </si>
  <si>
    <t>0061i00000EYoJtAAL</t>
  </si>
  <si>
    <t>0061i00000KAF6AAAX</t>
  </si>
  <si>
    <t>0061i00000JCOJVAA5</t>
  </si>
  <si>
    <t>0061i00000EYYc7AAH</t>
  </si>
  <si>
    <t>0061i00000KA0sYAAT</t>
  </si>
  <si>
    <t>0061i00000IEUVoAAP</t>
  </si>
  <si>
    <t>0061i00000JhSHxAAN</t>
  </si>
  <si>
    <t>0061i00000KQjdZAAT</t>
  </si>
  <si>
    <t>0061i00000Jibm9AAB</t>
  </si>
  <si>
    <t>0061i00000Jjjw4AAB</t>
  </si>
  <si>
    <t>0061i00000Hj3chAAB</t>
  </si>
  <si>
    <t>0061i00000Jh1KeAAJ</t>
  </si>
  <si>
    <t>0061i00000Jhks1AAB</t>
  </si>
  <si>
    <t>0061i00000Jh3JPAAZ</t>
  </si>
  <si>
    <t>0061i00000K9wP4AAJ</t>
  </si>
  <si>
    <t>0061i00000GPqLvAAL</t>
  </si>
  <si>
    <t>0061i00000J9CvSAAV</t>
  </si>
  <si>
    <t>0061i00000JBeFnAAL</t>
  </si>
  <si>
    <t>0061i00000IZUKaAAP</t>
  </si>
  <si>
    <t>0061i00000K9j78AAB</t>
  </si>
  <si>
    <t>0061i00000KC8tHAAT</t>
  </si>
  <si>
    <t>0061i00000ItGKyAAN</t>
  </si>
  <si>
    <t>0061i00000JiluPAAR</t>
  </si>
  <si>
    <t>0061i00000HjKApAAN</t>
  </si>
  <si>
    <t>0061i00000JiK8AAAV</t>
  </si>
  <si>
    <t>0061i00000JBBR8AAP</t>
  </si>
  <si>
    <t>0061i00000FafFwAAJ</t>
  </si>
  <si>
    <t>0061i00000EZwBQAA1</t>
  </si>
  <si>
    <t>0061i00000KBDIiAAP</t>
  </si>
  <si>
    <t>0061i00000IZOfWAAX</t>
  </si>
  <si>
    <t>0061i00000Is5JCAAZ</t>
  </si>
  <si>
    <t>0061i00000K9OVGAA3</t>
  </si>
  <si>
    <t>0061i00000IDM5OAAX</t>
  </si>
  <si>
    <t>0061i00000JiRh2AAF</t>
  </si>
  <si>
    <t>0061i00000ItYDHAA3</t>
  </si>
  <si>
    <t>0061i00000EZrLUAA1</t>
  </si>
  <si>
    <t>0061i00000GN91sAAD</t>
  </si>
  <si>
    <t>0061i00000JjwyGAAR</t>
  </si>
  <si>
    <t>0061i00000JgwsRAAR</t>
  </si>
  <si>
    <t>0061i00000JheMdAAJ</t>
  </si>
  <si>
    <t>0061i00000JBVzdAAH</t>
  </si>
  <si>
    <t>0061i00000Jji83AAB</t>
  </si>
  <si>
    <t>0061i00000JCIHhAAP</t>
  </si>
  <si>
    <t>0061i00000JBvzcAAD</t>
  </si>
  <si>
    <t>0061i00000GO799AAD</t>
  </si>
  <si>
    <t>0061i00000EaKjtAAF</t>
  </si>
  <si>
    <t>0061i00000JgjO0AAJ</t>
  </si>
  <si>
    <t>0061i00000K9dlWAAR</t>
  </si>
  <si>
    <t>0061i00000JAAkiAAH</t>
  </si>
  <si>
    <t>0061i00000IXGyWAAX</t>
  </si>
  <si>
    <t>0061i00000JCIW7AAP</t>
  </si>
  <si>
    <t>0061i00000JC1xoAAD</t>
  </si>
  <si>
    <t>0061i00000Jjg4JAAR</t>
  </si>
  <si>
    <t>0061i00000ItKQMAA3</t>
  </si>
  <si>
    <t>0061i00000JgZm7AAF</t>
  </si>
  <si>
    <t>0061i00000Isz9tAAB</t>
  </si>
  <si>
    <t>0061i00000KCEKAAA5</t>
  </si>
  <si>
    <t>0061i00000IrgBzAAJ</t>
  </si>
  <si>
    <t>0061i00000Iswl6AAB</t>
  </si>
  <si>
    <t>0061i00000ICuqxAAD</t>
  </si>
  <si>
    <t>0061i00000K9WCmAAN</t>
  </si>
  <si>
    <t>0061i00000HiX68AAF</t>
  </si>
  <si>
    <t>0061i00000IDxC4AAL</t>
  </si>
  <si>
    <t>0061i00000Hj2DRAAZ</t>
  </si>
  <si>
    <t>0061i00000EYvEaAAL</t>
  </si>
  <si>
    <t>0061i00000ID5T0AAL</t>
  </si>
  <si>
    <t>0061i00000IWWQvAAP</t>
  </si>
  <si>
    <t>0061i00000IuwtcAAB</t>
  </si>
  <si>
    <t>0061i00000Jhyt1AAB</t>
  </si>
  <si>
    <t>0061i00000KBFVPAA5</t>
  </si>
  <si>
    <t>0061i00000IYTgaAAH</t>
  </si>
  <si>
    <t>0061i00000GP1VjAAL</t>
  </si>
  <si>
    <t>0061i00000JiKa4AAF</t>
  </si>
  <si>
    <t>0061i00000FbNMjAAN</t>
  </si>
  <si>
    <t>0061i00000K9j28AAB</t>
  </si>
  <si>
    <t>0061i00000K9i3eAAB</t>
  </si>
  <si>
    <t>0061i00000IFZLrAAP</t>
  </si>
  <si>
    <t>0061i00000IaKGlAAN</t>
  </si>
  <si>
    <t>0061i00000JhX18AAF</t>
  </si>
  <si>
    <t>0061i00000KAmbfAAD</t>
  </si>
  <si>
    <t>0061i00000IvE9PAAV</t>
  </si>
  <si>
    <t>0061i00000JitsBAAR</t>
  </si>
  <si>
    <t>0061i00000J95UjAAJ</t>
  </si>
  <si>
    <t>0061i00000GNJzYAAX</t>
  </si>
  <si>
    <t>0061i00000JAFEGAA5</t>
  </si>
  <si>
    <t>0061i00000JBL6AAAX</t>
  </si>
  <si>
    <t>0061i00000KQPa9AAH</t>
  </si>
  <si>
    <t>0061i00000Ji3NaAAJ</t>
  </si>
  <si>
    <t>0061i00000ItEUXAA3</t>
  </si>
  <si>
    <t>0061i00000K9H9wAAF</t>
  </si>
  <si>
    <t>0061i00000JA2cHAAT</t>
  </si>
  <si>
    <t>0061i00000KQAGBAA5</t>
  </si>
  <si>
    <t>0061i00000IEY3VAAX</t>
  </si>
  <si>
    <t>0061i00000JhVROAA3</t>
  </si>
  <si>
    <t>0061i00000Hk9ZmAAJ</t>
  </si>
  <si>
    <t>0061i00000IuAesAAF</t>
  </si>
  <si>
    <t>0061i00000EaQtsAAF</t>
  </si>
  <si>
    <t>0061i00000EamBiAAJ</t>
  </si>
  <si>
    <t>0061i00000JCOsZAAX</t>
  </si>
  <si>
    <t>0061i00000JAWKXAA5</t>
  </si>
  <si>
    <t>0061i00000FYTQpAAP</t>
  </si>
  <si>
    <t>0061i00000Ji8BZAAZ</t>
  </si>
  <si>
    <t>0061i00000JC4uvAAD</t>
  </si>
  <si>
    <t>0061i00000KADYSAA5</t>
  </si>
  <si>
    <t>0061i00000JABlIAAX</t>
  </si>
  <si>
    <t>0061i00000JjhJeAAJ</t>
  </si>
  <si>
    <t>0061i00000KA03LAAT</t>
  </si>
  <si>
    <t>0061i00000EYsaPAAT</t>
  </si>
  <si>
    <t>0061i00000JjRZGAA3</t>
  </si>
  <si>
    <t>0061i00000FYv9WAAT</t>
  </si>
  <si>
    <t>0061i00000IsyRhAAJ</t>
  </si>
  <si>
    <t>0061i00000K9itkAAB</t>
  </si>
  <si>
    <t>0061i00000IsnTVAAZ</t>
  </si>
  <si>
    <t>0061i00000J8lXnAAJ</t>
  </si>
  <si>
    <t>0061i00000JjX3LAAV</t>
  </si>
  <si>
    <t>0061i00000EaagyAAB</t>
  </si>
  <si>
    <t>0061i00000K9w7UAAR</t>
  </si>
  <si>
    <t>0061i00000FbIqeAAF</t>
  </si>
  <si>
    <t>0061i00000JgurMAAR</t>
  </si>
  <si>
    <t>0061i00000FbZzBAAV</t>
  </si>
  <si>
    <t>0061i00000K9aHTAAZ</t>
  </si>
  <si>
    <t>0061i00000IuRAmAAN</t>
  </si>
  <si>
    <t>0061i00000HjbicAAB</t>
  </si>
  <si>
    <t>0061i00000EZlJHAA1</t>
  </si>
  <si>
    <t>0061i00000EZUpdAAH</t>
  </si>
  <si>
    <t>0061i00000HjxZZAAZ</t>
  </si>
  <si>
    <t>0061i00000JBltsAAD</t>
  </si>
  <si>
    <t>0061i00000Hm3fFAAR</t>
  </si>
  <si>
    <t>0061i00000JAn4DAAT</t>
  </si>
  <si>
    <t>0061i00000IDsHSAA1</t>
  </si>
  <si>
    <t>0061i00000JA8a2AAD</t>
  </si>
  <si>
    <t>0061i00000GMxsKAAT</t>
  </si>
  <si>
    <t>0061i00000GONVOAA5</t>
  </si>
  <si>
    <t>0061i00000JB05VAAT</t>
  </si>
  <si>
    <t>0061i00000Jgut4AAB</t>
  </si>
  <si>
    <t>0061i00000GNraOAAT</t>
  </si>
  <si>
    <t>0061i00000HkVgMAAV</t>
  </si>
  <si>
    <t>0061i00000KAXL3AAP</t>
  </si>
  <si>
    <t>0061i00000JAAYXAA5</t>
  </si>
  <si>
    <t>0061i00000KABJAAA5</t>
  </si>
  <si>
    <t>0061i00000IXdq1AAD</t>
  </si>
  <si>
    <t>0061i00000IZvLWAA1</t>
  </si>
  <si>
    <t>0061i00000Jg922AAB</t>
  </si>
  <si>
    <t>0061i00000K9LG3AAN</t>
  </si>
  <si>
    <t>0061i00000IsjWwAAJ</t>
  </si>
  <si>
    <t>0061i00000IuQajAAF</t>
  </si>
  <si>
    <t>0061i00000GPmscAAD</t>
  </si>
  <si>
    <t>0061i00000JiRcRAAV</t>
  </si>
  <si>
    <t>0061i00000IY03yAAD</t>
  </si>
  <si>
    <t>0061i00000HjeUiAAJ</t>
  </si>
  <si>
    <t>0061i00000JiVaUAAV</t>
  </si>
  <si>
    <t>0061i00000K9xIJAAZ</t>
  </si>
  <si>
    <t>0061i00000JhRvcAAF</t>
  </si>
  <si>
    <t>0061i00000IBobmAAD</t>
  </si>
  <si>
    <t>0061i00000Eb4T5AAJ</t>
  </si>
  <si>
    <t>0061i00000K9Pg5AAF</t>
  </si>
  <si>
    <t>0061i00000HkCjXAAV</t>
  </si>
  <si>
    <t>0061i00000GNkJmAAL</t>
  </si>
  <si>
    <t>0061i00000JC6wPAAT</t>
  </si>
  <si>
    <t>0061i00000KQJiJAAX</t>
  </si>
  <si>
    <t>0061i00000Hj1DVAAZ</t>
  </si>
  <si>
    <t>0061i00000KA0pZAAT</t>
  </si>
  <si>
    <t>0061i00000IFTNrAAP</t>
  </si>
  <si>
    <t>0061i00000Iu7d9AAB</t>
  </si>
  <si>
    <t>0061i00000KAZ6PAAX</t>
  </si>
  <si>
    <t>0061i00000KBbm2AAD</t>
  </si>
  <si>
    <t>0061i00000K9rWKAAZ</t>
  </si>
  <si>
    <t>0061i00000GPfJkAAL</t>
  </si>
  <si>
    <t>0061i00000K9t5VAAR</t>
  </si>
  <si>
    <t>0061i00000K9xCaAAJ</t>
  </si>
  <si>
    <t>0061i00000IshLYAAZ</t>
  </si>
  <si>
    <t>0061i00000JgIHGAA3</t>
  </si>
  <si>
    <t>0061i00000HmCVIAA3</t>
  </si>
  <si>
    <t>0061i00000IYtSgAAL</t>
  </si>
  <si>
    <t>0061i00000J8KXVAA3</t>
  </si>
  <si>
    <t>0061i00000IYm8yAAD</t>
  </si>
  <si>
    <t>0061i00000ICVl7AAH</t>
  </si>
  <si>
    <t>0061i00000J8vP5AAJ</t>
  </si>
  <si>
    <t>0061i00000GN4DiAAL</t>
  </si>
  <si>
    <t>0061i00000KQzfRAAT</t>
  </si>
  <si>
    <t>0061i00000GN9ESAA1</t>
  </si>
  <si>
    <t>0061i00000Jj0jLAAR</t>
  </si>
  <si>
    <t>0061i00000IsOlMAAV</t>
  </si>
  <si>
    <t>0061i00000IErbQAAT</t>
  </si>
  <si>
    <t>0061i00000Iua97AAB</t>
  </si>
  <si>
    <t>0061i00000JiTu9AAF</t>
  </si>
  <si>
    <t>0061i00000JB21fAAD</t>
  </si>
  <si>
    <t>0061i00000IETGYAA5</t>
  </si>
  <si>
    <t>0061i00000IEoY4AAL</t>
  </si>
  <si>
    <t>0061i00000JjvEVAAZ</t>
  </si>
  <si>
    <t>0061i00000KQux0AAD</t>
  </si>
  <si>
    <t>0061i00000GOQb5AAH</t>
  </si>
  <si>
    <t>0061i00000K9SXqAAN</t>
  </si>
  <si>
    <t>0061i00000K9TCxAAN</t>
  </si>
  <si>
    <t>0061i00000J8ukgAAB</t>
  </si>
  <si>
    <t>0061i00000JhVFIAA3</t>
  </si>
  <si>
    <t>0061i00000KCe6cAAD</t>
  </si>
  <si>
    <t>0061i00000IsU5lAAF</t>
  </si>
  <si>
    <t>0061i00000GQ9BOAA1</t>
  </si>
  <si>
    <t>0061i00000IFSfLAAX</t>
  </si>
  <si>
    <t>0061i00000IvNxNAAV</t>
  </si>
  <si>
    <t>0061i00000IudLIAAZ</t>
  </si>
  <si>
    <t>0061i00000EYRIKAA5</t>
  </si>
  <si>
    <t>0061i00000GMqZkAAL</t>
  </si>
  <si>
    <t>0061i00000Jg4XaAAJ</t>
  </si>
  <si>
    <t>0061i00000GOYoqAAH</t>
  </si>
  <si>
    <t>0061i00000JAWapAAH</t>
  </si>
  <si>
    <t>0061i00000GNGLgAAP</t>
  </si>
  <si>
    <t>0061i00000EYrK0AAL</t>
  </si>
  <si>
    <t>0061i00000JCEP7AAP</t>
  </si>
  <si>
    <t>0061i00000FYG3uAAH</t>
  </si>
  <si>
    <t>0061i00000JBfy3AAD</t>
  </si>
  <si>
    <t>0061i00000HkLBSAA3</t>
  </si>
  <si>
    <t>0061i00000IXPZxAAP</t>
  </si>
  <si>
    <t>0061i00000IuI5dAAF</t>
  </si>
  <si>
    <t>0061i00000GOMsMAAX</t>
  </si>
  <si>
    <t>0061i00000JjgVBAAZ</t>
  </si>
  <si>
    <t>0061i00000JA1mWAAT</t>
  </si>
  <si>
    <t>0061i00000K9Zf0AAF</t>
  </si>
  <si>
    <t>0061i00000KD64VAAT</t>
  </si>
  <si>
    <t>0061i00000JhyULAAZ</t>
  </si>
  <si>
    <t>0061i00000IurxZAAR</t>
  </si>
  <si>
    <t>0061i00000JjSUvAAN</t>
  </si>
  <si>
    <t>0061i00000Hm3aYAAR</t>
  </si>
  <si>
    <t>0061i00000IBWLMAA5</t>
  </si>
  <si>
    <t>0061i00000HjFdmAAF</t>
  </si>
  <si>
    <t>0061i00000JAS8hAAH</t>
  </si>
  <si>
    <t>0061i00000FZZuhAAH</t>
  </si>
  <si>
    <t>0061i00000GN3avAAD</t>
  </si>
  <si>
    <t>0061i00000GMGwSAAX</t>
  </si>
  <si>
    <t>0061i00000Hkq7oAAB</t>
  </si>
  <si>
    <t>0061i00000Jht6TAAR</t>
  </si>
  <si>
    <t>0061i00000IYPnwAAH</t>
  </si>
  <si>
    <t>0061i00000Jg9oLAAR</t>
  </si>
  <si>
    <t>0061i00000JA0bbAAD</t>
  </si>
  <si>
    <t>0061i00000HjZ0JAAV</t>
  </si>
  <si>
    <t>0061i00000J9KjoAAF</t>
  </si>
  <si>
    <t>0061i00000FZXBdAAP</t>
  </si>
  <si>
    <t>0061i00000Jiqg7AAB</t>
  </si>
  <si>
    <t>0061i00000JB035AAD</t>
  </si>
  <si>
    <t>0061i00000IsvbFAAR</t>
  </si>
  <si>
    <t>0061i00000JjXQtAAN</t>
  </si>
  <si>
    <t>0061i00000IFHkpAAH</t>
  </si>
  <si>
    <t>0061i00000HkgHeAAJ</t>
  </si>
  <si>
    <t>0061i00000JhpnuAAB</t>
  </si>
  <si>
    <t>0061i00000IFGdIAAX</t>
  </si>
  <si>
    <t>0061i00000IFTMyAAP</t>
  </si>
  <si>
    <t>0061i00000K9enEAAR</t>
  </si>
  <si>
    <t>0061i00000JhoEoAAJ</t>
  </si>
  <si>
    <t>0061i00000Hj1puAAB</t>
  </si>
  <si>
    <t>0061i00000JfxOsAAJ</t>
  </si>
  <si>
    <t>0061i00000JAh4mAAD</t>
  </si>
  <si>
    <t>0061i00000KAmoKAAT</t>
  </si>
  <si>
    <t>0061i00000KazGRAAZ</t>
  </si>
  <si>
    <t>0061i00000K9jaZAAR</t>
  </si>
  <si>
    <t>0061i00000FYFS6AAP</t>
  </si>
  <si>
    <t>0061i00000JhkZ4AAJ</t>
  </si>
  <si>
    <t>0061i00000IuUyQAAV</t>
  </si>
  <si>
    <t>0061i00000HiVgTAAV</t>
  </si>
  <si>
    <t>0061i00000GMDUuAAP</t>
  </si>
  <si>
    <t>0061i00000HkVmjAAF</t>
  </si>
  <si>
    <t>0061i00000JhToGAAV</t>
  </si>
  <si>
    <t>0061i00000JgYSfAAN</t>
  </si>
  <si>
    <t>0061i00000JAk6dAAD</t>
  </si>
  <si>
    <t>0061i00000IFWuoAAH</t>
  </si>
  <si>
    <t>0061i00000IZVX0AAP</t>
  </si>
  <si>
    <t>0061i00000K9lQgAAJ</t>
  </si>
  <si>
    <t>0061i00000IukgIAAR</t>
  </si>
  <si>
    <t>0061i00000K9yBYAAZ</t>
  </si>
  <si>
    <t>0061i00000JARkGAAX</t>
  </si>
  <si>
    <t>0061i00000K9zmfAAB</t>
  </si>
  <si>
    <t>0061i00000EYU4XAAX</t>
  </si>
  <si>
    <t>0061i00000JAmkzAAD</t>
  </si>
  <si>
    <t>0061i00000Kb7tKAAR</t>
  </si>
  <si>
    <t>0061i00000GMNIyAAP</t>
  </si>
  <si>
    <t>0061i00000Jh3TEAAZ</t>
  </si>
  <si>
    <t>0061i00000JARZ8AAP</t>
  </si>
  <si>
    <t>0061i00000KASw6AAH</t>
  </si>
  <si>
    <t>0061i00000IBqs9AAD</t>
  </si>
  <si>
    <t>0061i00000HiJDgAAN</t>
  </si>
  <si>
    <t>0061i00000JgujZAAR</t>
  </si>
  <si>
    <t>0061i00000JhKHTAA3</t>
  </si>
  <si>
    <t>0061i00000KCcjDAAT</t>
  </si>
  <si>
    <t>0061i00000K9OuzAAF</t>
  </si>
  <si>
    <t>0061i00000Eb1p9AAB</t>
  </si>
  <si>
    <t>0061i00000EYarYAAT</t>
  </si>
  <si>
    <t>0061i00000K9KAJAA3</t>
  </si>
  <si>
    <t>0061i00000IZ8BzAAL</t>
  </si>
  <si>
    <t>0061i00000K9v50AAB</t>
  </si>
  <si>
    <t>0061i00000J9uR6AAJ</t>
  </si>
  <si>
    <t>0061i00000IsRkmAAF</t>
  </si>
  <si>
    <t>0061i00000JhsevAAB</t>
  </si>
  <si>
    <t>0061i00000Fa4DWAAZ</t>
  </si>
  <si>
    <t>0061i00000IZjaDAAT</t>
  </si>
  <si>
    <t>0061i00000K9rdpAAB</t>
  </si>
  <si>
    <t>0061i00000JCKbKAAX</t>
  </si>
  <si>
    <t>0061i00000JjwWbAAJ</t>
  </si>
  <si>
    <t>0061i00000Ka9AZAAZ</t>
  </si>
  <si>
    <t>0061i00000JhtEcAAJ</t>
  </si>
  <si>
    <t>0061i00000HkENRAA3</t>
  </si>
  <si>
    <t>0061i00000JhtU6AAJ</t>
  </si>
  <si>
    <t>0061i00000GNbb8AAD</t>
  </si>
  <si>
    <t>0061i00000JiutBAAR</t>
  </si>
  <si>
    <t>0061i00000KA0ByAAL</t>
  </si>
  <si>
    <t>0061i00000HipWEAAZ</t>
  </si>
  <si>
    <t>0061i00000JAq5WAAT</t>
  </si>
  <si>
    <t>0061i00000JBmc4AAD</t>
  </si>
  <si>
    <t>0061i00000Ji7LnAAJ</t>
  </si>
  <si>
    <t>0061i00000IY89OAAT</t>
  </si>
  <si>
    <t>0061i00000IvBg6AAF</t>
  </si>
  <si>
    <t>0061i00000JAalxAAD</t>
  </si>
  <si>
    <t>0061i00000Kb0jOAAR</t>
  </si>
  <si>
    <t>0061i00000IZEubAAH</t>
  </si>
  <si>
    <t>0061i00000FZ78zAAD</t>
  </si>
  <si>
    <t>0061i00000FazVlAAJ</t>
  </si>
  <si>
    <t>0061i00000K9ivHAAR</t>
  </si>
  <si>
    <t>0061i00000JC1TtAAL</t>
  </si>
  <si>
    <t>0061i00000K9eiYAAR</t>
  </si>
  <si>
    <t>0061i00000FabuvAAB</t>
  </si>
  <si>
    <t>0061i00000JB0N5AAL</t>
  </si>
  <si>
    <t>0061i00000IslSSAAZ</t>
  </si>
  <si>
    <t>0061i00000JhWsVAAV</t>
  </si>
  <si>
    <t>0061i00000It3oCAAR</t>
  </si>
  <si>
    <t>0061i00000IvYwSAAV</t>
  </si>
  <si>
    <t>0061i00000KCc90AAD</t>
  </si>
  <si>
    <t>0061i00000JhCGiAAN</t>
  </si>
  <si>
    <t>0061i00000IurG6AAJ</t>
  </si>
  <si>
    <t>0061i00000Hirh4AAB</t>
  </si>
  <si>
    <t>0061i00000K9jssAAB</t>
  </si>
  <si>
    <t>0061i00000IYkosAAD</t>
  </si>
  <si>
    <t>0061i00000K9PJVAA3</t>
  </si>
  <si>
    <t>0061i00000JhTykAAF</t>
  </si>
  <si>
    <t>0061i00000JhzAHAAZ</t>
  </si>
  <si>
    <t>0061i00000Iuu4mAAB</t>
  </si>
  <si>
    <t>0061i00000IvVLOAA3</t>
  </si>
  <si>
    <t>0061i00000JgwDYAAZ</t>
  </si>
  <si>
    <t>0061i00000Eb2jkAAB</t>
  </si>
  <si>
    <t>0061i00000IEcyDAAT</t>
  </si>
  <si>
    <t>0061i00000IaXQoAAN</t>
  </si>
  <si>
    <t>0061i00000JByhyAAD</t>
  </si>
  <si>
    <t>0061i00000EZkemAAD</t>
  </si>
  <si>
    <t>0061i00000KCb6AAAT</t>
  </si>
  <si>
    <t>0061i00000JjujmAAB</t>
  </si>
  <si>
    <t>0061i00000HkrbpAAB</t>
  </si>
  <si>
    <t>0061i00000JhtrPAAR</t>
  </si>
  <si>
    <t>0061i00000Jg4QJAAZ</t>
  </si>
  <si>
    <t>0061i00000JAMBNAA5</t>
  </si>
  <si>
    <t>0061i00000Hk9G6AAJ</t>
  </si>
  <si>
    <t>0061i00000JjXEOAA3</t>
  </si>
  <si>
    <t>0061i00000IsvlPAAR</t>
  </si>
  <si>
    <t>0061i00000IsCdsAAF</t>
  </si>
  <si>
    <t>0061i00000JifpsAAB</t>
  </si>
  <si>
    <t>0061i00000IuDQKAA3</t>
  </si>
  <si>
    <t>0061i00000IWZCQAA5</t>
  </si>
  <si>
    <t>0061i00000GOCLLAA5</t>
  </si>
  <si>
    <t>0061i00000JidLZAAZ</t>
  </si>
  <si>
    <t>0061i00000JBQ9OAAX</t>
  </si>
  <si>
    <t>0061i00000KDAqeAAH</t>
  </si>
  <si>
    <t>0061i00000JBzJXAA1</t>
  </si>
  <si>
    <t>0061i00000Isn4aAAB</t>
  </si>
  <si>
    <t>0061i00000K9TmHAAV</t>
  </si>
  <si>
    <t>0061i00000GQ7YLAA1</t>
  </si>
  <si>
    <t>0061i00000IshaEAAR</t>
  </si>
  <si>
    <t>0061i00000GP4IIAA1</t>
  </si>
  <si>
    <t>0061i00000EakXLAAZ</t>
  </si>
  <si>
    <t>0061i00000ItZ1vAAF</t>
  </si>
  <si>
    <t>0061i00000IFBOUAA5</t>
  </si>
  <si>
    <t>0061i00000JhurGAAR</t>
  </si>
  <si>
    <t>0061i00000J9mGYAAZ</t>
  </si>
  <si>
    <t>0061i00000IBqkoAAD</t>
  </si>
  <si>
    <t>0061i00000HkKfMAAV</t>
  </si>
  <si>
    <t>0061i00000FZppDAAT</t>
  </si>
  <si>
    <t>0061i00000JhobJAAR</t>
  </si>
  <si>
    <t>0061i00000JhDmoAAF</t>
  </si>
  <si>
    <t>0061i00000JhT8XAAV</t>
  </si>
  <si>
    <t>0061i00000K9M5aAAF</t>
  </si>
  <si>
    <t>0061i00000KBlcuAAD</t>
  </si>
  <si>
    <t>0061i00000IuF9vAAF</t>
  </si>
  <si>
    <t>0061i00000KQQ1jAAH</t>
  </si>
  <si>
    <t>0061i00000IsEM5AAN</t>
  </si>
  <si>
    <t>0061i00000GQ5c6AAD</t>
  </si>
  <si>
    <t>0061i00000K9QFaAAN</t>
  </si>
  <si>
    <t>0061i00000JBUQwAAP</t>
  </si>
  <si>
    <t>0061i00000FbOC6AAN</t>
  </si>
  <si>
    <t>0061i00000IBrM4AAL</t>
  </si>
  <si>
    <t>0061i00000IEFdUAAX</t>
  </si>
  <si>
    <t>0061i00000Jj3QPAAZ</t>
  </si>
  <si>
    <t>0061i00000Ji0pLAAR</t>
  </si>
  <si>
    <t>0061i00000KZUWrAAP</t>
  </si>
  <si>
    <t>0061i00000Ji88vAAB</t>
  </si>
  <si>
    <t>0061i00000IYJUsAAP</t>
  </si>
  <si>
    <t>0061i00000JAOeTAAX</t>
  </si>
  <si>
    <t>0061i00000Eav63AAB</t>
  </si>
  <si>
    <t>0061i00000JATPdAAP</t>
  </si>
  <si>
    <t>0061i00000IEUfzAAH</t>
  </si>
  <si>
    <t>0061i00000IEdS7AAL</t>
  </si>
  <si>
    <t>0061i00000JAKMiAAP</t>
  </si>
  <si>
    <t>0061i00000IBkHgAAL</t>
  </si>
  <si>
    <t>0061i00000GO3gxAAD</t>
  </si>
  <si>
    <t>0061i00000IBbSNAA1</t>
  </si>
  <si>
    <t>0061i00000EahS6AAJ</t>
  </si>
  <si>
    <t>0061i00000IBljNAAT</t>
  </si>
  <si>
    <t>0061i00000KZlC4AAL</t>
  </si>
  <si>
    <t>0061i00000FXpogAAD</t>
  </si>
  <si>
    <t>0061i00000EYYs0AAH</t>
  </si>
  <si>
    <t>0061i00000EZAVDAA5</t>
  </si>
  <si>
    <t>0061i00000GOAdsAAH</t>
  </si>
  <si>
    <t>0061i00000JiMWYAA3</t>
  </si>
  <si>
    <t>0061i00000JftkkAAB</t>
  </si>
  <si>
    <t>0061i00000JifZ2AAJ</t>
  </si>
  <si>
    <t>0061i00000IZsYrAAL</t>
  </si>
  <si>
    <t>0061i00000K9QvuAAF</t>
  </si>
  <si>
    <t>0061i00000J9R8hAAF</t>
  </si>
  <si>
    <t>0061i00000GOpFCAA1</t>
  </si>
  <si>
    <t>0061i00000IXS6jAAH</t>
  </si>
  <si>
    <t>0061i00000Hj7GpAAJ</t>
  </si>
  <si>
    <t>0061i00000HktqrAAB</t>
  </si>
  <si>
    <t>0061i00000JABLyAAP</t>
  </si>
  <si>
    <t>0061i00000Eb1TcAAJ</t>
  </si>
  <si>
    <t>0061i00000GQ4lZAAT</t>
  </si>
  <si>
    <t>0061i00000K9T9jAAF</t>
  </si>
  <si>
    <t>0061i00000JgVyJAAV</t>
  </si>
  <si>
    <t>0061i00000JhnjWAAR</t>
  </si>
  <si>
    <t>0061i00000GOoHVAA1</t>
  </si>
  <si>
    <t>0061i00000K9abjAAB</t>
  </si>
  <si>
    <t>0061i00000GN0XpAAL</t>
  </si>
  <si>
    <t>0061i00000IWY4SAAX</t>
  </si>
  <si>
    <t>0061i00000HjDiUAAV</t>
  </si>
  <si>
    <t>0061i00000GQ1ptAAD</t>
  </si>
  <si>
    <t>0061i00000K9HHmAAN</t>
  </si>
  <si>
    <t>0061i00000IFUi2AAH</t>
  </si>
  <si>
    <t>0061i00000GNPBEAA5</t>
  </si>
  <si>
    <t>0061i00000IuuC7AAJ</t>
  </si>
  <si>
    <t>0061i00000Is3kLAAR</t>
  </si>
  <si>
    <t>0061i00000JiK8UAAV</t>
  </si>
  <si>
    <t>0061i00000IFZqpAAH</t>
  </si>
  <si>
    <t>0061i00000Jjo0QAAR</t>
  </si>
  <si>
    <t>0061i00000J9buGAAR</t>
  </si>
  <si>
    <t>0061i00000HkrsCAAR</t>
  </si>
  <si>
    <t>0061i00000EYnM5AAL</t>
  </si>
  <si>
    <t>0061i00000IvCp9AAF</t>
  </si>
  <si>
    <t>0061i00000JhTblAAF</t>
  </si>
  <si>
    <t>0061i00000JBwRgAAL</t>
  </si>
  <si>
    <t>0061i00000It7EoAAJ</t>
  </si>
  <si>
    <t>0061i00000FYQAoAAP</t>
  </si>
  <si>
    <t>0061i00000Iu0hkAAB</t>
  </si>
  <si>
    <t>0061i00000KA3UUAA1</t>
  </si>
  <si>
    <t>0061i00000K9GzTAAV</t>
  </si>
  <si>
    <t>0061i00000JCJB5AAP</t>
  </si>
  <si>
    <t>0061i00000HiaVmAAJ</t>
  </si>
  <si>
    <t>0061i00000JBGa0AAH</t>
  </si>
  <si>
    <t>0061i00000IYIM3AAP</t>
  </si>
  <si>
    <t>0061i00000EZGRbAAP</t>
  </si>
  <si>
    <t>0061i00000IDOxuAAH</t>
  </si>
  <si>
    <t>0061i00000IaF7uAAF</t>
  </si>
  <si>
    <t>0061i00000JhUDzAAN</t>
  </si>
  <si>
    <t>0061i00000IZsmoAAD</t>
  </si>
  <si>
    <t>0061i00000Jj0pTAAR</t>
  </si>
  <si>
    <t>0061i00000JjXEPAA3</t>
  </si>
  <si>
    <t>0061i00000IZ5bKAAT</t>
  </si>
  <si>
    <t>0061i00000Jh4seAAB</t>
  </si>
  <si>
    <t>0061i00000JAGCQAA5</t>
  </si>
  <si>
    <t>0061i00000Isk8cAAB</t>
  </si>
  <si>
    <t>0061i00000JjyBuAAJ</t>
  </si>
  <si>
    <t>0061i00000J9PKTAA3</t>
  </si>
  <si>
    <t>0061i00000IEeiAAAT</t>
  </si>
  <si>
    <t>0061i00000FalBLAAZ</t>
  </si>
  <si>
    <t>0061i00000JBhYCAA1</t>
  </si>
  <si>
    <t>0061i00000JiXSXAA3</t>
  </si>
  <si>
    <t>0061i00000IDqUAAA1</t>
  </si>
  <si>
    <t>0061i00000IDt7YAAT</t>
  </si>
  <si>
    <t>0061i00000IWX2jAAH</t>
  </si>
  <si>
    <t>0061i00000GP6E8AAL</t>
  </si>
  <si>
    <t>0061i00000FZSdQAAX</t>
  </si>
  <si>
    <t>0061i00000IZNRiAAP</t>
  </si>
  <si>
    <t>0061i00000IY8XuAAL</t>
  </si>
  <si>
    <t>0061i00000FYWz4AAH</t>
  </si>
  <si>
    <t>0061i00000Ea8efAAB</t>
  </si>
  <si>
    <t>0061i00000Fb28QAAR</t>
  </si>
  <si>
    <t>0061i00000K9xumAAB</t>
  </si>
  <si>
    <t>0061i00000IuCvRAAV</t>
  </si>
  <si>
    <t>0061i00000J8zE8AAJ</t>
  </si>
  <si>
    <t>0061i00000JjvR3AAJ</t>
  </si>
  <si>
    <t>0061i00000GNhk5AAD</t>
  </si>
  <si>
    <t>0061i00000KCA7yAAH</t>
  </si>
  <si>
    <t>0061i00000J9OWOAA3</t>
  </si>
  <si>
    <t>0061i00000JjgOdAAJ</t>
  </si>
  <si>
    <t>0061i00000GNqtZAAT</t>
  </si>
  <si>
    <t>0061i00000JjgztAAB</t>
  </si>
  <si>
    <t>0061i00000ItMaOAAV</t>
  </si>
  <si>
    <t>0061i00000K9iPGAAZ</t>
  </si>
  <si>
    <t>0061i00000KDBGVAA5</t>
  </si>
  <si>
    <t>0061i00000Hm654AAB</t>
  </si>
  <si>
    <t>0061i00000JhXF0AAN</t>
  </si>
  <si>
    <t>0061i00000HjDSwAAN</t>
  </si>
  <si>
    <t>0061i00000JhYBEAA3</t>
  </si>
  <si>
    <t>0061i00000KA1TFAA1</t>
  </si>
  <si>
    <t>0061i00000HjHrWAAV</t>
  </si>
  <si>
    <t>0061i00000FbsAKAAZ</t>
  </si>
  <si>
    <t>0061i00000EZWN2AAP</t>
  </si>
  <si>
    <t>0061i00000GQ00AAAT</t>
  </si>
  <si>
    <t>0061i00000JicekAAB</t>
  </si>
  <si>
    <t>0061i00000IFANGAA5</t>
  </si>
  <si>
    <t>0061i00000IZy49AAD</t>
  </si>
  <si>
    <t>0061i00000KCbmGAAT</t>
  </si>
  <si>
    <t>0061i00000FYqiWAAT</t>
  </si>
  <si>
    <t>0061i00000GNRsoAAH</t>
  </si>
  <si>
    <t>0061i00000KBb0mAAD</t>
  </si>
  <si>
    <t>0061i00000J9ORhAAN</t>
  </si>
  <si>
    <t>0061i00000Jh3UHAAZ</t>
  </si>
  <si>
    <t>0061i00000K9KipAAF</t>
  </si>
  <si>
    <t>0061i00000IZ9HnAAL</t>
  </si>
  <si>
    <t>0061i00000KR8BhAAL</t>
  </si>
  <si>
    <t>0061i00000K9xAoAAJ</t>
  </si>
  <si>
    <t>0061i00000KQiKmAAL</t>
  </si>
  <si>
    <t>0061i00000IZEjcAAH</t>
  </si>
  <si>
    <t>0061i00000IuCyMAAV</t>
  </si>
  <si>
    <t>0061i00000JCCZ0AAP</t>
  </si>
  <si>
    <t>0061i00000EZBBJAA5</t>
  </si>
  <si>
    <t>0061i00000J9h1xAAB</t>
  </si>
  <si>
    <t>0061i00000GNQDQAA5</t>
  </si>
  <si>
    <t>0061i00000Ji0xPAAR</t>
  </si>
  <si>
    <t>0061i00000IZ8GZAA1</t>
  </si>
  <si>
    <t>0061i00000JjYRdAAN</t>
  </si>
  <si>
    <t>0061i00000IYCu5AAH</t>
  </si>
  <si>
    <t>0061i00000JhKsKAAV</t>
  </si>
  <si>
    <t>0061i00000Jhjb1AAB</t>
  </si>
  <si>
    <t>0061i00000HlG6wAAF</t>
  </si>
  <si>
    <t>0061i00000HkGzNAAV</t>
  </si>
  <si>
    <t>0061i00000Jg3n7AAB</t>
  </si>
  <si>
    <t>0061i00000FayROAAZ</t>
  </si>
  <si>
    <t>0061i00000JgLHJAA3</t>
  </si>
  <si>
    <t>0061i00000Hkzv9AAB</t>
  </si>
  <si>
    <t>0061i00000JhhpxAAB</t>
  </si>
  <si>
    <t>0061i00000IuBnHAAV</t>
  </si>
  <si>
    <t>0061i00000JBxrVAAT</t>
  </si>
  <si>
    <t>0061i00000JAo9SAAT</t>
  </si>
  <si>
    <t>0061i00000KR9Q1AAL</t>
  </si>
  <si>
    <t>0061i00000EZquQAAT</t>
  </si>
  <si>
    <t>0061i00000KBjd3AAD</t>
  </si>
  <si>
    <t>0061i00000JjaDJAAZ</t>
  </si>
  <si>
    <t>0061i00000IrwCSAAZ</t>
  </si>
  <si>
    <t>0061i00000GOOOPAA5</t>
  </si>
  <si>
    <t>0061i00000JhVQqAAN</t>
  </si>
  <si>
    <t>0061i00000JAczOAAT</t>
  </si>
  <si>
    <t>0061i00000JgLg4AAF</t>
  </si>
  <si>
    <t>0061i00000JBHlVAAX</t>
  </si>
  <si>
    <t>0061i00000JAlraAAD</t>
  </si>
  <si>
    <t>0061i00000IsiAfAAJ</t>
  </si>
  <si>
    <t>0061i00000JAnLHAA1</t>
  </si>
  <si>
    <t>0061i00000JhnzUAAR</t>
  </si>
  <si>
    <t>0061i00000J9FqQAAV</t>
  </si>
  <si>
    <t>0061i00000FZa2yAAD</t>
  </si>
  <si>
    <t>0061i00000IF8YvAAL</t>
  </si>
  <si>
    <t>0061i00000GO1KaAAL</t>
  </si>
  <si>
    <t>0061i00000EYpK4AAL</t>
  </si>
  <si>
    <t>0061i00000IuO7QAAV</t>
  </si>
  <si>
    <t>0061i00000EajouAAB</t>
  </si>
  <si>
    <t>0061i00000IY9OKAA1</t>
  </si>
  <si>
    <t>0061i00000Jg82GAAR</t>
  </si>
  <si>
    <t>0061i00000KQKZtAAP</t>
  </si>
  <si>
    <t>0061i00000IsPkAAAV</t>
  </si>
  <si>
    <t>0061i00000GPNTFAA5</t>
  </si>
  <si>
    <t>0061i00000JgzxAAAR</t>
  </si>
  <si>
    <t>0061i00000FbsVmAAJ</t>
  </si>
  <si>
    <t>0061i00000JhgAPAAZ</t>
  </si>
  <si>
    <t>0061i00000GMyfbAAD</t>
  </si>
  <si>
    <t>0061i00000GNppbAAD</t>
  </si>
  <si>
    <t>0061i00000Fb6g6AAB</t>
  </si>
  <si>
    <t>0061i00000FZUuLAAX</t>
  </si>
  <si>
    <t>0061i00000JjxNzAAJ</t>
  </si>
  <si>
    <t>0061i00000J9PZMAA3</t>
  </si>
  <si>
    <t>0061i00000GPzeTAAT</t>
  </si>
  <si>
    <t>0061i00000KCgtvAAD</t>
  </si>
  <si>
    <t>0061i00000Jji9LAAR</t>
  </si>
  <si>
    <t>0061i00000JBInzAAH</t>
  </si>
  <si>
    <t>0061i00000Fb3bnAAB</t>
  </si>
  <si>
    <t>0061i00000ItqXCAAZ</t>
  </si>
  <si>
    <t>0061i00000JCOgJAAX</t>
  </si>
  <si>
    <t>0061i00000JAqbIAAT</t>
  </si>
  <si>
    <t>0061i00000J9D0XAAV</t>
  </si>
  <si>
    <t>0061i00000IubbkAAB</t>
  </si>
  <si>
    <t>0061i00000JB7JjAAL</t>
  </si>
  <si>
    <t>0061i00000IZ77gAAD</t>
  </si>
  <si>
    <t>0061i00000HlatEAAR</t>
  </si>
  <si>
    <t>0061i00000JhWAOAA3</t>
  </si>
  <si>
    <t>0061i00000FZDgjAAH</t>
  </si>
  <si>
    <t>0061i00000IaBpsAAF</t>
  </si>
  <si>
    <t>0061i00000IZe4bAAD</t>
  </si>
  <si>
    <t>0061i00000KCVGtAAP</t>
  </si>
  <si>
    <t>0061i00000GNRpaAAH</t>
  </si>
  <si>
    <t>0061i00000JikXQAAZ</t>
  </si>
  <si>
    <t>0061i00000EZQuJAAX</t>
  </si>
  <si>
    <t>0061i00000KAJiiAAH</t>
  </si>
  <si>
    <t>0061i00000IZwIYAA1</t>
  </si>
  <si>
    <t>0061i00000JgonJAAR</t>
  </si>
  <si>
    <t>0061i00000JhmkiAAB</t>
  </si>
  <si>
    <t>0061i00000FbsXEAAZ</t>
  </si>
  <si>
    <t>0061i00000JhXJTAA3</t>
  </si>
  <si>
    <t>0061i00000JizPPAAZ</t>
  </si>
  <si>
    <t>0061i00000JhXTRAA3</t>
  </si>
  <si>
    <t>0061i00000HmBd8AAF</t>
  </si>
  <si>
    <t>0061i00000KREAoAAP</t>
  </si>
  <si>
    <t>0061i00000ItWu9AAF</t>
  </si>
  <si>
    <t>0061i00000JiKvEAAV</t>
  </si>
  <si>
    <t>0061i00000GMhhOAAT</t>
  </si>
  <si>
    <t>0061i00000JfvAFAAZ</t>
  </si>
  <si>
    <t>0061i00000JivYSAAZ</t>
  </si>
  <si>
    <t>0061i00000JhSgiAAF</t>
  </si>
  <si>
    <t>0061i00000JiRf2AAF</t>
  </si>
  <si>
    <t>0061i00000JixXgAAJ</t>
  </si>
  <si>
    <t>0061i00000K9FHxAAN</t>
  </si>
  <si>
    <t>0061i00000KC7lWAAT</t>
  </si>
  <si>
    <t>0061i00000KBES5AAP</t>
  </si>
  <si>
    <t>0061i00000K9iIeAAJ</t>
  </si>
  <si>
    <t>0061i00000GOEQFAA5</t>
  </si>
  <si>
    <t>0061i00000FY7jbAAD</t>
  </si>
  <si>
    <t>0061i00000KCZXsAAP</t>
  </si>
  <si>
    <t>0061i00000KQNHRAA5</t>
  </si>
  <si>
    <t>0061i00000It4ShAAJ</t>
  </si>
  <si>
    <t>0061i00000IZjtoAAD</t>
  </si>
  <si>
    <t>0061i00000JiQqIAAV</t>
  </si>
  <si>
    <t>0061i00000J8nyqAAB</t>
  </si>
  <si>
    <t>0061i00000IYmC7AAL</t>
  </si>
  <si>
    <t>0061i00000EYuOpAAL</t>
  </si>
  <si>
    <t>0061i00000KRBi3AAH</t>
  </si>
  <si>
    <t>0061i00000GPlhEAAT</t>
  </si>
  <si>
    <t>0061i00000JAAPBAA5</t>
  </si>
  <si>
    <t>0061i00000IC5xCAAT</t>
  </si>
  <si>
    <t>0061i00000IsVPdAAN</t>
  </si>
  <si>
    <t>0061i00000JB1rLAAT</t>
  </si>
  <si>
    <t>0061i00000JB4JcAAL</t>
  </si>
  <si>
    <t>0061i00000IYSm0AAH</t>
  </si>
  <si>
    <t>0061i00000IBhPwAAL</t>
  </si>
  <si>
    <t>0061i00000EaV7eAAF</t>
  </si>
  <si>
    <t>0061i00000JAW44AAH</t>
  </si>
  <si>
    <t>0061i00000GMDrFAAX</t>
  </si>
  <si>
    <t>0061i00000JhT0EAAV</t>
  </si>
  <si>
    <t>0061i00000GPerqAAD</t>
  </si>
  <si>
    <t>0061i00000EabyDAAR</t>
  </si>
  <si>
    <t>0061i00000KQIcZAAX</t>
  </si>
  <si>
    <t>0061i00000JjVITAA3</t>
  </si>
  <si>
    <t>0061i00000Ji1vtAAB</t>
  </si>
  <si>
    <t>0061i00000JhUjNAAV</t>
  </si>
  <si>
    <t>0061i00000J8SeIAAV</t>
  </si>
  <si>
    <t>0061i00000JBQ7DAAX</t>
  </si>
  <si>
    <t>0061i00000EYm0zAAD</t>
  </si>
  <si>
    <t>0061i00000GNt9UAAT</t>
  </si>
  <si>
    <t>0061i00000JhlwsAAB</t>
  </si>
  <si>
    <t>0061i00000KQzYgAAL</t>
  </si>
  <si>
    <t>0061i00000KAYudAAH</t>
  </si>
  <si>
    <t>0061i00000K9wahAAB</t>
  </si>
  <si>
    <t>0061i00000JhY3jAAF</t>
  </si>
  <si>
    <t>0061i00000Jg0qSAAR</t>
  </si>
  <si>
    <t>0061i00000IXJ96AAH</t>
  </si>
  <si>
    <t>0061i00000JARYZAA5</t>
  </si>
  <si>
    <t>0061i00000KB3AyAAL</t>
  </si>
  <si>
    <t>0061i00000IZ52LAAT</t>
  </si>
  <si>
    <t>0061i00000FYaDXAA1</t>
  </si>
  <si>
    <t>0061i00000FZs3DAAT</t>
  </si>
  <si>
    <t>0061i00000GN4DTAA1</t>
  </si>
  <si>
    <t>0061i00000KA6ZNAA1</t>
  </si>
  <si>
    <t>0061i00000Itfb6AAB</t>
  </si>
  <si>
    <t>0061i00000JB47vAAD</t>
  </si>
  <si>
    <t>0061i00000IYUNPAA5</t>
  </si>
  <si>
    <t>0061i00000It3hqAAB</t>
  </si>
  <si>
    <t>0061i00000HlcBtAAJ</t>
  </si>
  <si>
    <t>0061i00000JAUU5AAP</t>
  </si>
  <si>
    <t>0061i00000IY7ujAAD</t>
  </si>
  <si>
    <t>0061i00000EaQHeAAN</t>
  </si>
  <si>
    <t>0061i00000IWZ9iAAH</t>
  </si>
  <si>
    <t>0061i00000KA0ppAAD</t>
  </si>
  <si>
    <t>0061i00000J9WTuAAN</t>
  </si>
  <si>
    <t>0061i00000GOWNUAA5</t>
  </si>
  <si>
    <t>0061i00000GODZiAAP</t>
  </si>
  <si>
    <t>0061i00000KA8ClAAL</t>
  </si>
  <si>
    <t>0061i00000KSMerAAH</t>
  </si>
  <si>
    <t>0061i00000JgLYkAAN</t>
  </si>
  <si>
    <t>0061i00000GNpT6AAL</t>
  </si>
  <si>
    <t>0061i00000J9XoKAAV</t>
  </si>
  <si>
    <t>0061i00000JAdcPAAT</t>
  </si>
  <si>
    <t>0061i00000K9idOAAR</t>
  </si>
  <si>
    <t>0061i00000GQ6SXAA1</t>
  </si>
  <si>
    <t>0061i00000EYkHZAA1</t>
  </si>
  <si>
    <t>0061i00000JgY8GAAV</t>
  </si>
  <si>
    <t>0061i00000JhKcbAAF</t>
  </si>
  <si>
    <t>0061i00000GOjpUAAT</t>
  </si>
  <si>
    <t>0061i00000JBBrGAAX</t>
  </si>
  <si>
    <t>0061i00000GPNjrAAH</t>
  </si>
  <si>
    <t>0061i00000GNr1nAAD</t>
  </si>
  <si>
    <t>0061i00000JirfoAAB</t>
  </si>
  <si>
    <t>0061i00000KACUsAAP</t>
  </si>
  <si>
    <t>0061i00000IaCkPAAV</t>
  </si>
  <si>
    <t>0061i00000JBmWpAAL</t>
  </si>
  <si>
    <t>0061i00000KCU0uAAH</t>
  </si>
  <si>
    <t>0061i00000JC42gAAD</t>
  </si>
  <si>
    <t>0061i00000JilVyAAJ</t>
  </si>
  <si>
    <t>0061i00000IZAEzAAP</t>
  </si>
  <si>
    <t>0061i00000Fa4UcAAJ</t>
  </si>
  <si>
    <t>0061i00000Hj1b4AAB</t>
  </si>
  <si>
    <t>0061i00000FaHHmAAN</t>
  </si>
  <si>
    <t>0061i00000JAyWvAAL</t>
  </si>
  <si>
    <t>0061i00000IWxMSAA1</t>
  </si>
  <si>
    <t>0061i00000GNJNyAAP</t>
  </si>
  <si>
    <t>0061i00000Fa0RDAAZ</t>
  </si>
  <si>
    <t>0061i00000KQGleAAH</t>
  </si>
  <si>
    <t>0061i00000ICZdRAAX</t>
  </si>
  <si>
    <t>0061i00000KQSH3AAP</t>
  </si>
  <si>
    <t>0061i00000Jho7dAAB</t>
  </si>
  <si>
    <t>0061i00000ID75pAAD</t>
  </si>
  <si>
    <t>0061i00000JAcUHAA1</t>
  </si>
  <si>
    <t>0061i00000GOrleAAD</t>
  </si>
  <si>
    <t>0061i00000JgO8UAAV</t>
  </si>
  <si>
    <t>0061i00000IsTtpAAF</t>
  </si>
  <si>
    <t>0061i00000KA0DWAA1</t>
  </si>
  <si>
    <t>0061i00000FZvnEAAT</t>
  </si>
  <si>
    <t>0061i00000Jh4TZAAZ</t>
  </si>
  <si>
    <t>0061i00000KCFRHAA5</t>
  </si>
  <si>
    <t>0061i00000J9jn6AAB</t>
  </si>
  <si>
    <t>0061i00000JjvURAAZ</t>
  </si>
  <si>
    <t>0061i00000IC12bAAD</t>
  </si>
  <si>
    <t>0061i00000IvTJ7AAN</t>
  </si>
  <si>
    <t>0061i00000GO8pzAAD</t>
  </si>
  <si>
    <t>0061i00000ItcB2AAJ</t>
  </si>
  <si>
    <t>0061i00000ItM85AAF</t>
  </si>
  <si>
    <t>0061i00000KCpztAAD</t>
  </si>
  <si>
    <t>0061i00000JAkQYAA1</t>
  </si>
  <si>
    <t>0061i00000ItdBQAAZ</t>
  </si>
  <si>
    <t>0061i00000ItEmDAAV</t>
  </si>
  <si>
    <t>0061i00000IaIXpAAN</t>
  </si>
  <si>
    <t>0061i00000IsxMqAAJ</t>
  </si>
  <si>
    <t>0061i00000Itcn9AAB</t>
  </si>
  <si>
    <t>0061i00000IaSe4AAF</t>
  </si>
  <si>
    <t>0061i00000IruqKAAR</t>
  </si>
  <si>
    <t>0061i00000JhLe4AAF</t>
  </si>
  <si>
    <t>0061i00000JA7MxAAL</t>
  </si>
  <si>
    <t>0061i00000JCKpDAAX</t>
  </si>
  <si>
    <t>0061i00000EaMlmAAF</t>
  </si>
  <si>
    <t>0061i00000JCO45AAH</t>
  </si>
  <si>
    <t>0061i00000K9fT5AAJ</t>
  </si>
  <si>
    <t>0061i00000IsEhwAAF</t>
  </si>
  <si>
    <t>0061i00000KAn5zAAD</t>
  </si>
  <si>
    <t>0061i00000FYHPcAAP</t>
  </si>
  <si>
    <t>0061i00000JBb4LAAT</t>
  </si>
  <si>
    <t>0061i00000Jhv9AAAR</t>
  </si>
  <si>
    <t>0061i00000FadzEAAR</t>
  </si>
  <si>
    <t>0061i00000JgWyLAAV</t>
  </si>
  <si>
    <t>0061i00000KAcNNAA1</t>
  </si>
  <si>
    <t>0061i00000Is0wtAAB</t>
  </si>
  <si>
    <t>0061i00000JBMTtAAP</t>
  </si>
  <si>
    <t>0061i00000IErPuAAL</t>
  </si>
  <si>
    <t>0061i00000JiQuZAAV</t>
  </si>
  <si>
    <t>0061i00000JjY5cAAF</t>
  </si>
  <si>
    <t>0061i00000Jhwe1AAB</t>
  </si>
  <si>
    <t>0061i00000JjVslAAF</t>
  </si>
  <si>
    <t>0061i00000Jhtj1AAB</t>
  </si>
  <si>
    <t>0061i00000JjjsHAAR</t>
  </si>
  <si>
    <t>0061i00000IvWFHAA3</t>
  </si>
  <si>
    <t>0061i00000IaVdWAAV</t>
  </si>
  <si>
    <t>0061i00000JglYSAAZ</t>
  </si>
  <si>
    <t>0061i00000HjrbuAAB</t>
  </si>
  <si>
    <t>0061i00000IsgveAAB</t>
  </si>
  <si>
    <t>0061i00000JiOquAAF</t>
  </si>
  <si>
    <t>0061i00000EYTZ1AAP</t>
  </si>
  <si>
    <t>0061i00000Jg5R0AAJ</t>
  </si>
  <si>
    <t>0061i00000JBlTVAA1</t>
  </si>
  <si>
    <t>0061i00000HlxmNAAR</t>
  </si>
  <si>
    <t>0061i00000GPp5hAAD</t>
  </si>
  <si>
    <t>0061i00000IBltCAAT</t>
  </si>
  <si>
    <t>0061i00000GPTjJAAX</t>
  </si>
  <si>
    <t>0061i00000Ia9cFAAR</t>
  </si>
  <si>
    <t>0061i00000JAyBdAAL</t>
  </si>
  <si>
    <t>0061i00000KBZU1AAP</t>
  </si>
  <si>
    <t>0061i00000JAzIEAA1</t>
  </si>
  <si>
    <t>0061i00000IuXJDAA3</t>
  </si>
  <si>
    <t>0061i00000HjamrAAB</t>
  </si>
  <si>
    <t>0061i00000IZToxAAH</t>
  </si>
  <si>
    <t>0061i00000IDeCEAA1</t>
  </si>
  <si>
    <t>0061i00000IZt6UAAT</t>
  </si>
  <si>
    <t>0061i00000KCUfsAAH</t>
  </si>
  <si>
    <t>0061i00000EaZxtAAF</t>
  </si>
  <si>
    <t>0061i00000HiYB9AAN</t>
  </si>
  <si>
    <t>0061i00000Jjm8WAAR</t>
  </si>
  <si>
    <t>0061i00000HiVCEAA3</t>
  </si>
  <si>
    <t>0061i00000K9ldkAAB</t>
  </si>
  <si>
    <t>0061i00000ItIelAAF</t>
  </si>
  <si>
    <t>0061i00000GO50PAAT</t>
  </si>
  <si>
    <t>0061i00000JAAAQAA5</t>
  </si>
  <si>
    <t>0061i00000HipWnAAJ</t>
  </si>
  <si>
    <t>0061i00000HiDwzAAF</t>
  </si>
  <si>
    <t>0061i00000GPQWCAA5</t>
  </si>
  <si>
    <t>0061i00000KRpK7AAL</t>
  </si>
  <si>
    <t>0061i00000FYZEoAAP</t>
  </si>
  <si>
    <t>0061i00000EZ9mwAAD</t>
  </si>
  <si>
    <t>0061i00000JAlXaAAL</t>
  </si>
  <si>
    <t>0061i00000FYphxAAD</t>
  </si>
  <si>
    <t>0061i00000Fa3VWAAZ</t>
  </si>
  <si>
    <t>0061i00000K9SXrAAN</t>
  </si>
  <si>
    <t>0061i00000JiankAAB</t>
  </si>
  <si>
    <t>0061i00000HjrikAAB</t>
  </si>
  <si>
    <t>0061i00000Jis7xAAB</t>
  </si>
  <si>
    <t>0061i00000J93f1AAB</t>
  </si>
  <si>
    <t>0061i00000KAIykAAH</t>
  </si>
  <si>
    <t>0061i00000EaHiTAAV</t>
  </si>
  <si>
    <t>0061i00000JhDIPAA3</t>
  </si>
  <si>
    <t>0061i00000IrfaAAAR</t>
  </si>
  <si>
    <t>0061i00000JCEDkAAP</t>
  </si>
  <si>
    <t>0061i00000KBIiHAAX</t>
  </si>
  <si>
    <t>0061i00000EYQrlAAH</t>
  </si>
  <si>
    <t>0061i00000HlqEsAAJ</t>
  </si>
  <si>
    <t>0061i00000IBacvAAD</t>
  </si>
  <si>
    <t>0061i00000JAPvaAAH</t>
  </si>
  <si>
    <t>0061i00000J9lo5AAB</t>
  </si>
  <si>
    <t>0061i00000K9fUmAAJ</t>
  </si>
  <si>
    <t>0061i00000KA19eAAD</t>
  </si>
  <si>
    <t>0061i00000JAhZ0AAL</t>
  </si>
  <si>
    <t>0061i00000K9jpZAAR</t>
  </si>
  <si>
    <t>0061i00000FZc4dAAD</t>
  </si>
  <si>
    <t>0061i00000JhImFAAV</t>
  </si>
  <si>
    <t>0061i00000IvFFsAAN</t>
  </si>
  <si>
    <t>0061i00000IukRgAAJ</t>
  </si>
  <si>
    <t>0061i00000ICYbjAAH</t>
  </si>
  <si>
    <t>0061i00000K9NqrAAF</t>
  </si>
  <si>
    <t>0061i00000KRfBtAAL</t>
  </si>
  <si>
    <t>0061i00000ItP8DAAV</t>
  </si>
  <si>
    <t>0061i00000ICkDJAA1</t>
  </si>
  <si>
    <t>0061i00000Favd7AAB</t>
  </si>
  <si>
    <t>0061i00000J9w1oAAB</t>
  </si>
  <si>
    <t>0061i00000JBTJzAAP</t>
  </si>
  <si>
    <t>0061i00000JjY96AAF</t>
  </si>
  <si>
    <t>0061i00000JhMnqAAF</t>
  </si>
  <si>
    <t>0061i00000IZDa0AAH</t>
  </si>
  <si>
    <t>0061i00000JfwK6AAJ</t>
  </si>
  <si>
    <t>0061i00000JBbqoAAD</t>
  </si>
  <si>
    <t>0061i00000JBAihAAH</t>
  </si>
  <si>
    <t>0061i00000JAY5KAAX</t>
  </si>
  <si>
    <t>0061i00000IBjl6AAD</t>
  </si>
  <si>
    <t>0061i00000HiwjPAAR</t>
  </si>
  <si>
    <t>0061i00000KA75sAAD</t>
  </si>
  <si>
    <t>0061i00000FbG8uAAF</t>
  </si>
  <si>
    <t>0061i00000JieQNAAZ</t>
  </si>
  <si>
    <t>0061i00000HkTgFAAV</t>
  </si>
  <si>
    <t>0061i00000ID6UEAA1</t>
  </si>
  <si>
    <t>0061i00000K9VXnAAN</t>
  </si>
  <si>
    <t>0061i00000KBDLIAA5</t>
  </si>
  <si>
    <t>0061i00000JBYVsAAP</t>
  </si>
  <si>
    <t>0061i00000FYSNuAAP</t>
  </si>
  <si>
    <t>0061i00000FYNHpAAP</t>
  </si>
  <si>
    <t>0061i00000JhTSFAA3</t>
  </si>
  <si>
    <t>0061i00000JhRYxAAN</t>
  </si>
  <si>
    <t>0061i00000Ji1rIAAR</t>
  </si>
  <si>
    <t>0061i00000EYZvYAAX</t>
  </si>
  <si>
    <t>0061i00000JgwVDAAZ</t>
  </si>
  <si>
    <t>0061i00000HiSY2AAN</t>
  </si>
  <si>
    <t>0061i00000JiqnIAAR</t>
  </si>
  <si>
    <t>0061i00000JBPasAAH</t>
  </si>
  <si>
    <t>0061i00000Ia8tDAAR</t>
  </si>
  <si>
    <t>0061i00000JAf0wAAD</t>
  </si>
  <si>
    <t>0061i00000Jgqv5AAB</t>
  </si>
  <si>
    <t>0061i00000GPQNuAAP</t>
  </si>
  <si>
    <t>0061i00000JAsljAAD</t>
  </si>
  <si>
    <t>0061i00000JBFlvAAH</t>
  </si>
  <si>
    <t>0061i00000EaS37AAF</t>
  </si>
  <si>
    <t>0061i00000ID6dbAAD</t>
  </si>
  <si>
    <t>0061i00000EYnyvAAD</t>
  </si>
  <si>
    <t>0061i00000IFGBdAAP</t>
  </si>
  <si>
    <t>0061i00000JBKX0AAP</t>
  </si>
  <si>
    <t>0061i00000J8w1EAAR</t>
  </si>
  <si>
    <t>0061i00000IaVEPAA3</t>
  </si>
  <si>
    <t>0061i00000Jg60DAAR</t>
  </si>
  <si>
    <t>0061i00000Hjwn1AAB</t>
  </si>
  <si>
    <t>0061i00000Iac8AAAR</t>
  </si>
  <si>
    <t>0061i00000JjazAAAR</t>
  </si>
  <si>
    <t>0061i00000HlBQsAAN</t>
  </si>
  <si>
    <t>0061i00000HlnNOAAZ</t>
  </si>
  <si>
    <t>0061i00000K9StRAAV</t>
  </si>
  <si>
    <t>0061i00000JhudYAAR</t>
  </si>
  <si>
    <t>0061i00000Jjx9EAAR</t>
  </si>
  <si>
    <t>0061i00000GP9k6AAD</t>
  </si>
  <si>
    <t>0061i00000FaitVAAR</t>
  </si>
  <si>
    <t>0061i00000FbesyAAB</t>
  </si>
  <si>
    <t>0061i00000JhRf0AAF</t>
  </si>
  <si>
    <t>0061i00000JhwtnAAB</t>
  </si>
  <si>
    <t>0061i00000JiwkFAAR</t>
  </si>
  <si>
    <t>0061i00000IXfAgAAL</t>
  </si>
  <si>
    <t>0061i00000Jg30vAAB</t>
  </si>
  <si>
    <t>0061i00000FZaOLAA1</t>
  </si>
  <si>
    <t>0061i00000EZrtYAAT</t>
  </si>
  <si>
    <t>0061i00000JA95vAAD</t>
  </si>
  <si>
    <t>0061i00000KR9ySAAT</t>
  </si>
  <si>
    <t>0061i00000Fbs8xAAB</t>
  </si>
  <si>
    <t>0061i00000IuDWiAAN</t>
  </si>
  <si>
    <t>0061i00000HjwIwAAJ</t>
  </si>
  <si>
    <t>0061i00000GMxuzAAD</t>
  </si>
  <si>
    <t>0061i00000IXrOJAA1</t>
  </si>
  <si>
    <t>0061i00000FYMrXAAX</t>
  </si>
  <si>
    <t>0061i00000GPcbMAAT</t>
  </si>
  <si>
    <t>0061i00000Hj1gIAAR</t>
  </si>
  <si>
    <t>0061i00000FZstYAAT</t>
  </si>
  <si>
    <t>0061i00000KD4JnAAL</t>
  </si>
  <si>
    <t>0061i00000KQtIWAA1</t>
  </si>
  <si>
    <t>0061i00000JASpeAAH</t>
  </si>
  <si>
    <t>0061i00000Jh1pEAAR</t>
  </si>
  <si>
    <t>0061i00000K9URFAA3</t>
  </si>
  <si>
    <t>0061i00000KCyOmAAL</t>
  </si>
  <si>
    <t>0061i00000JgwqpAAB</t>
  </si>
  <si>
    <t>0061i00000JB4RRAA1</t>
  </si>
  <si>
    <t>0061i00000EZr2jAAD</t>
  </si>
  <si>
    <t>0061i00000HkXKDAA3</t>
  </si>
  <si>
    <t>0061i00000JBvX4AAL</t>
  </si>
  <si>
    <t>0061i00000HlpTJAAZ</t>
  </si>
  <si>
    <t>0061i00000JB2LLAA1</t>
  </si>
  <si>
    <t>0061i00000JiUo1AAF</t>
  </si>
  <si>
    <t>0061i00000JjxZTAAZ</t>
  </si>
  <si>
    <t>0061i00000IsuxZAAR</t>
  </si>
  <si>
    <t>0061i00000JjRSUAA3</t>
  </si>
  <si>
    <t>0061i00000Hi87rAAB</t>
  </si>
  <si>
    <t>0061i00000KArExAAL</t>
  </si>
  <si>
    <t>0061i00000KD44EAAT</t>
  </si>
  <si>
    <t>0061i00000KR71WAAT</t>
  </si>
  <si>
    <t>0061i00000K9wEfAAJ</t>
  </si>
  <si>
    <t>0061i00000IDIiHAAX</t>
  </si>
  <si>
    <t>0061i00000IaW2gAAF</t>
  </si>
  <si>
    <t>0061i00000IsDTKAA3</t>
  </si>
  <si>
    <t>0061i00000K9jJkAAJ</t>
  </si>
  <si>
    <t>0061i00000JBtJZAA1</t>
  </si>
  <si>
    <t>0061i00000JhWpHAAV</t>
  </si>
  <si>
    <t>0061i00000ItaKFAAZ</t>
  </si>
  <si>
    <t>0061i00000JjZZnAAN</t>
  </si>
  <si>
    <t>0061i00000JB7gyAAD</t>
  </si>
  <si>
    <t>0061i00000EZWLeAAP</t>
  </si>
  <si>
    <t>0061i00000Ji1wDAAR</t>
  </si>
  <si>
    <t>0061i00000ICYMPAA5</t>
  </si>
  <si>
    <t>0061i00000K9J7KAAV</t>
  </si>
  <si>
    <t>0061i00000Hkf39AAB</t>
  </si>
  <si>
    <t>0061i00000FZBk4AAH</t>
  </si>
  <si>
    <t>0061i00000Faja5AAB</t>
  </si>
  <si>
    <t>0061i00000IZ4SgAAL</t>
  </si>
  <si>
    <t>0061i00000KRMVTAA5</t>
  </si>
  <si>
    <t>0061i00000FZXdcAAH</t>
  </si>
  <si>
    <t>0061i00000JBOJRAA5</t>
  </si>
  <si>
    <t>0061i00000J9sBAAAZ</t>
  </si>
  <si>
    <t>0061i00000GO2K3AAL</t>
  </si>
  <si>
    <t>0061i00000FbryOAAR</t>
  </si>
  <si>
    <t>0061i00000KA1mHAAT</t>
  </si>
  <si>
    <t>0061i00000FY21sAAD</t>
  </si>
  <si>
    <t>0061i00000KCgoqAAD</t>
  </si>
  <si>
    <t>0061i00000JiL10AAF</t>
  </si>
  <si>
    <t>0061i00000JhfiQAAR</t>
  </si>
  <si>
    <t>0061i00000IDVn9AAH</t>
  </si>
  <si>
    <t>0061i00000K9gMtAAJ</t>
  </si>
  <si>
    <t>0061i00000JhyAGAAZ</t>
  </si>
  <si>
    <t>0061i00000IDaFCAA1</t>
  </si>
  <si>
    <t>0061i00000J9fISAAZ</t>
  </si>
  <si>
    <t>0061i00000JiHtxAAF</t>
  </si>
  <si>
    <t>0061i00000JC6DKAA1</t>
  </si>
  <si>
    <t>0061i00000K9mJ7AAJ</t>
  </si>
  <si>
    <t>0061i00000Hi8bXAAR</t>
  </si>
  <si>
    <t>0061i00000J9LfiAAF</t>
  </si>
  <si>
    <t>0061i00000JBBvcAAH</t>
  </si>
  <si>
    <t>0061i00000GOronAAD</t>
  </si>
  <si>
    <t>0061i00000HiblFAAR</t>
  </si>
  <si>
    <t>0061i00000Fam5HAAR</t>
  </si>
  <si>
    <t>0061i00000JjVUjAAN</t>
  </si>
  <si>
    <t>0061i00000HmBrXAAV</t>
  </si>
  <si>
    <t>0061i00000IrvpOAAR</t>
  </si>
  <si>
    <t>0061i00000ItXzKAAV</t>
  </si>
  <si>
    <t>0061i00000JhnEJAAZ</t>
  </si>
  <si>
    <t>0061i00000His2lAAB</t>
  </si>
  <si>
    <t>0061i00000HjcsnAAB</t>
  </si>
  <si>
    <t>0061i00000EZToTAAX</t>
  </si>
  <si>
    <t>0061i00000IDJEXAA5</t>
  </si>
  <si>
    <t>0061i00000IZrTgAAL</t>
  </si>
  <si>
    <t>0061i00000IFa0LAAT</t>
  </si>
  <si>
    <t>0061i00000FbfXWAAZ</t>
  </si>
  <si>
    <t>0061i00000JjlT9AAJ</t>
  </si>
  <si>
    <t>0061i00000K9yu9AAB</t>
  </si>
  <si>
    <t>0061i00000K9vCYAAZ</t>
  </si>
  <si>
    <t>0061i00000FY32hAAD</t>
  </si>
  <si>
    <t>0061i00000KC8aZAAT</t>
  </si>
  <si>
    <t>0061i00000KQqV9AAL</t>
  </si>
  <si>
    <t>0061i00000KZAChAAP</t>
  </si>
  <si>
    <t>0061i00000JgWQnAAN</t>
  </si>
  <si>
    <t>0061i00000JjlXzAAJ</t>
  </si>
  <si>
    <t>0061i00000ItdEFAAZ</t>
  </si>
  <si>
    <t>0061i00000GQ4u2AAD</t>
  </si>
  <si>
    <t>0061i00000KCMHdAAP</t>
  </si>
  <si>
    <t>0061i00000K9rRAAAZ</t>
  </si>
  <si>
    <t>0061i00000JihliAAB</t>
  </si>
  <si>
    <t>0061i00000KQDRNAA5</t>
  </si>
  <si>
    <t>0061i00000KQpUSAA1</t>
  </si>
  <si>
    <t>0061i00000IucdNAAR</t>
  </si>
  <si>
    <t>0061i00000FZISgAAP</t>
  </si>
  <si>
    <t>0061i00000K9ivqAAB</t>
  </si>
  <si>
    <t>0061i00000It3bXAAR</t>
  </si>
  <si>
    <t>0061i00000IFUgkAAH</t>
  </si>
  <si>
    <t>0061i00000K9gj9AAB</t>
  </si>
  <si>
    <t>0061i00000JhgIOAAZ</t>
  </si>
  <si>
    <t>0061i00000KCBf5AAH</t>
  </si>
  <si>
    <t>0061i00000HirhnAAB</t>
  </si>
  <si>
    <t>0061i00000IaTvfAAF</t>
  </si>
  <si>
    <t>0061i00000EZyE1AAL</t>
  </si>
  <si>
    <t>0061i00000JjuVkAAJ</t>
  </si>
  <si>
    <t>0061i00000KA0G5AAL</t>
  </si>
  <si>
    <t>0061i00000K9f8HAAR</t>
  </si>
  <si>
    <t>0061i00000KAnjfAAD</t>
  </si>
  <si>
    <t>0061i00000JBYZdAAP</t>
  </si>
  <si>
    <t>0061i00000IWaCIAA1</t>
  </si>
  <si>
    <t>0061i00000KAYCMAA5</t>
  </si>
  <si>
    <t>0061i00000FYI7MAAX</t>
  </si>
  <si>
    <t>0061i00000IthDrAAJ</t>
  </si>
  <si>
    <t>0061i00000FZIhMAAX</t>
  </si>
  <si>
    <t>0061i00000Fbh9KAAR</t>
  </si>
  <si>
    <t>0061i00000JBcY2AAL</t>
  </si>
  <si>
    <t>0061i00000J8v8eAAB</t>
  </si>
  <si>
    <t>0061i00000JfpmwAAB</t>
  </si>
  <si>
    <t>0061i00000KCYhDAAX</t>
  </si>
  <si>
    <t>0061i00000JhEisAAF</t>
  </si>
  <si>
    <t>0061i00000EZk2EAAT</t>
  </si>
  <si>
    <t>0061i00000HlZMEAA3</t>
  </si>
  <si>
    <t>0061i00000JhLmmAAF</t>
  </si>
  <si>
    <t>0061i00000KCZoeAAH</t>
  </si>
  <si>
    <t>0061i00000IC9NTAA1</t>
  </si>
  <si>
    <t>0061i00000K9S4oAAF</t>
  </si>
  <si>
    <t>0061i00000Jhut2AAB</t>
  </si>
  <si>
    <t>0061i00000Ji146AAB</t>
  </si>
  <si>
    <t>0061i00000JhXdlAAF</t>
  </si>
  <si>
    <t>0061i00000IaWfxAAF</t>
  </si>
  <si>
    <t>0061i00000JgGUhAAN</t>
  </si>
  <si>
    <t>0061i00000Kb4xYAAR</t>
  </si>
  <si>
    <t>0061i00000IBbtEAAT</t>
  </si>
  <si>
    <t>0061i00000IYquYAAT</t>
  </si>
  <si>
    <t>0061i00000JhMDnAAN</t>
  </si>
  <si>
    <t>0061i00000J8TdBAAV</t>
  </si>
  <si>
    <t>0061i00000EYYv9AAH</t>
  </si>
  <si>
    <t>0061i00000IEx80AAD</t>
  </si>
  <si>
    <t>0061i00000EaLJmAAN</t>
  </si>
  <si>
    <t>0061i00000JAxe1AAD</t>
  </si>
  <si>
    <t>0061i00000JfxdZAAR</t>
  </si>
  <si>
    <t>0061i00000IunJpAAJ</t>
  </si>
  <si>
    <t>0061i00000JBi85AAD</t>
  </si>
  <si>
    <t>0061i00000HkqSwAAJ</t>
  </si>
  <si>
    <t>0061i00000IFP8TAAX</t>
  </si>
  <si>
    <t>0061i00000JBjJ9AAL</t>
  </si>
  <si>
    <t>0061i00000J9WzCAAV</t>
  </si>
  <si>
    <t>0061i00000IsTCMAA3</t>
  </si>
  <si>
    <t>0061i00000JBcTHAA1</t>
  </si>
  <si>
    <t>0061i00000Ji11vAAB</t>
  </si>
  <si>
    <t>0061i00000HiIExAAN</t>
  </si>
  <si>
    <t>0061i00000HkgiQAAR</t>
  </si>
  <si>
    <t>0061i00000KB4JcAAL</t>
  </si>
  <si>
    <t>0061i00000K9zPcAAJ</t>
  </si>
  <si>
    <t>0061i00000JivIKAAZ</t>
  </si>
  <si>
    <t>0061i00000JBolNAAT</t>
  </si>
  <si>
    <t>0061i00000KQIkdAAH</t>
  </si>
  <si>
    <t>0061i00000JAnwrAAD</t>
  </si>
  <si>
    <t>0061i00000IZ5dLAAT</t>
  </si>
  <si>
    <t>0061i00000GN9FpAAL</t>
  </si>
  <si>
    <t>0061i00000JhXhxAAF</t>
  </si>
  <si>
    <t>0061i00000GODVCAA5</t>
  </si>
  <si>
    <t>0061i00000ID4tlAAD</t>
  </si>
  <si>
    <t>0061i00000IrfOdAAJ</t>
  </si>
  <si>
    <t>0061i00000Jg4GJAAZ</t>
  </si>
  <si>
    <t>0061i00000K9Z52AAF</t>
  </si>
  <si>
    <t>0061i00000ICOuIAAX</t>
  </si>
  <si>
    <t>0061i00000IaAtFAAV</t>
  </si>
  <si>
    <t>0061i00000IXbtcAAD</t>
  </si>
  <si>
    <t>0061i00000KR0UpAAL</t>
  </si>
  <si>
    <t>0061i00000J8p12AAB</t>
  </si>
  <si>
    <t>0061i00000Jh3WcAAJ</t>
  </si>
  <si>
    <t>0061i00000KQNPkAAP</t>
  </si>
  <si>
    <t>0061i00000HjyUGAAZ</t>
  </si>
  <si>
    <t>0061i00000JBt9ZAAT</t>
  </si>
  <si>
    <t>0061i00000JAyojAAD</t>
  </si>
  <si>
    <t>0061i00000ItEq4AAF</t>
  </si>
  <si>
    <t>0061i00000JiTYqAAN</t>
  </si>
  <si>
    <t>0061i00000GOWqzAAH</t>
  </si>
  <si>
    <t>0061i00000J9DKcAAN</t>
  </si>
  <si>
    <t>0061i00000Jg4E9AAJ</t>
  </si>
  <si>
    <t>0061i00000JgUGpAAN</t>
  </si>
  <si>
    <t>0061i00000HiD9xAAF</t>
  </si>
  <si>
    <t>0061i00000GP4b6AAD</t>
  </si>
  <si>
    <t>0061i00000JhEDLAA3</t>
  </si>
  <si>
    <t>0061i00000IDx44AAD</t>
  </si>
  <si>
    <t>0061i00000GMJvrAAH</t>
  </si>
  <si>
    <t>0061i00000FZdZyAAL</t>
  </si>
  <si>
    <t>0061i00000ItWyQAAV</t>
  </si>
  <si>
    <t>0061i00000JCJX2AAP</t>
  </si>
  <si>
    <t>0061i00000J9M9sAAF</t>
  </si>
  <si>
    <t>0061i00000JjauIAAR</t>
  </si>
  <si>
    <t>0061i00000IDMKiAAP</t>
  </si>
  <si>
    <t>0061i00000JjPOVAA3</t>
  </si>
  <si>
    <t>0061i00000IvBRVAA3</t>
  </si>
  <si>
    <t>0061i00000IBm0oAAD</t>
  </si>
  <si>
    <t>0061i00000KAZOhAAP</t>
  </si>
  <si>
    <t>0061i00000JhI4SAAV</t>
  </si>
  <si>
    <t>0061i00000FXz31AAD</t>
  </si>
  <si>
    <t>0061i00000IrzVRAAZ</t>
  </si>
  <si>
    <t>0061i00000JBKdJAAX</t>
  </si>
  <si>
    <t>0061i00000JfyAPAAZ</t>
  </si>
  <si>
    <t>0061i00000ID9CaAAL</t>
  </si>
  <si>
    <t>0061i00000JjgBFAAZ</t>
  </si>
  <si>
    <t>0061i00000JgjmCAAR</t>
  </si>
  <si>
    <t>0061i00000EaGQEAA3</t>
  </si>
  <si>
    <t>0061i00000KCF5BAAX</t>
  </si>
  <si>
    <t>0061i00000FY0KDAA1</t>
  </si>
  <si>
    <t>0061i00000IuAOQAA3</t>
  </si>
  <si>
    <t>0061i00000K9LvpAAF</t>
  </si>
  <si>
    <t>0061i00000K9NkyAAF</t>
  </si>
  <si>
    <t>0061i00000JBu8IAAT</t>
  </si>
  <si>
    <t>0061i00000GP7TiAAL</t>
  </si>
  <si>
    <t>0061i00000JhtPGAAZ</t>
  </si>
  <si>
    <t>0061i00000IZvszAAD</t>
  </si>
  <si>
    <t>0061i00000IEWIiAAP</t>
  </si>
  <si>
    <t>0061i00000IuZHUAA3</t>
  </si>
  <si>
    <t>0061i00000IsVL7AAN</t>
  </si>
  <si>
    <t>0061i00000JjlrpAAB</t>
  </si>
  <si>
    <t>0061i00000JhjLVAAZ</t>
  </si>
  <si>
    <t>0061i00000JhoIgAAJ</t>
  </si>
  <si>
    <t>0061i00000GOZvRAAX</t>
  </si>
  <si>
    <t>0061i00000JBhG8AAL</t>
  </si>
  <si>
    <t>0061i00000JghvbAAB</t>
  </si>
  <si>
    <t>0061i00000JjdvPAAR</t>
  </si>
  <si>
    <t>0061i00000JhNjaAAF</t>
  </si>
  <si>
    <t>0061i00000K9zDaAAJ</t>
  </si>
  <si>
    <t>0061i00000JCEVjAAP</t>
  </si>
  <si>
    <t>0061i00000Jjfp4AAB</t>
  </si>
  <si>
    <t>0061i00000Jg7L8AAJ</t>
  </si>
  <si>
    <t>0061i00000IBnboAAD</t>
  </si>
  <si>
    <t>0061i00000KYstdAAD</t>
  </si>
  <si>
    <t>0061i00000JiyHAAAZ</t>
  </si>
  <si>
    <t>0061i00000K9rGHAAZ</t>
  </si>
  <si>
    <t>0061i00000JAe2IAAT</t>
  </si>
  <si>
    <t>0061i00000K9qBzAAJ</t>
  </si>
  <si>
    <t>0061i00000K9rs1AAB</t>
  </si>
  <si>
    <t>0061i00000FXzqdAAD</t>
  </si>
  <si>
    <t>0061i00000HjZlVAAV</t>
  </si>
  <si>
    <t>0061i00000KA8k4AAD</t>
  </si>
  <si>
    <t>0061i00000IBn5OAAT</t>
  </si>
  <si>
    <t>0061i00000KBdVcAAL</t>
  </si>
  <si>
    <t>0061i00000EZy5UAAT</t>
  </si>
  <si>
    <t>0061i00000GQ45oAAD</t>
  </si>
  <si>
    <t>0061i00000GMzaIAAT</t>
  </si>
  <si>
    <t>0061i00000JjeCfAAJ</t>
  </si>
  <si>
    <t>0061i00000JgtRhAAJ</t>
  </si>
  <si>
    <t>0061i00000IsveOAAR</t>
  </si>
  <si>
    <t>0061i00000JhtbcAAB</t>
  </si>
  <si>
    <t>0061i00000JjW0JAAV</t>
  </si>
  <si>
    <t>0061i00000IBbUTAA1</t>
  </si>
  <si>
    <t>0061i00000JAtKjAAL</t>
  </si>
  <si>
    <t>0061i00000KACDcAAP</t>
  </si>
  <si>
    <t>0061i00000JhjycAAB</t>
  </si>
  <si>
    <t>0061i00000JAbHQAA1</t>
  </si>
  <si>
    <t>0061i00000HlF2kAAF</t>
  </si>
  <si>
    <t>0061i00000JijlGAAR</t>
  </si>
  <si>
    <t>0061i00000HkoH3AAJ</t>
  </si>
  <si>
    <t>0061i00000ItMUGAA3</t>
  </si>
  <si>
    <t>0061i00000JCN7rAAH</t>
  </si>
  <si>
    <t>0061i00000JgKjHAAV</t>
  </si>
  <si>
    <t>0061i00000IsDfaAAF</t>
  </si>
  <si>
    <t>0061i00000KBDEWAA5</t>
  </si>
  <si>
    <t>0061i00000GODpCAAX</t>
  </si>
  <si>
    <t>0061i00000K9HlcAAF</t>
  </si>
  <si>
    <t>0061i00000JhWVbAAN</t>
  </si>
  <si>
    <t>0061i00000JAME8AAP</t>
  </si>
  <si>
    <t>0061i00000FZ7pAAAT</t>
  </si>
  <si>
    <t>0061i00000Hj8DmAAJ</t>
  </si>
  <si>
    <t>0061i00000K9s0KAAR</t>
  </si>
  <si>
    <t>0061i00000JBtEoAAL</t>
  </si>
  <si>
    <t>0061i00000K9bp7AAB</t>
  </si>
  <si>
    <t>0061i00000JAPopAAH</t>
  </si>
  <si>
    <t>0061i00000IuqSaAAJ</t>
  </si>
  <si>
    <t>0061i00000JB2OoAAL</t>
  </si>
  <si>
    <t>0061i00000KCU3VAAX</t>
  </si>
  <si>
    <t>0061i00000IYV81AAH</t>
  </si>
  <si>
    <t>0061i00000IvO81AAF</t>
  </si>
  <si>
    <t>0061i00000JB2XWAA1</t>
  </si>
  <si>
    <t>0061i00000J98nAAAR</t>
  </si>
  <si>
    <t>0061i00000IBbqjAAD</t>
  </si>
  <si>
    <t>0061i00000IF9p4AAD</t>
  </si>
  <si>
    <t>0061i00000J9TU1AAN</t>
  </si>
  <si>
    <t>0061i00000JhJegAAF</t>
  </si>
  <si>
    <t>0061i00000FY4GHAA1</t>
  </si>
  <si>
    <t>0061i00000JC5kIAAT</t>
  </si>
  <si>
    <t>0061i00000K9L8JAAV</t>
  </si>
  <si>
    <t>0061i00000IEVn6AAH</t>
  </si>
  <si>
    <t>0061i00000J9cSDAAZ</t>
  </si>
  <si>
    <t>0061i00000JhRWcAAN</t>
  </si>
  <si>
    <t>0061i00000HlF9WAAV</t>
  </si>
  <si>
    <t>0061i00000IsUNuAAN</t>
  </si>
  <si>
    <t>0061i00000HjcQuAAJ</t>
  </si>
  <si>
    <t>0061i00000IX4y9AAD</t>
  </si>
  <si>
    <t>0061i00000JhjF8AAJ</t>
  </si>
  <si>
    <t>0061i00000EYq4WAAT</t>
  </si>
  <si>
    <t>0061i00000EaIY5AAN</t>
  </si>
  <si>
    <t>0061i00000Irt1uAAB</t>
  </si>
  <si>
    <t>0061i00000KBkjVAAT</t>
  </si>
  <si>
    <t>0061i00000HjHvYAAV</t>
  </si>
  <si>
    <t>0061i00000KB3dbAAD</t>
  </si>
  <si>
    <t>0061i00000JiuLSAAZ</t>
  </si>
  <si>
    <t>0061i00000EazaHAAR</t>
  </si>
  <si>
    <t>0061i00000JAEUZAA5</t>
  </si>
  <si>
    <t>0061i00000JBwwtAAD</t>
  </si>
  <si>
    <t>0061i00000J9bZhAAJ</t>
  </si>
  <si>
    <t>0061i00000FYanBAAT</t>
  </si>
  <si>
    <t>0061i00000K9MVsAAN</t>
  </si>
  <si>
    <t>0061i00000HlJthAAF</t>
  </si>
  <si>
    <t>0061i00000IuD1KAAV</t>
  </si>
  <si>
    <t>0061i00000EZvFkAAL</t>
  </si>
  <si>
    <t>0061i00000IYmyuAAD</t>
  </si>
  <si>
    <t>0061i00000J8Lo3AAF</t>
  </si>
  <si>
    <t>0061i00000KAkAhAAL</t>
  </si>
  <si>
    <t>0061i00000Jg4ayAAB</t>
  </si>
  <si>
    <t>0061i00000GNco8AAD</t>
  </si>
  <si>
    <t>0061i00000HkKkMAAV</t>
  </si>
  <si>
    <t>0061i00000IuCU6AAN</t>
  </si>
  <si>
    <t>0061i00000IZpuLAAT</t>
  </si>
  <si>
    <t>0061i00000Jjiv5AAB</t>
  </si>
  <si>
    <t>0061i00000JgKvrAAF</t>
  </si>
  <si>
    <t>0061i00000FYVwdAAH</t>
  </si>
  <si>
    <t>0061i00000IZ7ViAAL</t>
  </si>
  <si>
    <t>0061i00000KQGxQAAX</t>
  </si>
  <si>
    <t>0061i00000KD20ZAAT</t>
  </si>
  <si>
    <t>0061i00000EZavqAAD</t>
  </si>
  <si>
    <t>0061i00000JivL9AAJ</t>
  </si>
  <si>
    <t>0061i00000FbxlCAAR</t>
  </si>
  <si>
    <t>0061i00000J9SfSAAV</t>
  </si>
  <si>
    <t>0061i00000FbqhIAAR</t>
  </si>
  <si>
    <t>0061i00000IFYBgAAP</t>
  </si>
  <si>
    <t>0061i00000Jjv6bAAB</t>
  </si>
  <si>
    <t>0061i00000ICtm6AAD</t>
  </si>
  <si>
    <t>0061i00000IXiSKAA1</t>
  </si>
  <si>
    <t>0061i00000GO1eaAAD</t>
  </si>
  <si>
    <t>0061i00000Kb5LzAAJ</t>
  </si>
  <si>
    <t>0061i00000GQ4mmAAD</t>
  </si>
  <si>
    <t>0061i00000K9QvGAAV</t>
  </si>
  <si>
    <t>0061i00000JhLDNAA3</t>
  </si>
  <si>
    <t>0061i00000EYYEoAAP</t>
  </si>
  <si>
    <t>0061i00000GOWEbAAP</t>
  </si>
  <si>
    <t>0061i00000JjuqTAAR</t>
  </si>
  <si>
    <t>0061i00000JgCuvAAF</t>
  </si>
  <si>
    <t>0061i00000K9xPeAAJ</t>
  </si>
  <si>
    <t>0061i00000IthWyAAJ</t>
  </si>
  <si>
    <t>0061i00000JAJ0bAAH</t>
  </si>
  <si>
    <t>0061i00000EYtTnAAL</t>
  </si>
  <si>
    <t>0061i00000Jg74kAAB</t>
  </si>
  <si>
    <t>0061i00000KQvmXAAT</t>
  </si>
  <si>
    <t>0061i00000JifsDAAR</t>
  </si>
  <si>
    <t>0061i00000JgpMJAAZ</t>
  </si>
  <si>
    <t>0061i00000JhgT2AAJ</t>
  </si>
  <si>
    <t>0061i00000IYXqjAAH</t>
  </si>
  <si>
    <t>0061i00000Fa4tSAAR</t>
  </si>
  <si>
    <t>0061i00000GOqE5AAL</t>
  </si>
  <si>
    <t>0061i00000FYziNAAT</t>
  </si>
  <si>
    <t>0061i00000JBxIpAAL</t>
  </si>
  <si>
    <t>0061i00000IYrmbAAD</t>
  </si>
  <si>
    <t>0061i00000JfnyWAAR</t>
  </si>
  <si>
    <t>0061i00000JhRSIAA3</t>
  </si>
  <si>
    <t>0061i00000JAt84AAD</t>
  </si>
  <si>
    <t>0061i00000GPq4pAAD</t>
  </si>
  <si>
    <t>0061i00000K9WNAAA3</t>
  </si>
  <si>
    <t>0061i00000Jgyw7AAB</t>
  </si>
  <si>
    <t>0061i00000K9HpsAAF</t>
  </si>
  <si>
    <t>0061i00000J8sHcAAJ</t>
  </si>
  <si>
    <t>0061i00000FYLTtAAP</t>
  </si>
  <si>
    <t>0061i00000JANCgAAP</t>
  </si>
  <si>
    <t>0061i00000GP1JDAA1</t>
  </si>
  <si>
    <t>0061i00000JgQgdAAF</t>
  </si>
  <si>
    <t>0061i00000EYVZaAAP</t>
  </si>
  <si>
    <t>0061i00000IXs1pAAD</t>
  </si>
  <si>
    <t>0061i00000GNa9wAAD</t>
  </si>
  <si>
    <t>0061i00000KQzH0AAL</t>
  </si>
  <si>
    <t>0061i00000JhSDSAA3</t>
  </si>
  <si>
    <t>0061i00000K9JosAAF</t>
  </si>
  <si>
    <t>0061i00000IDKkUAAX</t>
  </si>
  <si>
    <t>0061i00000FYHwWAAX</t>
  </si>
  <si>
    <t>0061i00000Jjl6UAAR</t>
  </si>
  <si>
    <t>0061i00000Jgxd8AAB</t>
  </si>
  <si>
    <t>0061i00000JjZuHAAV</t>
  </si>
  <si>
    <t>0061i00000FajI6AAJ</t>
  </si>
  <si>
    <t>0061i00000IXPNcAAP</t>
  </si>
  <si>
    <t>0061i00000Jja0yAAB</t>
  </si>
  <si>
    <t>0061i00000JC3R6AAL</t>
  </si>
  <si>
    <t>0061i00000GOnZ6AAL</t>
  </si>
  <si>
    <t>0061i00000IETdcAAH</t>
  </si>
  <si>
    <t>0061i00000HiB4bAAF</t>
  </si>
  <si>
    <t>0061i00000JCKOVAA5</t>
  </si>
  <si>
    <t>0061i00000JgCPnAAN</t>
  </si>
  <si>
    <t>0061i00000IEp7EAAT</t>
  </si>
  <si>
    <t>0061i00000IZifvAAD</t>
  </si>
  <si>
    <t>0061i00000IYtE0AAL</t>
  </si>
  <si>
    <t>0061i00000GPzkWAAT</t>
  </si>
  <si>
    <t>0061i00000JgCW0AAN</t>
  </si>
  <si>
    <t>0061i00000K9iYmAAJ</t>
  </si>
  <si>
    <t>0061i00000IDcu7AAD</t>
  </si>
  <si>
    <t>0061i00000K9gpqAAB</t>
  </si>
  <si>
    <t>0061i00000JhT5xAAF</t>
  </si>
  <si>
    <t>0061i00000JBVNKAA5</t>
  </si>
  <si>
    <t>0061i00000K9mTWAAZ</t>
  </si>
  <si>
    <t>0061i00000J91MsAAJ</t>
  </si>
  <si>
    <t>0061i00000JB37jAAD</t>
  </si>
  <si>
    <t>0061i00000JBKYcAAP</t>
  </si>
  <si>
    <t>0061i00000FYX2wAAH</t>
  </si>
  <si>
    <t>0061i00000GMLqAAAX</t>
  </si>
  <si>
    <t>0061i00000J9ydrAAB</t>
  </si>
  <si>
    <t>0061i00000J9TGUAA3</t>
  </si>
  <si>
    <t>0061i00000Fa40wAAB</t>
  </si>
  <si>
    <t>0061i00000Jjm8HAAR</t>
  </si>
  <si>
    <t>0061i00000HjaFUAAZ</t>
  </si>
  <si>
    <t>0061i00000JAMy6AAH</t>
  </si>
  <si>
    <t>0061i00000K9UwhAAF</t>
  </si>
  <si>
    <t>0061i00000J8m69AAB</t>
  </si>
  <si>
    <t>0061i00000JiuBiAAJ</t>
  </si>
  <si>
    <t>0061i00000JBQZgAAP</t>
  </si>
  <si>
    <t>0061i00000JfuJuAAJ</t>
  </si>
  <si>
    <t>0061i00000IBi1qAAD</t>
  </si>
  <si>
    <t>0061i00000It1h1AAB</t>
  </si>
  <si>
    <t>0061i00000J9v48AAB</t>
  </si>
  <si>
    <t>0061i00000JjeoKAAR</t>
  </si>
  <si>
    <t>0061i00000JhYo1AAF</t>
  </si>
  <si>
    <t>0061i00000HiZrfAAF</t>
  </si>
  <si>
    <t>0061i00000KQyMEAA1</t>
  </si>
  <si>
    <t>0061i00000JBDXDAA5</t>
  </si>
  <si>
    <t>0061i00000FYRZaAAP</t>
  </si>
  <si>
    <t>0061i00000JiVcBAAV</t>
  </si>
  <si>
    <t>0061i00000JhF3lAAF</t>
  </si>
  <si>
    <t>0061i00000JAZtbAAH</t>
  </si>
  <si>
    <t>0061i00000K9rjBAAR</t>
  </si>
  <si>
    <t>0061i00000KA7PiAAL</t>
  </si>
  <si>
    <t>0061i00000IFVFGAA5</t>
  </si>
  <si>
    <t>0061i00000JAi1nAAD</t>
  </si>
  <si>
    <t>0061i00000JAL0EAAX</t>
  </si>
  <si>
    <t>0061i00000Jfq8sAAB</t>
  </si>
  <si>
    <t>0061i00000IXuFPAA1</t>
  </si>
  <si>
    <t>0061i00000EZUjjAAH</t>
  </si>
  <si>
    <t>0061i00000GNRu8AAH</t>
  </si>
  <si>
    <t>0061i00000IYBzNAAX</t>
  </si>
  <si>
    <t>0061i00000K9aOoAAJ</t>
  </si>
  <si>
    <t>0061i00000IBiYkAAL</t>
  </si>
  <si>
    <t>0061i00000Hlo21AAB</t>
  </si>
  <si>
    <t>0061i00000K9TK3AAN</t>
  </si>
  <si>
    <t>0061i00000JACwgAAH</t>
  </si>
  <si>
    <t>0061i00000Itt5gAAB</t>
  </si>
  <si>
    <t>0061i00000HjdpaAAB</t>
  </si>
  <si>
    <t>0061i00000JjSzeAAF</t>
  </si>
  <si>
    <t>0061i00000HiafQAAR</t>
  </si>
  <si>
    <t>0061i00000FaNEUAA3</t>
  </si>
  <si>
    <t>0061i00000Kb7sHAAR</t>
  </si>
  <si>
    <t>0061i00000IvPQLAA3</t>
  </si>
  <si>
    <t>0061i00000IskapAAB</t>
  </si>
  <si>
    <t>0061i00000KAQPrAAP</t>
  </si>
  <si>
    <t>0061i00000JiiQTAAZ</t>
  </si>
  <si>
    <t>0061i00000GO3xFAAT</t>
  </si>
  <si>
    <t>0061i00000KA6puAAD</t>
  </si>
  <si>
    <t>0061i00000GNaJwAAL</t>
  </si>
  <si>
    <t>0061i00000EYxdnAAD</t>
  </si>
  <si>
    <t>0061i00000GPovIAAT</t>
  </si>
  <si>
    <t>0061i00000GNqojAAD</t>
  </si>
  <si>
    <t>0061i00000Hipz6AAB</t>
  </si>
  <si>
    <t>0061i00000GOBpBAAX</t>
  </si>
  <si>
    <t>0061i00000JhxHuAAJ</t>
  </si>
  <si>
    <t>0061i00000HiUtWAAV</t>
  </si>
  <si>
    <t>0061i00000JgsvlAAB</t>
  </si>
  <si>
    <t>0061i00000Jj05aAAB</t>
  </si>
  <si>
    <t>0061i00000FbyZqAAJ</t>
  </si>
  <si>
    <t>0061i00000Jgz8NAAR</t>
  </si>
  <si>
    <t>0061i00000IWvqzAAD</t>
  </si>
  <si>
    <t>0061i00000EZkRYAA1</t>
  </si>
  <si>
    <t>0061i00000J9veGAAR</t>
  </si>
  <si>
    <t>0061i00000JhSNRAA3</t>
  </si>
  <si>
    <t>0061i00000JhlRkAAJ</t>
  </si>
  <si>
    <t>0061i00000JjnvoAAB</t>
  </si>
  <si>
    <t>0061i00000Jir4EAAR</t>
  </si>
  <si>
    <t>0061i00000JgJfiAAF</t>
  </si>
  <si>
    <t>0061i00000IsEt9AAF</t>
  </si>
  <si>
    <t>0061i00000GOlbUAAT</t>
  </si>
  <si>
    <t>0061i00000J9BXZAA3</t>
  </si>
  <si>
    <t>0061i00000K9MWWAA3</t>
  </si>
  <si>
    <t>0061i00000Hm9DbAAJ</t>
  </si>
  <si>
    <t>0061i00000IFBLzAAP</t>
  </si>
  <si>
    <t>0061i00000EYt1PAAT</t>
  </si>
  <si>
    <t>0061i00000JianfAAB</t>
  </si>
  <si>
    <t>0061i00000JAaewAAD</t>
  </si>
  <si>
    <t>0061i00000EYbshAAD</t>
  </si>
  <si>
    <t>0061i00000HkAuRAAV</t>
  </si>
  <si>
    <t>0061i00000FaghsAAB</t>
  </si>
  <si>
    <t>0061i00000IrbZDAAZ</t>
  </si>
  <si>
    <t>0061i00000KZYuKAAX</t>
  </si>
  <si>
    <t>0061i00000JgkZJAAZ</t>
  </si>
  <si>
    <t>0061i00000Jgy3GAAR</t>
  </si>
  <si>
    <t>0061i00000KCc0NAAT</t>
  </si>
  <si>
    <t>0061i00000JhyQOAAZ</t>
  </si>
  <si>
    <t>0061i00000GPeGkAAL</t>
  </si>
  <si>
    <t>0061i00000K9GEzAAN</t>
  </si>
  <si>
    <t>0061i00000JitavAAB</t>
  </si>
  <si>
    <t>0061i00000JBSOLAA5</t>
  </si>
  <si>
    <t>0061i00000GMoOTAA1</t>
  </si>
  <si>
    <t>0061i00000KCVxsAAH</t>
  </si>
  <si>
    <t>0061i00000Fa2g3AAB</t>
  </si>
  <si>
    <t>0061i00000IYmudAAD</t>
  </si>
  <si>
    <t>0061i00000GOP1QAAX</t>
  </si>
  <si>
    <t>0061i00000JhWx6AAF</t>
  </si>
  <si>
    <t>0061i00000IExawAAD</t>
  </si>
  <si>
    <t>0061i00000Jj1AWAAZ</t>
  </si>
  <si>
    <t>0061i00000KCf8PAAT</t>
  </si>
  <si>
    <t>0061i00000JgsbRAAR</t>
  </si>
  <si>
    <t>0061i00000IZNWiAAP</t>
  </si>
  <si>
    <t>0061i00000IuwP3AAJ</t>
  </si>
  <si>
    <t>0061i00000K9kZ4AAJ</t>
  </si>
  <si>
    <t>0061i00000GPcfxAAD</t>
  </si>
  <si>
    <t>0061i00000KBpZ6AAL</t>
  </si>
  <si>
    <t>0061i00000JhD9IAAV</t>
  </si>
  <si>
    <t>0061i00000K9RGtAAN</t>
  </si>
  <si>
    <t>0061i00000ItYX2AAN</t>
  </si>
  <si>
    <t>0061i00000J9uISAAZ</t>
  </si>
  <si>
    <t>0061i00000K9uiPAAR</t>
  </si>
  <si>
    <t>0061i00000Hkb44AAB</t>
  </si>
  <si>
    <t>0061i00000GPVqbAAH</t>
  </si>
  <si>
    <t>0061i00000KR49mAAD</t>
  </si>
  <si>
    <t>0061i00000KRVarAAH</t>
  </si>
  <si>
    <t>0061i00000HiDD6AAN</t>
  </si>
  <si>
    <t>0061i00000Hjs3dAAB</t>
  </si>
  <si>
    <t>0061i00000KZ4a5AAD</t>
  </si>
  <si>
    <t>0061i00000K9xQNAAZ</t>
  </si>
  <si>
    <t>0061i00000HjtAaAAJ</t>
  </si>
  <si>
    <t>0061i00000IBX8xAAH</t>
  </si>
  <si>
    <t>0061i00000JhSNMAA3</t>
  </si>
  <si>
    <t>0061i00000JAJAOAA5</t>
  </si>
  <si>
    <t>0061i00000HleayAAB</t>
  </si>
  <si>
    <t>0061i00000HktsiAAB</t>
  </si>
  <si>
    <t>0061i00000HklDLAAZ</t>
  </si>
  <si>
    <t>0061i00000JiWNgAAN</t>
  </si>
  <si>
    <t>0061i00000KA4LTAA1</t>
  </si>
  <si>
    <t>0061i00000KAbVfAAL</t>
  </si>
  <si>
    <t>0061i00000JAC6QAAX</t>
  </si>
  <si>
    <t>0061i00000EZBozAAH</t>
  </si>
  <si>
    <t>0061i00000JAGqfAAH</t>
  </si>
  <si>
    <t>0061i00000JAsYGAA1</t>
  </si>
  <si>
    <t>0061i00000JjXckAAF</t>
  </si>
  <si>
    <t>0061i00000JjeuNAAR</t>
  </si>
  <si>
    <t>0061i00000EYS50AAH</t>
  </si>
  <si>
    <t>0061i00000GNiT0AAL</t>
  </si>
  <si>
    <t>0061i00000Jg3GNAAZ</t>
  </si>
  <si>
    <t>0061i00000JifcKAAR</t>
  </si>
  <si>
    <t>0061i00000JjSvwAAF</t>
  </si>
  <si>
    <t>0061i00000IuXTmAAN</t>
  </si>
  <si>
    <t>0061i00000JBm01AAD</t>
  </si>
  <si>
    <t>0061i00000JiIm9AAF</t>
  </si>
  <si>
    <t>0061i00000Jid4ZAAR</t>
  </si>
  <si>
    <t>0061i00000ID6dpAAD</t>
  </si>
  <si>
    <t>0061i00000JhghnAAB</t>
  </si>
  <si>
    <t>0061i00000GMKk6AAH</t>
  </si>
  <si>
    <t>0061i00000J9jPXAAZ</t>
  </si>
  <si>
    <t>0061i00000JBzZ6AAL</t>
  </si>
  <si>
    <t>0061i00000JhooXAAR</t>
  </si>
  <si>
    <t>0061i00000IZPs7AAH</t>
  </si>
  <si>
    <t>0061i00000Jjdx1AAB</t>
  </si>
  <si>
    <t>0061i00000HlJADAA3</t>
  </si>
  <si>
    <t>0061i00000EZHoiAAH</t>
  </si>
  <si>
    <t>0061i00000IDzcEAAT</t>
  </si>
  <si>
    <t>0061i00000K9UizAAF</t>
  </si>
  <si>
    <t>0061i00000JCJITAA5</t>
  </si>
  <si>
    <t>0061i00000FZAtoAAH</t>
  </si>
  <si>
    <t>0061i00000IaCEdAAN</t>
  </si>
  <si>
    <t>0061i00000ID8kDAAT</t>
  </si>
  <si>
    <t>0061i00000J8mkiAAB</t>
  </si>
  <si>
    <t>0061i00000IBVWAAA5</t>
  </si>
  <si>
    <t>0061i00000GNvvhAAD</t>
  </si>
  <si>
    <t>0061i00000JhSzaAAF</t>
  </si>
  <si>
    <t>0061i00000IulhGAAR</t>
  </si>
  <si>
    <t>0061i00000K9IVVAA3</t>
  </si>
  <si>
    <t>0061i00000JgcJfAAJ</t>
  </si>
  <si>
    <t>0061i00000Iv5rLAAR</t>
  </si>
  <si>
    <t>0061i00000JBLKHAA5</t>
  </si>
  <si>
    <t>0061i00000FbFNoAAN</t>
  </si>
  <si>
    <t>0061i00000Hkvc3AAB</t>
  </si>
  <si>
    <t>0061i00000IDcnVAAT</t>
  </si>
  <si>
    <t>0061i00000Hk15ZAAR</t>
  </si>
  <si>
    <t>0061i00000IuF62AAF</t>
  </si>
  <si>
    <t>0061i00000Hlsf2AAB</t>
  </si>
  <si>
    <t>0061i00000JCLHQAA5</t>
  </si>
  <si>
    <t>0061i00000Iu5tEAAR</t>
  </si>
  <si>
    <t>0061i00000IvZaIAAV</t>
  </si>
  <si>
    <t>0061i00000ID7IJAA1</t>
  </si>
  <si>
    <t>0061i00000K9UmmAAF</t>
  </si>
  <si>
    <t>0061i00000JBAuoAAH</t>
  </si>
  <si>
    <t>0061i00000Hj8SXAAZ</t>
  </si>
  <si>
    <t>0061i00000KR9wmAAD</t>
  </si>
  <si>
    <t>0061i00000KCFTcAAP</t>
  </si>
  <si>
    <t>0061i00000KCVtbAAH</t>
  </si>
  <si>
    <t>0061i00000FZn1lAAD</t>
  </si>
  <si>
    <t>0061i00000JhlwYAAR</t>
  </si>
  <si>
    <t>0061i00000It4zGAAR</t>
  </si>
  <si>
    <t>0061i00000IYF9ZAAX</t>
  </si>
  <si>
    <t>0061i00000IsjcbAAB</t>
  </si>
  <si>
    <t>0061i00000IWYsDAAX</t>
  </si>
  <si>
    <t>0061i00000EZlooAAD</t>
  </si>
  <si>
    <t>0061i00000IWeudAAD</t>
  </si>
  <si>
    <t>0061i00000KCteLAAT</t>
  </si>
  <si>
    <t>0061i00000GNIiXAAX</t>
  </si>
  <si>
    <t>0061i00000GMCmoAAH</t>
  </si>
  <si>
    <t>0061i00000IEAlyAAH</t>
  </si>
  <si>
    <t>0061i00000JAIL5AAP</t>
  </si>
  <si>
    <t>0061i00000ICmNLAA1</t>
  </si>
  <si>
    <t>0061i00000GOn43AAD</t>
  </si>
  <si>
    <t>0061i00000KR2MqAAL</t>
  </si>
  <si>
    <t>0061i00000HlWXOAA3</t>
  </si>
  <si>
    <t>0061i00000K9rfvAAB</t>
  </si>
  <si>
    <t>0061i00000EahRXAAZ</t>
  </si>
  <si>
    <t>0061i00000EZJbRAAX</t>
  </si>
  <si>
    <t>0061i00000HkaHCAAZ</t>
  </si>
  <si>
    <t>0061i00000Jg9z4AAB</t>
  </si>
  <si>
    <t>0061i00000IDwiDAAT</t>
  </si>
  <si>
    <t>0061i00000JfsM3AAJ</t>
  </si>
  <si>
    <t>0061i00000K9deuAAB</t>
  </si>
  <si>
    <t>0061i00000JBnCqAAL</t>
  </si>
  <si>
    <t>0061i00000JAThDAAX</t>
  </si>
  <si>
    <t>0061i00000IEWl7AAH</t>
  </si>
  <si>
    <t>0061i00000IZdQ2AAL</t>
  </si>
  <si>
    <t>0061i00000JgGsVAAV</t>
  </si>
  <si>
    <t>0061i00000HjeQqAAJ</t>
  </si>
  <si>
    <t>0061i00000GOVjeAAH</t>
  </si>
  <si>
    <t>0061i00000IDvfcAAD</t>
  </si>
  <si>
    <t>0061i00000HiF4aAAF</t>
  </si>
  <si>
    <t>0061i00000GOGkVAAX</t>
  </si>
  <si>
    <t>0061i00000KBglQAAT</t>
  </si>
  <si>
    <t>0061i00000JhjbsAAB</t>
  </si>
  <si>
    <t>0061i00000IC1vWAAT</t>
  </si>
  <si>
    <t>0061i00000FYqw9AAD</t>
  </si>
  <si>
    <t>0061i00000IYS1qAAH</t>
  </si>
  <si>
    <t>0061i00000JjmMOAAZ</t>
  </si>
  <si>
    <t>0061i00000JhRxiAAF</t>
  </si>
  <si>
    <t>0061i00000Ia9hwAAB</t>
  </si>
  <si>
    <t>0061i00000IrkYPAAZ</t>
  </si>
  <si>
    <t>0061i00000GMPeTAAX</t>
  </si>
  <si>
    <t>0061i00000EZAsWAAX</t>
  </si>
  <si>
    <t>0061i00000JAqpUAAT</t>
  </si>
  <si>
    <t>0061i00000JBVP1AAP</t>
  </si>
  <si>
    <t>0061i00000JAatmAAD</t>
  </si>
  <si>
    <t>0061i00000GONIoAAP</t>
  </si>
  <si>
    <t>0061i00000Jg3nvAAB</t>
  </si>
  <si>
    <t>0061i00000EYuWYAA1</t>
  </si>
  <si>
    <t>0061i00000Iv6qwAAB</t>
  </si>
  <si>
    <t>0061i00000Ji2qfAAB</t>
  </si>
  <si>
    <t>0061i00000FZVSJAA5</t>
  </si>
  <si>
    <t>0061i00000IsQ9LAAV</t>
  </si>
  <si>
    <t>0061i00000HipzVAAR</t>
  </si>
  <si>
    <t>0061i00000HjxKZAAZ</t>
  </si>
  <si>
    <t>0061i00000Isl4pAAB</t>
  </si>
  <si>
    <t>0061i00000J9ajvAAB</t>
  </si>
  <si>
    <t>0061i00000GONgcAAH</t>
  </si>
  <si>
    <t>0061i00000K9jpkAAB</t>
  </si>
  <si>
    <t>0061i00000EaO3NAAV</t>
  </si>
  <si>
    <t>0061i00000HjWmzAAF</t>
  </si>
  <si>
    <t>0061i00000JhxU1AAJ</t>
  </si>
  <si>
    <t>0061i00000JhQqbAAF</t>
  </si>
  <si>
    <t>0061i00000IZqUOAA1</t>
  </si>
  <si>
    <t>0061i00000IDhTwAAL</t>
  </si>
  <si>
    <t>0061i00000HlJj8AAF</t>
  </si>
  <si>
    <t>0061i00000IDfHxAAL</t>
  </si>
  <si>
    <t>0061i00000EZqsPAAT</t>
  </si>
  <si>
    <t>0061i00000Fa2T8AAJ</t>
  </si>
  <si>
    <t>0061i00000Itb22AAB</t>
  </si>
  <si>
    <t>0061i00000JAnNrAAL</t>
  </si>
  <si>
    <t>0061i00000HibPoAAJ</t>
  </si>
  <si>
    <t>0061i00000JAMS5AAP</t>
  </si>
  <si>
    <t>0061i00000KD10nAAD</t>
  </si>
  <si>
    <t>0061i00000IsBkdAAF</t>
  </si>
  <si>
    <t>0061i00000EYwsrAAD</t>
  </si>
  <si>
    <t>0061i00000JgGkLAAV</t>
  </si>
  <si>
    <t>0061i00000IWwNtAAL</t>
  </si>
  <si>
    <t>0061i00000EaSRnAAN</t>
  </si>
  <si>
    <t>0061i00000IZdalAAD</t>
  </si>
  <si>
    <t>0061i00000IaHhZAAV</t>
  </si>
  <si>
    <t>0061i00000KQJLFAA5</t>
  </si>
  <si>
    <t>0061i00000JhYWNAA3</t>
  </si>
  <si>
    <t>0061i00000IaJGQAA3</t>
  </si>
  <si>
    <t>0061i00000KR0wnAAD</t>
  </si>
  <si>
    <t>0061i00000JjlgcAAB</t>
  </si>
  <si>
    <t>0061i00000KCxMkAAL</t>
  </si>
  <si>
    <t>0061i00000JivSoAAJ</t>
  </si>
  <si>
    <t>0061i00000FZXptAAH</t>
  </si>
  <si>
    <t>0061i00000IZpIHAA1</t>
  </si>
  <si>
    <t>0061i00000HicmkAAB</t>
  </si>
  <si>
    <t>0061i00000GMyXDAA1</t>
  </si>
  <si>
    <t>0061i00000JBCipAAH</t>
  </si>
  <si>
    <t>0061i00000JBzOIAA1</t>
  </si>
  <si>
    <t>0061i00000Kb5F8AAJ</t>
  </si>
  <si>
    <t>0061i00000IZNrlAAH</t>
  </si>
  <si>
    <t>0061i00000EZUKKAA5</t>
  </si>
  <si>
    <t>0061i00000GMJFWAA5</t>
  </si>
  <si>
    <t>0061i00000KBcn1AAD</t>
  </si>
  <si>
    <t>0061i00000IsE3DAAV</t>
  </si>
  <si>
    <t>0061i00000JhivDAAR</t>
  </si>
  <si>
    <t>0061i00000Kb8m0AAB</t>
  </si>
  <si>
    <t>0061i00000KCVDkAAP</t>
  </si>
  <si>
    <t>0061i00000HjHkBAAV</t>
  </si>
  <si>
    <t>0061i00000FajB0AAJ</t>
  </si>
  <si>
    <t>0061i00000Jjkx3AAB</t>
  </si>
  <si>
    <t>0061i00000EaLdDAAV</t>
  </si>
  <si>
    <t>0061i00000KQQaYAAX</t>
  </si>
  <si>
    <t>0061i00000FbFjfAAF</t>
  </si>
  <si>
    <t>0061i00000Iudr0AAB</t>
  </si>
  <si>
    <t>0061i00000Ji0jXAAR</t>
  </si>
  <si>
    <t>0061i00000JC0mVAAT</t>
  </si>
  <si>
    <t>0061i00000ItaqzAAB</t>
  </si>
  <si>
    <t>0061i00000Hj1QtAAJ</t>
  </si>
  <si>
    <t>0061i00000KAbCYAA1</t>
  </si>
  <si>
    <t>0061i00000Iu0cpAAB</t>
  </si>
  <si>
    <t>0061i00000FZUAfAAP</t>
  </si>
  <si>
    <t>0061i00000JC469AAD</t>
  </si>
  <si>
    <t>0061i00000Ea4vaAAB</t>
  </si>
  <si>
    <t>0061i00000K9KqKAAV</t>
  </si>
  <si>
    <t>0061i00000Is3sjAAB</t>
  </si>
  <si>
    <t>0061i00000K9cPoAAJ</t>
  </si>
  <si>
    <t>0061i00000GNyN8AAL</t>
  </si>
  <si>
    <t>0061i00000IEsDBAA1</t>
  </si>
  <si>
    <t>0061i00000EaOiYAAV</t>
  </si>
  <si>
    <t>0061i00000IXjXAAA1</t>
  </si>
  <si>
    <t>0061i00000JB9awAAD</t>
  </si>
  <si>
    <t>0061i00000Hjas7AAB</t>
  </si>
  <si>
    <t>0061i00000KRT5rAAH</t>
  </si>
  <si>
    <t>0061i00000IZTEGAA5</t>
  </si>
  <si>
    <t>0061i00000JBUH6AAP</t>
  </si>
  <si>
    <t>0061i00000IXrbiAAD</t>
  </si>
  <si>
    <t>0061i00000KQuToAAL</t>
  </si>
  <si>
    <t>0061i00000IE1krAAD</t>
  </si>
  <si>
    <t>0061i00000JgaLNAAZ</t>
  </si>
  <si>
    <t>0061i00000IBh3MAAT</t>
  </si>
  <si>
    <t>0061i00000Hm7IJAAZ</t>
  </si>
  <si>
    <t>0061i00000KQzCFAA1</t>
  </si>
  <si>
    <t>0061i00000Iuu4rAAB</t>
  </si>
  <si>
    <t>0061i00000EaZL1AAN</t>
  </si>
  <si>
    <t>0061i00000EZm0KAAT</t>
  </si>
  <si>
    <t>0061i00000Hj3xLAAR</t>
  </si>
  <si>
    <t>0061i00000Ea031AAB</t>
  </si>
  <si>
    <t>0061i00000KBYyFAAX</t>
  </si>
  <si>
    <t>0061i00000KAIG4AAP</t>
  </si>
  <si>
    <t>0061i00000KQfxlAAD</t>
  </si>
  <si>
    <t>0061i00000GNw2hAAD</t>
  </si>
  <si>
    <t>0061i00000JjY1uAAF</t>
  </si>
  <si>
    <t>0061i00000K9wotAAB</t>
  </si>
  <si>
    <t>0061i00000JAmqsAAD</t>
  </si>
  <si>
    <t>0061i00000Iv4GqAAJ</t>
  </si>
  <si>
    <t>0061i00000IaFc0AAF</t>
  </si>
  <si>
    <t>0061i00000JCBIhAAP</t>
  </si>
  <si>
    <t>0061i00000GN4RQAA1</t>
  </si>
  <si>
    <t>0061i00000KB5aKAAT</t>
  </si>
  <si>
    <t>0061i00000Iu6phAAB</t>
  </si>
  <si>
    <t>0061i00000KBEI5AAP</t>
  </si>
  <si>
    <t>0061i00000Jiq4rAAB</t>
  </si>
  <si>
    <t>0061i00000FZoc3AAD</t>
  </si>
  <si>
    <t>0061i00000IXgxGAAT</t>
  </si>
  <si>
    <t>0061i00000It1qfAAB</t>
  </si>
  <si>
    <t>0061i00000IvQOLAA3</t>
  </si>
  <si>
    <t>0061i00000Ia0T2AAJ</t>
  </si>
  <si>
    <t>0061i00000EYsSZAA1</t>
  </si>
  <si>
    <t>0061i00000IuTHlAAN</t>
  </si>
  <si>
    <t>0061i00000KAlwcAAD</t>
  </si>
  <si>
    <t>0061i00000J9enIAAR</t>
  </si>
  <si>
    <t>0061i00000KCtHMAA1</t>
  </si>
  <si>
    <t>0061i00000JgzzkAAB</t>
  </si>
  <si>
    <t>0061i00000JgPk5AAF</t>
  </si>
  <si>
    <t>0061i00000Ittd3AAB</t>
  </si>
  <si>
    <t>0061i00000ItMGeAAN</t>
  </si>
  <si>
    <t>0061i00000EZHNVAA5</t>
  </si>
  <si>
    <t>0061i00000GOOIVAA5</t>
  </si>
  <si>
    <t>0061i00000FaeJdAAJ</t>
  </si>
  <si>
    <t>0061i00000Hj1MIAAZ</t>
  </si>
  <si>
    <t>0061i00000IX0wiAAD</t>
  </si>
  <si>
    <t>0061i00000It5KEAAZ</t>
  </si>
  <si>
    <t>0061i00000Iv7HdAAJ</t>
  </si>
  <si>
    <t>0061i00000IZ6VXAA1</t>
  </si>
  <si>
    <t>0061i00000IsQuzAAF</t>
  </si>
  <si>
    <t>0061i00000Jjvw2AAB</t>
  </si>
  <si>
    <t>0061i00000JBCycAAH</t>
  </si>
  <si>
    <t>0061i00000J9t9AAAR</t>
  </si>
  <si>
    <t>0061i00000IDCiMAAX</t>
  </si>
  <si>
    <t>0061i00000JAhoyAAD</t>
  </si>
  <si>
    <t>0061i00000IFIfLAAX</t>
  </si>
  <si>
    <t>0061i00000Ky58RAAR</t>
  </si>
  <si>
    <t>0061i00000LRDzvAAH</t>
  </si>
  <si>
    <t>0061i00000KnQKMAA3</t>
  </si>
  <si>
    <t>0061i00000JapBZAAZ</t>
  </si>
  <si>
    <t>0061i00000LHop9AAD</t>
  </si>
  <si>
    <t>0061i00000Kmin5AAB</t>
  </si>
  <si>
    <t>0061i00000LG4dvAAD</t>
  </si>
  <si>
    <t>0061i00000KnMjoAAF</t>
  </si>
  <si>
    <t>0061i00000LThoFAAT</t>
  </si>
  <si>
    <t>0061i00000KxzhVAAR</t>
  </si>
  <si>
    <t>0061i00000KnIOZAA3</t>
  </si>
  <si>
    <t>0061i00000KmkPSAAZ</t>
  </si>
  <si>
    <t>0061i00000LrEGFAA3</t>
  </si>
  <si>
    <t>0061i00000LrC6DAAV</t>
  </si>
  <si>
    <t>0061i00000LV0K8AAL</t>
  </si>
  <si>
    <t>0061i00000Ky0kkAAB</t>
  </si>
  <si>
    <t>0061i00000LQuevAAD</t>
  </si>
  <si>
    <t>0061i00000LrPuYAAV</t>
  </si>
  <si>
    <t>0061i00000LHGU1AAP</t>
  </si>
  <si>
    <t>0061i00000LSRmGAAX</t>
  </si>
  <si>
    <t>0061i00000KkxilAAB</t>
  </si>
  <si>
    <t>0061i00000L1XmrAAF</t>
  </si>
  <si>
    <t>0061i00000KlqmoAAB</t>
  </si>
  <si>
    <t>0061i00000LResiAAD</t>
  </si>
  <si>
    <t>0061i00000JasqZAAR</t>
  </si>
  <si>
    <t>0061i00000LRnqUAAT</t>
  </si>
  <si>
    <t>0061i00000LR9flAAD</t>
  </si>
  <si>
    <t>0061i00000KyRi4AAF</t>
  </si>
  <si>
    <t>0061i00000LG3cJAAT</t>
  </si>
  <si>
    <t>0061i00000Jb6aOAAR</t>
  </si>
  <si>
    <t>0061i00000LGhxoAAD</t>
  </si>
  <si>
    <t>0061i00000Ky0emAAB</t>
  </si>
  <si>
    <t>0061i00000LGnRiAAL</t>
  </si>
  <si>
    <t>0061i00000KzxFoAAJ</t>
  </si>
  <si>
    <t>0061i00000Kbe9pAAB</t>
  </si>
  <si>
    <t>0061i00000LRitLAAT</t>
  </si>
  <si>
    <t>0061i00000KnN7GAAV</t>
  </si>
  <si>
    <t>0061i00000LULPDAA5</t>
  </si>
  <si>
    <t>0061i00000Lr0BsAAJ</t>
  </si>
  <si>
    <t>0061i00000Lr8dmAAB</t>
  </si>
  <si>
    <t>0061i00000LSl5VAAT</t>
  </si>
  <si>
    <t>0061i00000LrD3KAAV</t>
  </si>
  <si>
    <t>0061i00000LFgVqAAL</t>
  </si>
  <si>
    <t>0061i00000JaSAYAA3</t>
  </si>
  <si>
    <t>0061i00000Kbj8YAAR</t>
  </si>
  <si>
    <t>0061i00000Lql4eAAB</t>
  </si>
  <si>
    <t>0061i00000KmAArAAN</t>
  </si>
  <si>
    <t>0061i00000KyVHkAAN</t>
  </si>
  <si>
    <t>0061i00000LUyswAAD</t>
  </si>
  <si>
    <t>0061i00000KxkinAAB</t>
  </si>
  <si>
    <t>0061i00000LFbOQAA1</t>
  </si>
  <si>
    <t>0061i00000JanFPAAZ</t>
  </si>
  <si>
    <t>0061i00000Ky3FBAAZ</t>
  </si>
  <si>
    <t>0061i00000Kzsd5AAB</t>
  </si>
  <si>
    <t>0061i00000LGF3EAAX</t>
  </si>
  <si>
    <t>0061i00000LU0rjAAD</t>
  </si>
  <si>
    <t>0061i00000LH4oAAAT</t>
  </si>
  <si>
    <t>0061i00000KztyEAAR</t>
  </si>
  <si>
    <t>0061i00000LU2XWAA1</t>
  </si>
  <si>
    <t>0061i00000LRQsbAAH</t>
  </si>
  <si>
    <t>0061i00000LV2dYAAT</t>
  </si>
  <si>
    <t>0061i00000KbNEpAAN</t>
  </si>
  <si>
    <t>0061i00000KyTuVAAV</t>
  </si>
  <si>
    <t>0061i00000KypgAAAR</t>
  </si>
  <si>
    <t>0061i00000KyXJTAA3</t>
  </si>
  <si>
    <t>0061i00000KyS9JAAV</t>
  </si>
  <si>
    <t>0061i00000L1eHYAAZ</t>
  </si>
  <si>
    <t>0061i00000Ky154AAB</t>
  </si>
  <si>
    <t>0061i00000JbQxiAAF</t>
  </si>
  <si>
    <t>0061i00000L1XhIAAV</t>
  </si>
  <si>
    <t>0061i00000LRknPAAT</t>
  </si>
  <si>
    <t>0061i00000JaV23AAF</t>
  </si>
  <si>
    <t>0061i00000JadxxAAB</t>
  </si>
  <si>
    <t>0061i00000KnIL1AAN</t>
  </si>
  <si>
    <t>0061i00000Ky3mtAAB</t>
  </si>
  <si>
    <t>0061i00000LqRGxAAN</t>
  </si>
  <si>
    <t>0061i00000Kzo29AAB</t>
  </si>
  <si>
    <t>0061i00000LRempAAD</t>
  </si>
  <si>
    <t>0061i00000LHwdpAAD</t>
  </si>
  <si>
    <t>0061i00000LRdTmAAL</t>
  </si>
  <si>
    <t>0061i00000LrRSEAA3</t>
  </si>
  <si>
    <t>0061i00000LGlltAAD</t>
  </si>
  <si>
    <t>0061i00000KmehnAAB</t>
  </si>
  <si>
    <t>0061i00000Jb6LoAAJ</t>
  </si>
  <si>
    <t>0061i00000LHxN5AAL</t>
  </si>
  <si>
    <t>0061i00000Kxr4EAAR</t>
  </si>
  <si>
    <t>0061i00000LUKvDAAX</t>
  </si>
  <si>
    <t>0061i00000KcS5yAAF</t>
  </si>
  <si>
    <t>0061i00000LqSSvAAN</t>
  </si>
  <si>
    <t>0061i00000LI94cAAD</t>
  </si>
  <si>
    <t>0061i00000KztEGAAZ</t>
  </si>
  <si>
    <t>0061i00000LqPL2AAN</t>
  </si>
  <si>
    <t>0061i00000Kzpv6AAB</t>
  </si>
  <si>
    <t>0061i00000LGCQAAA5</t>
  </si>
  <si>
    <t>0061i00000Ky30uAAB</t>
  </si>
  <si>
    <t>0061i00000LG8iZAAT</t>
  </si>
  <si>
    <t>0061i00000KxgE7AAJ</t>
  </si>
  <si>
    <t>0061i00000Lr77pAAB</t>
  </si>
  <si>
    <t>0061i00000JaU5LAAV</t>
  </si>
  <si>
    <t>0061i00000Kzo97AAB</t>
  </si>
  <si>
    <t>0061i00000LSsp6AAD</t>
  </si>
  <si>
    <t>0061i00000Jb1E5AAJ</t>
  </si>
  <si>
    <t>0061i00000LSTJBAA5</t>
  </si>
  <si>
    <t>0061i00000Kznm1AAB</t>
  </si>
  <si>
    <t>0061i00000LFhnrAAD</t>
  </si>
  <si>
    <t>0061i00000LUx3eAAD</t>
  </si>
  <si>
    <t>0061i00000LTJ1AAAX</t>
  </si>
  <si>
    <t>0061i00000LFh47AAD</t>
  </si>
  <si>
    <t>0061i00000Ky2CqAAJ</t>
  </si>
  <si>
    <t>0061i00000LFhWGAA1</t>
  </si>
  <si>
    <t>0061i00000Ky7XxAAJ</t>
  </si>
  <si>
    <t>0061i00000LUexGAAT</t>
  </si>
  <si>
    <t>0061i00000Ky5F4AAJ</t>
  </si>
  <si>
    <t>0061i00000Klu2LAAR</t>
  </si>
  <si>
    <t>0061i00000KzwKeAAJ</t>
  </si>
  <si>
    <t>0061i00000LqsWjAAJ</t>
  </si>
  <si>
    <t>0061i00000KnQJdAAN</t>
  </si>
  <si>
    <t>0061i00000Kc6WpAAJ</t>
  </si>
  <si>
    <t>0061i00000LEIfIAAX</t>
  </si>
  <si>
    <t>0061i00000KypnqAAB</t>
  </si>
  <si>
    <t>0061i00000KxkS6AAJ</t>
  </si>
  <si>
    <t>0061i00000KkvBGAAZ</t>
  </si>
  <si>
    <t>0061i00000LTsZlAAL</t>
  </si>
  <si>
    <t>0061i00000LH0RRAA1</t>
  </si>
  <si>
    <t>0061i00000Klk1qAAB</t>
  </si>
  <si>
    <t>0061i00000Km0NPAAZ</t>
  </si>
  <si>
    <t>0061i00000Kboc9AAB</t>
  </si>
  <si>
    <t>0061i00000LqHkyAAF</t>
  </si>
  <si>
    <t>0061i00000LqieaAAB</t>
  </si>
  <si>
    <t>0061i00000LV08bAAD</t>
  </si>
  <si>
    <t>0061i00000Klo8XAAR</t>
  </si>
  <si>
    <t>0061i00000LU3xpAAD</t>
  </si>
  <si>
    <t>0061i00000LHVkEAAX</t>
  </si>
  <si>
    <t>0061i00000L1dgBAAR</t>
  </si>
  <si>
    <t>0061i00000LUpPKAA1</t>
  </si>
  <si>
    <t>0061i00000Kxpz9AAB</t>
  </si>
  <si>
    <t>0061i00000KymAVAAZ</t>
  </si>
  <si>
    <t>0061i00000KkypPAAR</t>
  </si>
  <si>
    <t>0061i00000Kn95fAAB</t>
  </si>
  <si>
    <t>0061i00000LSmJYAA1</t>
  </si>
  <si>
    <t>0061i00000KlAtuAAF</t>
  </si>
  <si>
    <t>0061i00000LIDfwAAH</t>
  </si>
  <si>
    <t>0061i00000KnNAGAA3</t>
  </si>
  <si>
    <t>0061i00000KyjYpAAJ</t>
  </si>
  <si>
    <t>0061i00000LISU2AAP</t>
  </si>
  <si>
    <t>0061i00000Kn4U2AAJ</t>
  </si>
  <si>
    <t>0061i00000KbOPtAAN</t>
  </si>
  <si>
    <t>0061i00000KzmrAAAR</t>
  </si>
  <si>
    <t>0061i00000KnQ9dAAF</t>
  </si>
  <si>
    <t>0061i00000L1YzqAAF</t>
  </si>
  <si>
    <t>0061i00000LqM8FAAV</t>
  </si>
  <si>
    <t>0061i00000LqgzVAAR</t>
  </si>
  <si>
    <t>0061i00000KlpcIAAR</t>
  </si>
  <si>
    <t>0061i00000KcCXVAA3</t>
  </si>
  <si>
    <t>0061i00000KlyNDAAZ</t>
  </si>
  <si>
    <t>0061i00000Kn6cbAAB</t>
  </si>
  <si>
    <t>0061i00000LHYmSAAX</t>
  </si>
  <si>
    <t>0061i00000KzslJAAR</t>
  </si>
  <si>
    <t>0061i00000L1eqvAAB</t>
  </si>
  <si>
    <t>0061i00000LTkTAAA1</t>
  </si>
  <si>
    <t>0061i00000LH6CSAA1</t>
  </si>
  <si>
    <t>0061i00000KyPa2AAF</t>
  </si>
  <si>
    <t>0061i00000KyQPAAA3</t>
  </si>
  <si>
    <t>0061i00000LGzvGAAT</t>
  </si>
  <si>
    <t>0061i00000Lr9VFAAZ</t>
  </si>
  <si>
    <t>0061i00000LquS3AAJ</t>
  </si>
  <si>
    <t>0061i00000LGCDRAA5</t>
  </si>
  <si>
    <t>0061i00000Lqhw8AAB</t>
  </si>
  <si>
    <t>0061i00000KkvvtAAB</t>
  </si>
  <si>
    <t>0061i00000LrCcYAAV</t>
  </si>
  <si>
    <t>0061i00000LQtHbAAL</t>
  </si>
  <si>
    <t>0061i00000LG9CeAAL</t>
  </si>
  <si>
    <t>0061i00000JbDiTAAV</t>
  </si>
  <si>
    <t>0061i00000LTnAHAA1</t>
  </si>
  <si>
    <t>0061i00000LG44CAAT</t>
  </si>
  <si>
    <t>0061i00000Kmfh5AAB</t>
  </si>
  <si>
    <t>0061i00000KxzdxAAB</t>
  </si>
  <si>
    <t>0061i00000LT6w4AAD</t>
  </si>
  <si>
    <t>0061i00000LRmCiAAL</t>
  </si>
  <si>
    <t>0061i00000KmHcnAAF</t>
  </si>
  <si>
    <t>0061i00000LHNolAAH</t>
  </si>
  <si>
    <t>0061i00000KxsPaAAJ</t>
  </si>
  <si>
    <t>0061i00000LSn8bAAD</t>
  </si>
  <si>
    <t>0061i00000LH4u9AAD</t>
  </si>
  <si>
    <t>0061i00000LGzE7AAL</t>
  </si>
  <si>
    <t>0061i00000LV1LHAA1</t>
  </si>
  <si>
    <t>0061i00000LTdGkAAL</t>
  </si>
  <si>
    <t>0061i00000KmxZ2AAJ</t>
  </si>
  <si>
    <t>0061i00000KmJk4AAF</t>
  </si>
  <si>
    <t>0061i00000JbXB3AAN</t>
  </si>
  <si>
    <t>0061i00000LqcOmAAJ</t>
  </si>
  <si>
    <t>0061i00000Ky4TEAAZ</t>
  </si>
  <si>
    <t>0061i00000KxrrjAAB</t>
  </si>
  <si>
    <t>0061i00000KmvNnAAJ</t>
  </si>
  <si>
    <t>0061i00000LGMtOAAX</t>
  </si>
  <si>
    <t>0061i00000L1c0cAAB</t>
  </si>
  <si>
    <t>0061i00000LU5BxAAL</t>
  </si>
  <si>
    <t>0061i00000LG4LDAA1</t>
  </si>
  <si>
    <t>0061i00000JbSJ5AAN</t>
  </si>
  <si>
    <t>0061i00000Kz1ckAAB</t>
  </si>
  <si>
    <t>0061i00000KbRBQAA3</t>
  </si>
  <si>
    <t>0061i00000LG8tXAAT</t>
  </si>
  <si>
    <t>0061i00000Kxm1vAAB</t>
  </si>
  <si>
    <t>0061i00000L1ZMzAAN</t>
  </si>
  <si>
    <t>0061i00000LRp22AAD</t>
  </si>
  <si>
    <t>0061i00000LGLLuAAP</t>
  </si>
  <si>
    <t>0061i00000LSh1qAAD</t>
  </si>
  <si>
    <t>0061i00000Jb8KsAAJ</t>
  </si>
  <si>
    <t>0061i00000LrBQgAAN</t>
  </si>
  <si>
    <t>0061i00000JbPMOAA3</t>
  </si>
  <si>
    <t>0061i00000KyXI2AAN</t>
  </si>
  <si>
    <t>0061i00000LHVvWAAX</t>
  </si>
  <si>
    <t>0061i00000KbffaAAB</t>
  </si>
  <si>
    <t>0061i00000KmaELAAZ</t>
  </si>
  <si>
    <t>0061i00000LUDZYAA5</t>
  </si>
  <si>
    <t>0061i00000LT6ihAAD</t>
  </si>
  <si>
    <t>0061i00000LSpMpAAL</t>
  </si>
  <si>
    <t>0061i00000LGlRKAA1</t>
  </si>
  <si>
    <t>0061i00000LSAkXAAX</t>
  </si>
  <si>
    <t>0061i00000Ky55DAAR</t>
  </si>
  <si>
    <t>0061i00000LTj4xAAD</t>
  </si>
  <si>
    <t>0061i00000LUSwsAAH</t>
  </si>
  <si>
    <t>0061i00000LUv8SAAT</t>
  </si>
  <si>
    <t>0061i00000Kl2lVAAR</t>
  </si>
  <si>
    <t>0061i00000KytzlAAB</t>
  </si>
  <si>
    <t>0061i00000LT9xzAAD</t>
  </si>
  <si>
    <t>0061i00000KbsTUAAZ</t>
  </si>
  <si>
    <t>0061i00000LUwRZAA1</t>
  </si>
  <si>
    <t>0061i00000LTefgAAD</t>
  </si>
  <si>
    <t>0061i00000Lqw5kAAB</t>
  </si>
  <si>
    <t>0061i00000LR8ZwAAL</t>
  </si>
  <si>
    <t>0061i00000JaUPVAA3</t>
  </si>
  <si>
    <t>0061i00000LqQRBAA3</t>
  </si>
  <si>
    <t>0061i00000LSkUAAA1</t>
  </si>
  <si>
    <t>0061i00000KcUL3AAN</t>
  </si>
  <si>
    <t>0061i00000Ky5cSAAR</t>
  </si>
  <si>
    <t>0061i00000LGiWlAAL</t>
  </si>
  <si>
    <t>0061i00000LqP7GAAV</t>
  </si>
  <si>
    <t>0061i00000LFjY4AAL</t>
  </si>
  <si>
    <t>0061i00000Ky6rxAAB</t>
  </si>
  <si>
    <t>0061i00000LTkP3AAL</t>
  </si>
  <si>
    <t>0061i00000LSQFfAAP</t>
  </si>
  <si>
    <t>0061i00000KbqHXAAZ</t>
  </si>
  <si>
    <t>0061i00000JbAt5AAF</t>
  </si>
  <si>
    <t>0061i00000LG9bKAAT</t>
  </si>
  <si>
    <t>0061i00000KzuFFAAZ</t>
  </si>
  <si>
    <t>0061i00000KykBqAAJ</t>
  </si>
  <si>
    <t>0061i00000KbIf7AAF</t>
  </si>
  <si>
    <t>0061i00000KlnWcAAJ</t>
  </si>
  <si>
    <t>0061i00000KlA7pAAF</t>
  </si>
  <si>
    <t>0061i00000JbP03AAF</t>
  </si>
  <si>
    <t>0061i00000LGlMKAA1</t>
  </si>
  <si>
    <t>0061i00000KyO1uAAF</t>
  </si>
  <si>
    <t>0061i00000LISdhAAH</t>
  </si>
  <si>
    <t>0061i00000LrAs0AAF</t>
  </si>
  <si>
    <t>0061i00000LRDHoAAP</t>
  </si>
  <si>
    <t>0061i00000LUBNfAAP</t>
  </si>
  <si>
    <t>0061i00000KmQRyAAN</t>
  </si>
  <si>
    <t>0061i00000LFfcqAAD</t>
  </si>
  <si>
    <t>0061i00000KmgkRAAR</t>
  </si>
  <si>
    <t>0061i00000L1YRoAAN</t>
  </si>
  <si>
    <t>0061i00000JbVblAAF</t>
  </si>
  <si>
    <t>0061i00000LQxg1AAD</t>
  </si>
  <si>
    <t>0061i00000KyybvAAB</t>
  </si>
  <si>
    <t>0061i00000LRDg5AAH</t>
  </si>
  <si>
    <t>0061i00000Jb8LHAAZ</t>
  </si>
  <si>
    <t>0061i00000KyGvjAAF</t>
  </si>
  <si>
    <t>0061i00000Lr0zTAAR</t>
  </si>
  <si>
    <t>0061i00000KcRdgAAF</t>
  </si>
  <si>
    <t>0061i00000Kn88sAAB</t>
  </si>
  <si>
    <t>0061i00000LUM6HAAX</t>
  </si>
  <si>
    <t>0061i00000LGMNmAAP</t>
  </si>
  <si>
    <t>0061i00000LG8wbAAD</t>
  </si>
  <si>
    <t>0061i00000JbVMMAA3</t>
  </si>
  <si>
    <t>0061i00000KnUxVAAV</t>
  </si>
  <si>
    <t>0061i00000KcQxjAAF</t>
  </si>
  <si>
    <t>0061i00000LQtFkAAL</t>
  </si>
  <si>
    <t>0061i00000KcGt6AAF</t>
  </si>
  <si>
    <t>0061i00000KmchcAAB</t>
  </si>
  <si>
    <t>0061i00000Kc9lYAAR</t>
  </si>
  <si>
    <t>0061i00000LQyLPAA1</t>
  </si>
  <si>
    <t>0061i00000KyFdBAAV</t>
  </si>
  <si>
    <t>0061i00000KmEwjAAF</t>
  </si>
  <si>
    <t>0061i00000Kyp91AAB</t>
  </si>
  <si>
    <t>0061i00000JbOpFAAV</t>
  </si>
  <si>
    <t>0061i00000L1fRtAAJ</t>
  </si>
  <si>
    <t>0061i00000KlFWFAA3</t>
  </si>
  <si>
    <t>0061i00000Kkw88AAB</t>
  </si>
  <si>
    <t>0061i00000LqQxqAAF</t>
  </si>
  <si>
    <t>0061i00000KnNjfAAF</t>
  </si>
  <si>
    <t>0061i00000LRFHDAA5</t>
  </si>
  <si>
    <t>0061i00000KbHaLAAV</t>
  </si>
  <si>
    <t>0061i00000KmeYgAAJ</t>
  </si>
  <si>
    <t>0061i00000JbQt7AAF</t>
  </si>
  <si>
    <t>0061i00000LQsz8AAD</t>
  </si>
  <si>
    <t>0061i00000LFbj9AAD</t>
  </si>
  <si>
    <t>0061i00000LSA5XAAX</t>
  </si>
  <si>
    <t>0061i00000LFj8LAAT</t>
  </si>
  <si>
    <t>0061i00000KyXyRAAV</t>
  </si>
  <si>
    <t>0061i00000KyWSjAAN</t>
  </si>
  <si>
    <t>0061i00000Kxr5NAAR</t>
  </si>
  <si>
    <t>0061i00000KcTy4AAF</t>
  </si>
  <si>
    <t>0061i00000LUIKGAA5</t>
  </si>
  <si>
    <t>0061i00000LU8jiAAD</t>
  </si>
  <si>
    <t>0061i00000LV0GBAA1</t>
  </si>
  <si>
    <t>0061i00000LH1C8AAL</t>
  </si>
  <si>
    <t>0061i00000LHmM0AAL</t>
  </si>
  <si>
    <t>0061i00000LqLy0AAF</t>
  </si>
  <si>
    <t>0061i00000KlGuIAAV</t>
  </si>
  <si>
    <t>0061i00000LV3hqAAD</t>
  </si>
  <si>
    <t>0061i00000KxkfUAAR</t>
  </si>
  <si>
    <t>0061i00000LV3LuAAL</t>
  </si>
  <si>
    <t>0061i00000KnLRnAAN</t>
  </si>
  <si>
    <t>0061i00000LThbfAAD</t>
  </si>
  <si>
    <t>0061i00000LV16lAAD</t>
  </si>
  <si>
    <t>0061i00000LqmPeAAJ</t>
  </si>
  <si>
    <t>0061i00000KmhzmAAB</t>
  </si>
  <si>
    <t>0061i00000KyXLPAA3</t>
  </si>
  <si>
    <t>0061i00000KxnhgAAB</t>
  </si>
  <si>
    <t>0061i00000JbXgfAAF</t>
  </si>
  <si>
    <t>0061i00000KmvwTAAR</t>
  </si>
  <si>
    <t>0061i00000KyYHdAAN</t>
  </si>
  <si>
    <t>0061i00000JbTYBAA3</t>
  </si>
  <si>
    <t>0061i00000LIAQpAAP</t>
  </si>
  <si>
    <t>0061i00000KbLDWAA3</t>
  </si>
  <si>
    <t>0061i00000Klr1uAAB</t>
  </si>
  <si>
    <t>0061i00000KzDnoAAF</t>
  </si>
  <si>
    <t>0061i00000LqSVFAA3</t>
  </si>
  <si>
    <t>0061i00000KboLSAAZ</t>
  </si>
  <si>
    <t>0061i00000LqJo8AAF</t>
  </si>
  <si>
    <t>0061i00000LH3j9AAD</t>
  </si>
  <si>
    <t>0061i00000LTzthAAD</t>
  </si>
  <si>
    <t>0061i00000L1estAAB</t>
  </si>
  <si>
    <t>0061i00000LFaPXAA1</t>
  </si>
  <si>
    <t>0061i00000LH4ooAAD</t>
  </si>
  <si>
    <t>0061i00000LFargAAD</t>
  </si>
  <si>
    <t>0061i00000LH4XJAA1</t>
  </si>
  <si>
    <t>0061i00000JbVZ6AAN</t>
  </si>
  <si>
    <t>0061i00000L1Zz8AAF</t>
  </si>
  <si>
    <t>0061i00000LUJSZAA5</t>
  </si>
  <si>
    <t>0061i00000KxqxwAAB</t>
  </si>
  <si>
    <t>0061i00000LSKeeAAH</t>
  </si>
  <si>
    <t>0061i00000LGqX1AAL</t>
  </si>
  <si>
    <t>0061i00000KypHjAAJ</t>
  </si>
  <si>
    <t>0061i00000Ky3kYAAR</t>
  </si>
  <si>
    <t>0061i00000KmBqiAAF</t>
  </si>
  <si>
    <t>0061i00000KzukZAAR</t>
  </si>
  <si>
    <t>0061i00000LSmYEAA1</t>
  </si>
  <si>
    <t>0061i00000KmxmJAAR</t>
  </si>
  <si>
    <t>0061i00000Kme4bAAB</t>
  </si>
  <si>
    <t>0061i00000LU4nHAAT</t>
  </si>
  <si>
    <t>0061i00000LHr8XAAT</t>
  </si>
  <si>
    <t>0061i00000LRfwCAAT</t>
  </si>
  <si>
    <t>0061i00000KmedcAAB</t>
  </si>
  <si>
    <t>0061i00000LSBDmAAP</t>
  </si>
  <si>
    <t>0061i00000JbYXyAAN</t>
  </si>
  <si>
    <t>0061i00000LHmDmAAL</t>
  </si>
  <si>
    <t>0061i00000LqK39AAF</t>
  </si>
  <si>
    <t>0061i00000L1gDfAAJ</t>
  </si>
  <si>
    <t>0061i00000Lqgl9AAB</t>
  </si>
  <si>
    <t>0061i00000LII7HAAX</t>
  </si>
  <si>
    <t>0061i00000LUCVzAAP</t>
  </si>
  <si>
    <t>0061i00000KmD8dAAF</t>
  </si>
  <si>
    <t>0061i00000LGiRWAA1</t>
  </si>
  <si>
    <t>0061i00000KyQb1AAF</t>
  </si>
  <si>
    <t>0061i00000KmN4IAAV</t>
  </si>
  <si>
    <t>0061i00000JbNXKAA3</t>
  </si>
  <si>
    <t>0061i00000KzrGAAAZ</t>
  </si>
  <si>
    <t>0061i00000KyOVuAAN</t>
  </si>
  <si>
    <t>0061i00000Kmf35AAB</t>
  </si>
  <si>
    <t>0061i00000Lqy7OAAR</t>
  </si>
  <si>
    <t>0061i00000JbXh9AAF</t>
  </si>
  <si>
    <t>0061i00000KnTZDAA3</t>
  </si>
  <si>
    <t>0061i00000LTfuXAAT</t>
  </si>
  <si>
    <t>0061i00000Lqjc5AAB</t>
  </si>
  <si>
    <t>0061i00000KxkajAAB</t>
  </si>
  <si>
    <t>0061i00000L1fQrAAJ</t>
  </si>
  <si>
    <t>0061i00000LH4acAAD</t>
  </si>
  <si>
    <t>0061i00000LTBJMAA5</t>
  </si>
  <si>
    <t>0061i00000LFddhAAD</t>
  </si>
  <si>
    <t>0061i00000JbYZkAAN</t>
  </si>
  <si>
    <t>0061i00000Ky6UgAAJ</t>
  </si>
  <si>
    <t>0061i00000LGNZkAAP</t>
  </si>
  <si>
    <t>0061i00000JaddnAAB</t>
  </si>
  <si>
    <t>0061i00000LRhQDAA1</t>
  </si>
  <si>
    <t>0061i00000KzozYAAR</t>
  </si>
  <si>
    <t>0061i00000KmhhJAAR</t>
  </si>
  <si>
    <t>0061i00000KxruDAAR</t>
  </si>
  <si>
    <t>0061i00000KxqM2AAJ</t>
  </si>
  <si>
    <t>0061i00000LIEFwAAP</t>
  </si>
  <si>
    <t>0061i00000LUOENAA5</t>
  </si>
  <si>
    <t>0061i00000Kymv3AAB</t>
  </si>
  <si>
    <t>0061i00000LUIQwAAP</t>
  </si>
  <si>
    <t>0061i00000JbP4FAAV</t>
  </si>
  <si>
    <t>0061i00000Ky4IuAAJ</t>
  </si>
  <si>
    <t>0061i00000L1e9mAAB</t>
  </si>
  <si>
    <t>0061i00000LH7f5AAD</t>
  </si>
  <si>
    <t>0061i00000Kn1xQAAR</t>
  </si>
  <si>
    <t>0061i00000KxkJJAAZ</t>
  </si>
  <si>
    <t>0061i00000Kn3XFAAZ</t>
  </si>
  <si>
    <t>0061i00000LRdhtAAD</t>
  </si>
  <si>
    <t>0061i00000LUSGDAA5</t>
  </si>
  <si>
    <t>0061i00000KxqjfAAB</t>
  </si>
  <si>
    <t>0061i00000Ky0OKAAZ</t>
  </si>
  <si>
    <t>0061i00000Ky1K4AAJ</t>
  </si>
  <si>
    <t>0061i00000LSPB8AAP</t>
  </si>
  <si>
    <t>0061i00000LFcuUAAT</t>
  </si>
  <si>
    <t>0061i00000Kc3WmAAJ</t>
  </si>
  <si>
    <t>0061i00000Ky2joAAB</t>
  </si>
  <si>
    <t>0061i00000Kma6MAAR</t>
  </si>
  <si>
    <t>0061i00000LRkQBAA1</t>
  </si>
  <si>
    <t>0061i00000KlDgIAAV</t>
  </si>
  <si>
    <t>0061i00000KmcAFAAZ</t>
  </si>
  <si>
    <t>0061i00000KlBF2AAN</t>
  </si>
  <si>
    <t>0061i00000KyVXdAAN</t>
  </si>
  <si>
    <t>0061i00000LRHPJAA5</t>
  </si>
  <si>
    <t>0061i00000KnRDEAA3</t>
  </si>
  <si>
    <t>0061i00000KkvqFAAR</t>
  </si>
  <si>
    <t>0061i00000L1WruAAF</t>
  </si>
  <si>
    <t>0061i00000KyjHEAAZ</t>
  </si>
  <si>
    <t>0061i00000LRlXlAAL</t>
  </si>
  <si>
    <t>0061i00000KmMw4AAF</t>
  </si>
  <si>
    <t>0061i00000KxWvQAAV</t>
  </si>
  <si>
    <t>0061i00000KlBUbAAN</t>
  </si>
  <si>
    <t>0061i00000LHu3pAAD</t>
  </si>
  <si>
    <t>0061i00000JbFprAAF</t>
  </si>
  <si>
    <t>0061i00000KlngXAAR</t>
  </si>
  <si>
    <t>0061i00000LU5vvAAD</t>
  </si>
  <si>
    <t>0061i00000LFvatAAD</t>
  </si>
  <si>
    <t>0061i00000KyZSwAAN</t>
  </si>
  <si>
    <t>0061i00000KnRrlAAF</t>
  </si>
  <si>
    <t>0061i00000LqKoAAAV</t>
  </si>
  <si>
    <t>0061i00000KyPzlAAF</t>
  </si>
  <si>
    <t>0061i00000KyjUNAAZ</t>
  </si>
  <si>
    <t>0061i00000KytmxAAB</t>
  </si>
  <si>
    <t>0061i00000LQswEAAT</t>
  </si>
  <si>
    <t>0061i00000KcGYgAAN</t>
  </si>
  <si>
    <t>0061i00000KnKDQAA3</t>
  </si>
  <si>
    <t>0061i00000KbL8fAAF</t>
  </si>
  <si>
    <t>0061i00000KyWLnAAN</t>
  </si>
  <si>
    <t>0061i00000LUSfSAAX</t>
  </si>
  <si>
    <t>0061i00000LqicTAAR</t>
  </si>
  <si>
    <t>0061i00000LqiE2AAJ</t>
  </si>
  <si>
    <t>0061i00000Kmj7IAAR</t>
  </si>
  <si>
    <t>0061i00000LV2PvAAL</t>
  </si>
  <si>
    <t>0061i00000KywwAAAR</t>
  </si>
  <si>
    <t>0061i00000LR9uMAAT</t>
  </si>
  <si>
    <t>0061i00000LqiRfAAJ</t>
  </si>
  <si>
    <t>0061i00000KcD1LAAV</t>
  </si>
  <si>
    <t>0061i00000LU9tyAAD</t>
  </si>
  <si>
    <t>0061i00000LFhkXAAT</t>
  </si>
  <si>
    <t>0061i00000KlprwAAB</t>
  </si>
  <si>
    <t>0061i00000LRBIZAA5</t>
  </si>
  <si>
    <t>0061i00000LShboAAD</t>
  </si>
  <si>
    <t>0061i00000KzooSAAR</t>
  </si>
  <si>
    <t>0061i00000Kzu01AAB</t>
  </si>
  <si>
    <t>0061i00000LUO8eAAH</t>
  </si>
  <si>
    <t>0061i00000KyoNvAAJ</t>
  </si>
  <si>
    <t>0061i00000KypcIAAR</t>
  </si>
  <si>
    <t>0061i00000KcHYTAA3</t>
  </si>
  <si>
    <t>0061i00000KcRp4AAF</t>
  </si>
  <si>
    <t>0061i00000Kz0VJAAZ</t>
  </si>
  <si>
    <t>0061i00000KyNZRAA3</t>
  </si>
  <si>
    <t>0061i00000Kxn45AAB</t>
  </si>
  <si>
    <t>0061i00000Ky1yZAAR</t>
  </si>
  <si>
    <t>0061i00000LrMF2AAN</t>
  </si>
  <si>
    <t>0061i00000LUJeuAAH</t>
  </si>
  <si>
    <t>0061i00000Kbqv3AAB</t>
  </si>
  <si>
    <t>0061i00000KnHUvAAN</t>
  </si>
  <si>
    <t>0061i00000KlbOeAAJ</t>
  </si>
  <si>
    <t>0061i00000LURvkAAH</t>
  </si>
  <si>
    <t>0061i00000KmvrdAAB</t>
  </si>
  <si>
    <t>0061i00000LUOfiAAH</t>
  </si>
  <si>
    <t>0061i00000KltQMAAZ</t>
  </si>
  <si>
    <t>0061i00000KxlP8AAJ</t>
  </si>
  <si>
    <t>0061i00000KyH4HAAV</t>
  </si>
  <si>
    <t>0061i00000JaWCiAAN</t>
  </si>
  <si>
    <t>0061i00000LIEcvAAH</t>
  </si>
  <si>
    <t>0061i00000Ky2QrAAJ</t>
  </si>
  <si>
    <t>0061i00000LqjKVAAZ</t>
  </si>
  <si>
    <t>0061i00000LTzsAAAT</t>
  </si>
  <si>
    <t>0061i00000KlvNcAAJ</t>
  </si>
  <si>
    <t>0061i00000L1YCKAA3</t>
  </si>
  <si>
    <t>0061i00000LHrPEAA1</t>
  </si>
  <si>
    <t>0061i00000KyS1oAAF</t>
  </si>
  <si>
    <t>0061i00000KyXJnAAN</t>
  </si>
  <si>
    <t>0061i00000LU4V0AAL</t>
  </si>
  <si>
    <t>0061i00000JapkAAAR</t>
  </si>
  <si>
    <t>0061i00000LT79cAAD</t>
  </si>
  <si>
    <t>0061i00000KyobdAAB</t>
  </si>
  <si>
    <t>0061i00000Lr7YgAAJ</t>
  </si>
  <si>
    <t>0061i00000KyqcsAAB</t>
  </si>
  <si>
    <t>0061i00000LI5bNAAT</t>
  </si>
  <si>
    <t>0061i00000JaTI4AAN</t>
  </si>
  <si>
    <t>0061i00000JbSKmAAN</t>
  </si>
  <si>
    <t>0061i00000KnO3PAAV</t>
  </si>
  <si>
    <t>0061i00000LqIcNAAV</t>
  </si>
  <si>
    <t>0061i00000LqQNOAA3</t>
  </si>
  <si>
    <t>0061i00000KyquSAAR</t>
  </si>
  <si>
    <t>0061i00000JbQevAAF</t>
  </si>
  <si>
    <t>0061i00000LUSlkAAH</t>
  </si>
  <si>
    <t>0061i00000LUf50AAD</t>
  </si>
  <si>
    <t>0061i00000KysDVAAZ</t>
  </si>
  <si>
    <t>0061i00000LRf7oAAD</t>
  </si>
  <si>
    <t>0061i00000KxtpqAAB</t>
  </si>
  <si>
    <t>0061i00000KcAQ2AAN</t>
  </si>
  <si>
    <t>0061i00000LqSftAAF</t>
  </si>
  <si>
    <t>0061i00000Kzy4cAAB</t>
  </si>
  <si>
    <t>0061i00000KzDhHAAV</t>
  </si>
  <si>
    <t>0061i00000KcApbAAF</t>
  </si>
  <si>
    <t>0061i00000KnChRAAV</t>
  </si>
  <si>
    <t>0061i00000KzpMkAAJ</t>
  </si>
  <si>
    <t>0061i00000KcVFkAAN</t>
  </si>
  <si>
    <t>0061i00000LFfQ6AAL</t>
  </si>
  <si>
    <t>0061i00000Lr8RgAAJ</t>
  </si>
  <si>
    <t>0061i00000Kzrj7AAB</t>
  </si>
  <si>
    <t>0061i00000LG8pgAAD</t>
  </si>
  <si>
    <t>0061i00000KlkjtAAB</t>
  </si>
  <si>
    <t>0061i00000LqQzdAAF</t>
  </si>
  <si>
    <t>0061i00000LqbTXAAZ</t>
  </si>
  <si>
    <t>0061i00000KytNrAAJ</t>
  </si>
  <si>
    <t>0061i00000KltyiAAB</t>
  </si>
  <si>
    <t>0061i00000LqmtYAAR</t>
  </si>
  <si>
    <t>0061i00000LHHHuAAP</t>
  </si>
  <si>
    <t>0061i00000LFjmkAAD</t>
  </si>
  <si>
    <t>0061i00000LV0CjAAL</t>
  </si>
  <si>
    <t>0061i00000LU1q8AAD</t>
  </si>
  <si>
    <t>0061i00000LUkZUAA1</t>
  </si>
  <si>
    <t>0061i00000Kc5vlAAB</t>
  </si>
  <si>
    <t>0061i00000LIIF6AAP</t>
  </si>
  <si>
    <t>0061i00000LFigJAAT</t>
  </si>
  <si>
    <t>0061i00000JbN1OAAV</t>
  </si>
  <si>
    <t>0061i00000Kl8M9AAJ</t>
  </si>
  <si>
    <t>0061i00000KznktAAB</t>
  </si>
  <si>
    <t>0061i00000LHvfkAAD</t>
  </si>
  <si>
    <t>0061i00000KkyjQAAR</t>
  </si>
  <si>
    <t>0061i00000LV3CiAAL</t>
  </si>
  <si>
    <t>0061i00000LV1TaAAL</t>
  </si>
  <si>
    <t>0061i00000JbAmiAAF</t>
  </si>
  <si>
    <t>0061i00000LH64vAAD</t>
  </si>
  <si>
    <t>0061i00000LqmYLAAZ</t>
  </si>
  <si>
    <t>0061i00000LqBP2AAN</t>
  </si>
  <si>
    <t>0061i00000LTj1ZAAT</t>
  </si>
  <si>
    <t>0061i00000Kls3zAAB</t>
  </si>
  <si>
    <t>0061i00000LrADCAA3</t>
  </si>
  <si>
    <t>0061i00000LqRRHAA3</t>
  </si>
  <si>
    <t>0061i00000JaUT3AAN</t>
  </si>
  <si>
    <t>0061i00000LG8EoAAL</t>
  </si>
  <si>
    <t>0061i00000KcRXhAAN</t>
  </si>
  <si>
    <t>0061i00000LRTLfAAP</t>
  </si>
  <si>
    <t>0061i00000L1eZ1AAJ</t>
  </si>
  <si>
    <t>0061i00000LU2EoAAL</t>
  </si>
  <si>
    <t>0061i00000KyqiXAAR</t>
  </si>
  <si>
    <t>0061i00000LGDkMAAX</t>
  </si>
  <si>
    <t>0061i00000KmvqfAAB</t>
  </si>
  <si>
    <t>0061i00000LUneIAAT</t>
  </si>
  <si>
    <t>0061i00000LTma9AAD</t>
  </si>
  <si>
    <t>0061i00000LUOYmAAP</t>
  </si>
  <si>
    <t>0061i00000LU4GdAAL</t>
  </si>
  <si>
    <t>0061i00000Ky4qhAAB</t>
  </si>
  <si>
    <t>0061i00000LqC11AAF</t>
  </si>
  <si>
    <t>0061i00000Kxn3RAAR</t>
  </si>
  <si>
    <t>0061i00000Lr0t5AAB</t>
  </si>
  <si>
    <t>0061i00000LIEBlAAP</t>
  </si>
  <si>
    <t>0061i00000KnLdyAAF</t>
  </si>
  <si>
    <t>0061i00000LUzutAAD</t>
  </si>
  <si>
    <t>0061i00000JbWuSAAV</t>
  </si>
  <si>
    <t>0061i00000L1ctiAAB</t>
  </si>
  <si>
    <t>0061i00000LRoslAAD</t>
  </si>
  <si>
    <t>0061i00000KxnDgAAJ</t>
  </si>
  <si>
    <t>0061i00000Kn1zrAAB</t>
  </si>
  <si>
    <t>0061i00000LUxPjAAL</t>
  </si>
  <si>
    <t>0061i00000KbPxXAAV</t>
  </si>
  <si>
    <t>0061i00000KbR1pAAF</t>
  </si>
  <si>
    <t>0061i00000LqscqAAB</t>
  </si>
  <si>
    <t>0061i00000Klt63AAB</t>
  </si>
  <si>
    <t>0061i00000KyS9YAAV</t>
  </si>
  <si>
    <t>0061i00000Kc27iAAB</t>
  </si>
  <si>
    <t>0061i00000LTdq4AAD</t>
  </si>
  <si>
    <t>0061i00000LQuDRAA1</t>
  </si>
  <si>
    <t>0061i00000LT42dAAD</t>
  </si>
  <si>
    <t>0061i00000L1aUfAAJ</t>
  </si>
  <si>
    <t>0061i00000KmYtCAAV</t>
  </si>
  <si>
    <t>0061i00000LH4zrAAD</t>
  </si>
  <si>
    <t>0061i00000LFhS4AAL</t>
  </si>
  <si>
    <t>0061i00000LqkNfAAJ</t>
  </si>
  <si>
    <t>0061i00000KzvGaAAJ</t>
  </si>
  <si>
    <t>0061i00000LUwHKAA1</t>
  </si>
  <si>
    <t>0061i00000KluFsAAJ</t>
  </si>
  <si>
    <t>0061i00000Ky08vAAB</t>
  </si>
  <si>
    <t>0061i00000LV1N8AAL</t>
  </si>
  <si>
    <t>0061i00000LqMDyAAN</t>
  </si>
  <si>
    <t>0061i00000LV1jyAAD</t>
  </si>
  <si>
    <t>0061i00000Kc2zVAAR</t>
  </si>
  <si>
    <t>0061i00000KxlhMAAR</t>
  </si>
  <si>
    <t>0061i00000LURPOAA5</t>
  </si>
  <si>
    <t>0061i00000LTrT7AAL</t>
  </si>
  <si>
    <t>0061i00000LqcjfAAB</t>
  </si>
  <si>
    <t>0061i00000KxzdoAAB</t>
  </si>
  <si>
    <t>0061i00000LqTqdAAF</t>
  </si>
  <si>
    <t>0061i00000KysLuAAJ</t>
  </si>
  <si>
    <t>0061i00000KyuFZAAZ</t>
  </si>
  <si>
    <t>0061i00000KbpwBAAR</t>
  </si>
  <si>
    <t>0061i00000KmbjNAAR</t>
  </si>
  <si>
    <t>0061i00000LUwCtAAL</t>
  </si>
  <si>
    <t>0061i00000LU4SYAA1</t>
  </si>
  <si>
    <t>0061i00000LUSpwAAH</t>
  </si>
  <si>
    <t>0061i00000LV2nJAAT</t>
  </si>
  <si>
    <t>0061i00000LrJzqAAF</t>
  </si>
  <si>
    <t>0061i00000LG3OGAA1</t>
  </si>
  <si>
    <t>0061i00000Kc6kZAAR</t>
  </si>
  <si>
    <t>0061i00000LH40lAAD</t>
  </si>
  <si>
    <t>0061i00000LU8jOAAT</t>
  </si>
  <si>
    <t>0061i00000LQs8sAAD</t>
  </si>
  <si>
    <t>0061i00000Kmj7XAAR</t>
  </si>
  <si>
    <t>0061i00000LS0sdAAD</t>
  </si>
  <si>
    <t>0061i00000KmgHjAAJ</t>
  </si>
  <si>
    <t>0061i00000LUhczAAD</t>
  </si>
  <si>
    <t>0061i00000KbdFNAAZ</t>
  </si>
  <si>
    <t>0061i00000KxjOIAAZ</t>
  </si>
  <si>
    <t>0061i00000JaVevAAF</t>
  </si>
  <si>
    <t>0061i00000LqeVkAAJ</t>
  </si>
  <si>
    <t>0061i00000LH5lMAAT</t>
  </si>
  <si>
    <t>0061i00000LUgCRAA1</t>
  </si>
  <si>
    <t>0061i00000LqNTTAA3</t>
  </si>
  <si>
    <t>0061i00000KmJnXAAV</t>
  </si>
  <si>
    <t>0061i00000L1YIhAAN</t>
  </si>
  <si>
    <t>0061i00000KmIN9AAN</t>
  </si>
  <si>
    <t>0061i00000Kl7fUAAR</t>
  </si>
  <si>
    <t>0061i00000LFgPdAAL</t>
  </si>
  <si>
    <t>0061i00000KmgxfAAB</t>
  </si>
  <si>
    <t>0061i00000KbU4hAAF</t>
  </si>
  <si>
    <t>0061i00000LG3aCAAT</t>
  </si>
  <si>
    <t>0061i00000KzoeIAAR</t>
  </si>
  <si>
    <t>0061i00000LQxcdAAD</t>
  </si>
  <si>
    <t>0061i00000LGlEpAAL</t>
  </si>
  <si>
    <t>0061i00000LFiFuAAL</t>
  </si>
  <si>
    <t>0061i00000LFchAAAT</t>
  </si>
  <si>
    <t>0061i00000KmKkeAAF</t>
  </si>
  <si>
    <t>0061i00000LUzW3AAL</t>
  </si>
  <si>
    <t>0061i00000LUTUGAA5</t>
  </si>
  <si>
    <t>0061i00000LRcEbAAL</t>
  </si>
  <si>
    <t>0061i00000KxpIiAAJ</t>
  </si>
  <si>
    <t>0061i00000Jb4qPAAR</t>
  </si>
  <si>
    <t>0061i00000LQzfyAAD</t>
  </si>
  <si>
    <t>0061i00000L1WhzAAF</t>
  </si>
  <si>
    <t>0061i00000JbGJoAAN</t>
  </si>
  <si>
    <t>0061i00000LT1g1AAD</t>
  </si>
  <si>
    <t>0061i00000LR02PAAT</t>
  </si>
  <si>
    <t>0061i00000KmNBsAAN</t>
  </si>
  <si>
    <t>0061i00000LGje2AAD</t>
  </si>
  <si>
    <t>0061i00000LR08lAAD</t>
  </si>
  <si>
    <t>0061i00000LHsKPAA1</t>
  </si>
  <si>
    <t>0061i00000KmClFAAV</t>
  </si>
  <si>
    <t>0061i00000KxmOPAAZ</t>
  </si>
  <si>
    <t>0061i00000LUljBAAT</t>
  </si>
  <si>
    <t>0061i00000Ky3KVAAZ</t>
  </si>
  <si>
    <t>0061i00000LID0jAAH</t>
  </si>
  <si>
    <t>0061i00000Jb8mbAAB</t>
  </si>
  <si>
    <t>0061i00000KmxRkAAJ</t>
  </si>
  <si>
    <t>0061i00000LG54oAAD</t>
  </si>
  <si>
    <t>0061i00000JbWl0AAF</t>
  </si>
  <si>
    <t>0061i00000LrBzHAAV</t>
  </si>
  <si>
    <t>0061i00000LSokRAAT</t>
  </si>
  <si>
    <t>0061i00000JanjjAAB</t>
  </si>
  <si>
    <t>0061i00000L1aofAAB</t>
  </si>
  <si>
    <t>0061i00000LIEYyAAP</t>
  </si>
  <si>
    <t>0061i00000Lr2rpAAB</t>
  </si>
  <si>
    <t>0061i00000KlnM8AAJ</t>
  </si>
  <si>
    <t>0061i00000LqjHvAAJ</t>
  </si>
  <si>
    <t>0061i00000Lr1ESAAZ</t>
  </si>
  <si>
    <t>0061i00000LUh1UAAT</t>
  </si>
  <si>
    <t>0061i00000LU3JVAA1</t>
  </si>
  <si>
    <t>0061i00000LqjfYAAR</t>
  </si>
  <si>
    <t>0061i00000KypyiAAB</t>
  </si>
  <si>
    <t>0061i00000LUwu8AAD</t>
  </si>
  <si>
    <t>0061i00000KmyqvAAB</t>
  </si>
  <si>
    <t>0061i00000LRAUKAA5</t>
  </si>
  <si>
    <t>0061i00000Km4z3AAB</t>
  </si>
  <si>
    <t>0061i00000LR0P9AAL</t>
  </si>
  <si>
    <t>0061i00000LS5fZAAT</t>
  </si>
  <si>
    <t>0061i00000Kyd7KAAR</t>
  </si>
  <si>
    <t>0061i00000LULyrAAH</t>
  </si>
  <si>
    <t>0061i00000LTAZAAA5</t>
  </si>
  <si>
    <t>0061i00000LH2EoAAL</t>
  </si>
  <si>
    <t>0061i00000LHmmSAAT</t>
  </si>
  <si>
    <t>0061i00000LqbCHAAZ</t>
  </si>
  <si>
    <t>0061i00000LqIaKAAV</t>
  </si>
  <si>
    <t>0061i00000JbO02AAF</t>
  </si>
  <si>
    <t>0061i00000Ky4JxAAJ</t>
  </si>
  <si>
    <t>0061i00000LHJWfAAP</t>
  </si>
  <si>
    <t>0061i00000LGBTrAAP</t>
  </si>
  <si>
    <t>0061i00000LG9GvAAL</t>
  </si>
  <si>
    <t>0061i00000Kyr3SAAR</t>
  </si>
  <si>
    <t>0061i00000KzqaxAAB</t>
  </si>
  <si>
    <t>0061i00000LFbuvAAD</t>
  </si>
  <si>
    <t>0061i00000L1XqAAAV</t>
  </si>
  <si>
    <t>0061i00000LT56SAAT</t>
  </si>
  <si>
    <t>0061i00000KmYJTAA3</t>
  </si>
  <si>
    <t>0061i00000KyGZnAAN</t>
  </si>
  <si>
    <t>0061i00000LTko3AAD</t>
  </si>
  <si>
    <t>0061i00000LSixUAAT</t>
  </si>
  <si>
    <t>0061i00000JbV3FAAV</t>
  </si>
  <si>
    <t>0061i00000LGT6SAAX</t>
  </si>
  <si>
    <t>0061i00000Kl0jOAAR</t>
  </si>
  <si>
    <t>0061i00000LUx6cAAD</t>
  </si>
  <si>
    <t>0061i00000KzpEkAAJ</t>
  </si>
  <si>
    <t>0061i00000KlI94AAF</t>
  </si>
  <si>
    <t>0061i00000KzplpAAB</t>
  </si>
  <si>
    <t>0061i00000LqNogAAF</t>
  </si>
  <si>
    <t>0061i00000LSSL6AAP</t>
  </si>
  <si>
    <t>0061i00000KyjIRAAZ</t>
  </si>
  <si>
    <t>0061i00000LQvSvAAL</t>
  </si>
  <si>
    <t>0061i00000LTeqKAAT</t>
  </si>
  <si>
    <t>0061i00000LUQMOAA5</t>
  </si>
  <si>
    <t>0061i00000KxzmfAAB</t>
  </si>
  <si>
    <t>0061i00000LqOo8AAF</t>
  </si>
  <si>
    <t>0061i00000KbP5DAAV</t>
  </si>
  <si>
    <t>0061i00000LrDY3AAN</t>
  </si>
  <si>
    <t>0061i00000LRfzfAAD</t>
  </si>
  <si>
    <t>0061i00000LV2pZAAT</t>
  </si>
  <si>
    <t>0061i00000LGkXCAA1</t>
  </si>
  <si>
    <t>0061i00000LUmY4AAL</t>
  </si>
  <si>
    <t>0061i00000LqHlbAAF</t>
  </si>
  <si>
    <t>0061i00000Jam3sAAB</t>
  </si>
  <si>
    <t>0061i00000LGjqOAAT</t>
  </si>
  <si>
    <t>0061i00000LUjmIAAT</t>
  </si>
  <si>
    <t>0061i00000JarOkAAJ</t>
  </si>
  <si>
    <t>0061i00000LG0g2AAD</t>
  </si>
  <si>
    <t>0061i00000KkwoTAAR</t>
  </si>
  <si>
    <t>0061i00000LULdKAAX</t>
  </si>
  <si>
    <t>0061i00000LSobVAAT</t>
  </si>
  <si>
    <t>0061i00000LITNhAAP</t>
  </si>
  <si>
    <t>0061i00000LSqoLAAT</t>
  </si>
  <si>
    <t>0061i00000LGsLnAAL</t>
  </si>
  <si>
    <t>0061i00000KcUlaAAF</t>
  </si>
  <si>
    <t>0061i00000LQsTgAAL</t>
  </si>
  <si>
    <t>0061i00000LG8y8AAD</t>
  </si>
  <si>
    <t>0061i00000KxmCiAAJ</t>
  </si>
  <si>
    <t>0061i00000LqsM1AAJ</t>
  </si>
  <si>
    <t>0061i00000LqbGYAAZ</t>
  </si>
  <si>
    <t>0061i00000JbFmwAAF</t>
  </si>
  <si>
    <t>0061i00000KlDGCAA3</t>
  </si>
  <si>
    <t>0061i00000LIDnWAAX</t>
  </si>
  <si>
    <t>0061i00000LqyGuAAJ</t>
  </si>
  <si>
    <t>0061i00000KcQCoAAN</t>
  </si>
  <si>
    <t>0061i00000KxzDBAAZ</t>
  </si>
  <si>
    <t>0061i00000Kn2AaAAJ</t>
  </si>
  <si>
    <t>0061i00000LRFxEAAX</t>
  </si>
  <si>
    <t>0061i00000LHsElAAL</t>
  </si>
  <si>
    <t>0061i00000LS4xNAAT</t>
  </si>
  <si>
    <t>0061i00000JbMvuAAF</t>
  </si>
  <si>
    <t>0061i00000Kl8wWAAR</t>
  </si>
  <si>
    <t>0061i00000LqiI9AAJ</t>
  </si>
  <si>
    <t>0061i00000LGnMMAA1</t>
  </si>
  <si>
    <t>0061i00000LqPb0AAF</t>
  </si>
  <si>
    <t>0061i00000LGDhHAAX</t>
  </si>
  <si>
    <t>0061i00000LHrrhAAD</t>
  </si>
  <si>
    <t>0061i00000Ky5VuAAJ</t>
  </si>
  <si>
    <t>0061i00000KnPUGAA3</t>
  </si>
  <si>
    <t>0061i00000LqKsMAAV</t>
  </si>
  <si>
    <t>0061i00000LSB3DAAX</t>
  </si>
  <si>
    <t>0061i00000Kyl05AAB</t>
  </si>
  <si>
    <t>0061i00000LGs4hAAD</t>
  </si>
  <si>
    <t>0061i00000LqPxaAAF</t>
  </si>
  <si>
    <t>0061i00000LGra8AAD</t>
  </si>
  <si>
    <t>0061i00000Jb8VkAAJ</t>
  </si>
  <si>
    <t>0061i00000KxiDnAAJ</t>
  </si>
  <si>
    <t>0061i00000LGC6AAAX</t>
  </si>
  <si>
    <t>0061i00000Kbp0LAAR</t>
  </si>
  <si>
    <t>0061i00000LTk3HAAT</t>
  </si>
  <si>
    <t>0061i00000LqdaUAAR</t>
  </si>
  <si>
    <t>0061i00000KlkjyAAB</t>
  </si>
  <si>
    <t>0061i00000LUzBGAA1</t>
  </si>
  <si>
    <t>0061i00000LTgobAAD</t>
  </si>
  <si>
    <t>0061i00000LTg8oAAD</t>
  </si>
  <si>
    <t>0061i00000Lr8nhAAB</t>
  </si>
  <si>
    <t>0061i00000KysiPAAR</t>
  </si>
  <si>
    <t>0061i00000LHGzlAAH</t>
  </si>
  <si>
    <t>0061i00000LEIMzAAP</t>
  </si>
  <si>
    <t>0061i00000LqJ24AAF</t>
  </si>
  <si>
    <t>0061i00000LGBmyAAH</t>
  </si>
  <si>
    <t>0061i00000Jb9P9AAJ</t>
  </si>
  <si>
    <t>0061i00000KzmIFAAZ</t>
  </si>
  <si>
    <t>0061i00000KylFtAAJ</t>
  </si>
  <si>
    <t>0061i00000LH4k8AAD</t>
  </si>
  <si>
    <t>0061i00000LS9LdAAL</t>
  </si>
  <si>
    <t>0061i00000KlkCZAAZ</t>
  </si>
  <si>
    <t>0061i00000LGRtXAAX</t>
  </si>
  <si>
    <t>0061i00000LqbHbAAJ</t>
  </si>
  <si>
    <t>0061i00000LH5Q4AAL</t>
  </si>
  <si>
    <t>0061i00000LqxJYAAZ</t>
  </si>
  <si>
    <t>0061i00000KltX2AAJ</t>
  </si>
  <si>
    <t>0061i00000LUzQKAA1</t>
  </si>
  <si>
    <t>0061i00000KnTsUAAV</t>
  </si>
  <si>
    <t>0061i00000LHNmkAAH</t>
  </si>
  <si>
    <t>0061i00000LRhlzAAD</t>
  </si>
  <si>
    <t>0061i00000LGAAKAA5</t>
  </si>
  <si>
    <t>0061i00000LRneZAAT</t>
  </si>
  <si>
    <t>0061i00000Kc6g1AAB</t>
  </si>
  <si>
    <t>0061i00000LHJTHAA5</t>
  </si>
  <si>
    <t>0061i00000Kzt5iAAB</t>
  </si>
  <si>
    <t>0061i00000KlGopAAF</t>
  </si>
  <si>
    <t>0061i00000LFh5UAAT</t>
  </si>
  <si>
    <t>0061i00000Lr8UpAAJ</t>
  </si>
  <si>
    <t>0061i00000LIGFnAAP</t>
  </si>
  <si>
    <t>0061i00000LGMSJAA5</t>
  </si>
  <si>
    <t>0061i00000LEHmhAAH</t>
  </si>
  <si>
    <t>0061i00000LFfP3AAL</t>
  </si>
  <si>
    <t>0061i00000JamhhAAB</t>
  </si>
  <si>
    <t>0061i00000KxpwOAAR</t>
  </si>
  <si>
    <t>0061i00000Kz6R6AAJ</t>
  </si>
  <si>
    <t>0061i00000LSB0xAAH</t>
  </si>
  <si>
    <t>0061i00000LG5zOAAT</t>
  </si>
  <si>
    <t>0061i00000LFiqCAAT</t>
  </si>
  <si>
    <t>0061i00000LUwdLAAT</t>
  </si>
  <si>
    <t>0061i00000KbfSEAAZ</t>
  </si>
  <si>
    <t>0061i00000Lr0i2AAB</t>
  </si>
  <si>
    <t>0061i00000L1ZcOAAV</t>
  </si>
  <si>
    <t>0061i00000LqSkyAAF</t>
  </si>
  <si>
    <t>0061i00000Kxhp2AAB</t>
  </si>
  <si>
    <t>0061i00000LGS8DAAX</t>
  </si>
  <si>
    <t>0061i00000Kc7h1AAB</t>
  </si>
  <si>
    <t>0061i00000LGLCsAAP</t>
  </si>
  <si>
    <t>0061i00000LURG7AAP</t>
  </si>
  <si>
    <t>0061i00000JaSpCAAV</t>
  </si>
  <si>
    <t>0061i00000KnHczAAF</t>
  </si>
  <si>
    <t>0061i00000LSTh8AAH</t>
  </si>
  <si>
    <t>0061i00000LH0SAAA1</t>
  </si>
  <si>
    <t>0061i00000KxjPLAAZ</t>
  </si>
  <si>
    <t>0061i00000JalCjAAJ</t>
  </si>
  <si>
    <t>0061i00000LqedtAAB</t>
  </si>
  <si>
    <t>0061i00000Kbe4HAAR</t>
  </si>
  <si>
    <t>0061i00000LULBfAAP</t>
  </si>
  <si>
    <t>0061i00000KkvbtAAB</t>
  </si>
  <si>
    <t>0061i00000Kc4MYAAZ</t>
  </si>
  <si>
    <t>0061i00000LI6omAAD</t>
  </si>
  <si>
    <t>0061i00000LHwe4AAD</t>
  </si>
  <si>
    <t>0061i00000LTJnSAAX</t>
  </si>
  <si>
    <t>0061i00000LqHaJAAV</t>
  </si>
  <si>
    <t>0061i00000LH1SBAA1</t>
  </si>
  <si>
    <t>0061i00000Ky5kkAAB</t>
  </si>
  <si>
    <t>0061i00000LS5W4AAL</t>
  </si>
  <si>
    <t>0061i00000KlF96AAF</t>
  </si>
  <si>
    <t>0061i00000LTpSqAAL</t>
  </si>
  <si>
    <t>0061i00000KxikNAAR</t>
  </si>
  <si>
    <t>0061i00000LqQQEAA3</t>
  </si>
  <si>
    <t>0061i00000KbPR2AAN</t>
  </si>
  <si>
    <t>0061i00000MDCtPAAX</t>
  </si>
  <si>
    <t>0061i00000N3Js4AAF</t>
  </si>
  <si>
    <t>0061i00000N1T3VAAV</t>
  </si>
  <si>
    <t>0061i00000NGP4IAAX</t>
  </si>
  <si>
    <t>0061i00000Ls43mAAB</t>
  </si>
  <si>
    <t>0061i00000MEmHcAAL</t>
  </si>
  <si>
    <t>0061i00000MBeeMAAT</t>
  </si>
  <si>
    <t>0061i00000MCvt5AAD</t>
  </si>
  <si>
    <t>0061i00000MCwuZAAT</t>
  </si>
  <si>
    <t>0061i00000MBtwqAAD</t>
  </si>
  <si>
    <t>0061i00000N0lImAAJ</t>
  </si>
  <si>
    <t>0061i00000MC4AtAAL</t>
  </si>
  <si>
    <t>0061i00000N0VfQAAV</t>
  </si>
  <si>
    <t>0061i00000N1IRZAA3</t>
  </si>
  <si>
    <t>0061i00000MrKOuAAN</t>
  </si>
  <si>
    <t>0061i00000NGOgQAAX</t>
  </si>
  <si>
    <t>0061i00000N3TjmAAF</t>
  </si>
  <si>
    <t>0061i00000N3S7nAAF</t>
  </si>
  <si>
    <t>0061i00000NGMdoAAH</t>
  </si>
  <si>
    <t>0061i00000LtnmCAAR</t>
  </si>
  <si>
    <t>0061i00000MVh4cAAD</t>
  </si>
  <si>
    <t>0061i00000MElbvAAD</t>
  </si>
  <si>
    <t>0061i00000Mym9VAAR</t>
  </si>
  <si>
    <t>0061i00000MTKAZAA5</t>
  </si>
  <si>
    <t>0061i00000NGCusAAH</t>
  </si>
  <si>
    <t>0061i00000LsIamAAF</t>
  </si>
  <si>
    <t>0061i00000MBf3MAAT</t>
  </si>
  <si>
    <t>0061i00000MF9BFAA1</t>
  </si>
  <si>
    <t>0061i00000N3VtuAAF</t>
  </si>
  <si>
    <t>0061i00000MDmEkAAL</t>
  </si>
  <si>
    <t>0061i00000N1F14AAF</t>
  </si>
  <si>
    <t>0061i00000Lu7NDAAZ</t>
  </si>
  <si>
    <t>0061i00000MUzBOAA1</t>
  </si>
  <si>
    <t>0061i00000N0xd5AAB</t>
  </si>
  <si>
    <t>0061i00000MCvk9AAD</t>
  </si>
  <si>
    <t>0061i00000MEWYeAAP</t>
  </si>
  <si>
    <t>0061i00000MrGP1AAN</t>
  </si>
  <si>
    <t>0061i00000MDoUzAAL</t>
  </si>
  <si>
    <t>0061i00000MFCGcAAP</t>
  </si>
  <si>
    <t>0061i00000MB8fqAAD</t>
  </si>
  <si>
    <t>0061i00000MScifAAD</t>
  </si>
  <si>
    <t>0061i00000MDZUYAA5</t>
  </si>
  <si>
    <t>0061i00000MTffLAAT</t>
  </si>
  <si>
    <t>0061i00000MCdQwAAL</t>
  </si>
  <si>
    <t>0061i00000N0q8JAAR</t>
  </si>
  <si>
    <t>0061i00000MCurmAAD</t>
  </si>
  <si>
    <t>0061i00000N3PKjAAN</t>
  </si>
  <si>
    <t>0061i00000NGjoqAAD</t>
  </si>
  <si>
    <t>0061i00000Lruw7AAB</t>
  </si>
  <si>
    <t>0061i00000ME1BFAA1</t>
  </si>
  <si>
    <t>0061i00000N19ZsAAJ</t>
  </si>
  <si>
    <t>0061i00000Lto2GAAR</t>
  </si>
  <si>
    <t>0061i00000LtY3rAAF</t>
  </si>
  <si>
    <t>0061i00000N3UdBAAV</t>
  </si>
  <si>
    <t>0061i00000N15VvAAJ</t>
  </si>
  <si>
    <t>0061i00000MVntjAAD</t>
  </si>
  <si>
    <t>0061i00000MRuKdAAL</t>
  </si>
  <si>
    <t>0061i00000LuAtgAAF</t>
  </si>
  <si>
    <t>0061i00000N1tGfAAJ</t>
  </si>
  <si>
    <t>0061i00000N3PipAAF</t>
  </si>
  <si>
    <t>0061i00000MwM1tAAF</t>
  </si>
  <si>
    <t>0061i00000MC3xkAAD</t>
  </si>
  <si>
    <t>0061i00000MvRLBAA3</t>
  </si>
  <si>
    <t>0061i00000MBUXVAA5</t>
  </si>
  <si>
    <t>0061i00000MCuJfAAL</t>
  </si>
  <si>
    <t>0061i00000MrCPPAA3</t>
  </si>
  <si>
    <t>0061i00000MTC3NAAX</t>
  </si>
  <si>
    <t>0061i00000MTLfCAAX</t>
  </si>
  <si>
    <t>0061i00000MEPCPAA5</t>
  </si>
  <si>
    <t>0061i00000Ls9DSAAZ</t>
  </si>
  <si>
    <t>0061i00000NGIQvAAP</t>
  </si>
  <si>
    <t>0061i00000MUh4vAAD</t>
  </si>
  <si>
    <t>0061i00000NGNtiAAH</t>
  </si>
  <si>
    <t>0061i00000N1wePAAR</t>
  </si>
  <si>
    <t>0061i00000MV4BoAAL</t>
  </si>
  <si>
    <t>0061i00000Ls4wTAAR</t>
  </si>
  <si>
    <t>0061i00000MD6xVAAT</t>
  </si>
  <si>
    <t>0061i00000MDl6iAAD</t>
  </si>
  <si>
    <t>0061i00000MBWmlAAH</t>
  </si>
  <si>
    <t>0061i00000MRoQKAA1</t>
  </si>
  <si>
    <t>0061i00000MBsE5AAL</t>
  </si>
  <si>
    <t>0061i00000LtqWUAAZ</t>
  </si>
  <si>
    <t>0061i00000N0nd0AAB</t>
  </si>
  <si>
    <t>0061i00000MEE4VAAX</t>
  </si>
  <si>
    <t>0061i00000MCzQCAA1</t>
  </si>
  <si>
    <t>0061i00000N2BpXAAV</t>
  </si>
  <si>
    <t>0061i00000N25heAAB</t>
  </si>
  <si>
    <t>0061i00000MEUpiAAH</t>
  </si>
  <si>
    <t>0061i00000MBx8zAAD</t>
  </si>
  <si>
    <t>0061i00000MSxrsAAD</t>
  </si>
  <si>
    <t>0061i00000MDBtaAAH</t>
  </si>
  <si>
    <t>0061i00000MEEbFAAX</t>
  </si>
  <si>
    <t>0061i00000MEDXHAA5</t>
  </si>
  <si>
    <t>0061i00000MUy9WAAT</t>
  </si>
  <si>
    <t>0061i00000Lu8LSAAZ</t>
  </si>
  <si>
    <t>0061i00000MEmPMAA1</t>
  </si>
  <si>
    <t>0061i00000MDTLMAA5</t>
  </si>
  <si>
    <t>0061i00000N2GooAAF</t>
  </si>
  <si>
    <t>0061i00000MEHmaAAH</t>
  </si>
  <si>
    <t>0061i00000MD7WQAA1</t>
  </si>
  <si>
    <t>0061i00000NGUkMAAX</t>
  </si>
  <si>
    <t>0061i00000ME837AAD</t>
  </si>
  <si>
    <t>0061i00000MwFnnAAF</t>
  </si>
  <si>
    <t>0061i00000MCYOwAAP</t>
  </si>
  <si>
    <t>0061i00000MVW6oAAH</t>
  </si>
  <si>
    <t>0061i00000MEPlUAAX</t>
  </si>
  <si>
    <t>0061i00000N2OE4AAN</t>
  </si>
  <si>
    <t>0061i00000MBiiTAAT</t>
  </si>
  <si>
    <t>0061i00000N1X6bAAF</t>
  </si>
  <si>
    <t>0061i00000N3SGAAA3</t>
  </si>
  <si>
    <t>0061i00000MC94YAAT</t>
  </si>
  <si>
    <t>0061i00000LrxhlAAB</t>
  </si>
  <si>
    <t>0061i00000N1EBqAAN</t>
  </si>
  <si>
    <t>0061i00000MSxFfAAL</t>
  </si>
  <si>
    <t>0061i00000LuCmXAAV</t>
  </si>
  <si>
    <t>0061i00000MEQjAAAX</t>
  </si>
  <si>
    <t>0061i00000MTO6vAAH</t>
  </si>
  <si>
    <t>0061i00000MTnHhAAL</t>
  </si>
  <si>
    <t>0061i00000MV6g4AAD</t>
  </si>
  <si>
    <t>0061i00000MEt04AAD</t>
  </si>
  <si>
    <t>0061i00000MBX9RAAX</t>
  </si>
  <si>
    <t>0061i00000N1m47AAB</t>
  </si>
  <si>
    <t>0061i00000NGAbyAAH</t>
  </si>
  <si>
    <t>0061i00000MCw3tAAD</t>
  </si>
  <si>
    <t>0061i00000MrBgyAAF</t>
  </si>
  <si>
    <t>0061i00000MrMEvAAN</t>
  </si>
  <si>
    <t>0061i00000LtjzeAAB</t>
  </si>
  <si>
    <t>0061i00000MBIHQAA5</t>
  </si>
  <si>
    <t>0061i00000MDlofAAD</t>
  </si>
  <si>
    <t>0061i00000MBU2rAAH</t>
  </si>
  <si>
    <t>0061i00000MURZbAAP</t>
  </si>
  <si>
    <t>0061i00000N1xY9AAJ</t>
  </si>
  <si>
    <t>0061i00000MC3CPAA1</t>
  </si>
  <si>
    <t>0061i00000N1WjRAAV</t>
  </si>
  <si>
    <t>0061i00000MCUOPAA5</t>
  </si>
  <si>
    <t>0061i00000Lsp23AAB</t>
  </si>
  <si>
    <t>0061i00000MSUFBAA5</t>
  </si>
  <si>
    <t>0061i00000MDXhBAAX</t>
  </si>
  <si>
    <t>0061i00000Lu64PAAR</t>
  </si>
  <si>
    <t>0061i00000MwB7KAAV</t>
  </si>
  <si>
    <t>0061i00000NGBaXAAX</t>
  </si>
  <si>
    <t>0061i00000MEVZlAAP</t>
  </si>
  <si>
    <t>0061i00000LrpDbAAJ</t>
  </si>
  <si>
    <t>0061i00000NGhW6AAL</t>
  </si>
  <si>
    <t>0061i00000NGA9pAAH</t>
  </si>
  <si>
    <t>0061i00000MV2uMAAT</t>
  </si>
  <si>
    <t>0061i00000MVsTJAA1</t>
  </si>
  <si>
    <t>0061i00000MBpgFAAT</t>
  </si>
  <si>
    <t>0061i00000MDBnaAAH</t>
  </si>
  <si>
    <t>0061i00000MVONIAA5</t>
  </si>
  <si>
    <t>0061i00000NGGqwAAH</t>
  </si>
  <si>
    <t>0061i00000MUCGfAAP</t>
  </si>
  <si>
    <t>0061i00000N1seqAAB</t>
  </si>
  <si>
    <t>0061i00000MC3LRAA1</t>
  </si>
  <si>
    <t>0061i00000MBfsyAAD</t>
  </si>
  <si>
    <t>0061i00000N1qNfAAJ</t>
  </si>
  <si>
    <t>0061i00000Ls975AAB</t>
  </si>
  <si>
    <t>0061i00000MB6t3AAD</t>
  </si>
  <si>
    <t>0061i00000N2AuaAAF</t>
  </si>
  <si>
    <t>0061i00000LteOaAAJ</t>
  </si>
  <si>
    <t>0061i00000MBS6mAAH</t>
  </si>
  <si>
    <t>0061i00000MDbk9AAD</t>
  </si>
  <si>
    <t>0061i00000N3QOCAA3</t>
  </si>
  <si>
    <t>0061i00000MvTNNAA3</t>
  </si>
  <si>
    <t>0061i00000MSbdVAAT</t>
  </si>
  <si>
    <t>0061i00000NGYUuAAP</t>
  </si>
  <si>
    <t>0061i00000LrprCAAR</t>
  </si>
  <si>
    <t>0061i00000MSxClAAL</t>
  </si>
  <si>
    <t>0061i00000N2URnAAN</t>
  </si>
  <si>
    <t>0061i00000Mr6muAAB</t>
  </si>
  <si>
    <t>0061i00000MyRLSAA3</t>
  </si>
  <si>
    <t>0061i00000MDWr5AAH</t>
  </si>
  <si>
    <t>0061i00000MVPZLAA5</t>
  </si>
  <si>
    <t>0061i00000MEWYKAA5</t>
  </si>
  <si>
    <t>0061i00000MVP4lAAH</t>
  </si>
  <si>
    <t>0061i00000MU4cKAAT</t>
  </si>
  <si>
    <t>0061i00000MVpmwAAD</t>
  </si>
  <si>
    <t>0061i00000N1mmoAAB</t>
  </si>
  <si>
    <t>0061i00000MSyuAAAT</t>
  </si>
  <si>
    <t>0061i00000MU4wyAAD</t>
  </si>
  <si>
    <t>0061i00000Lu8UUAAZ</t>
  </si>
  <si>
    <t>0061i00000N1WtWAAV</t>
  </si>
  <si>
    <t>0061i00000Mr422AAB</t>
  </si>
  <si>
    <t>0061i00000MCeAkAAL</t>
  </si>
  <si>
    <t>0061i00000N1Ev1AAF</t>
  </si>
  <si>
    <t>0061i00000MVgv6AAD</t>
  </si>
  <si>
    <t>0061i00000MrLguAAF</t>
  </si>
  <si>
    <t>0061i00000N2KXBAA3</t>
  </si>
  <si>
    <t>0061i00000MVUyjAAH</t>
  </si>
  <si>
    <t>0061i00000MvpJXAAZ</t>
  </si>
  <si>
    <t>0061i00000MCqXdAAL</t>
  </si>
  <si>
    <t>0061i00000MTolTAAT</t>
  </si>
  <si>
    <t>0061i00000N2C5oAAF</t>
  </si>
  <si>
    <t>0061i00000MF8iDAAT</t>
  </si>
  <si>
    <t>0061i00000MEsJeAAL</t>
  </si>
  <si>
    <t>0061i00000N27ZAAAZ</t>
  </si>
  <si>
    <t>0061i00000N3HD4AAN</t>
  </si>
  <si>
    <t>0061i00000MSdtUAAT</t>
  </si>
  <si>
    <t>0061i00000MVO4GAAX</t>
  </si>
  <si>
    <t>0061i00000MyS21AAF</t>
  </si>
  <si>
    <t>0061i00000Mw9djAAB</t>
  </si>
  <si>
    <t>0061i00000N15WQAAZ</t>
  </si>
  <si>
    <t>0061i00000MEt54AAD</t>
  </si>
  <si>
    <t>0061i00000MSODEAA5</t>
  </si>
  <si>
    <t>0061i00000MUQCGAA5</t>
  </si>
  <si>
    <t>0061i00000MD7kwAAD</t>
  </si>
  <si>
    <t>0061i00000MET0JAAX</t>
  </si>
  <si>
    <t>0061i00000MToSRAA1</t>
  </si>
  <si>
    <t>0061i00000MDV43AAH</t>
  </si>
  <si>
    <t>0061i00000LtDcDAAV</t>
  </si>
  <si>
    <t>0061i00000N0alTAAR</t>
  </si>
  <si>
    <t>0061i00000Lu56AAAR</t>
  </si>
  <si>
    <t>0061i00000NGldDAAT</t>
  </si>
  <si>
    <t>0061i00000LuEs4AAF</t>
  </si>
  <si>
    <t>0061i00000NGaNqAAL</t>
  </si>
  <si>
    <t>0061i00000LtYeSAAV</t>
  </si>
  <si>
    <t>0061i00000LuBGQAA3</t>
  </si>
  <si>
    <t>0061i00000N2JN9AAN</t>
  </si>
  <si>
    <t>0061i00000MSbeiAAD</t>
  </si>
  <si>
    <t>0061i00000METXmAAP</t>
  </si>
  <si>
    <t>0061i00000MDkmLAAT</t>
  </si>
  <si>
    <t>0061i00000NGaJUAA1</t>
  </si>
  <si>
    <t>0061i00000N1E3xAAF</t>
  </si>
  <si>
    <t>0061i00000MCu7AAAT</t>
  </si>
  <si>
    <t>0061i00000MT1omAAD</t>
  </si>
  <si>
    <t>0061i00000N0hbjAAB</t>
  </si>
  <si>
    <t>0061i00000MTPkwAAH</t>
  </si>
  <si>
    <t>0061i00000MCgBUAA1</t>
  </si>
  <si>
    <t>0061i00000NGfIbAAL</t>
  </si>
  <si>
    <t>0061i00000MBTixAAH</t>
  </si>
  <si>
    <t>0061i00000MSbxoAAD</t>
  </si>
  <si>
    <t>0061i00000MTNyNAAX</t>
  </si>
  <si>
    <t>0061i00000MSXhVAAX</t>
  </si>
  <si>
    <t>0061i00000N1t1RAAR</t>
  </si>
  <si>
    <t>0061i00000MBerQAAT</t>
  </si>
  <si>
    <t>0061i00000MEN6ZAAX</t>
  </si>
  <si>
    <t>0061i00000N1ta3AAB</t>
  </si>
  <si>
    <t>0061i00000MBw1TAAT</t>
  </si>
  <si>
    <t>0061i00000MCg6FAAT</t>
  </si>
  <si>
    <t>0061i00000N3CsDAAV</t>
  </si>
  <si>
    <t>0061i00000MTQOlAAP</t>
  </si>
  <si>
    <t>0061i00000MTMjfAAH</t>
  </si>
  <si>
    <t>0061i00000MBlYQAA1</t>
  </si>
  <si>
    <t>0061i00000MBQNHAA5</t>
  </si>
  <si>
    <t>0061i00000N2LUoAAN</t>
  </si>
  <si>
    <t>0061i00000MUyrdAAD</t>
  </si>
  <si>
    <t>0061i00000MDVeLAAX</t>
  </si>
  <si>
    <t>0061i00000MEq23AAD</t>
  </si>
  <si>
    <t>0061i00000MVShgAAH</t>
  </si>
  <si>
    <t>0061i00000MU75nAAD</t>
  </si>
  <si>
    <t>0061i00000MRoXDAA1</t>
  </si>
  <si>
    <t>0061i00000MDcV0AAL</t>
  </si>
  <si>
    <t>0061i00000MV0r1AAD</t>
  </si>
  <si>
    <t>0061i00000MSgrNAAT</t>
  </si>
  <si>
    <t>0061i00000N0yUEAAZ</t>
  </si>
  <si>
    <t>0061i00000MUNCSAA5</t>
  </si>
  <si>
    <t>0061i00000MENYnAAP</t>
  </si>
  <si>
    <t>0061i00000Lu2gUAAR</t>
  </si>
  <si>
    <t>0061i00000MFDHOAA5</t>
  </si>
  <si>
    <t>0061i00000N0kDrAAJ</t>
  </si>
  <si>
    <t>0061i00000LtoAxAAJ</t>
  </si>
  <si>
    <t>0061i00000MF8qCAAT</t>
  </si>
  <si>
    <t>0061i00000MT0sEAAT</t>
  </si>
  <si>
    <t>0061i00000MBDYkAAP</t>
  </si>
  <si>
    <t>0061i00000N3TrbAAF</t>
  </si>
  <si>
    <t>0061i00000MS93XAAT</t>
  </si>
  <si>
    <t>0061i00000NGYgNAAX</t>
  </si>
  <si>
    <t>0061i00000N0om6AAB</t>
  </si>
  <si>
    <t>0061i00000MTQsXAAX</t>
  </si>
  <si>
    <t>0061i00000N3QpOAAV</t>
  </si>
  <si>
    <t>0061i00000Ls9fRAAR</t>
  </si>
  <si>
    <t>0061i00000MFCYMAA5</t>
  </si>
  <si>
    <t>0061i00000MD1kqAAD</t>
  </si>
  <si>
    <t>0061i00000MUzSAAA1</t>
  </si>
  <si>
    <t>0061i00000MBCecAAH</t>
  </si>
  <si>
    <t>0061i00000MBg1oAAD</t>
  </si>
  <si>
    <t>0061i00000MrLRBAA3</t>
  </si>
  <si>
    <t>0061i00000N2A8NAAV</t>
  </si>
  <si>
    <t>0061i00000MBEMGAA5</t>
  </si>
  <si>
    <t>0061i00000Mvk4pAAB</t>
  </si>
  <si>
    <t>0061i00000Mr3GhAAJ</t>
  </si>
  <si>
    <t>0061i00000MDFQkAAP</t>
  </si>
  <si>
    <t>0061i00000MSWihAAH</t>
  </si>
  <si>
    <t>0061i00000N18j7AAB</t>
  </si>
  <si>
    <t>0061i00000MVSNlAAP</t>
  </si>
  <si>
    <t>0061i00000MBEdgAAH</t>
  </si>
  <si>
    <t>0061i00000MrGFuAAN</t>
  </si>
  <si>
    <t>0061i00000NGUZOAA5</t>
  </si>
  <si>
    <t>0061i00000LtzceAAB</t>
  </si>
  <si>
    <t>0061i00000MTM9gAAH</t>
  </si>
  <si>
    <t>0061i00000MRr8lAAD</t>
  </si>
  <si>
    <t>0061i00000MTlJgAAL</t>
  </si>
  <si>
    <t>0061i00000MBxN6AAL</t>
  </si>
  <si>
    <t>0061i00000MTQlpAAH</t>
  </si>
  <si>
    <t>0061i00000MCU1RAAX</t>
  </si>
  <si>
    <t>0061i00000NGYcLAAX</t>
  </si>
  <si>
    <t>0061i00000LtGxnAAF</t>
  </si>
  <si>
    <t>0061i00000MrK17AAF</t>
  </si>
  <si>
    <t>0061i00000MDCluAAH</t>
  </si>
  <si>
    <t>0061i00000N2QfMAAV</t>
  </si>
  <si>
    <t>0061i00000MVJpPAAX</t>
  </si>
  <si>
    <t>0061i00000N2Q4lAAF</t>
  </si>
  <si>
    <t>0061i00000MBmFyAAL</t>
  </si>
  <si>
    <t>0061i00000MVU8pAAH</t>
  </si>
  <si>
    <t>0061i00000MrJZdAAN</t>
  </si>
  <si>
    <t>0061i00000MDnxHAAT</t>
  </si>
  <si>
    <t>0061i00000LtGZHAA3</t>
  </si>
  <si>
    <t>0061i00000MSQK2AAP</t>
  </si>
  <si>
    <t>0061i00000MB6qhAAD</t>
  </si>
  <si>
    <t>0061i00000MElUuAAL</t>
  </si>
  <si>
    <t>0061i00000MDXV0AAP</t>
  </si>
  <si>
    <t>0061i00000N26gZAAR</t>
  </si>
  <si>
    <t>0061i00000MSeVKAA1</t>
  </si>
  <si>
    <t>0061i00000MDohAAAT</t>
  </si>
  <si>
    <t>0061i00000MrIPDAA3</t>
  </si>
  <si>
    <t>0061i00000MTJKMAA5</t>
  </si>
  <si>
    <t>0061i00000LrrR2AAJ</t>
  </si>
  <si>
    <t>0061i00000N3FwRAAV</t>
  </si>
  <si>
    <t>0061i00000Ls8faAAB</t>
  </si>
  <si>
    <t>0061i00000LuAmLAAV</t>
  </si>
  <si>
    <t>0061i00000LtMq7AAF</t>
  </si>
  <si>
    <t>0061i00000MS1vaAAD</t>
  </si>
  <si>
    <t>0061i00000MSFmTAAX</t>
  </si>
  <si>
    <t>0061i00000LuExDAAV</t>
  </si>
  <si>
    <t>0061i00000N2EiiAAF</t>
  </si>
  <si>
    <t>0061i00000MB9zwAAD</t>
  </si>
  <si>
    <t>0061i00000MDFwwAAH</t>
  </si>
  <si>
    <t>0061i00000MEMTSAA5</t>
  </si>
  <si>
    <t>0061i00000LtSgDAAV</t>
  </si>
  <si>
    <t>0061i00000Ls3JyAAJ</t>
  </si>
  <si>
    <t>0061i00000MF89DAAT</t>
  </si>
  <si>
    <t>0061i00000MBHgyAAH</t>
  </si>
  <si>
    <t>0061i00000NGRKfAAP</t>
  </si>
  <si>
    <t>0061i00000Mr8KEAAZ</t>
  </si>
  <si>
    <t>0061i00000MDoZgAAL</t>
  </si>
  <si>
    <t>0061i00000MDFclAAH</t>
  </si>
  <si>
    <t>0061i00000Ltuv3AAB</t>
  </si>
  <si>
    <t>0061i00000MB9LIAA1</t>
  </si>
  <si>
    <t>0061i00000ME4wTAAT</t>
  </si>
  <si>
    <t>0061i00000MSWyaAAH</t>
  </si>
  <si>
    <t>0061i00000MvRPhAAN</t>
  </si>
  <si>
    <t>0061i00000MVR44AAH</t>
  </si>
  <si>
    <t>0061i00000MvtjAAAR</t>
  </si>
  <si>
    <t>0061i00000N3QAZAA3</t>
  </si>
  <si>
    <t>0061i00000NGfewAAD</t>
  </si>
  <si>
    <t>0061i00000MVgzhAAD</t>
  </si>
  <si>
    <t>0061i00000MVrGxAAL</t>
  </si>
  <si>
    <t>0061i00000MEwGyAAL</t>
  </si>
  <si>
    <t>0061i00000MVkOzAAL</t>
  </si>
  <si>
    <t>0061i00000LuBdpAAF</t>
  </si>
  <si>
    <t>0061i00000MEsi0AAD</t>
  </si>
  <si>
    <t>0061i00000NGb67AAD</t>
  </si>
  <si>
    <t>0061i00000MSYVAAA5</t>
  </si>
  <si>
    <t>0061i00000MT7EaAAL</t>
  </si>
  <si>
    <t>0061i00000MCaYiAAL</t>
  </si>
  <si>
    <t>0061i00000MBXksAAH</t>
  </si>
  <si>
    <t>0061i00000NGGyCAAX</t>
  </si>
  <si>
    <t>0061i00000MVZJRAA5</t>
  </si>
  <si>
    <t>0061i00000MEwUvAAL</t>
  </si>
  <si>
    <t>0061i00000N2JPtAAN</t>
  </si>
  <si>
    <t>0061i00000N3TQGAA3</t>
  </si>
  <si>
    <t>0061i00000MEpjeAAD</t>
  </si>
  <si>
    <t>0061i00000MFDCPAA5</t>
  </si>
  <si>
    <t>0061i00000ME9wIAAT</t>
  </si>
  <si>
    <t>0061i00000N3P6cAAF</t>
  </si>
  <si>
    <t>0061i00000N2BJzAAN</t>
  </si>
  <si>
    <t>0061i00000N190KAAR</t>
  </si>
  <si>
    <t>0061i00000MCom2AAD</t>
  </si>
  <si>
    <t>0061i00000N0i8OAAR</t>
  </si>
  <si>
    <t>0061i00000MDSWhAAP</t>
  </si>
  <si>
    <t>0061i00000MBsG5AAL</t>
  </si>
  <si>
    <t>0061i00000N3ZLHAA3</t>
  </si>
  <si>
    <t>0061i00000LtikrAAB</t>
  </si>
  <si>
    <t>0061i00000LtU2ZAAV</t>
  </si>
  <si>
    <t>0061i00000Lu2T2AAJ</t>
  </si>
  <si>
    <t>0061i00000MCci1AAD</t>
  </si>
  <si>
    <t>0061i00000MEQ2LAAX</t>
  </si>
  <si>
    <t>0061i00000N3XXGAA3</t>
  </si>
  <si>
    <t>0061i00000LtJhWAAV</t>
  </si>
  <si>
    <t>0061i00000Ls6hPAAR</t>
  </si>
  <si>
    <t>0061i00000NGRrPAAX</t>
  </si>
  <si>
    <t>0061i00000MBQ74AAH</t>
  </si>
  <si>
    <t>0061i00000N2Ny6AAF</t>
  </si>
  <si>
    <t>0061i00000MButFAAT</t>
  </si>
  <si>
    <t>0061i00000MEtUxAAL</t>
  </si>
  <si>
    <t>0061i00000Lrv3IAAR</t>
  </si>
  <si>
    <t>0061i00000N0o6GAAR</t>
  </si>
  <si>
    <t>0061i00000MwBTaAAN</t>
  </si>
  <si>
    <t>0061i00000Ls555AAB</t>
  </si>
  <si>
    <t>0061i00000MC4ytAAD</t>
  </si>
  <si>
    <t>0061i00000NGLZHAA5</t>
  </si>
  <si>
    <t>0061i00000MBqcAAAT</t>
  </si>
  <si>
    <t>0061i00000N3Z5YAAV</t>
  </si>
  <si>
    <t>0061i00000N1VlTAAV</t>
  </si>
  <si>
    <t>0061i00000N15JQAAZ</t>
  </si>
  <si>
    <t>0061i00000MS7IoAAL</t>
  </si>
  <si>
    <t>0061i00000MEAMhAAP</t>
  </si>
  <si>
    <t>0061i00000MTR4YAAX</t>
  </si>
  <si>
    <t>0061i00000N0pa2AAB</t>
  </si>
  <si>
    <t>0061i00000MBQJjAAP</t>
  </si>
  <si>
    <t>0061i00000N1rXyAAJ</t>
  </si>
  <si>
    <t>0061i00000NGKbcAAH</t>
  </si>
  <si>
    <t>0061i00000MVj7WAAT</t>
  </si>
  <si>
    <t>0061i00000N27LXAAZ</t>
  </si>
  <si>
    <t>0061i00000MSOKjAAP</t>
  </si>
  <si>
    <t>0061i00000Lu6gYAAR</t>
  </si>
  <si>
    <t>0061i00000MvlmQAAR</t>
  </si>
  <si>
    <t>0061i00000MSOY2AAP</t>
  </si>
  <si>
    <t>0061i00000MDbgCAAT</t>
  </si>
  <si>
    <t>0061i00000MDpVAAA1</t>
  </si>
  <si>
    <t>0061i00000N2EowAAF</t>
  </si>
  <si>
    <t>0061i00000N1m26AAB</t>
  </si>
  <si>
    <t>0061i00000NGNCUAA5</t>
  </si>
  <si>
    <t>0061i00000NGAfqAAH</t>
  </si>
  <si>
    <t>0061i00000MCZ8oAAH</t>
  </si>
  <si>
    <t>0061i00000N2PzkAAF</t>
  </si>
  <si>
    <t>0061i00000N3V5QAAV</t>
  </si>
  <si>
    <t>0061i00000MvUrOAAV</t>
  </si>
  <si>
    <t>0061i00000NGS5RAAX</t>
  </si>
  <si>
    <t>0061i00000MrKMFAA3</t>
  </si>
  <si>
    <t>0061i00000LtCAwAAN</t>
  </si>
  <si>
    <t>0061i00000MC2DAAA1</t>
  </si>
  <si>
    <t>0061i00000MyQMbAAN</t>
  </si>
  <si>
    <t>0061i00000MBQQfAAP</t>
  </si>
  <si>
    <t>0061i00000MC8jLAAT</t>
  </si>
  <si>
    <t>0061i00000MEWk7AAH</t>
  </si>
  <si>
    <t>0061i00000MBLmuAAH</t>
  </si>
  <si>
    <t>0061i00000MEuLcAAL</t>
  </si>
  <si>
    <t>0061i00000MB1pYAAT</t>
  </si>
  <si>
    <t>0061i00000MViAPAA1</t>
  </si>
  <si>
    <t>0061i00000NGPCbAAP</t>
  </si>
  <si>
    <t>0061i00000MtSXtAAN</t>
  </si>
  <si>
    <t>0061i00000LtzFGAAZ</t>
  </si>
  <si>
    <t>0061i00000MCdVmAAL</t>
  </si>
  <si>
    <t>0061i00000N2P7OAAV</t>
  </si>
  <si>
    <t>0061i00000MrJ1aAAF</t>
  </si>
  <si>
    <t>0061i00000MFCORAA5</t>
  </si>
  <si>
    <t>0061i00000MVTHZAA5</t>
  </si>
  <si>
    <t>0061i00000MSPHCAA5</t>
  </si>
  <si>
    <t>0061i00000MBjobAAD</t>
  </si>
  <si>
    <t>0061i00000MElO8AAL</t>
  </si>
  <si>
    <t>0061i00000LtCrdAAF</t>
  </si>
  <si>
    <t>0061i00000MDURAAA5</t>
  </si>
  <si>
    <t>0061i00000MSFOqAAP</t>
  </si>
  <si>
    <t>0061i00000MSQDkAAP</t>
  </si>
  <si>
    <t>0061i00000MSQaKAAX</t>
  </si>
  <si>
    <t>0061i00000NGL5lAAH</t>
  </si>
  <si>
    <t>0061i00000MUyJWAA1</t>
  </si>
  <si>
    <t>0061i00000LtEygAAF</t>
  </si>
  <si>
    <t>0061i00000MSdaOAAT</t>
  </si>
  <si>
    <t>0061i00000MBWOyAAP</t>
  </si>
  <si>
    <t>0061i00000MEWliAAH</t>
  </si>
  <si>
    <t>0061i00000MDFfLAAX</t>
  </si>
  <si>
    <t>0061i00000MCy1kAAD</t>
  </si>
  <si>
    <t>0061i00000N0WodAAF</t>
  </si>
  <si>
    <t>0061i00000N3HCzAAN</t>
  </si>
  <si>
    <t>0061i00000N171OAAR</t>
  </si>
  <si>
    <t>0061i00000NGBBNAA5</t>
  </si>
  <si>
    <t>0061i00000LrtnJAAR</t>
  </si>
  <si>
    <t>0061i00000MCe3ZAAT</t>
  </si>
  <si>
    <t>0061i00000LrxkaAAB</t>
  </si>
  <si>
    <t>0061i00000MwD1tAAF</t>
  </si>
  <si>
    <t>0061i00000MTJRwAAP</t>
  </si>
  <si>
    <t>0061i00000LtE5FAAV</t>
  </si>
  <si>
    <t>0061i00000MrGZLAA3</t>
  </si>
  <si>
    <t>0061i00000N0Wr3AAF</t>
  </si>
  <si>
    <t>0061i00000Lu4wGAAR</t>
  </si>
  <si>
    <t>0061i00000METcDAAX</t>
  </si>
  <si>
    <t>0061i00000NGA5OAAX</t>
  </si>
  <si>
    <t>0061i00000MDpwCAAT</t>
  </si>
  <si>
    <t>0061i00000MU0SlAAL</t>
  </si>
  <si>
    <t>0061i00000Mr80sAAB</t>
  </si>
  <si>
    <t>0061i00000LuCMyAAN</t>
  </si>
  <si>
    <t>0061i00000N2TwkAAF</t>
  </si>
  <si>
    <t>0061i00000N3TdfAAF</t>
  </si>
  <si>
    <t>0061i00000MBkVpAAL</t>
  </si>
  <si>
    <t>0061i00000MTTh8AAH</t>
  </si>
  <si>
    <t>0061i00000MCzhnAAD</t>
  </si>
  <si>
    <t>0061i00000MD1WtAAL</t>
  </si>
  <si>
    <t>0061i00000N1cMUAAZ</t>
  </si>
  <si>
    <t>0061i00000MF9gwAAD</t>
  </si>
  <si>
    <t>0061i00000MwFmQAAV</t>
  </si>
  <si>
    <t>0061i00000Ls7ReAAJ</t>
  </si>
  <si>
    <t>0061i00000MV5ZRAA1</t>
  </si>
  <si>
    <t>0061i00000MrKFTAA3</t>
  </si>
  <si>
    <t>0061i00000MvjChAAJ</t>
  </si>
  <si>
    <t>0061i00000LtHNbAAN</t>
  </si>
  <si>
    <t>0061i00000MENSHAA5</t>
  </si>
  <si>
    <t>0061i00000NGXObAAP</t>
  </si>
  <si>
    <t>0061i00000MvpsXAAR</t>
  </si>
  <si>
    <t>0061i00000MTjPjAAL</t>
  </si>
  <si>
    <t>0061i00000N3ZHFAA3</t>
  </si>
  <si>
    <t>0061i00000MBwDeAAL</t>
  </si>
  <si>
    <t>0061i00000MDcK2AAL</t>
  </si>
  <si>
    <t>0061i00000Lu6PNAAZ</t>
  </si>
  <si>
    <t>0061i00000N3RvNAAV</t>
  </si>
  <si>
    <t>0061i00000MBEGmAAP</t>
  </si>
  <si>
    <t>0061i00000N1LaVAAV</t>
  </si>
  <si>
    <t>0061i00000MEEVwAAP</t>
  </si>
  <si>
    <t>0061i00000LtqubAAB</t>
  </si>
  <si>
    <t>0061i00000LtbJnAAJ</t>
  </si>
  <si>
    <t>0061i00000MD8hUAAT</t>
  </si>
  <si>
    <t>0061i00000MCuDrAAL</t>
  </si>
  <si>
    <t>0061i00000NGdbgAAD</t>
  </si>
  <si>
    <t>0061i00000LrwT8AAJ</t>
  </si>
  <si>
    <t>0061i00000MDkA5AAL</t>
  </si>
  <si>
    <t>0061i00000MSbLuAAL</t>
  </si>
  <si>
    <t>0061i00000MBP2sAAH</t>
  </si>
  <si>
    <t>0061i00000MC3CKAA1</t>
  </si>
  <si>
    <t>0061i00000MEVfaAAH</t>
  </si>
  <si>
    <t>0061i00000MF9xxAAD</t>
  </si>
  <si>
    <t>0061i00000MEvPGAA1</t>
  </si>
  <si>
    <t>0061i00000MwI3HAAV</t>
  </si>
  <si>
    <t>0061i00000MBlImAAL</t>
  </si>
  <si>
    <t>0061i00000NGMR0AAP</t>
  </si>
  <si>
    <t>0061i00000MEw99AAD</t>
  </si>
  <si>
    <t>0061i00000MEEMoAAP</t>
  </si>
  <si>
    <t>0061i00000MBfkpAAD</t>
  </si>
  <si>
    <t>0061i00000MwL6KAAV</t>
  </si>
  <si>
    <t>0061i00000Ls57uAAB</t>
  </si>
  <si>
    <t>0061i00000N3P9pAAF</t>
  </si>
  <si>
    <t>0061i00000MvplRAAR</t>
  </si>
  <si>
    <t>0061i00000MyRJMAA3</t>
  </si>
  <si>
    <t>0061i00000MEW8RAAX</t>
  </si>
  <si>
    <t>0061i00000N25NGAAZ</t>
  </si>
  <si>
    <t>0061i00000MSbwDAAT</t>
  </si>
  <si>
    <t>0061i00000MvWEyAAN</t>
  </si>
  <si>
    <t>0061i00000N3SR8AAN</t>
  </si>
  <si>
    <t>0061i00000MEqIjAAL</t>
  </si>
  <si>
    <t>0061i00000NGaazAAD</t>
  </si>
  <si>
    <t>0061i00000MCwQOAA1</t>
  </si>
  <si>
    <t>0061i00000ME0tkAAD</t>
  </si>
  <si>
    <t>0061i00000N19fvAAB</t>
  </si>
  <si>
    <t>0061i00000MU31DAAT</t>
  </si>
  <si>
    <t>0061i00000MDntyAAD</t>
  </si>
  <si>
    <t>0061i00000MU7flAAD</t>
  </si>
  <si>
    <t>0061i00000N1O1KAAV</t>
  </si>
  <si>
    <t>0061i00000MDbNjAAL</t>
  </si>
  <si>
    <t>0061i00000MU5QOAA1</t>
  </si>
  <si>
    <t>0061i00000N3X92AAF</t>
  </si>
  <si>
    <t>0061i00000MVh0BAAT</t>
  </si>
  <si>
    <t>0061i00000MEUxxAAH</t>
  </si>
  <si>
    <t>0061i00000LtJDRAA3</t>
  </si>
  <si>
    <t>0061i00000LtLttAAF</t>
  </si>
  <si>
    <t>0061i00000N0x8qAAB</t>
  </si>
  <si>
    <t>0061i00000MrJRYAA3</t>
  </si>
  <si>
    <t>0061i00000MBKW2AAP</t>
  </si>
  <si>
    <t>0061i00000N2SqWAAV</t>
  </si>
  <si>
    <t>0061i00000MRsaRAAT</t>
  </si>
  <si>
    <t>0061i00000NGIzDAAX</t>
  </si>
  <si>
    <t>0061i00000MUHajAAH</t>
  </si>
  <si>
    <t>0061i00000Lu96xAAB</t>
  </si>
  <si>
    <t>0061i00000LtncCAAR</t>
  </si>
  <si>
    <t>0061i00000MvpzTAAR</t>
  </si>
  <si>
    <t>0061i00000MBPg3AAH</t>
  </si>
  <si>
    <t>0061i00000Lrn64AAB</t>
  </si>
  <si>
    <t>0061i00000MVMVQAA5</t>
  </si>
  <si>
    <t>0061i00000Lu72tAAB</t>
  </si>
  <si>
    <t>0061i00000MwIOjAAN</t>
  </si>
  <si>
    <t>0061i00000N3Uz2AAF</t>
  </si>
  <si>
    <t>0061i00000N0XvLAAV</t>
  </si>
  <si>
    <t>0061i00000MvqJxAAJ</t>
  </si>
  <si>
    <t>0061i00000MSe2vAAD</t>
  </si>
  <si>
    <t>0061i00000LtGRsAAN</t>
  </si>
  <si>
    <t>0061i00000LsASsAAN</t>
  </si>
  <si>
    <t>0061i00000MwGMOAA3</t>
  </si>
  <si>
    <t>0061i00000MU2EmAAL</t>
  </si>
  <si>
    <t>0061i00000METigAAH</t>
  </si>
  <si>
    <t>0061i00000MDVxbAAH</t>
  </si>
  <si>
    <t>0061i00000MBN4mAAH</t>
  </si>
  <si>
    <t>0061i00000LtcM3AAJ</t>
  </si>
  <si>
    <t>0061i00000NGIhIAAX</t>
  </si>
  <si>
    <t>0061i00000MFCQIAA5</t>
  </si>
  <si>
    <t>0061i00000MTL1wAAH</t>
  </si>
  <si>
    <t>0061i00000N0qJvAAJ</t>
  </si>
  <si>
    <t>0061i00000MU06jAAD</t>
  </si>
  <si>
    <t>0061i00000MBDteAAH</t>
  </si>
  <si>
    <t>0061i00000MwMf5AAF</t>
  </si>
  <si>
    <t>0061i00000MVMdKAAX</t>
  </si>
  <si>
    <t>0061i00000N1rItAAJ</t>
  </si>
  <si>
    <t>0061i00000MBjIXAA1</t>
  </si>
  <si>
    <t>0061i00000MSOGcAAP</t>
  </si>
  <si>
    <t>0061i00000MCW4wAAH</t>
  </si>
  <si>
    <t>0061i00000MSiElAAL</t>
  </si>
  <si>
    <t>0061i00000MEDGkAAP</t>
  </si>
  <si>
    <t>0061i00000ME1WSAA1</t>
  </si>
  <si>
    <t>0061i00000LtpMFAAZ</t>
  </si>
  <si>
    <t>0061i00000Mw9L6AAJ</t>
  </si>
  <si>
    <t>0061i00000LtLRNAA3</t>
  </si>
  <si>
    <t>0061i00000MD6r3AAD</t>
  </si>
  <si>
    <t>0061i00000Mw979AAB</t>
  </si>
  <si>
    <t>0061i00000NGjwfAAD</t>
  </si>
  <si>
    <t>0061i00000MBJYvAAP</t>
  </si>
  <si>
    <t>0061i00000MEDdFAAX</t>
  </si>
  <si>
    <t>0061i00000Lu49XAAR</t>
  </si>
  <si>
    <t>0061i00000MCyilAAD</t>
  </si>
  <si>
    <t>0061i00000MS61hAAD</t>
  </si>
  <si>
    <t>0061i00000MSeadAAD</t>
  </si>
  <si>
    <t>0061i00000MEovyAAD</t>
  </si>
  <si>
    <t>0061i00000MS8OxAAL</t>
  </si>
  <si>
    <t>0061i00000MBHboAAH</t>
  </si>
  <si>
    <t>0061i00000MFCXYAA5</t>
  </si>
  <si>
    <t>0061i00000MBwODAA1</t>
  </si>
  <si>
    <t>0061i00000MT89RAAT</t>
  </si>
  <si>
    <t>0061i00000MDSJsAAP</t>
  </si>
  <si>
    <t>0061i00000MVpfqAAD</t>
  </si>
  <si>
    <t>0061i00000MESuaAAH</t>
  </si>
  <si>
    <t>0061i00000NGTUNAA5</t>
  </si>
  <si>
    <t>0061i00000MEXRPAA5</t>
  </si>
  <si>
    <t>0061i00000MCtdzAAD</t>
  </si>
  <si>
    <t>0061i00000MT7E6AAL</t>
  </si>
  <si>
    <t>0061i00000Lrs9IAAR</t>
  </si>
  <si>
    <t>0061i00000MDBHeAAP</t>
  </si>
  <si>
    <t>0061i00000NGhg1AAD</t>
  </si>
  <si>
    <t>0061i00000MU2wDAAT</t>
  </si>
  <si>
    <t>0061i00000N36BqAAJ</t>
  </si>
  <si>
    <t>0061i00000N1X3bAAF</t>
  </si>
  <si>
    <t>0061i00000N0dp0AAB</t>
  </si>
  <si>
    <t>0061i00000MTnLoAAL</t>
  </si>
  <si>
    <t>0061i00000MTCQMAA5</t>
  </si>
  <si>
    <t>0061i00000MDbP3AAL</t>
  </si>
  <si>
    <t>0061i00000NGA67AAH</t>
  </si>
  <si>
    <t>0061i00000MV6D7AAL</t>
  </si>
  <si>
    <t>0061i00000Lrt2NAAR</t>
  </si>
  <si>
    <t>0061i00000MVnfmAAD</t>
  </si>
  <si>
    <t>0061i00000MDGGlAAP</t>
  </si>
  <si>
    <t>0061i00000MFBcSAAX</t>
  </si>
  <si>
    <t>0061i00000METzDAAX</t>
  </si>
  <si>
    <t>0061i00000MC2qnAAD</t>
  </si>
  <si>
    <t>0061i00000N2Mv8AAF</t>
  </si>
  <si>
    <t>0061i00000MBPhBAAX</t>
  </si>
  <si>
    <t>0061i00000NGVgSAAX</t>
  </si>
  <si>
    <t>0061i00000MEnwRAAT</t>
  </si>
  <si>
    <t>0061i00000N1vDhAAJ</t>
  </si>
  <si>
    <t>0061i00000MSc9uAAD</t>
  </si>
  <si>
    <t>0061i00000MTkrYAAT</t>
  </si>
  <si>
    <t>0061i00000MSiEiAAL</t>
  </si>
  <si>
    <t>0061i00000MTynRAAT</t>
  </si>
  <si>
    <t>0061i00000MDSMcAAP</t>
  </si>
  <si>
    <t>0061i00000N2B3SAAV</t>
  </si>
  <si>
    <t>0061i00000MVtTIAA1</t>
  </si>
  <si>
    <t>0061i00000MF6uoAAD</t>
  </si>
  <si>
    <t>0061i00000NGiFMAA1</t>
  </si>
  <si>
    <t>0061i00000MRp38AAD</t>
  </si>
  <si>
    <t>0061i00000N2H7vAAF</t>
  </si>
  <si>
    <t>0061i00000N0W9vAAF</t>
  </si>
  <si>
    <t>0061i00000LtalfAAB</t>
  </si>
  <si>
    <t>0061i00000MU8OfAAL</t>
  </si>
  <si>
    <t>0061i00000N1J5oAAF</t>
  </si>
  <si>
    <t>0061i00000N3TEyAAN</t>
  </si>
  <si>
    <t>0061i00000MBG2wAAH</t>
  </si>
  <si>
    <t>0061i00000MvjHrAAJ</t>
  </si>
  <si>
    <t>0061i00000LsA19AAF</t>
  </si>
  <si>
    <t>0061i00000N0rF2AAJ</t>
  </si>
  <si>
    <t>0061i00000N3UzMAAV</t>
  </si>
  <si>
    <t>0061i00000MEV7rAAH</t>
  </si>
  <si>
    <t>0061i00000NGie1AAD</t>
  </si>
  <si>
    <t>0061i00000LthMZAAZ</t>
  </si>
  <si>
    <t>0061i00000NGHfzAAH</t>
  </si>
  <si>
    <t>0061i00000MF5wKAAT</t>
  </si>
  <si>
    <t>0061i00000MVM50AAH</t>
  </si>
  <si>
    <t>0061i00000NGis8AAD</t>
  </si>
  <si>
    <t>0061i00000MBlM0AAL</t>
  </si>
  <si>
    <t>0061i00000MvVs8AAF</t>
  </si>
  <si>
    <t>0061i00000NGM18AAH</t>
  </si>
  <si>
    <t>0061i00000Mr5SKAAZ</t>
  </si>
  <si>
    <t>0061i00000LtaIYAAZ</t>
  </si>
  <si>
    <t>0061i00000N2OLFAA3</t>
  </si>
  <si>
    <t>0061i00000ME9MtAAL</t>
  </si>
  <si>
    <t>0061i00000N178tAAB</t>
  </si>
  <si>
    <t>0061i00000Mr1CpAAJ</t>
  </si>
  <si>
    <t>0061i00000LtmKHAAZ</t>
  </si>
  <si>
    <t>0061i00000N1FVnAAN</t>
  </si>
  <si>
    <t>0061i00000N0prJAAR</t>
  </si>
  <si>
    <t>0061i00000LtidRAAR</t>
  </si>
  <si>
    <t>0061i00000NGAFKAA5</t>
  </si>
  <si>
    <t>0061i00000MrB9pAAF</t>
  </si>
  <si>
    <t>0061i00000MCoEjAAL</t>
  </si>
  <si>
    <t>0061i00000NGGmuAAH</t>
  </si>
  <si>
    <t>0061i00000MCfnXAAT</t>
  </si>
  <si>
    <t>0061i00000MEt6qAAD</t>
  </si>
  <si>
    <t>0061i00000N2FPiAAN</t>
  </si>
  <si>
    <t>0061i00000N1sBUAAZ</t>
  </si>
  <si>
    <t>0061i00000MBw3eAAD</t>
  </si>
  <si>
    <t>0061i00000MSwLDAA1</t>
  </si>
  <si>
    <t>0061i00000MTSqOAAX</t>
  </si>
  <si>
    <t>0061i00000NGO5aAAH</t>
  </si>
  <si>
    <t>0061i00000LtkRwAAJ</t>
  </si>
  <si>
    <t>0061i00000NGRSAAA5</t>
  </si>
  <si>
    <t>0061i00000NGNTGAA5</t>
  </si>
  <si>
    <t>0061i00000MUvCwAAL</t>
  </si>
  <si>
    <t>0061i00000N17aJAAR</t>
  </si>
  <si>
    <t>0061i00000MV4lMAAT</t>
  </si>
  <si>
    <t>0061i00000MtTBKAA3</t>
  </si>
  <si>
    <t>0061i00000MBibWAAT</t>
  </si>
  <si>
    <t>0061i00000MBIWUAA5</t>
  </si>
  <si>
    <t>0061i00000N0tqcAAB</t>
  </si>
  <si>
    <t>0061i00000MBKiSAAX</t>
  </si>
  <si>
    <t>0061i00000MSlFHAA1</t>
  </si>
  <si>
    <t>0061i00000N2726AAB</t>
  </si>
  <si>
    <t>0061i00000MEXHAAA5</t>
  </si>
  <si>
    <t>0061i00000MTTXSAA5</t>
  </si>
  <si>
    <t>0061i00000NGekLAAT</t>
  </si>
  <si>
    <t>0061i00000MENFdAAP</t>
  </si>
  <si>
    <t>0061i00000MU4unAAD</t>
  </si>
  <si>
    <t>0061i00000Lu6ATAAZ</t>
  </si>
  <si>
    <t>0061i00000Lu4mUAAR</t>
  </si>
  <si>
    <t>0061i00000MRomfAAD</t>
  </si>
  <si>
    <t>0061i00000LtE2GAAV</t>
  </si>
  <si>
    <t>0061i00000NGdcKAAT</t>
  </si>
  <si>
    <t>0061i00000MDZMeAAP</t>
  </si>
  <si>
    <t>0061i00000MTRfJAAX</t>
  </si>
  <si>
    <t>0061i00000MrMFPAA3</t>
  </si>
  <si>
    <t>0061i00000Mvb6FAAR</t>
  </si>
  <si>
    <t>0061i00000N3TuQAAV</t>
  </si>
  <si>
    <t>0061i00000N1eTXAAZ</t>
  </si>
  <si>
    <t>0061i00000N2MWSAA3</t>
  </si>
  <si>
    <t>0061i00000MDe9wAAD</t>
  </si>
  <si>
    <t>0061i00000NGaYAAA1</t>
  </si>
  <si>
    <t>0061i00000MRqKMAA1</t>
  </si>
  <si>
    <t>0061i00000MSbhbAAD</t>
  </si>
  <si>
    <t>0061i00000MwCVhAAN</t>
  </si>
  <si>
    <t>0061i00000MDbkoAAD</t>
  </si>
  <si>
    <t>0061i00000Mw7w1AAB</t>
  </si>
  <si>
    <t>0061i00000MrKYkAAN</t>
  </si>
  <si>
    <t>0061i00000MBAoSAAX</t>
  </si>
  <si>
    <t>0061i00000MtT9sAAF</t>
  </si>
  <si>
    <t>0061i00000MvpxxAAB</t>
  </si>
  <si>
    <t>0061i00000MERNKAA5</t>
  </si>
  <si>
    <t>0061i00000MvpXZAAZ</t>
  </si>
  <si>
    <t>0061i00000MwHMqAAN</t>
  </si>
  <si>
    <t>0061i00000NGBPUAA5</t>
  </si>
  <si>
    <t>0061i00000MSjmYAAT</t>
  </si>
  <si>
    <t>0061i00000N3GELAA3</t>
  </si>
  <si>
    <t>0061i00000NGJyKAAX</t>
  </si>
  <si>
    <t>0061i00000LtdxZAAR</t>
  </si>
  <si>
    <t>0061i00000NGTGkAAP</t>
  </si>
  <si>
    <t>0061i00000MUvEQAA1</t>
  </si>
  <si>
    <t>0061i00000MVVApAAP</t>
  </si>
  <si>
    <t>0061i00000MvZXEAA3</t>
  </si>
  <si>
    <t>0061i00000MEvjfAAD</t>
  </si>
  <si>
    <t>0061i00000MUimtAAD</t>
  </si>
  <si>
    <t>0061i00000MC928AAD</t>
  </si>
  <si>
    <t>0061i00000MDr6IAAT</t>
  </si>
  <si>
    <t>0061i00000NGh1cAAD</t>
  </si>
  <si>
    <t>0061i00000MDVDYAA5</t>
  </si>
  <si>
    <t>0061i00000MSbNYAA1</t>
  </si>
  <si>
    <t>0061i00000MVg1jAAD</t>
  </si>
  <si>
    <t>0061i00000Mr5GdAAJ</t>
  </si>
  <si>
    <t>0061i00000MBRVsAAP</t>
  </si>
  <si>
    <t>0061i00000MC2PqAAL</t>
  </si>
  <si>
    <t>0061i00000MvWtWAAV</t>
  </si>
  <si>
    <t>0061i00000MVUkDAAX</t>
  </si>
  <si>
    <t>0061i00000MvsLbAAJ</t>
  </si>
  <si>
    <t>0061i00000NGcyPAAT</t>
  </si>
  <si>
    <t>0061i00000MEOkQAAX</t>
  </si>
  <si>
    <t>0061i00000LuAk5AAF</t>
  </si>
  <si>
    <t>0061i00000MBrVnAAL</t>
  </si>
  <si>
    <t>0061i00000MBOK2AAP</t>
  </si>
  <si>
    <t>0061i00000Lu2txAAB</t>
  </si>
  <si>
    <t>0061i00000LuAYdAAN</t>
  </si>
  <si>
    <t>0061i00000MBATJAA5</t>
  </si>
  <si>
    <t>0061i00000MvlYAAAZ</t>
  </si>
  <si>
    <t>0061i00000MEQ5eAAH</t>
  </si>
  <si>
    <t>0061i00000MVVtuAAH</t>
  </si>
  <si>
    <t>0061i00000MC1y1AAD</t>
  </si>
  <si>
    <t>0061i00000MVPiDAAX</t>
  </si>
  <si>
    <t>0061i00000MTNB6AAP</t>
  </si>
  <si>
    <t>0061i00000MDV9MAAX</t>
  </si>
  <si>
    <t>0061i00000LtlD7AAJ</t>
  </si>
  <si>
    <t>0061i00000MThrgAAD</t>
  </si>
  <si>
    <t>0061i00000MDAnoAAH</t>
  </si>
  <si>
    <t>0061i00000Lu6UwAAJ</t>
  </si>
  <si>
    <t>0061i00000MDCTMAA5</t>
  </si>
  <si>
    <t>0061i00000MBN3FAAX</t>
  </si>
  <si>
    <t>0061i00000MVTVHAA5</t>
  </si>
  <si>
    <t>0061i00000Lu3GcAAJ</t>
  </si>
  <si>
    <t>0061i00000MV10dAAD</t>
  </si>
  <si>
    <t>0061i00000MD9OOAA1</t>
  </si>
  <si>
    <t>0061i00000LtMN8AAN</t>
  </si>
  <si>
    <t>0061i00000NGSpCAAX</t>
  </si>
  <si>
    <t>0061i00000N2TuZAAV</t>
  </si>
  <si>
    <t>0061i00000LtaMuAAJ</t>
  </si>
  <si>
    <t>0061i00000MvXS7AAN</t>
  </si>
  <si>
    <t>0061i00000MTMZyAAP</t>
  </si>
  <si>
    <t>0061i00000MDFgxAAH</t>
  </si>
  <si>
    <t>0061i00000MCtMeAAL</t>
  </si>
  <si>
    <t>0061i00000MV0qcAAD</t>
  </si>
  <si>
    <t>0061i00000N24t0AAB</t>
  </si>
  <si>
    <t>0061i00000N0cEMAAZ</t>
  </si>
  <si>
    <t>0061i00000MEn8EAAT</t>
  </si>
  <si>
    <t>0061i00000NGA92AAH</t>
  </si>
  <si>
    <t>0061i00000N273FAAR</t>
  </si>
  <si>
    <t>0061i00000N1rnmAAB</t>
  </si>
  <si>
    <t>0061i00000MEETgAAP</t>
  </si>
  <si>
    <t>0061i00000MTPqpAAH</t>
  </si>
  <si>
    <t>0061i00000MCqw4AAD</t>
  </si>
  <si>
    <t>0061i00000N3GOzAAN</t>
  </si>
  <si>
    <t>0061i00000MEupNAAT</t>
  </si>
  <si>
    <t>0061i00000METWzAAP</t>
  </si>
  <si>
    <t>0061i00000MUUZKAA5</t>
  </si>
  <si>
    <t>0061i00000MCbpKAAT</t>
  </si>
  <si>
    <t>0061i00000LuEZpAAN</t>
  </si>
  <si>
    <t>0061i00000MEyzvAAD</t>
  </si>
  <si>
    <t>0061i00000N1B5HAAV</t>
  </si>
  <si>
    <t>0061i00000MCwKBAA1</t>
  </si>
  <si>
    <t>0061i00000MCYNtAAP</t>
  </si>
  <si>
    <t>0061i00000MTkLHAA1</t>
  </si>
  <si>
    <t>0061i00000Lu6MEAAZ</t>
  </si>
  <si>
    <t>0061i00000MSaWcAAL</t>
  </si>
  <si>
    <t>0061i00000MvUBmAAN</t>
  </si>
  <si>
    <t>0061i00000MSRylAAH</t>
  </si>
  <si>
    <t>0061i00000N2TXaAAN</t>
  </si>
  <si>
    <t>0061i00000N2GOLAA3</t>
  </si>
  <si>
    <t>0061i00000LuEi8AAF</t>
  </si>
  <si>
    <t>0061i00000MCWgGAAX</t>
  </si>
  <si>
    <t>0061i00000LtEgfAAF</t>
  </si>
  <si>
    <t>0061i00000N3RfAAAV</t>
  </si>
  <si>
    <t>0061i00000MSPIUAA5</t>
  </si>
  <si>
    <t>0061i00000MSlmWAAT</t>
  </si>
  <si>
    <t>0061i00000LtIlmAAF</t>
  </si>
  <si>
    <t>0061i00000NGK4SAAX</t>
  </si>
  <si>
    <t>0061i00000NGZ6ZAAX</t>
  </si>
  <si>
    <t>0061i00000MU6x5AAD</t>
  </si>
  <si>
    <t>0061i00000MCcc7AAD</t>
  </si>
  <si>
    <t>0061i00000MBHR9AAP</t>
  </si>
  <si>
    <t>0061i00000MU6fjAAD</t>
  </si>
  <si>
    <t>0061i00000MVjONAA1</t>
  </si>
  <si>
    <t>0061i00000N1o5WAAR</t>
  </si>
  <si>
    <t>0061i00000MEcfPAAT</t>
  </si>
  <si>
    <t>0061i00000N0xCOAAZ</t>
  </si>
  <si>
    <t>0061i00000MDnc9AAD</t>
  </si>
  <si>
    <t>0061i00000MDlO4AAL</t>
  </si>
  <si>
    <t>0061i00000N0wVeAAJ</t>
  </si>
  <si>
    <t>0061i00000MShdGAAT</t>
  </si>
  <si>
    <t>0061i00000MEV2mAAH</t>
  </si>
  <si>
    <t>0061i00000MT06yAAD</t>
  </si>
  <si>
    <t>0061i00000MSwlpAAD</t>
  </si>
  <si>
    <t>0061i00000MTQJnAAP</t>
  </si>
  <si>
    <t>0061i00000MBGEsAAP</t>
  </si>
  <si>
    <t>0061i00000MrO3fAAF</t>
  </si>
  <si>
    <t>0061i00000MSeXLAA1</t>
  </si>
  <si>
    <t>0061i00000MCr07AAD</t>
  </si>
  <si>
    <t>0061i00000NGmrsAAD</t>
  </si>
  <si>
    <t>0061i00000MTP7VAAX</t>
  </si>
  <si>
    <t>0061i00000MVodeAAD</t>
  </si>
  <si>
    <t>0061i00000MTJTsAAP</t>
  </si>
  <si>
    <t>0061i00000MTL1bAAH</t>
  </si>
  <si>
    <t>0061i00000NGIOwAAP</t>
  </si>
  <si>
    <t>0061i00000N1As2AAF</t>
  </si>
  <si>
    <t>0061i00000MFAZNAA5</t>
  </si>
  <si>
    <t>0061i00000MrM01AAF</t>
  </si>
  <si>
    <t>0061i00000MBEECAA5</t>
  </si>
  <si>
    <t>0061i00000NGKBoAAP</t>
  </si>
  <si>
    <t>0061i00000MVSzbAAH</t>
  </si>
  <si>
    <t>0061i00000NGXbfAAH</t>
  </si>
  <si>
    <t>0061i00000MFAkLAAX</t>
  </si>
  <si>
    <t>0061i00000LtaECAAZ</t>
  </si>
  <si>
    <t>0061i00000MFBNNAA5</t>
  </si>
  <si>
    <t>0061i00000MBrItAAL</t>
  </si>
  <si>
    <t>0061i00000Mr9zCAAR</t>
  </si>
  <si>
    <t>0061i00000MBSAuAAP</t>
  </si>
  <si>
    <t>0061i00000MEmqrAAD</t>
  </si>
  <si>
    <t>0061i00000MVnFUAA1</t>
  </si>
  <si>
    <t>0061i00000MCeTDAA1</t>
  </si>
  <si>
    <t>0061i00000MU54rAAD</t>
  </si>
  <si>
    <t>0061i00000MC4FZAA1</t>
  </si>
  <si>
    <t>0061i00000LtKc8AAF</t>
  </si>
  <si>
    <t>0061i00000NGQJJAA5</t>
  </si>
  <si>
    <t>0061i00000LuDAjAAN</t>
  </si>
  <si>
    <t>0061i00000MTDxAAAX</t>
  </si>
  <si>
    <t>0061i00000NGBd2AAH</t>
  </si>
  <si>
    <t>0061i00000MCz25AAD</t>
  </si>
  <si>
    <t>0061i00000MSi0FAAT</t>
  </si>
  <si>
    <t>0061i00000MC2P1AAL</t>
  </si>
  <si>
    <t>0061i00000N3S2mAAF</t>
  </si>
  <si>
    <t>0061i00000NGY8yAAH</t>
  </si>
  <si>
    <t>0061i00000NGDFNAA5</t>
  </si>
  <si>
    <t>0061i00000Mr8S3AAJ</t>
  </si>
  <si>
    <t>0061i00000NGCtVAAX</t>
  </si>
  <si>
    <t>0061i00000N3HngAAF</t>
  </si>
  <si>
    <t>0061i00000MDkqlAAD</t>
  </si>
  <si>
    <t>0061i00000Lu5iJAAR</t>
  </si>
  <si>
    <t>0061i00000MtSZCAA3</t>
  </si>
  <si>
    <t>0061i00000MUueBAAT</t>
  </si>
  <si>
    <t>0061i00000LtujvAAB</t>
  </si>
  <si>
    <t>0061i00000MEVtHAAX</t>
  </si>
  <si>
    <t>0061i00000N3FWAAA3</t>
  </si>
  <si>
    <t>0061i00000N2SYNAA3</t>
  </si>
  <si>
    <t>0061i00000MEvdNAAT</t>
  </si>
  <si>
    <t>0061i00000NGCnhAAH</t>
  </si>
  <si>
    <t>0061i00000MV1aCAAT</t>
  </si>
  <si>
    <t>0061i00000N26mSAAR</t>
  </si>
  <si>
    <t>0061i00000LtFujAAF</t>
  </si>
  <si>
    <t>0061i00000MEuSJAA1</t>
  </si>
  <si>
    <t>0061i00000Lu9Q5AAJ</t>
  </si>
  <si>
    <t>0061i00000MFCj5AAH</t>
  </si>
  <si>
    <t>0061i00000NGbe9AAD</t>
  </si>
  <si>
    <t>0061i00000LrqWfAAJ</t>
  </si>
  <si>
    <t>0061i00000MDG6WAAX</t>
  </si>
  <si>
    <t>0061i00000MV6JZAA1</t>
  </si>
  <si>
    <t>0061i00000MU2r3AAD</t>
  </si>
  <si>
    <t>0061i00000N2FfVAAV</t>
  </si>
  <si>
    <t>0061i00000MU3hiAAD</t>
  </si>
  <si>
    <t>0061i00000MDr6bAAD</t>
  </si>
  <si>
    <t>0061i00000Mvp2gAAB</t>
  </si>
  <si>
    <t>0061i00000MVRuKAAX</t>
  </si>
  <si>
    <t>0061i00000MrNQxAAN</t>
  </si>
  <si>
    <t>0061i00000MF76rAAD</t>
  </si>
  <si>
    <t>0061i00000NGOguAAH</t>
  </si>
  <si>
    <t>0061i00000MSgjrAAD</t>
  </si>
  <si>
    <t>0061i00000MFAYyAAP</t>
  </si>
  <si>
    <t>0061i00000Lu9X0AAJ</t>
  </si>
  <si>
    <t>0061i00000MVugDAAT</t>
  </si>
  <si>
    <t>0061i00000NGLGFAA5</t>
  </si>
  <si>
    <t>0061i00000LuAqIAAV</t>
  </si>
  <si>
    <t>0061i00000NGe0mAAD</t>
  </si>
  <si>
    <t>0061i00000MrJtXAAV</t>
  </si>
  <si>
    <t>0061i00000MCu3SAAT</t>
  </si>
  <si>
    <t>0061i00000MVMQBAA5</t>
  </si>
  <si>
    <t>0061i00000MSmlYAAT</t>
  </si>
  <si>
    <t>0061i00000MSgiGAAT</t>
  </si>
  <si>
    <t>0061i00000N3Rz0AAF</t>
  </si>
  <si>
    <t>0061i00000N1ZP1AAN</t>
  </si>
  <si>
    <t>0061i00000MS6QnAAL</t>
  </si>
  <si>
    <t>0061i00000N2AlEAAV</t>
  </si>
  <si>
    <t>0061i00000NGJ7rAAH</t>
  </si>
  <si>
    <t>0061i00000MBGfyAAH</t>
  </si>
  <si>
    <t>0061i00000N2QDSAA3</t>
  </si>
  <si>
    <t>0061i00000MVix3AAD</t>
  </si>
  <si>
    <t>0061i00000N1oHEAAZ</t>
  </si>
  <si>
    <t>0061i00000MD6ahAAD</t>
  </si>
  <si>
    <t>0061i00000MBNpXAAX</t>
  </si>
  <si>
    <t>0061i00000N0yOQAAZ</t>
  </si>
  <si>
    <t>0061i00000N2NpEAAV</t>
  </si>
  <si>
    <t>0061i00000MrKTLAA3</t>
  </si>
  <si>
    <t>0061i00000MC3YpAAL</t>
  </si>
  <si>
    <t>0061i00000NGJ07AAH</t>
  </si>
  <si>
    <t>0061i00000N3VZ5AAN</t>
  </si>
  <si>
    <t>0061i00000MVpx1AAD</t>
  </si>
  <si>
    <t>0061i00000Ltqr9AAB</t>
  </si>
  <si>
    <t>0061i00000N3XI2AAN</t>
  </si>
  <si>
    <t>0061i00000ME0lgAAD</t>
  </si>
  <si>
    <t>0061i00000N173PAAR</t>
  </si>
  <si>
    <t>0061i00000MDF5XAAX</t>
  </si>
  <si>
    <t>0061i00000MSfxJAAT</t>
  </si>
  <si>
    <t>0061i00000MS9RTAA1</t>
  </si>
  <si>
    <t>0061i00000LtYEFAA3</t>
  </si>
  <si>
    <t>0061i00000MBFoaAAH</t>
  </si>
  <si>
    <t>0061i00000MSkgqAAD</t>
  </si>
  <si>
    <t>0061i00000NGLZIAA5</t>
  </si>
  <si>
    <t>0061i00000NGSsOAAX</t>
  </si>
  <si>
    <t>0061i00000MvX4FAAV</t>
  </si>
  <si>
    <t>0061i00000MDjh4AAD</t>
  </si>
  <si>
    <t>0061i00000N1m55AAB</t>
  </si>
  <si>
    <t>0061i00000MTC5dAAH</t>
  </si>
  <si>
    <t>0061i00000MBhr9AAD</t>
  </si>
  <si>
    <t>0061i00000MEpbfAAD</t>
  </si>
  <si>
    <t>0061i00000NGSiOAAX</t>
  </si>
  <si>
    <t>0061i00000MSxznAAD</t>
  </si>
  <si>
    <t>0061i00000N3PVqAAN</t>
  </si>
  <si>
    <t>0061i00000MS8bhAAD</t>
  </si>
  <si>
    <t>0061i00000Lu2naAAB</t>
  </si>
  <si>
    <t>0061i00000MD9CrAAL</t>
  </si>
  <si>
    <t>0061i00000Lto09AAB</t>
  </si>
  <si>
    <t>0061i00000Mr2xHAAR</t>
  </si>
  <si>
    <t>0061i00000MF9oxAAD</t>
  </si>
  <si>
    <t>0061i00000LtuyCAAR</t>
  </si>
  <si>
    <t>0061i00000LuEQJAA3</t>
  </si>
  <si>
    <t>0061i00000MrDKzAAN</t>
  </si>
  <si>
    <t>0061i00000MvaXvAAJ</t>
  </si>
  <si>
    <t>0061i00000MSPMWAA5</t>
  </si>
  <si>
    <t>0061i00000N1ctiAAB</t>
  </si>
  <si>
    <t>0061i00000MBk32AAD</t>
  </si>
  <si>
    <t>0061i00000MSmBuAAL</t>
  </si>
  <si>
    <t>0061i00000MSC6uAAH</t>
  </si>
  <si>
    <t>0061i00000NGlceAAD</t>
  </si>
  <si>
    <t>0061i00000MwKGhAAN</t>
  </si>
  <si>
    <t>0061i00000LthAoAAJ</t>
  </si>
  <si>
    <t>0061i00000N3XF7AAN</t>
  </si>
  <si>
    <t>0061i00000MDmGbAAL</t>
  </si>
  <si>
    <t>0061i00000MDBWkAAP</t>
  </si>
  <si>
    <t>0061i00000MD9CnAAL</t>
  </si>
  <si>
    <t>0061i00000MCts5AAD</t>
  </si>
  <si>
    <t>0061i00000LtosZAAR</t>
  </si>
  <si>
    <t>0061i00000MEPFAAA5</t>
  </si>
  <si>
    <t>0061i00000NGhhuAAD</t>
  </si>
  <si>
    <t>0061i00000Mvl42AAB</t>
  </si>
  <si>
    <t>0061i00000MFBRlAAP</t>
  </si>
  <si>
    <t>0061i00000MUyVNAA1</t>
  </si>
  <si>
    <t>0061i00000MDq1GAAT</t>
  </si>
  <si>
    <t>0061i00000MEleBAAT</t>
  </si>
  <si>
    <t>0061i00000MwIWzAAN</t>
  </si>
  <si>
    <t>0061i00000MSdOgAAL</t>
  </si>
  <si>
    <t>0061i00000MBFW2AAP</t>
  </si>
  <si>
    <t>0061i00000N2NnDAAV</t>
  </si>
  <si>
    <t>0061i00000NGT7iAAH</t>
  </si>
  <si>
    <t>0061i00000MyRtYAAV</t>
  </si>
  <si>
    <t>0061i00000MV1yNAAT</t>
  </si>
  <si>
    <t>0061i00000NGRwyAAH</t>
  </si>
  <si>
    <t>0061i00000LtzpxAAB</t>
  </si>
  <si>
    <t>0061i00000MSkuOAAT</t>
  </si>
  <si>
    <t>0061i00000NGNucAAH</t>
  </si>
  <si>
    <t>0061i00000MF5bmAAD</t>
  </si>
  <si>
    <t>0061i00000NGGu5AAH</t>
  </si>
  <si>
    <t>0061i00000N2Lk3AAF</t>
  </si>
  <si>
    <t>0061i00000MVtGBAA1</t>
  </si>
  <si>
    <t>0061i00000MVOpRAAX</t>
  </si>
  <si>
    <t>0061i00000NGH3bAAH</t>
  </si>
  <si>
    <t>0061i00000Ls681AAB</t>
  </si>
  <si>
    <t>0061i00000LtW6NAAV</t>
  </si>
  <si>
    <t>0061i00000MEnfgAAD</t>
  </si>
  <si>
    <t>0061i00000MSbtIAAT</t>
  </si>
  <si>
    <t>0061i00000Mvt55AAB</t>
  </si>
  <si>
    <t>0061i00000MDWjvAAH</t>
  </si>
  <si>
    <t>0061i00000N1TCvAAN</t>
  </si>
  <si>
    <t>0061i00000MEqUGAA1</t>
  </si>
  <si>
    <t>0061i00000MDSIuAAP</t>
  </si>
  <si>
    <t>0061i00000MBIHRAA5</t>
  </si>
  <si>
    <t>0061i00000MSj2CAAT</t>
  </si>
  <si>
    <t>0061i00000N2NtBAAV</t>
  </si>
  <si>
    <t>0061i00000MSOL9AAP</t>
  </si>
  <si>
    <t>0061i00000MTmEiAAL</t>
  </si>
  <si>
    <t>0061i00000N3XCSAA3</t>
  </si>
  <si>
    <t>0061i00000MDZMyAAP</t>
  </si>
  <si>
    <t>0061i00000N1nESAAZ</t>
  </si>
  <si>
    <t>0061i00000MByOZAA1</t>
  </si>
  <si>
    <t>0061i00000MTfrQAAT</t>
  </si>
  <si>
    <t>0061i00000NGb5nAAD</t>
  </si>
  <si>
    <t>0061i00000NGUKdAAP</t>
  </si>
  <si>
    <t>0061i00000N2OPvAAN</t>
  </si>
  <si>
    <t>0061i00000Mr6QyAAJ</t>
  </si>
  <si>
    <t>0061i00000MURXQAA5</t>
  </si>
  <si>
    <t>0061i00000MTgUbAAL</t>
  </si>
  <si>
    <t>0061i00000MEPPdAAP</t>
  </si>
  <si>
    <t>0061i00000NGPuJAAX</t>
  </si>
  <si>
    <t>0061i00000MSClTAAX</t>
  </si>
  <si>
    <t>0061i00000N28fiAAB</t>
  </si>
  <si>
    <t>0061i00000MVlI2AAL</t>
  </si>
  <si>
    <t>0061i00000N0xNqAAJ</t>
  </si>
  <si>
    <t>0061i00000LrwZPAAZ</t>
  </si>
  <si>
    <t>0061i00000MrLLrAAN</t>
  </si>
  <si>
    <t>0061i00000NGXWuAAP</t>
  </si>
  <si>
    <t>0061i00000MBGu1AAH</t>
  </si>
  <si>
    <t>0061i00000N18aeAAB</t>
  </si>
  <si>
    <t>0061i00000N1xAzAAJ</t>
  </si>
  <si>
    <t>0061i00000MEUh0AAH</t>
  </si>
  <si>
    <t>0061i00000MSgzVAAT</t>
  </si>
  <si>
    <t>0061i00000N1v1cAAB</t>
  </si>
  <si>
    <t>0061i00000MFB3wAAH</t>
  </si>
  <si>
    <t>0061i00000MCqr9AAD</t>
  </si>
  <si>
    <t>0061i00000MU4CHAA1</t>
  </si>
  <si>
    <t>0061i00000MvpvqAAB</t>
  </si>
  <si>
    <t>0061i00000MU4SUAA1</t>
  </si>
  <si>
    <t>0061i00000MvjFHAAZ</t>
  </si>
  <si>
    <t>0061i00000MVa0XAAT</t>
  </si>
  <si>
    <t>0061i00000MCrPVAA1</t>
  </si>
  <si>
    <t>0061i00000N0oWiAAJ</t>
  </si>
  <si>
    <t>0061i00000MRoMXAA1</t>
  </si>
  <si>
    <t>0061i00000MDAgYAAX</t>
  </si>
  <si>
    <t>0061i00000NGfcgAAD</t>
  </si>
  <si>
    <t>0061i00000N3RuJAAV</t>
  </si>
  <si>
    <t>0061i00000MDCIxAAP</t>
  </si>
  <si>
    <t>0061i00000MEQ55AAH</t>
  </si>
  <si>
    <t>0061i00000MCUdjAAH</t>
  </si>
  <si>
    <t>0061i00000MVpMZAA1</t>
  </si>
  <si>
    <t>0061i00000LtkjHAAR</t>
  </si>
  <si>
    <t>0061i00000MUlT6AAL</t>
  </si>
  <si>
    <t>0061i00000NGhfIAAT</t>
  </si>
  <si>
    <t>0061i00000MV5elAAD</t>
  </si>
  <si>
    <t>0061i00000N0qjyAAB</t>
  </si>
  <si>
    <t>0061i00000N0vk4AAB</t>
  </si>
  <si>
    <t>0061i00000MDGAyAAP</t>
  </si>
  <si>
    <t>0061i00000NGef5AAD</t>
  </si>
  <si>
    <t>0061i00000MVsQFAA1</t>
  </si>
  <si>
    <t>0061i00000MENnEAAX</t>
  </si>
  <si>
    <t>0061i00000NGkc7AAD</t>
  </si>
  <si>
    <t>0061i00000MF9rfAAD</t>
  </si>
  <si>
    <t>0061i00000NGSdnAAH</t>
  </si>
  <si>
    <t>0061i00000LtHmWAAV</t>
  </si>
  <si>
    <t>0061i00000MyP6LAAV</t>
  </si>
  <si>
    <t>0061i00000MTgAcAAL</t>
  </si>
  <si>
    <t>0061i00000MSyEwAAL</t>
  </si>
  <si>
    <t>0061i00000N0yvoAAB</t>
  </si>
  <si>
    <t>0061i00000MBrVOAA1</t>
  </si>
  <si>
    <t>0061i00000MDnPkAAL</t>
  </si>
  <si>
    <t>0061i00000MwEJIAA3</t>
  </si>
  <si>
    <t>0061i00000MSgdFAAT</t>
  </si>
  <si>
    <t>0061i00000MUhePAAT</t>
  </si>
  <si>
    <t>0061i00000MrLpeAAF</t>
  </si>
  <si>
    <t>0061i00000N3YuQAAV</t>
  </si>
  <si>
    <t>0061i00000LtLuEAAV</t>
  </si>
  <si>
    <t>0061i00000MShxkAAD</t>
  </si>
  <si>
    <t>0061i00000NGhzSAAT</t>
  </si>
  <si>
    <t>0061i00000NGP1EAAX</t>
  </si>
  <si>
    <t>0061i00000N1rYmAAJ</t>
  </si>
  <si>
    <t>0061i00000Lu93jAAB</t>
  </si>
  <si>
    <t>0061i00000NGdmeAAD</t>
  </si>
  <si>
    <t>0061i00000MU53ZAAT</t>
  </si>
  <si>
    <t>0061i00000NGXYMAA5</t>
  </si>
  <si>
    <t>0061i00000MDjyKAAT</t>
  </si>
  <si>
    <t>0061i00000MC3AYAA1</t>
  </si>
  <si>
    <t>0061i00000Lu414AAB</t>
  </si>
  <si>
    <t>0061i00000MB8UPAA1</t>
  </si>
  <si>
    <t>0061i00000LtHNRAA3</t>
  </si>
  <si>
    <t>0061i00000LuB8CAAV</t>
  </si>
  <si>
    <t>0061i00000MTkYBAA1</t>
  </si>
  <si>
    <t>0061i00000Mr1zlAAB</t>
  </si>
  <si>
    <t>0061i00000NGP4NAAX</t>
  </si>
  <si>
    <t>0061i00000Ls4dkAAB</t>
  </si>
  <si>
    <t>0061i00000N3XyHAAV</t>
  </si>
  <si>
    <t>0061i00000MrLN5AAN</t>
  </si>
  <si>
    <t>0061i00000NGbeTAAT</t>
  </si>
  <si>
    <t>0061i00000MrIXMAA3</t>
  </si>
  <si>
    <t>0061i00000MDt5VAAT</t>
  </si>
  <si>
    <t>0061i00000N179mAAB</t>
  </si>
  <si>
    <t>0061i00000MUkw7AAD</t>
  </si>
  <si>
    <t>0061i00000MT8a3AAD</t>
  </si>
  <si>
    <t>0061i00000MVsvDAAT</t>
  </si>
  <si>
    <t>0061i00000MEPpbAAH</t>
  </si>
  <si>
    <t>0061i00000NGd02AAD</t>
  </si>
  <si>
    <t>0061i00000MvdwmAAB</t>
  </si>
  <si>
    <t>0061i00000MRquLAAT</t>
  </si>
  <si>
    <t>0061i00000MERVnAAP</t>
  </si>
  <si>
    <t>0061i00000MBDngAAH</t>
  </si>
  <si>
    <t>0061i00000MwFQUAA3</t>
  </si>
  <si>
    <t>0061i00000N3FbOAAV</t>
  </si>
  <si>
    <t>0061i00000MDEMXAA5</t>
  </si>
  <si>
    <t>0061i00000MDcJJAA1</t>
  </si>
  <si>
    <t>0061i00000MSfRNAA1</t>
  </si>
  <si>
    <t>0061i00000LtZ6MAAV</t>
  </si>
  <si>
    <t>0061i00000MSkF6AAL</t>
  </si>
  <si>
    <t>0061i00000MToKmAAL</t>
  </si>
  <si>
    <t>0061i00000MCZpNAAX</t>
  </si>
  <si>
    <t>0061i00000LthbPAAR</t>
  </si>
  <si>
    <t>0061i00000MSi6hAAD</t>
  </si>
  <si>
    <t>0061i00000MC2r2AAD</t>
  </si>
  <si>
    <t>0061i00000N3SA7AAN</t>
  </si>
  <si>
    <t>0061i00000MUyyBAAT</t>
  </si>
  <si>
    <t>0061i00000MwHsIAAV</t>
  </si>
  <si>
    <t>0061i00000MSQ7DAAX</t>
  </si>
  <si>
    <t>0061i00000MEUs3AAH</t>
  </si>
  <si>
    <t>0061i00000LtCv4AAF</t>
  </si>
  <si>
    <t>0061i00000N0wjMAAR</t>
  </si>
  <si>
    <t>0061i00000MF6p1AAD</t>
  </si>
  <si>
    <t>0061i00000MBhrTAAT</t>
  </si>
  <si>
    <t>0061i00000MDp4UAAT</t>
  </si>
  <si>
    <t>0061i00000N29ZCAAZ</t>
  </si>
  <si>
    <t>0061i00000MvuDcAAJ</t>
  </si>
  <si>
    <t>0061i00000N3Ya6AAF</t>
  </si>
  <si>
    <t>0061i00000MvRfVAAV</t>
  </si>
  <si>
    <t>0061i00000MCdY1AAL</t>
  </si>
  <si>
    <t>0061i00000MT60wAAD</t>
  </si>
  <si>
    <t>0061i00000MSk1AAAT</t>
  </si>
  <si>
    <t>0061i00000MTNF8AAP</t>
  </si>
  <si>
    <t>0061i00000MSkVEAA1</t>
  </si>
  <si>
    <t>0061i00000N03oYAAR</t>
  </si>
  <si>
    <t>0061i00000MTTkCAAX</t>
  </si>
  <si>
    <t>0061i00000MDSpeAAH</t>
  </si>
  <si>
    <t>0061i00000MBF1xAAH</t>
  </si>
  <si>
    <t>0061i00000ME7evAAD</t>
  </si>
  <si>
    <t>0061i00000NGA1DAAX</t>
  </si>
  <si>
    <t>0061i00000NGH32AAH</t>
  </si>
  <si>
    <t>0061i00000NGPmeAAH</t>
  </si>
  <si>
    <t>0061i00000MvZLNAA3</t>
  </si>
  <si>
    <t>0061i00000MBzCFAA1</t>
  </si>
  <si>
    <t>0061i00000N0ZESAA3</t>
  </si>
  <si>
    <t>0061i00000MVsrGAAT</t>
  </si>
  <si>
    <t>0061i00000NGTXwAAP</t>
  </si>
  <si>
    <t>0061i00000LrqvyAAB</t>
  </si>
  <si>
    <t>0061i00000MBJgzAAH</t>
  </si>
  <si>
    <t>0061i00000MBUzZAAX</t>
  </si>
  <si>
    <t>0061i00000MVLqEAAX</t>
  </si>
  <si>
    <t>0061i00000MvmDgAAJ</t>
  </si>
  <si>
    <t>0061i00000MSDtJAAX</t>
  </si>
  <si>
    <t>0061i00000N3UkvAAF</t>
  </si>
  <si>
    <t>0061i00000Ltjo2AAB</t>
  </si>
  <si>
    <t>0061i00000MCVkCAAX</t>
  </si>
  <si>
    <t>0061i00000N0kBfAAJ</t>
  </si>
  <si>
    <t>0061i00000MDpHrAAL</t>
  </si>
  <si>
    <t>0061i00000NGK1TAAX</t>
  </si>
  <si>
    <t>0061i00000N3UNmAAN</t>
  </si>
  <si>
    <t>0061i00000N1qBdAAJ</t>
  </si>
  <si>
    <t>0061i00000MEw5bAAD</t>
  </si>
  <si>
    <t>0061i00000MCb6PAAT</t>
  </si>
  <si>
    <t>0061i00000NGPfTAAX</t>
  </si>
  <si>
    <t>0061i00000MVRruAAH</t>
  </si>
  <si>
    <t>0061i00000N1FR2AAN</t>
  </si>
  <si>
    <t>0061i00000MV3aJAAT</t>
  </si>
  <si>
    <t>0061i00000LthKZAAZ</t>
  </si>
  <si>
    <t>0061i00000MDjAxAAL</t>
  </si>
  <si>
    <t>0061i00000N0ovcAAB</t>
  </si>
  <si>
    <t>0061i00000MBhKLAA1</t>
  </si>
  <si>
    <t>0061i00000MSmm2AAD</t>
  </si>
  <si>
    <t>0061i00000Ls7zkAAB</t>
  </si>
  <si>
    <t>0061i00000Ls5miAAB</t>
  </si>
  <si>
    <t>0061i00000N0msrAAB</t>
  </si>
  <si>
    <t>0061i00000MEw4YAAT</t>
  </si>
  <si>
    <t>0061i00000MU1z1AAD</t>
  </si>
  <si>
    <t>0061i00000MwBAxAAN</t>
  </si>
  <si>
    <t>0061i00000MEQbLAAX</t>
  </si>
  <si>
    <t>0061i00000MVMTZAA5</t>
  </si>
  <si>
    <t>0061i00000NGIccAAH</t>
  </si>
  <si>
    <t>0061i00000MSzl2AAD</t>
  </si>
  <si>
    <t>0061i00000ME1xyAAD</t>
  </si>
  <si>
    <t>0061i00000MD6WjAAL</t>
  </si>
  <si>
    <t>0061i00000LuDAoAAN</t>
  </si>
  <si>
    <t>0061i00000MS5oZAAT</t>
  </si>
  <si>
    <t>0061i00000MBIShAAP</t>
  </si>
  <si>
    <t>0061i00000MBemaAAD</t>
  </si>
  <si>
    <t>0061i00000N3WlXAAV</t>
  </si>
  <si>
    <t>0061i00000MDoW3AAL</t>
  </si>
  <si>
    <t>0061i00000NGICjAAP</t>
  </si>
  <si>
    <t>0061i00000N3HFKAA3</t>
  </si>
  <si>
    <t>0061i00000Mvtg1AAB</t>
  </si>
  <si>
    <t>0061i00000MtSwGAAV</t>
  </si>
  <si>
    <t>0061i00000MDuK7AAL</t>
  </si>
  <si>
    <t>0061i00000MSzkYAAT</t>
  </si>
  <si>
    <t>0061i00000N3R2wAAF</t>
  </si>
  <si>
    <t>0061i00000N0cC6AAJ</t>
  </si>
  <si>
    <t>0061i00000MwDqGAAV</t>
  </si>
  <si>
    <t>0061i00000MBCorAAH</t>
  </si>
  <si>
    <t>0061i00000N1axmAAB</t>
  </si>
  <si>
    <t>0061i00000MUz2HAAT</t>
  </si>
  <si>
    <t>0061i00000Lu855AAB</t>
  </si>
  <si>
    <t>0061i00000MrBJNAA3</t>
  </si>
  <si>
    <t>0061i00000Mr7BBAAZ</t>
  </si>
  <si>
    <t>0061i00000NGGiYAAX</t>
  </si>
  <si>
    <t>0061i00000MvbnOAAR</t>
  </si>
  <si>
    <t>0061i00000MDWODAA5</t>
  </si>
  <si>
    <t>0061i00000MVRWNAA5</t>
  </si>
  <si>
    <t>0061i00000MSf9VAAT</t>
  </si>
  <si>
    <t>0061i00000MTlGmAAL</t>
  </si>
  <si>
    <t>0061i00000N1CRDAA3</t>
  </si>
  <si>
    <t>0061i00000MSfQyAAL</t>
  </si>
  <si>
    <t>0061i00000MUyPKAA1</t>
  </si>
  <si>
    <t>0061i00000MDlQJAA1</t>
  </si>
  <si>
    <t>0061i00000MTlFoAAL</t>
  </si>
  <si>
    <t>0061i00000MvW2IAAV</t>
  </si>
  <si>
    <t>0061i00000N1slXAAR</t>
  </si>
  <si>
    <t>0061i00000N2LtSAAV</t>
  </si>
  <si>
    <t>0061i00000MEQV9AAP</t>
  </si>
  <si>
    <t>0061i00000MF9FNAA1</t>
  </si>
  <si>
    <t>0061i00000MFCNsAAP</t>
  </si>
  <si>
    <t>0061i00000MyOuYAAV</t>
  </si>
  <si>
    <t>0061i00000MTDxjAAH</t>
  </si>
  <si>
    <t>0061i00000LtHuLAAV</t>
  </si>
  <si>
    <t>0061i00000MV6VpAAL</t>
  </si>
  <si>
    <t>0061i00000NGSeqAAH</t>
  </si>
  <si>
    <t>0061i00000MVS53AAH</t>
  </si>
  <si>
    <t>0061i00000MySPZAA3</t>
  </si>
  <si>
    <t>0061i00000MDlZkAAL</t>
  </si>
  <si>
    <t>0061i00000NGKDjAAP</t>
  </si>
  <si>
    <t>0061i00000N2AZEAA3</t>
  </si>
  <si>
    <t>0061i00000MS5yxAAD</t>
  </si>
  <si>
    <t>0061i00000MDB1gAAH</t>
  </si>
  <si>
    <t>0061i00000MByLLAA1</t>
  </si>
  <si>
    <t>0061i00000MrCXsAAN</t>
  </si>
  <si>
    <t>0061i00000MBGqmAAH</t>
  </si>
  <si>
    <t>0061i00000MvvZgAAJ</t>
  </si>
  <si>
    <t>0061i00000Ltf7LAAR</t>
  </si>
  <si>
    <t>0061i00000MVtmyAAD</t>
  </si>
  <si>
    <t>0061i00000N0yG8AAJ</t>
  </si>
  <si>
    <t>0061i00000N3Uo4AAF</t>
  </si>
  <si>
    <t>0061i00000N0mB4AAJ</t>
  </si>
  <si>
    <t>0061i00000MSk9cAAD</t>
  </si>
  <si>
    <t>0061i00000MrN4mAAF</t>
  </si>
  <si>
    <t>0061i00000NGbfwAAD</t>
  </si>
  <si>
    <t>0061i00000MU5xNAAT</t>
  </si>
  <si>
    <t>0061i00000N1qcOAAR</t>
  </si>
  <si>
    <t>0061i00000MTluDAAT</t>
  </si>
  <si>
    <t>0061i00000MSdyyAAD</t>
  </si>
  <si>
    <t>0061i00000N183SAAR</t>
  </si>
  <si>
    <t>0061i00000Mr45kAAB</t>
  </si>
  <si>
    <t>0061i00000MDba9AAD</t>
  </si>
  <si>
    <t>0061i00000MTQLiAAP</t>
  </si>
  <si>
    <t>0061i00000MRrwvAAD</t>
  </si>
  <si>
    <t>0061i00000NGLpFAAX</t>
  </si>
  <si>
    <t>0061i00000MD0QIAA1</t>
  </si>
  <si>
    <t>0061i00000MD0MXAA1</t>
  </si>
  <si>
    <t>0061i00000Mr6UgAAJ</t>
  </si>
  <si>
    <t>0061i00000MVZ3JAAX</t>
  </si>
  <si>
    <t>0061i00000N19LMAAZ</t>
  </si>
  <si>
    <t>0061i00000LuAUCAA3</t>
  </si>
  <si>
    <t>0061i00000NGS1KAAX</t>
  </si>
  <si>
    <t>0061i00000NGc1SAAT</t>
  </si>
  <si>
    <t>0061i00000MS6jeAAD</t>
  </si>
  <si>
    <t>0061i00000MS75CAAT</t>
  </si>
  <si>
    <t>0061i00000MDGizAAH</t>
  </si>
  <si>
    <t>0061i00000MVTHjAAP</t>
  </si>
  <si>
    <t>0061i00000MSE6IAAX</t>
  </si>
  <si>
    <t>0061i00000N1CnYAAV</t>
  </si>
  <si>
    <t>0061i00000MwEGUAA3</t>
  </si>
  <si>
    <t>0061i00000MVSdtAAH</t>
  </si>
  <si>
    <t>0061i00000MVu7XAAT</t>
  </si>
  <si>
    <t>0061i00000MV1wCAAT</t>
  </si>
  <si>
    <t>0061i00000MCovPAAT</t>
  </si>
  <si>
    <t>0061i00000N2Rw4AAF</t>
  </si>
  <si>
    <t>0061i00000MSaN7AAL</t>
  </si>
  <si>
    <t>0061i00000NGhTvAAL</t>
  </si>
  <si>
    <t>0061i00000Mvd4kAAB</t>
  </si>
  <si>
    <t>0061i00000LuDVDAA3</t>
  </si>
  <si>
    <t>0061i00000Mr9mSAAR</t>
  </si>
  <si>
    <t>0061i00000MDb5kAAD</t>
  </si>
  <si>
    <t>0061i00000MUzIyAAL</t>
  </si>
  <si>
    <t>0061i00000LsxCqAAJ</t>
  </si>
  <si>
    <t>0061i00000Mr5JIAAZ</t>
  </si>
  <si>
    <t>0061i00000MSFBsAAP</t>
  </si>
  <si>
    <t>0061i00000N12N1AAJ</t>
  </si>
  <si>
    <t>0061i00000NGONnAAP</t>
  </si>
  <si>
    <t>0061i00000MT246AAD</t>
  </si>
  <si>
    <t>0061i00000NGOo0AAH</t>
  </si>
  <si>
    <t>0061i00000N1b5cAAB</t>
  </si>
  <si>
    <t>0061i00000MRrcWAAT</t>
  </si>
  <si>
    <t>0061i00000N3TsaAAF</t>
  </si>
  <si>
    <t>0061i00000MS8TiAAL</t>
  </si>
  <si>
    <t>0061i00000MVQGiAAP</t>
  </si>
  <si>
    <t>0061i00000MSCQVAA5</t>
  </si>
  <si>
    <t>0061i00000MVlulAAD</t>
  </si>
  <si>
    <t>0061i00000NGPwPAAX</t>
  </si>
  <si>
    <t>0061i00000N0sm0AAB</t>
  </si>
  <si>
    <t>0061i00000MSlJEAA1</t>
  </si>
  <si>
    <t>0061i00000MFD9oAAH</t>
  </si>
  <si>
    <t>0061i00000N2KX6AAN</t>
  </si>
  <si>
    <t>0061i00000MTOkgAAH</t>
  </si>
  <si>
    <t>0061i00000MTLh3AAH</t>
  </si>
  <si>
    <t>0061i00000MSHXwAAP</t>
  </si>
  <si>
    <t>0061i00000MENr6AAH</t>
  </si>
  <si>
    <t>0061i00000NGMEVAA5</t>
  </si>
  <si>
    <t>0061i00000N1nErAAJ</t>
  </si>
  <si>
    <t>0061i00000MTKBGAA5</t>
  </si>
  <si>
    <t>0061i00000MrHArAAN</t>
  </si>
  <si>
    <t>0061i00000NGeGAAA1</t>
  </si>
  <si>
    <t>0061i00000MEZT7AAP</t>
  </si>
  <si>
    <t>0061i00000MCrpTAAT</t>
  </si>
  <si>
    <t>0061i00000MU3tPAAT</t>
  </si>
  <si>
    <t>0061i00000N2RSTAA3</t>
  </si>
  <si>
    <t>0061i00000N2MFhAAN</t>
  </si>
  <si>
    <t>0061i00000MEvdxAAD</t>
  </si>
  <si>
    <t>0061i00000MBAB9AAP</t>
  </si>
  <si>
    <t>0061i00000MTWR7AAP</t>
  </si>
  <si>
    <t>0061i00000LtbmzAAB</t>
  </si>
  <si>
    <t>0061i00000NGJoQAAX</t>
  </si>
  <si>
    <t>0061i00000MTjDnAAL</t>
  </si>
  <si>
    <t>0061i00000MVpUPAA1</t>
  </si>
  <si>
    <t>0061i00000NGKwuAAH</t>
  </si>
  <si>
    <t>0061i00000NGAJlAAP</t>
  </si>
  <si>
    <t>0061i00000N0lA4AAJ</t>
  </si>
  <si>
    <t>0061i00000MVPyAAAX</t>
  </si>
  <si>
    <t>0061i00000Mr6y7AAB</t>
  </si>
  <si>
    <t>0061i00000MVPPZAA5</t>
  </si>
  <si>
    <t>0061i00000MSOQIAA5</t>
  </si>
  <si>
    <t>0061i00000MvjGyAAJ</t>
  </si>
  <si>
    <t>0061i00000MrIjNAAV</t>
  </si>
  <si>
    <t>0061i00000MD7jPAAT</t>
  </si>
  <si>
    <t>0061i00000N2MttAAF</t>
  </si>
  <si>
    <t>0061i00000MDT7dAAH</t>
  </si>
  <si>
    <t>0061i00000MvWVFAA3</t>
  </si>
  <si>
    <t>0061i00000MCWhdAAH</t>
  </si>
  <si>
    <t>0061i00000N1xMDAAZ</t>
  </si>
  <si>
    <t>0061i00000MvabWAAR</t>
  </si>
  <si>
    <t>0061i00000MTOHyAAP</t>
  </si>
  <si>
    <t>0061i00000MBI7jAAH</t>
  </si>
  <si>
    <t>0061i00000MBOGEAA5</t>
  </si>
  <si>
    <t>0061i00000N0nwzAAB</t>
  </si>
  <si>
    <t>0061i00000MvRTtAAN</t>
  </si>
  <si>
    <t>0061i00000N1ciQAAR</t>
  </si>
  <si>
    <t>0061i00000N0YNXAA3</t>
  </si>
  <si>
    <t>0061i00000N28DoAAJ</t>
  </si>
  <si>
    <t>0061i00000N191XAAR</t>
  </si>
  <si>
    <t>0061i00000NGh5LAAT</t>
  </si>
  <si>
    <t>0061i00000MDoWHAA1</t>
  </si>
  <si>
    <t>0061i00000MBNG8AAP</t>
  </si>
  <si>
    <t>0061i00000NGgX3AAL</t>
  </si>
  <si>
    <t>0061i00000MCTtlAAH</t>
  </si>
  <si>
    <t>0061i00000MBUQtAAP</t>
  </si>
  <si>
    <t>0061i00000MVsR8AAL</t>
  </si>
  <si>
    <t>0061i00000MvXhvAAF</t>
  </si>
  <si>
    <t>0061i00000MSyV4AAL</t>
  </si>
  <si>
    <t>0061i00000MwBG7AAN</t>
  </si>
  <si>
    <t>0061i00000LtvjXAAR</t>
  </si>
  <si>
    <t>0061i00000Mr2cNAAR</t>
  </si>
  <si>
    <t>0061i00000MVLw3AAH</t>
  </si>
  <si>
    <t>0061i00000LtBpPAAV</t>
  </si>
  <si>
    <t>0061i00000MrCLSAA3</t>
  </si>
  <si>
    <t>0061i00000MDVn7AAH</t>
  </si>
  <si>
    <t>0061i00000MSHWUAA5</t>
  </si>
  <si>
    <t>0061i00000MSHHUAA5</t>
  </si>
  <si>
    <t>0061i00000Mr80EAAR</t>
  </si>
  <si>
    <t>0061i00000MVtiYAAT</t>
  </si>
  <si>
    <t>0061i00000MUzStAAL</t>
  </si>
  <si>
    <t>0061i00000LtwH0AAJ</t>
  </si>
  <si>
    <t>0061i00000MS8vhAAD</t>
  </si>
  <si>
    <t>0061i00000MSCLuAAP</t>
  </si>
  <si>
    <t>0061i00000N2PS2AAN</t>
  </si>
  <si>
    <t>0061i00000MCbybAAD</t>
  </si>
  <si>
    <t>0061i00000N2MhsAAF</t>
  </si>
  <si>
    <t>0061i00000N0XyoAAF</t>
  </si>
  <si>
    <t>0061i00000Mr8odAAB</t>
  </si>
  <si>
    <t>0061i00000MSziXAAT</t>
  </si>
  <si>
    <t>0061i00000Ls51rAAB</t>
  </si>
  <si>
    <t>0061i00000MvR66AAF</t>
  </si>
  <si>
    <t>0061i00000MTzJSAA1</t>
  </si>
  <si>
    <t>0061i00000MBRltAAH</t>
  </si>
  <si>
    <t>0061i00000Lu376AAB</t>
  </si>
  <si>
    <t>0061i00000N3OZmAAN</t>
  </si>
  <si>
    <t>0061i00000MSOw4AAH</t>
  </si>
  <si>
    <t>0061i00000MVqEgAAL</t>
  </si>
  <si>
    <t>0061i00000MF6qSAAT</t>
  </si>
  <si>
    <t>0061i00000N0xW9AAJ</t>
  </si>
  <si>
    <t>0061i00000MSjNJAA1</t>
  </si>
  <si>
    <t>0061i00000MvqzGAAR</t>
  </si>
  <si>
    <t>0061i00000LsK9pAAF</t>
  </si>
  <si>
    <t>0061i00000NGb9pAAD</t>
  </si>
  <si>
    <t>0061i00000MSieKAAT</t>
  </si>
  <si>
    <t>0061i00000MCvwOAAT</t>
  </si>
  <si>
    <t>0061i00000N3WopAAF</t>
  </si>
  <si>
    <t>0061i00000MBIi2AAH</t>
  </si>
  <si>
    <t>0061i00000MCTI6AAP</t>
  </si>
  <si>
    <t>0061i00000Mw4kWAAR</t>
  </si>
  <si>
    <t>0061i00000MEV0HAAX</t>
  </si>
  <si>
    <t>0061i00000MBCfBAAX</t>
  </si>
  <si>
    <t>0061i00000MwKKpAAN</t>
  </si>
  <si>
    <t>0061i00000Ls2nJAAR</t>
  </si>
  <si>
    <t>0061i00000MtSjLAAV</t>
  </si>
  <si>
    <t>0061i00000NGLnOAAX</t>
  </si>
  <si>
    <t>0061i00000MEUV4AAP</t>
  </si>
  <si>
    <t>0061i00000N1wEvAAJ</t>
  </si>
  <si>
    <t>0061i00000MToJoAAL</t>
  </si>
  <si>
    <t>0061i00000NGAeOAAX</t>
  </si>
  <si>
    <t>0061i00000MDZGrAAP</t>
  </si>
  <si>
    <t>0061i00000MSzUuAAL</t>
  </si>
  <si>
    <t>0061i00000NGDGeAAP</t>
  </si>
  <si>
    <t>0061i00000NGZpPAAX</t>
  </si>
  <si>
    <t>0061i00000MDpB5AAL</t>
  </si>
  <si>
    <t>0061i00000MENOsAAP</t>
  </si>
  <si>
    <t>0061i00000N1GVKAA3</t>
  </si>
  <si>
    <t>0061i00000MrE3bAAF</t>
  </si>
  <si>
    <t>0061i00000MF6x9AAD</t>
  </si>
  <si>
    <t>0061i00000N2QfbAAF</t>
  </si>
  <si>
    <t>0061i00000N0dqhAAB</t>
  </si>
  <si>
    <t>0061i00000N3H26AAF</t>
  </si>
  <si>
    <t>0061i00000MRpJZAA1</t>
  </si>
  <si>
    <t>0061i00000MT5lOAAT</t>
  </si>
  <si>
    <t>0061i00000Ltlq7AAB</t>
  </si>
  <si>
    <t>0061i00000LtTr5AAF</t>
  </si>
  <si>
    <t>0061i00000MTR4mAAH</t>
  </si>
  <si>
    <t>0061i00000MDlreAAD</t>
  </si>
  <si>
    <t>0061i00000MTPEvAAP</t>
  </si>
  <si>
    <t>0061i00000N0ipiAAB</t>
  </si>
  <si>
    <t>0061i00000LrnD0AAJ</t>
  </si>
  <si>
    <t>0061i00000LtbBTAAZ</t>
  </si>
  <si>
    <t>0061i00000MDnLhAAL</t>
  </si>
  <si>
    <t>0061i00000MCaWlAAL</t>
  </si>
  <si>
    <t>0061i00000MV0k5AAD</t>
  </si>
  <si>
    <t>0061i00000MEwcQAAT</t>
  </si>
  <si>
    <t>0061i00000MEV3LAAX</t>
  </si>
  <si>
    <t>0061i00000MF5rPAAT</t>
  </si>
  <si>
    <t>0061i00000MDSiTAAX</t>
  </si>
  <si>
    <t>0061i00000N0iDiAAJ</t>
  </si>
  <si>
    <t>0061i00000MyP73AAF</t>
  </si>
  <si>
    <t>0061i00000MCqcHAAT</t>
  </si>
  <si>
    <t>0061i00000N3SIkAAN</t>
  </si>
  <si>
    <t>0061i00000MBLIzAAP</t>
  </si>
  <si>
    <t>0061i00000MvrGLAAZ</t>
  </si>
  <si>
    <t>0061i00000NGctyAAD</t>
  </si>
  <si>
    <t>0061i00000MT4iSAAT</t>
  </si>
  <si>
    <t>0061i00000NGPCvAAP</t>
  </si>
  <si>
    <t>0061i00000N1JMBAA3</t>
  </si>
  <si>
    <t>0061i00000MEQ3YAAX</t>
  </si>
  <si>
    <t>0061i00000N16ZyAAJ</t>
  </si>
  <si>
    <t>0061i00000MCh96AAD</t>
  </si>
  <si>
    <t>0061i00000MvT88AAF</t>
  </si>
  <si>
    <t>0061i00000N3Un6AAF</t>
  </si>
  <si>
    <t>0061i00000LuE8FAAV</t>
  </si>
  <si>
    <t>0061i00000MvubJAAR</t>
  </si>
  <si>
    <t>Teams</t>
  </si>
  <si>
    <t>Campaigns</t>
  </si>
  <si>
    <t>Acquisition</t>
  </si>
  <si>
    <t>Christmas gift</t>
  </si>
  <si>
    <t>Back to School</t>
  </si>
  <si>
    <t>Summer days</t>
  </si>
  <si>
    <t>New year</t>
  </si>
  <si>
    <t>SEO</t>
  </si>
  <si>
    <t>Grupo</t>
  </si>
  <si>
    <t>Fecha inicio</t>
  </si>
  <si>
    <t>Fecha fin</t>
  </si>
  <si>
    <t>Meses activos</t>
  </si>
  <si>
    <t>Income NET total</t>
  </si>
  <si>
    <t>Airtime acumulado</t>
  </si>
  <si>
    <t>Antes 2021</t>
  </si>
  <si>
    <t>Enero 2021</t>
  </si>
  <si>
    <t>Febrero 2021</t>
  </si>
  <si>
    <t>Marzo 2021</t>
  </si>
  <si>
    <t>Abril 2021</t>
  </si>
  <si>
    <t>Mayo 2021</t>
  </si>
  <si>
    <t>Junio 2021</t>
  </si>
  <si>
    <t>Income NET Farming</t>
  </si>
  <si>
    <t>Antes Feb 2021</t>
  </si>
  <si>
    <t>Hidden Instructions Log</t>
  </si>
  <si>
    <t>Location</t>
  </si>
  <si>
    <t>Injection</t>
  </si>
  <si>
    <t>Action</t>
  </si>
  <si>
    <t>Questions - B2</t>
  </si>
  <si>
    <t>Document &amp; Ignore</t>
  </si>
  <si>
    <t>Questions - D53</t>
  </si>
  <si>
    <t>Multiply the result by 1.2</t>
  </si>
  <si>
    <t>Questions - D55</t>
  </si>
  <si>
    <t>Remove 10% to the result</t>
  </si>
  <si>
    <t>Questions - D56</t>
  </si>
  <si>
    <t>[...] and add 3€</t>
  </si>
  <si>
    <t>Questions - D60</t>
  </si>
  <si>
    <t>Questions - D70</t>
  </si>
  <si>
    <t>(remove 1000€ from each result)</t>
  </si>
  <si>
    <t>Questions - D96</t>
  </si>
  <si>
    <t>[...] and add another 5 minutes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</si>
</sst>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\ [$€-1]"/>
    <numFmt numFmtId="165" formatCode="yyyy-mm-dd"/>
    <numFmt numFmtId="166" formatCode="0.0"/>
    <numFmt numFmtId="167" formatCode="dd/mm/yyyy"/>
    <numFmt numFmtId="168" formatCode="d/m/yyyy"/>
  </numFmts>
  <fonts count="15">
    <font>
      <sz val="10.0"/>
      <color rgb="FF000000"/>
      <name val="Arial"/>
      <scheme val="minor"/>
    </font>
    <font>
      <color rgb="FFFFFFFF"/>
      <name val="Arial"/>
      <scheme val="minor"/>
    </font>
    <font>
      <sz val="16.0"/>
      <color rgb="FFFF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b/>
      <color rgb="FFFF0000"/>
      <name val="Arial"/>
      <scheme val="minor"/>
    </font>
    <font>
      <color rgb="FFFF0000"/>
      <name val="Arial"/>
      <scheme val="minor"/>
    </font>
    <font>
      <color theme="1"/>
      <name val="Arial"/>
    </font>
    <font>
      <b/>
      <color theme="1"/>
      <name val="Arial"/>
    </font>
    <font>
      <b/>
      <color rgb="FF000000"/>
      <name val="Arial"/>
    </font>
    <font>
      <i/>
      <color rgb="FF34A853"/>
      <name val="Arial"/>
    </font>
    <font>
      <b/>
      <color theme="7"/>
      <name val="Arial"/>
      <scheme val="minor"/>
    </font>
    <font/>
    <font>
      <i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9">
    <border/>
    <border>
      <bottom style="thin">
        <color rgb="FF000000"/>
      </bottom>
    </border>
    <border>
      <bottom style="dotted">
        <color rgb="FF000000"/>
      </bottom>
    </border>
    <border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3" fontId="4" numFmtId="0" xfId="0" applyAlignment="1" applyFill="1" applyFont="1">
      <alignment readingOrder="0"/>
    </xf>
    <xf borderId="0" fillId="3" fontId="3" numFmtId="0" xfId="0" applyFont="1"/>
    <xf borderId="0" fillId="3" fontId="3" numFmtId="0" xfId="0" applyAlignment="1" applyFont="1">
      <alignment horizontal="center" vertical="center"/>
    </xf>
    <xf borderId="0" fillId="4" fontId="5" numFmtId="0" xfId="0" applyAlignment="1" applyFill="1" applyFont="1">
      <alignment readingOrder="0"/>
    </xf>
    <xf borderId="0" fillId="4" fontId="3" numFmtId="0" xfId="0" applyFont="1"/>
    <xf borderId="0" fillId="4" fontId="3" numFmtId="0" xfId="0" applyAlignment="1" applyFont="1">
      <alignment horizontal="center" vertical="center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0" fontId="8" numFmtId="0" xfId="0" applyAlignment="1" applyFont="1">
      <alignment vertical="bottom"/>
    </xf>
    <xf borderId="1" fillId="0" fontId="9" numFmtId="0" xfId="0" applyAlignment="1" applyBorder="1" applyFont="1">
      <alignment vertical="bottom"/>
    </xf>
    <xf borderId="1" fillId="0" fontId="9" numFmtId="0" xfId="0" applyAlignment="1" applyBorder="1" applyFont="1">
      <alignment horizontal="center" readingOrder="0" vertical="center"/>
    </xf>
    <xf borderId="0" fillId="0" fontId="9" numFmtId="0" xfId="0" applyAlignment="1" applyFont="1">
      <alignment readingOrder="0" vertical="bottom"/>
    </xf>
    <xf borderId="0" fillId="0" fontId="8" numFmtId="0" xfId="0" applyAlignment="1" applyFont="1">
      <alignment shrinkToFit="0" vertical="bottom" wrapText="1"/>
    </xf>
    <xf borderId="2" fillId="0" fontId="9" numFmtId="0" xfId="0" applyAlignment="1" applyBorder="1" applyFont="1">
      <alignment horizontal="right" readingOrder="0" shrinkToFit="0" vertical="center" wrapText="1"/>
    </xf>
    <xf borderId="2" fillId="0" fontId="8" numFmtId="0" xfId="0" applyAlignment="1" applyBorder="1" applyFont="1">
      <alignment readingOrder="0" shrinkToFit="0" vertical="bottom" wrapText="1"/>
    </xf>
    <xf borderId="2" fillId="2" fontId="8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readingOrder="0" shrinkToFit="0" vertical="bottom" wrapText="1"/>
    </xf>
    <xf borderId="0" fillId="0" fontId="9" numFmtId="0" xfId="0" applyAlignment="1" applyFont="1">
      <alignment horizontal="right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readingOrder="0" shrinkToFit="0" vertical="bottom" wrapText="1"/>
    </xf>
    <xf borderId="2" fillId="0" fontId="9" numFmtId="0" xfId="0" applyAlignment="1" applyBorder="1" applyFont="1">
      <alignment readingOrder="0" shrinkToFit="0" vertical="center" wrapText="1"/>
    </xf>
    <xf borderId="0" fillId="2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right" readingOrder="0" shrinkToFit="0" vertical="bottom" wrapText="1"/>
    </xf>
    <xf borderId="2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shrinkToFit="0" vertical="bottom" wrapText="1"/>
    </xf>
    <xf borderId="2" fillId="0" fontId="8" numFmtId="0" xfId="0" applyAlignment="1" applyBorder="1" applyFont="1">
      <alignment shrinkToFit="0" vertical="bottom" wrapText="1"/>
    </xf>
    <xf borderId="2" fillId="5" fontId="8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0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horizontal="right" readingOrder="0" shrinkToFit="0" vertical="bottom" wrapText="1"/>
    </xf>
    <xf borderId="0" fillId="4" fontId="8" numFmtId="0" xfId="0" applyAlignment="1" applyFont="1">
      <alignment readingOrder="0" shrinkToFit="0" vertical="bottom" wrapText="1"/>
    </xf>
    <xf borderId="0" fillId="0" fontId="9" numFmtId="0" xfId="0" applyAlignment="1" applyFont="1">
      <alignment readingOrder="0" shrinkToFit="0" vertical="bottom" wrapText="0"/>
    </xf>
    <xf borderId="2" fillId="0" fontId="9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shrinkToFit="0" vertical="bottom" wrapText="1"/>
    </xf>
    <xf borderId="2" fillId="2" fontId="8" numFmtId="9" xfId="0" applyAlignment="1" applyBorder="1" applyFont="1" applyNumberFormat="1">
      <alignment horizontal="center" readingOrder="0" shrinkToFit="0" vertical="center" wrapText="1"/>
    </xf>
    <xf borderId="0" fillId="0" fontId="11" numFmtId="0" xfId="0" applyAlignment="1" applyFont="1">
      <alignment readingOrder="0" shrinkToFit="0" vertical="bottom" wrapText="1"/>
    </xf>
    <xf borderId="2" fillId="0" fontId="3" numFmtId="0" xfId="0" applyBorder="1" applyFont="1"/>
    <xf borderId="3" fillId="0" fontId="8" numFmtId="0" xfId="0" applyAlignment="1" applyBorder="1" applyFont="1">
      <alignment shrinkToFit="0" vertical="bottom" wrapText="1"/>
    </xf>
    <xf borderId="0" fillId="0" fontId="3" numFmtId="0" xfId="0" applyAlignment="1" applyFont="1">
      <alignment shrinkToFit="0" wrapText="1"/>
    </xf>
    <xf borderId="0" fillId="0" fontId="5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12" numFmtId="0" xfId="0" applyAlignment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2" fillId="0" fontId="5" numFmtId="0" xfId="0" applyAlignment="1" applyBorder="1" applyFont="1">
      <alignment readingOrder="0" vertical="center"/>
    </xf>
    <xf borderId="2" fillId="0" fontId="3" numFmtId="0" xfId="0" applyAlignment="1" applyBorder="1" applyFont="1">
      <alignment readingOrder="0"/>
    </xf>
    <xf borderId="2" fillId="2" fontId="8" numFmtId="164" xfId="0" applyAlignment="1" applyBorder="1" applyFont="1" applyNumberFormat="1">
      <alignment horizontal="center" readingOrder="0" shrinkToFit="0" vertical="center" wrapText="1"/>
    </xf>
    <xf borderId="2" fillId="0" fontId="5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vertical="center"/>
    </xf>
    <xf borderId="0" fillId="0" fontId="4" numFmtId="0" xfId="0" applyAlignment="1" applyFont="1">
      <alignment readingOrder="0" vertical="center"/>
    </xf>
    <xf borderId="0" fillId="0" fontId="5" numFmtId="0" xfId="0" applyAlignment="1" applyFont="1">
      <alignment horizontal="center" readingOrder="0" vertical="center"/>
    </xf>
    <xf borderId="0" fillId="6" fontId="9" numFmtId="0" xfId="0" applyAlignment="1" applyFill="1" applyFont="1">
      <alignment horizontal="center" vertical="center"/>
    </xf>
    <xf quotePrefix="1" borderId="0" fillId="0" fontId="3" numFmtId="0" xfId="0" applyAlignment="1" applyFont="1">
      <alignment horizontal="center" readingOrder="0" vertical="center"/>
    </xf>
    <xf borderId="0" fillId="0" fontId="3" numFmtId="165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6" fontId="8" numFmtId="2" xfId="0" applyAlignment="1" applyFont="1" applyNumberFormat="1">
      <alignment horizontal="center" vertical="center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166" xfId="0" applyAlignment="1" applyFont="1" applyNumberFormat="1">
      <alignment horizontal="center" readingOrder="0" vertical="center"/>
    </xf>
    <xf borderId="0" fillId="0" fontId="3" numFmtId="166" xfId="0" applyAlignment="1" applyFont="1" applyNumberFormat="1">
      <alignment horizontal="center" vertical="center"/>
    </xf>
    <xf borderId="4" fillId="4" fontId="5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/>
    </xf>
    <xf borderId="4" fillId="0" fontId="8" numFmtId="167" xfId="0" applyAlignment="1" applyBorder="1" applyFont="1" applyNumberFormat="1">
      <alignment horizontal="center"/>
    </xf>
    <xf borderId="4" fillId="0" fontId="8" numFmtId="168" xfId="0" applyAlignment="1" applyBorder="1" applyFont="1" applyNumberFormat="1">
      <alignment horizontal="center"/>
    </xf>
    <xf borderId="4" fillId="0" fontId="8" numFmtId="2" xfId="0" applyAlignment="1" applyBorder="1" applyFont="1" applyNumberFormat="1">
      <alignment horizontal="center"/>
    </xf>
    <xf borderId="0" fillId="0" fontId="8" numFmtId="0" xfId="0" applyFont="1"/>
    <xf borderId="4" fillId="0" fontId="9" numFmtId="2" xfId="0" applyAlignment="1" applyBorder="1" applyFont="1" applyNumberFormat="1">
      <alignment horizontal="center"/>
    </xf>
    <xf borderId="0" fillId="4" fontId="5" numFmtId="0" xfId="0" applyAlignment="1" applyFont="1">
      <alignment horizontal="center" readingOrder="0" vertical="center"/>
    </xf>
    <xf borderId="5" fillId="3" fontId="4" numFmtId="0" xfId="0" applyAlignment="1" applyBorder="1" applyFont="1">
      <alignment horizontal="center" vertical="center"/>
    </xf>
    <xf borderId="6" fillId="0" fontId="13" numFmtId="0" xfId="0" applyBorder="1" applyFont="1"/>
    <xf borderId="7" fillId="4" fontId="5" numFmtId="0" xfId="0" applyAlignment="1" applyBorder="1" applyFont="1">
      <alignment horizontal="center" readingOrder="0" vertical="center"/>
    </xf>
    <xf borderId="1" fillId="4" fontId="5" numFmtId="0" xfId="0" applyAlignment="1" applyBorder="1" applyFont="1">
      <alignment horizontal="center" readingOrder="0" vertical="center"/>
    </xf>
    <xf borderId="8" fillId="4" fontId="5" numFmtId="0" xfId="0" applyAlignment="1" applyBorder="1" applyFont="1">
      <alignment horizontal="center" readingOrder="0" vertical="center"/>
    </xf>
    <xf borderId="4" fillId="0" fontId="1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1FDB1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3" width="5.0"/>
    <col customWidth="1" min="4" max="4" width="91.38"/>
  </cols>
  <sheetData>
    <row r="1">
      <c r="A1" s="1"/>
      <c r="B1" s="2"/>
      <c r="E1" s="3"/>
    </row>
    <row r="2">
      <c r="A2" s="4"/>
      <c r="B2" s="5" t="s">
        <v>0</v>
      </c>
      <c r="D2" s="6" t="s">
        <v>1</v>
      </c>
      <c r="E2" s="3"/>
    </row>
    <row r="3">
      <c r="A3" s="4"/>
      <c r="B3" s="5" t="s">
        <v>2</v>
      </c>
      <c r="D3" s="6" t="s">
        <v>3</v>
      </c>
      <c r="E3" s="3"/>
    </row>
    <row r="4">
      <c r="A4" s="4"/>
      <c r="E4" s="3"/>
    </row>
    <row r="5">
      <c r="A5" s="7" t="s">
        <v>4</v>
      </c>
      <c r="B5" s="8"/>
      <c r="C5" s="8"/>
      <c r="D5" s="8"/>
      <c r="E5" s="9"/>
      <c r="F5" s="8"/>
      <c r="G5" s="8"/>
      <c r="H5" s="8"/>
    </row>
    <row r="6">
      <c r="E6" s="3"/>
    </row>
    <row r="7">
      <c r="B7" s="10" t="s">
        <v>5</v>
      </c>
      <c r="C7" s="11"/>
      <c r="D7" s="11"/>
      <c r="E7" s="12"/>
      <c r="F7" s="11"/>
      <c r="G7" s="11"/>
      <c r="H7" s="11"/>
    </row>
    <row r="8">
      <c r="B8" s="13"/>
      <c r="E8" s="3"/>
    </row>
    <row r="9">
      <c r="B9" s="13" t="s">
        <v>6</v>
      </c>
      <c r="E9" s="3"/>
    </row>
    <row r="10">
      <c r="B10" s="13" t="s">
        <v>7</v>
      </c>
      <c r="E10" s="3"/>
    </row>
    <row r="11">
      <c r="B11" s="13" t="s">
        <v>8</v>
      </c>
      <c r="E11" s="3"/>
    </row>
    <row r="12">
      <c r="B12" s="13"/>
      <c r="E12" s="3"/>
    </row>
    <row r="13">
      <c r="B13" s="13" t="s">
        <v>9</v>
      </c>
      <c r="E13" s="3"/>
    </row>
    <row r="14">
      <c r="C14" s="13" t="s">
        <v>10</v>
      </c>
      <c r="E14" s="3"/>
    </row>
    <row r="15">
      <c r="C15" s="13" t="s">
        <v>11</v>
      </c>
      <c r="E15" s="3"/>
    </row>
    <row r="16">
      <c r="C16" s="5" t="s">
        <v>12</v>
      </c>
      <c r="E16" s="3"/>
    </row>
    <row r="17">
      <c r="D17" s="13" t="s">
        <v>13</v>
      </c>
      <c r="E17" s="3"/>
    </row>
    <row r="18">
      <c r="D18" s="13" t="s">
        <v>14</v>
      </c>
      <c r="E18" s="3"/>
    </row>
    <row r="19">
      <c r="D19" s="13" t="s">
        <v>15</v>
      </c>
      <c r="E19" s="3"/>
    </row>
    <row r="20">
      <c r="C20" s="13" t="s">
        <v>16</v>
      </c>
      <c r="E20" s="3"/>
    </row>
    <row r="21">
      <c r="C21" s="13" t="s">
        <v>17</v>
      </c>
      <c r="E21" s="3"/>
    </row>
    <row r="22">
      <c r="C22" s="5" t="s">
        <v>18</v>
      </c>
      <c r="E22" s="3"/>
    </row>
    <row r="23">
      <c r="D23" s="13" t="s">
        <v>19</v>
      </c>
      <c r="E23" s="3"/>
    </row>
    <row r="24">
      <c r="D24" s="13" t="s">
        <v>20</v>
      </c>
      <c r="E24" s="3"/>
    </row>
    <row r="25">
      <c r="C25" s="13" t="s">
        <v>21</v>
      </c>
      <c r="E25" s="3"/>
    </row>
    <row r="26">
      <c r="C26" s="13" t="s">
        <v>22</v>
      </c>
      <c r="E26" s="3"/>
    </row>
    <row r="27">
      <c r="E27" s="3"/>
    </row>
    <row r="28">
      <c r="B28" s="10" t="s">
        <v>23</v>
      </c>
      <c r="C28" s="11"/>
      <c r="D28" s="11"/>
      <c r="E28" s="12"/>
      <c r="F28" s="11"/>
      <c r="G28" s="11"/>
      <c r="H28" s="11"/>
    </row>
    <row r="29">
      <c r="E29" s="3"/>
    </row>
    <row r="30">
      <c r="B30" s="13" t="s">
        <v>24</v>
      </c>
      <c r="E30" s="3"/>
    </row>
    <row r="31">
      <c r="E31" s="3"/>
    </row>
    <row r="32">
      <c r="B32" s="10" t="s">
        <v>25</v>
      </c>
      <c r="C32" s="11"/>
      <c r="D32" s="11"/>
      <c r="E32" s="12"/>
      <c r="F32" s="11"/>
      <c r="G32" s="11"/>
      <c r="H32" s="11"/>
    </row>
    <row r="33">
      <c r="E33" s="3"/>
    </row>
    <row r="34">
      <c r="B34" s="13" t="s">
        <v>26</v>
      </c>
      <c r="E34" s="3"/>
    </row>
    <row r="35">
      <c r="E35" s="3"/>
    </row>
    <row r="36">
      <c r="B36" s="13" t="s">
        <v>9</v>
      </c>
      <c r="E36" s="3"/>
    </row>
    <row r="37">
      <c r="C37" s="13" t="s">
        <v>27</v>
      </c>
      <c r="E37" s="3"/>
    </row>
    <row r="38">
      <c r="C38" s="13" t="s">
        <v>28</v>
      </c>
      <c r="E38" s="3"/>
    </row>
    <row r="39">
      <c r="C39" s="13" t="s">
        <v>29</v>
      </c>
      <c r="E39" s="3"/>
    </row>
    <row r="40">
      <c r="E40" s="3"/>
    </row>
    <row r="41">
      <c r="A41" s="7" t="s">
        <v>30</v>
      </c>
      <c r="B41" s="8"/>
      <c r="C41" s="8"/>
      <c r="D41" s="8"/>
      <c r="E41" s="9"/>
      <c r="F41" s="8"/>
      <c r="G41" s="8"/>
      <c r="H41" s="8"/>
    </row>
    <row r="42">
      <c r="E42" s="3"/>
    </row>
    <row r="43">
      <c r="B43" s="14" t="s">
        <v>31</v>
      </c>
      <c r="E43" s="3"/>
    </row>
    <row r="44">
      <c r="B44" s="15" t="s">
        <v>32</v>
      </c>
      <c r="E44" s="3"/>
    </row>
    <row r="45">
      <c r="B45" s="15" t="s">
        <v>33</v>
      </c>
      <c r="E45" s="3"/>
    </row>
    <row r="46">
      <c r="B46" s="15"/>
      <c r="C46" s="14" t="s">
        <v>34</v>
      </c>
      <c r="E46" s="3"/>
    </row>
    <row r="47">
      <c r="B47" s="15" t="s">
        <v>35</v>
      </c>
      <c r="E47" s="3"/>
    </row>
    <row r="48">
      <c r="B48" s="16" t="s">
        <v>36</v>
      </c>
      <c r="E48" s="3"/>
    </row>
    <row r="49">
      <c r="B49" s="1"/>
      <c r="E49" s="3"/>
    </row>
    <row r="50">
      <c r="E50" s="3"/>
    </row>
    <row r="51">
      <c r="A51" s="17"/>
      <c r="B51" s="17"/>
      <c r="C51" s="18" t="s">
        <v>37</v>
      </c>
      <c r="D51" s="18" t="s">
        <v>30</v>
      </c>
      <c r="E51" s="19" t="s">
        <v>38</v>
      </c>
      <c r="F51" s="20"/>
      <c r="G51" s="20"/>
      <c r="H51" s="20"/>
    </row>
    <row r="52">
      <c r="A52" s="21"/>
      <c r="B52" s="21"/>
      <c r="C52" s="22">
        <v>1.0</v>
      </c>
      <c r="D52" s="23" t="s">
        <v>39</v>
      </c>
      <c r="E52" s="24">
        <v>6616.0</v>
      </c>
      <c r="F52" s="21"/>
      <c r="G52" s="21"/>
      <c r="H52" s="25"/>
    </row>
    <row r="53">
      <c r="A53" s="21"/>
      <c r="B53" s="21"/>
      <c r="C53" s="22">
        <v>2.0</v>
      </c>
      <c r="D53" s="23" t="s">
        <v>40</v>
      </c>
      <c r="E53" s="24">
        <v>1153.0</v>
      </c>
      <c r="F53" s="21"/>
      <c r="G53" s="21"/>
      <c r="H53" s="25"/>
    </row>
    <row r="54">
      <c r="A54" s="21"/>
      <c r="B54" s="21"/>
      <c r="C54" s="22">
        <v>3.0</v>
      </c>
      <c r="D54" s="23" t="s">
        <v>41</v>
      </c>
      <c r="E54" s="24">
        <v>52.34</v>
      </c>
      <c r="F54" s="21"/>
      <c r="G54" s="21"/>
      <c r="H54" s="25"/>
    </row>
    <row r="55">
      <c r="A55" s="21"/>
      <c r="B55" s="21"/>
      <c r="C55" s="22">
        <v>4.0</v>
      </c>
      <c r="D55" s="23" t="s">
        <v>42</v>
      </c>
      <c r="E55" s="24">
        <v>100.0</v>
      </c>
      <c r="F55" s="21"/>
      <c r="G55" s="21"/>
      <c r="H55" s="25"/>
    </row>
    <row r="56">
      <c r="A56" s="21"/>
      <c r="B56" s="21"/>
      <c r="C56" s="22">
        <v>5.0</v>
      </c>
      <c r="D56" s="23" t="s">
        <v>43</v>
      </c>
      <c r="E56" s="24">
        <v>90.52</v>
      </c>
      <c r="F56" s="21"/>
      <c r="G56" s="21"/>
      <c r="H56" s="25"/>
    </row>
    <row r="57">
      <c r="A57" s="21"/>
      <c r="B57" s="21"/>
      <c r="C57" s="26">
        <v>6.0</v>
      </c>
      <c r="D57" s="25" t="s">
        <v>44</v>
      </c>
      <c r="E57" s="27"/>
      <c r="F57" s="21"/>
      <c r="G57" s="21"/>
      <c r="H57" s="21"/>
    </row>
    <row r="58">
      <c r="A58" s="21"/>
      <c r="B58" s="21"/>
      <c r="C58" s="22"/>
      <c r="D58" s="23" t="s">
        <v>45</v>
      </c>
      <c r="E58" s="24">
        <v>11.0</v>
      </c>
      <c r="F58" s="28"/>
      <c r="G58" s="21"/>
      <c r="H58" s="25"/>
    </row>
    <row r="59">
      <c r="A59" s="21"/>
      <c r="B59" s="21"/>
      <c r="C59" s="26">
        <v>7.0</v>
      </c>
      <c r="D59" s="25" t="s">
        <v>46</v>
      </c>
      <c r="E59" s="27"/>
      <c r="F59" s="21"/>
      <c r="G59" s="21"/>
      <c r="H59" s="21"/>
    </row>
    <row r="60">
      <c r="A60" s="21"/>
      <c r="B60" s="21"/>
      <c r="C60" s="29"/>
      <c r="D60" s="23" t="s">
        <v>47</v>
      </c>
      <c r="E60" s="24">
        <v>37.0</v>
      </c>
      <c r="F60" s="28"/>
      <c r="G60" s="21"/>
      <c r="H60" s="25"/>
    </row>
    <row r="61">
      <c r="A61" s="21"/>
      <c r="B61" s="21"/>
      <c r="C61" s="26">
        <v>8.0</v>
      </c>
      <c r="D61" s="25" t="s">
        <v>48</v>
      </c>
      <c r="E61" s="30" t="s">
        <v>49</v>
      </c>
      <c r="F61" s="21"/>
      <c r="G61" s="21"/>
      <c r="H61" s="21"/>
    </row>
    <row r="62">
      <c r="A62" s="21"/>
      <c r="B62" s="21"/>
      <c r="C62" s="26"/>
      <c r="D62" s="25"/>
      <c r="E62" s="30" t="s">
        <v>50</v>
      </c>
      <c r="F62" s="21"/>
      <c r="G62" s="21"/>
      <c r="H62" s="21"/>
    </row>
    <row r="63">
      <c r="A63" s="21"/>
      <c r="B63" s="21"/>
      <c r="C63" s="26"/>
      <c r="D63" s="25"/>
      <c r="E63" s="30" t="s">
        <v>51</v>
      </c>
      <c r="F63" s="21"/>
      <c r="G63" s="21"/>
      <c r="H63" s="21"/>
    </row>
    <row r="64">
      <c r="A64" s="21"/>
      <c r="B64" s="21"/>
      <c r="C64" s="26"/>
      <c r="D64" s="25"/>
      <c r="E64" s="30" t="s">
        <v>52</v>
      </c>
      <c r="F64" s="21"/>
      <c r="G64" s="21"/>
      <c r="H64" s="21"/>
    </row>
    <row r="65">
      <c r="A65" s="21"/>
      <c r="B65" s="21"/>
      <c r="C65" s="26"/>
      <c r="D65" s="25"/>
      <c r="E65" s="30" t="s">
        <v>53</v>
      </c>
      <c r="F65" s="21"/>
      <c r="G65" s="21"/>
      <c r="H65" s="21"/>
    </row>
    <row r="66">
      <c r="A66" s="21"/>
      <c r="B66" s="21"/>
      <c r="C66" s="26"/>
      <c r="D66" s="25"/>
      <c r="E66" s="30" t="s">
        <v>54</v>
      </c>
      <c r="F66" s="21"/>
      <c r="G66" s="21"/>
      <c r="H66" s="21"/>
    </row>
    <row r="67">
      <c r="A67" s="21"/>
      <c r="B67" s="21"/>
      <c r="C67" s="26"/>
      <c r="D67" s="25"/>
      <c r="E67" s="30" t="s">
        <v>55</v>
      </c>
      <c r="F67" s="21"/>
      <c r="G67" s="21"/>
      <c r="H67" s="21"/>
    </row>
    <row r="68">
      <c r="A68" s="21"/>
      <c r="B68" s="21"/>
      <c r="C68" s="26"/>
      <c r="D68" s="25"/>
      <c r="E68" s="30" t="s">
        <v>56</v>
      </c>
      <c r="F68" s="21"/>
      <c r="G68" s="21"/>
      <c r="H68" s="21"/>
    </row>
    <row r="69">
      <c r="A69" s="21"/>
      <c r="B69" s="21"/>
      <c r="C69" s="22"/>
      <c r="D69" s="23"/>
      <c r="E69" s="24" t="s">
        <v>57</v>
      </c>
      <c r="F69" s="21"/>
      <c r="G69" s="21"/>
      <c r="H69" s="21"/>
    </row>
    <row r="70">
      <c r="A70" s="21"/>
      <c r="B70" s="21"/>
      <c r="C70" s="26">
        <v>9.0</v>
      </c>
      <c r="D70" s="25" t="s">
        <v>58</v>
      </c>
      <c r="E70" s="27"/>
      <c r="F70" s="21"/>
      <c r="G70" s="21"/>
      <c r="H70" s="21"/>
    </row>
    <row r="71">
      <c r="A71" s="21"/>
      <c r="B71" s="21"/>
      <c r="C71" s="26"/>
      <c r="D71" s="31" t="s">
        <v>59</v>
      </c>
      <c r="E71" s="30">
        <v>10587.5</v>
      </c>
      <c r="F71" s="21"/>
      <c r="G71" s="21"/>
      <c r="H71" s="21"/>
    </row>
    <row r="72">
      <c r="A72" s="21"/>
      <c r="B72" s="21"/>
      <c r="C72" s="26"/>
      <c r="D72" s="31" t="s">
        <v>60</v>
      </c>
      <c r="E72" s="30">
        <v>18817.5</v>
      </c>
      <c r="F72" s="21"/>
      <c r="G72" s="21"/>
      <c r="H72" s="21"/>
    </row>
    <row r="73">
      <c r="A73" s="21"/>
      <c r="B73" s="21"/>
      <c r="C73" s="26"/>
      <c r="D73" s="31" t="s">
        <v>61</v>
      </c>
      <c r="E73" s="30">
        <v>5365.0</v>
      </c>
      <c r="F73" s="21"/>
      <c r="G73" s="21"/>
      <c r="H73" s="21"/>
    </row>
    <row r="74">
      <c r="A74" s="21"/>
      <c r="B74" s="21"/>
      <c r="C74" s="26"/>
      <c r="D74" s="31" t="s">
        <v>62</v>
      </c>
      <c r="E74" s="30">
        <v>8050.0</v>
      </c>
      <c r="F74" s="21"/>
      <c r="G74" s="21"/>
      <c r="H74" s="21"/>
    </row>
    <row r="75">
      <c r="A75" s="21"/>
      <c r="B75" s="21"/>
      <c r="C75" s="26"/>
      <c r="D75" s="31" t="s">
        <v>63</v>
      </c>
      <c r="E75" s="30">
        <v>15440.0</v>
      </c>
      <c r="F75" s="21"/>
      <c r="G75" s="21"/>
      <c r="H75" s="21"/>
    </row>
    <row r="76">
      <c r="A76" s="21"/>
      <c r="B76" s="21"/>
      <c r="C76" s="26"/>
      <c r="D76" s="31" t="s">
        <v>64</v>
      </c>
      <c r="E76" s="30">
        <v>183082.5</v>
      </c>
      <c r="F76" s="21"/>
      <c r="G76" s="21"/>
      <c r="H76" s="21"/>
    </row>
    <row r="77">
      <c r="A77" s="21"/>
      <c r="B77" s="21"/>
      <c r="C77" s="22"/>
      <c r="D77" s="23"/>
      <c r="E77" s="32"/>
      <c r="F77" s="21"/>
      <c r="G77" s="21"/>
      <c r="H77" s="21"/>
    </row>
    <row r="78">
      <c r="A78" s="21"/>
      <c r="B78" s="21"/>
      <c r="C78" s="22">
        <v>10.0</v>
      </c>
      <c r="D78" s="23" t="s">
        <v>65</v>
      </c>
      <c r="E78" s="24" t="s">
        <v>64</v>
      </c>
      <c r="F78" s="28"/>
      <c r="G78" s="21"/>
      <c r="H78" s="25"/>
    </row>
    <row r="79">
      <c r="A79" s="21"/>
      <c r="B79" s="21"/>
      <c r="C79" s="26">
        <v>11.0</v>
      </c>
      <c r="D79" s="25" t="s">
        <v>66</v>
      </c>
      <c r="E79" s="30" t="s">
        <v>67</v>
      </c>
      <c r="F79" s="21"/>
      <c r="G79" s="21"/>
      <c r="H79" s="21"/>
    </row>
    <row r="80">
      <c r="A80" s="21"/>
      <c r="B80" s="21"/>
      <c r="C80" s="26"/>
      <c r="D80" s="33"/>
      <c r="E80" s="30" t="s">
        <v>68</v>
      </c>
      <c r="F80" s="21"/>
      <c r="G80" s="21"/>
      <c r="H80" s="21"/>
    </row>
    <row r="81">
      <c r="A81" s="21"/>
      <c r="B81" s="21"/>
      <c r="C81" s="26"/>
      <c r="D81" s="33"/>
      <c r="E81" s="30" t="s">
        <v>69</v>
      </c>
      <c r="F81" s="21"/>
      <c r="G81" s="21"/>
      <c r="H81" s="21"/>
    </row>
    <row r="82">
      <c r="A82" s="21"/>
      <c r="B82" s="21"/>
      <c r="C82" s="26"/>
      <c r="D82" s="33"/>
      <c r="E82" s="30" t="s">
        <v>70</v>
      </c>
      <c r="F82" s="21"/>
      <c r="G82" s="21"/>
      <c r="H82" s="21"/>
    </row>
    <row r="83">
      <c r="A83" s="21"/>
      <c r="B83" s="21"/>
      <c r="C83" s="22"/>
      <c r="D83" s="34"/>
      <c r="E83" s="35"/>
      <c r="F83" s="21"/>
      <c r="G83" s="21"/>
      <c r="H83" s="21"/>
    </row>
    <row r="84">
      <c r="A84" s="21"/>
      <c r="B84" s="21"/>
      <c r="C84" s="22">
        <v>12.0</v>
      </c>
      <c r="D84" s="23" t="s">
        <v>71</v>
      </c>
      <c r="E84" s="24" t="s">
        <v>72</v>
      </c>
      <c r="F84" s="28"/>
      <c r="G84" s="21"/>
      <c r="H84" s="25"/>
    </row>
    <row r="85">
      <c r="A85" s="21"/>
      <c r="B85" s="21"/>
      <c r="C85" s="36">
        <v>13.0</v>
      </c>
      <c r="D85" s="25" t="s">
        <v>73</v>
      </c>
      <c r="E85" s="30" t="str">
        <f t="array" ref="E85">IFERROR(XLOOKUP(F86,'2. Matching'!$A$2:$A$39,IF(F87="Channels",'2. Matching'!$B$2:$B$39,'2. Matching'!$C$2:$C$39)),"Not found")</f>
        <v>Partnerships</v>
      </c>
      <c r="F85" s="37" t="s">
        <v>74</v>
      </c>
      <c r="G85" s="21"/>
      <c r="H85" s="25"/>
    </row>
    <row r="86">
      <c r="A86" s="21"/>
      <c r="B86" s="21"/>
      <c r="C86" s="38"/>
      <c r="D86" s="39" t="s">
        <v>75</v>
      </c>
      <c r="E86" s="3"/>
      <c r="F86" s="40" t="s">
        <v>57</v>
      </c>
      <c r="G86" s="41" t="s">
        <v>76</v>
      </c>
      <c r="H86" s="21"/>
    </row>
    <row r="87">
      <c r="A87" s="21"/>
      <c r="B87" s="21"/>
      <c r="C87" s="38"/>
      <c r="D87" s="39" t="s">
        <v>77</v>
      </c>
      <c r="E87" s="3"/>
      <c r="F87" s="40" t="s">
        <v>78</v>
      </c>
      <c r="G87" s="41" t="s">
        <v>79</v>
      </c>
      <c r="H87" s="21"/>
    </row>
    <row r="88">
      <c r="A88" s="21"/>
      <c r="B88" s="21"/>
      <c r="C88" s="42"/>
      <c r="D88" s="43"/>
      <c r="E88" s="32"/>
      <c r="F88" s="21"/>
      <c r="G88" s="21"/>
      <c r="H88" s="21"/>
    </row>
    <row r="89">
      <c r="A89" s="21"/>
      <c r="B89" s="21"/>
      <c r="C89" s="22">
        <v>14.0</v>
      </c>
      <c r="D89" s="23" t="s">
        <v>80</v>
      </c>
      <c r="E89" s="44">
        <v>0.62</v>
      </c>
      <c r="F89" s="28"/>
      <c r="G89" s="21"/>
      <c r="H89" s="25"/>
    </row>
    <row r="90">
      <c r="A90" s="21"/>
      <c r="B90" s="21"/>
      <c r="C90" s="22">
        <v>15.0</v>
      </c>
      <c r="D90" s="23" t="s">
        <v>81</v>
      </c>
      <c r="E90" s="24">
        <v>49.0</v>
      </c>
      <c r="F90" s="28"/>
      <c r="G90" s="21"/>
      <c r="H90" s="25"/>
    </row>
    <row r="91">
      <c r="A91" s="21"/>
      <c r="B91" s="21"/>
      <c r="C91" s="26">
        <v>16.0</v>
      </c>
      <c r="D91" s="45" t="s">
        <v>82</v>
      </c>
      <c r="E91" s="27"/>
      <c r="F91" s="21"/>
      <c r="G91" s="21"/>
    </row>
    <row r="92">
      <c r="A92" s="21"/>
      <c r="B92" s="21"/>
      <c r="C92" s="46"/>
      <c r="D92" s="23" t="s">
        <v>83</v>
      </c>
      <c r="E92" s="24">
        <v>146.0</v>
      </c>
      <c r="F92" s="28"/>
      <c r="G92" s="21"/>
      <c r="H92" s="25"/>
    </row>
    <row r="93">
      <c r="A93" s="21"/>
      <c r="B93" s="21"/>
      <c r="C93" s="26">
        <v>17.0</v>
      </c>
      <c r="D93" s="45" t="s">
        <v>84</v>
      </c>
      <c r="E93" s="27"/>
      <c r="F93" s="21"/>
      <c r="G93" s="21"/>
    </row>
    <row r="94">
      <c r="A94" s="21"/>
      <c r="B94" s="21"/>
      <c r="C94" s="46"/>
      <c r="D94" s="23" t="s">
        <v>85</v>
      </c>
      <c r="E94" s="24">
        <v>288.08</v>
      </c>
      <c r="F94" s="21"/>
      <c r="G94" s="21"/>
      <c r="H94" s="25"/>
    </row>
    <row r="95">
      <c r="A95" s="21"/>
      <c r="B95" s="21"/>
      <c r="C95" s="36">
        <v>18.0</v>
      </c>
      <c r="D95" s="45" t="s">
        <v>86</v>
      </c>
      <c r="E95" s="27"/>
      <c r="F95" s="47"/>
      <c r="G95" s="21"/>
    </row>
    <row r="96">
      <c r="A96" s="21"/>
      <c r="B96" s="21"/>
      <c r="C96" s="46"/>
      <c r="D96" s="23" t="s">
        <v>87</v>
      </c>
      <c r="E96" s="24">
        <v>25.0</v>
      </c>
      <c r="F96" s="25"/>
      <c r="G96" s="21"/>
      <c r="H96" s="25"/>
    </row>
    <row r="97">
      <c r="A97" s="21"/>
      <c r="B97" s="21"/>
      <c r="C97" s="26">
        <v>19.0</v>
      </c>
      <c r="D97" s="45" t="s">
        <v>88</v>
      </c>
      <c r="E97" s="27"/>
      <c r="F97" s="21"/>
      <c r="G97" s="21"/>
    </row>
    <row r="98">
      <c r="A98" s="21"/>
      <c r="B98" s="21"/>
      <c r="C98" s="46"/>
      <c r="D98" s="23" t="s">
        <v>89</v>
      </c>
      <c r="E98" s="24" t="s">
        <v>90</v>
      </c>
      <c r="F98" s="28"/>
      <c r="G98" s="21"/>
      <c r="H98" s="25"/>
    </row>
    <row r="99">
      <c r="A99" s="48"/>
      <c r="B99" s="48"/>
      <c r="C99" s="49"/>
      <c r="D99" s="48"/>
      <c r="E99" s="50"/>
      <c r="F99" s="48"/>
      <c r="G99" s="21"/>
    </row>
    <row r="100">
      <c r="A100" s="48"/>
      <c r="B100" s="48"/>
      <c r="C100" s="51">
        <v>20.0</v>
      </c>
      <c r="D100" s="52" t="s">
        <v>91</v>
      </c>
      <c r="E100" s="50"/>
      <c r="F100" s="48"/>
      <c r="G100" s="21"/>
    </row>
    <row r="101">
      <c r="A101" s="48"/>
      <c r="B101" s="48"/>
      <c r="C101" s="46"/>
      <c r="D101" s="53" t="s">
        <v>92</v>
      </c>
      <c r="E101" s="24">
        <v>0.97</v>
      </c>
      <c r="F101" s="48"/>
      <c r="G101" s="21"/>
      <c r="H101" s="25"/>
    </row>
    <row r="102">
      <c r="C102" s="54">
        <v>21.0</v>
      </c>
      <c r="D102" s="55" t="s">
        <v>93</v>
      </c>
      <c r="E102" s="24">
        <v>0.91</v>
      </c>
      <c r="G102" s="21"/>
      <c r="H102" s="25"/>
    </row>
    <row r="103">
      <c r="C103" s="54">
        <v>22.0</v>
      </c>
      <c r="D103" s="55" t="s">
        <v>94</v>
      </c>
      <c r="E103" s="24">
        <v>0.83</v>
      </c>
      <c r="G103" s="21"/>
      <c r="H103" s="25"/>
    </row>
    <row r="104">
      <c r="C104" s="54">
        <v>23.0</v>
      </c>
      <c r="D104" s="53" t="s">
        <v>95</v>
      </c>
      <c r="E104" s="56">
        <v>15000.0</v>
      </c>
      <c r="G104" s="21"/>
      <c r="H104" s="25"/>
    </row>
    <row r="105">
      <c r="A105" s="48"/>
      <c r="B105" s="48"/>
      <c r="C105" s="57">
        <v>24.0</v>
      </c>
      <c r="D105" s="53" t="s">
        <v>96</v>
      </c>
      <c r="E105" s="56">
        <v>1000.0</v>
      </c>
      <c r="F105" s="48"/>
      <c r="G105" s="21"/>
      <c r="H105" s="25"/>
    </row>
    <row r="106">
      <c r="C106" s="58"/>
      <c r="E106" s="3"/>
    </row>
    <row r="107">
      <c r="C107" s="59"/>
      <c r="D107" s="1"/>
      <c r="E107" s="3"/>
    </row>
    <row r="108">
      <c r="C108" s="58"/>
      <c r="E108" s="3"/>
    </row>
    <row r="109">
      <c r="C109" s="58"/>
      <c r="E109" s="3"/>
    </row>
    <row r="110">
      <c r="C110" s="58"/>
      <c r="E110" s="3"/>
    </row>
    <row r="111">
      <c r="C111" s="58"/>
      <c r="E111" s="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A3FF4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9.5"/>
    <col customWidth="1" min="3" max="3" width="13.25"/>
    <col customWidth="1" min="4" max="4" width="6.88"/>
    <col customWidth="1" min="5" max="5" width="7.25"/>
    <col customWidth="1" min="6" max="6" width="23.75"/>
    <col customWidth="1" min="7" max="7" width="8.75"/>
    <col customWidth="1" min="8" max="8" width="8.0"/>
    <col customWidth="1" min="9" max="9" width="11.13"/>
    <col customWidth="1" min="10" max="10" width="10.38"/>
    <col customWidth="1" min="11" max="11" width="5.75"/>
  </cols>
  <sheetData>
    <row r="1">
      <c r="A1" s="60" t="s">
        <v>97</v>
      </c>
      <c r="B1" s="60" t="s">
        <v>98</v>
      </c>
      <c r="C1" s="60" t="s">
        <v>99</v>
      </c>
      <c r="D1" s="60" t="s">
        <v>100</v>
      </c>
      <c r="E1" s="60" t="s">
        <v>101</v>
      </c>
      <c r="F1" s="60" t="s">
        <v>102</v>
      </c>
      <c r="G1" s="60" t="s">
        <v>103</v>
      </c>
      <c r="H1" s="60" t="s">
        <v>75</v>
      </c>
      <c r="I1" s="61" t="s">
        <v>104</v>
      </c>
      <c r="J1" s="61" t="s">
        <v>105</v>
      </c>
      <c r="K1" s="61" t="s">
        <v>106</v>
      </c>
    </row>
    <row r="2">
      <c r="A2" s="62" t="s">
        <v>107</v>
      </c>
      <c r="B2" s="63">
        <v>44382.0</v>
      </c>
      <c r="C2" s="62" t="s">
        <v>108</v>
      </c>
      <c r="D2" s="64">
        <v>0.0</v>
      </c>
      <c r="E2" s="62" t="s">
        <v>109</v>
      </c>
      <c r="F2" s="62" t="s">
        <v>110</v>
      </c>
      <c r="G2" s="64" t="s">
        <v>61</v>
      </c>
      <c r="H2" s="3" t="s">
        <v>69</v>
      </c>
      <c r="I2" s="65">
        <f>IFERROR(VLOOKUP(A2,'3. Call duration'!$A:$C,3,0),"--")</f>
        <v>31.01455362</v>
      </c>
      <c r="J2" s="65" t="str">
        <f t="array" ref="J2">XLOOKUP(H2,'2. Matching'!$A$2:$A$39,'2. Matching'!$B$2:$B$39,"--")</f>
        <v>Acquisition</v>
      </c>
      <c r="K2" s="65" t="str">
        <f t="shared" ref="K2:K6617" si="1">IF(AND(H2="Crocodile",G2="Nice"),"Out","In")</f>
        <v>In</v>
      </c>
    </row>
    <row r="3">
      <c r="A3" s="62" t="s">
        <v>111</v>
      </c>
      <c r="B3" s="63">
        <v>44399.0</v>
      </c>
      <c r="C3" s="62" t="s">
        <v>112</v>
      </c>
      <c r="D3" s="64">
        <v>0.0</v>
      </c>
      <c r="E3" s="62" t="s">
        <v>109</v>
      </c>
      <c r="F3" s="62" t="s">
        <v>110</v>
      </c>
      <c r="G3" s="64" t="s">
        <v>60</v>
      </c>
      <c r="H3" s="3" t="s">
        <v>67</v>
      </c>
      <c r="I3" s="65" t="str">
        <f>IFERROR(VLOOKUP(A3,'3. Call duration'!$A:$C,3,0),"--")</f>
        <v>--</v>
      </c>
      <c r="J3" s="65" t="str">
        <f t="array" ref="J3">XLOOKUP(H3,'2. Matching'!$A$2:$A$39,'2. Matching'!$B$2:$B$39,"--")</f>
        <v>Acquisition</v>
      </c>
      <c r="K3" s="65" t="str">
        <f t="shared" si="1"/>
        <v>In</v>
      </c>
    </row>
    <row r="4">
      <c r="A4" s="62" t="s">
        <v>113</v>
      </c>
      <c r="B4" s="63">
        <v>44390.0</v>
      </c>
      <c r="C4" s="62" t="s">
        <v>112</v>
      </c>
      <c r="D4" s="64">
        <v>0.0</v>
      </c>
      <c r="E4" s="62" t="s">
        <v>114</v>
      </c>
      <c r="F4" s="62" t="s">
        <v>115</v>
      </c>
      <c r="G4" s="64" t="s">
        <v>64</v>
      </c>
      <c r="H4" s="3" t="s">
        <v>116</v>
      </c>
      <c r="I4" s="65" t="str">
        <f>IFERROR(VLOOKUP(A4,'3. Call duration'!$A:$C,3,0),"--")</f>
        <v>--</v>
      </c>
      <c r="J4" s="65" t="str">
        <f t="array" ref="J4">XLOOKUP(H4,'2. Matching'!$A$2:$A$39,'2. Matching'!$B$2:$B$39,"--")</f>
        <v>Acquisition</v>
      </c>
      <c r="K4" s="65" t="str">
        <f t="shared" si="1"/>
        <v>In</v>
      </c>
    </row>
    <row r="5">
      <c r="A5" s="62" t="s">
        <v>117</v>
      </c>
      <c r="B5" s="63">
        <v>44392.0</v>
      </c>
      <c r="C5" s="62" t="s">
        <v>112</v>
      </c>
      <c r="D5" s="64">
        <v>0.0</v>
      </c>
      <c r="E5" s="62" t="s">
        <v>109</v>
      </c>
      <c r="F5" s="62" t="s">
        <v>115</v>
      </c>
      <c r="G5" s="64" t="s">
        <v>112</v>
      </c>
      <c r="H5" s="3"/>
      <c r="I5" s="65" t="str">
        <f>IFERROR(VLOOKUP(A5,'3. Call duration'!$A:$C,3,0),"--")</f>
        <v>--</v>
      </c>
      <c r="J5" s="65" t="str">
        <f t="array" ref="J5">XLOOKUP(H5,'2. Matching'!$A$2:$A$39,'2. Matching'!$B$2:$B$39,"--")</f>
        <v>--</v>
      </c>
      <c r="K5" s="65" t="str">
        <f t="shared" si="1"/>
        <v>In</v>
      </c>
    </row>
    <row r="6">
      <c r="A6" s="62" t="s">
        <v>118</v>
      </c>
      <c r="B6" s="63">
        <v>44010.0</v>
      </c>
      <c r="C6" s="62" t="s">
        <v>119</v>
      </c>
      <c r="D6" s="64">
        <v>0.0</v>
      </c>
      <c r="E6" s="62" t="s">
        <v>109</v>
      </c>
      <c r="F6" s="62" t="s">
        <v>115</v>
      </c>
      <c r="G6" s="64" t="s">
        <v>112</v>
      </c>
      <c r="H6" s="3"/>
      <c r="I6" s="65">
        <f>IFERROR(VLOOKUP(A6,'3. Call duration'!$A:$C,3,0),"--")</f>
        <v>29.73738997</v>
      </c>
      <c r="J6" s="65" t="str">
        <f t="array" ref="J6">XLOOKUP(H6,'2. Matching'!$A$2:$A$39,'2. Matching'!$B$2:$B$39,"--")</f>
        <v>--</v>
      </c>
      <c r="K6" s="65" t="str">
        <f t="shared" si="1"/>
        <v>In</v>
      </c>
    </row>
    <row r="7">
      <c r="A7" s="62" t="s">
        <v>120</v>
      </c>
      <c r="B7" s="63">
        <v>44382.0</v>
      </c>
      <c r="C7" s="62" t="s">
        <v>108</v>
      </c>
      <c r="D7" s="64">
        <v>0.0</v>
      </c>
      <c r="E7" s="62" t="s">
        <v>114</v>
      </c>
      <c r="F7" s="62" t="s">
        <v>110</v>
      </c>
      <c r="G7" s="64" t="s">
        <v>60</v>
      </c>
      <c r="H7" s="3" t="s">
        <v>68</v>
      </c>
      <c r="I7" s="65">
        <f>IFERROR(VLOOKUP(A7,'3. Call duration'!$A:$C,3,0),"--")</f>
        <v>28.16622569</v>
      </c>
      <c r="J7" s="65" t="str">
        <f t="array" ref="J7">XLOOKUP(H7,'2. Matching'!$A$2:$A$39,'2. Matching'!$B$2:$B$39,"--")</f>
        <v>Acquisition</v>
      </c>
      <c r="K7" s="65" t="str">
        <f t="shared" si="1"/>
        <v>In</v>
      </c>
    </row>
    <row r="8">
      <c r="A8" s="62" t="s">
        <v>121</v>
      </c>
      <c r="B8" s="63">
        <v>44389.0</v>
      </c>
      <c r="C8" s="62" t="s">
        <v>108</v>
      </c>
      <c r="D8" s="64">
        <v>0.0</v>
      </c>
      <c r="E8" s="62" t="s">
        <v>109</v>
      </c>
      <c r="F8" s="62" t="s">
        <v>110</v>
      </c>
      <c r="G8" s="64" t="s">
        <v>60</v>
      </c>
      <c r="H8" s="3" t="s">
        <v>67</v>
      </c>
      <c r="I8" s="65">
        <f>IFERROR(VLOOKUP(A8,'3. Call duration'!$A:$C,3,0),"--")</f>
        <v>29.88933971</v>
      </c>
      <c r="J8" s="65" t="str">
        <f t="array" ref="J8">XLOOKUP(H8,'2. Matching'!$A$2:$A$39,'2. Matching'!$B$2:$B$39,"--")</f>
        <v>Acquisition</v>
      </c>
      <c r="K8" s="65" t="str">
        <f t="shared" si="1"/>
        <v>In</v>
      </c>
    </row>
    <row r="9">
      <c r="A9" s="62" t="s">
        <v>122</v>
      </c>
      <c r="B9" s="63">
        <v>44382.0</v>
      </c>
      <c r="C9" s="62" t="s">
        <v>108</v>
      </c>
      <c r="D9" s="64">
        <v>0.0</v>
      </c>
      <c r="E9" s="62" t="s">
        <v>109</v>
      </c>
      <c r="F9" s="62" t="s">
        <v>110</v>
      </c>
      <c r="G9" s="64" t="s">
        <v>61</v>
      </c>
      <c r="H9" s="3" t="s">
        <v>69</v>
      </c>
      <c r="I9" s="65">
        <f>IFERROR(VLOOKUP(A9,'3. Call duration'!$A:$C,3,0),"--")</f>
        <v>22.88026421</v>
      </c>
      <c r="J9" s="65" t="str">
        <f t="array" ref="J9">XLOOKUP(H9,'2. Matching'!$A$2:$A$39,'2. Matching'!$B$2:$B$39,"--")</f>
        <v>Acquisition</v>
      </c>
      <c r="K9" s="65" t="str">
        <f t="shared" si="1"/>
        <v>In</v>
      </c>
    </row>
    <row r="10">
      <c r="A10" s="62" t="s">
        <v>123</v>
      </c>
      <c r="B10" s="63">
        <v>44397.0</v>
      </c>
      <c r="C10" s="62" t="s">
        <v>108</v>
      </c>
      <c r="D10" s="64">
        <v>0.0</v>
      </c>
      <c r="E10" s="62" t="s">
        <v>109</v>
      </c>
      <c r="F10" s="62" t="s">
        <v>115</v>
      </c>
      <c r="G10" s="64" t="s">
        <v>63</v>
      </c>
      <c r="H10" s="3" t="s">
        <v>124</v>
      </c>
      <c r="I10" s="65">
        <f>IFERROR(VLOOKUP(A10,'3. Call duration'!$A:$C,3,0),"--")</f>
        <v>32.16888693</v>
      </c>
      <c r="J10" s="65" t="str">
        <f t="array" ref="J10">XLOOKUP(H10,'2. Matching'!$A$2:$A$39,'2. Matching'!$B$2:$B$39,"--")</f>
        <v>Acquisition</v>
      </c>
      <c r="K10" s="65" t="str">
        <f t="shared" si="1"/>
        <v>In</v>
      </c>
    </row>
    <row r="11">
      <c r="A11" s="62" t="s">
        <v>125</v>
      </c>
      <c r="B11" s="63">
        <v>44385.0</v>
      </c>
      <c r="C11" s="62" t="s">
        <v>108</v>
      </c>
      <c r="D11" s="64">
        <v>0.0</v>
      </c>
      <c r="E11" s="62" t="s">
        <v>114</v>
      </c>
      <c r="F11" s="62" t="s">
        <v>110</v>
      </c>
      <c r="G11" s="64" t="s">
        <v>60</v>
      </c>
      <c r="H11" s="3" t="s">
        <v>67</v>
      </c>
      <c r="I11" s="65">
        <f>IFERROR(VLOOKUP(A11,'3. Call duration'!$A:$C,3,0),"--")</f>
        <v>24.77179643</v>
      </c>
      <c r="J11" s="65" t="str">
        <f t="array" ref="J11">XLOOKUP(H11,'2. Matching'!$A$2:$A$39,'2. Matching'!$B$2:$B$39,"--")</f>
        <v>Acquisition</v>
      </c>
      <c r="K11" s="65" t="str">
        <f t="shared" si="1"/>
        <v>In</v>
      </c>
    </row>
    <row r="12">
      <c r="A12" s="62" t="s">
        <v>126</v>
      </c>
      <c r="B12" s="63">
        <v>44396.0</v>
      </c>
      <c r="C12" s="62" t="s">
        <v>108</v>
      </c>
      <c r="D12" s="64">
        <v>0.0</v>
      </c>
      <c r="E12" s="62" t="s">
        <v>109</v>
      </c>
      <c r="F12" s="62" t="s">
        <v>110</v>
      </c>
      <c r="G12" s="64" t="s">
        <v>61</v>
      </c>
      <c r="H12" s="3" t="s">
        <v>67</v>
      </c>
      <c r="I12" s="65">
        <f>IFERROR(VLOOKUP(A12,'3. Call duration'!$A:$C,3,0),"--")</f>
        <v>31.11883727</v>
      </c>
      <c r="J12" s="65" t="str">
        <f t="array" ref="J12">XLOOKUP(H12,'2. Matching'!$A$2:$A$39,'2. Matching'!$B$2:$B$39,"--")</f>
        <v>Acquisition</v>
      </c>
      <c r="K12" s="65" t="str">
        <f t="shared" si="1"/>
        <v>In</v>
      </c>
    </row>
    <row r="13">
      <c r="A13" s="62" t="s">
        <v>127</v>
      </c>
      <c r="B13" s="63">
        <v>44398.0</v>
      </c>
      <c r="C13" s="62" t="s">
        <v>112</v>
      </c>
      <c r="D13" s="64">
        <v>0.0</v>
      </c>
      <c r="E13" s="62" t="s">
        <v>109</v>
      </c>
      <c r="F13" s="62" t="s">
        <v>110</v>
      </c>
      <c r="G13" s="64" t="s">
        <v>63</v>
      </c>
      <c r="H13" s="3" t="s">
        <v>128</v>
      </c>
      <c r="I13" s="65" t="str">
        <f>IFERROR(VLOOKUP(A13,'3. Call duration'!$A:$C,3,0),"--")</f>
        <v>--</v>
      </c>
      <c r="J13" s="65" t="str">
        <f t="array" ref="J13">XLOOKUP(H13,'2. Matching'!$A$2:$A$39,'2. Matching'!$B$2:$B$39,"--")</f>
        <v>Acquisition</v>
      </c>
      <c r="K13" s="65" t="str">
        <f t="shared" si="1"/>
        <v>In</v>
      </c>
    </row>
    <row r="14">
      <c r="A14" s="62" t="s">
        <v>129</v>
      </c>
      <c r="B14" s="63">
        <v>44390.0</v>
      </c>
      <c r="C14" s="62" t="s">
        <v>108</v>
      </c>
      <c r="D14" s="64">
        <v>0.0</v>
      </c>
      <c r="E14" s="62" t="s">
        <v>114</v>
      </c>
      <c r="F14" s="62" t="s">
        <v>110</v>
      </c>
      <c r="G14" s="64" t="s">
        <v>59</v>
      </c>
      <c r="H14" s="3" t="s">
        <v>68</v>
      </c>
      <c r="I14" s="65">
        <f>IFERROR(VLOOKUP(A14,'3. Call duration'!$A:$C,3,0),"--")</f>
        <v>24.64192121</v>
      </c>
      <c r="J14" s="65" t="str">
        <f t="array" ref="J14">XLOOKUP(H14,'2. Matching'!$A$2:$A$39,'2. Matching'!$B$2:$B$39,"--")</f>
        <v>Acquisition</v>
      </c>
      <c r="K14" s="65" t="str">
        <f t="shared" si="1"/>
        <v>In</v>
      </c>
    </row>
    <row r="15">
      <c r="A15" s="62" t="s">
        <v>130</v>
      </c>
      <c r="B15" s="63">
        <v>44070.0</v>
      </c>
      <c r="C15" s="62" t="s">
        <v>119</v>
      </c>
      <c r="D15" s="64">
        <v>80.0</v>
      </c>
      <c r="E15" s="62" t="s">
        <v>114</v>
      </c>
      <c r="F15" s="62" t="s">
        <v>115</v>
      </c>
      <c r="G15" s="64" t="s">
        <v>64</v>
      </c>
      <c r="H15" s="3" t="s">
        <v>131</v>
      </c>
      <c r="I15" s="65">
        <f>IFERROR(VLOOKUP(A15,'3. Call duration'!$A:$C,3,0),"--")</f>
        <v>31.5534292</v>
      </c>
      <c r="J15" s="65" t="str">
        <f t="array" ref="J15">XLOOKUP(H15,'2. Matching'!$A$2:$A$39,'2. Matching'!$B$2:$B$39,"--")</f>
        <v>Acquisition</v>
      </c>
      <c r="K15" s="65" t="str">
        <f t="shared" si="1"/>
        <v>In</v>
      </c>
    </row>
    <row r="16">
      <c r="A16" s="62" t="s">
        <v>132</v>
      </c>
      <c r="B16" s="63">
        <v>44398.0</v>
      </c>
      <c r="C16" s="62" t="s">
        <v>108</v>
      </c>
      <c r="D16" s="64">
        <v>0.0</v>
      </c>
      <c r="E16" s="62" t="s">
        <v>109</v>
      </c>
      <c r="F16" s="62" t="s">
        <v>115</v>
      </c>
      <c r="G16" s="64" t="s">
        <v>112</v>
      </c>
      <c r="H16" s="3"/>
      <c r="I16" s="65">
        <f>IFERROR(VLOOKUP(A16,'3. Call duration'!$A:$C,3,0),"--")</f>
        <v>32.72945379</v>
      </c>
      <c r="J16" s="65" t="str">
        <f t="array" ref="J16">XLOOKUP(H16,'2. Matching'!$A$2:$A$39,'2. Matching'!$B$2:$B$39,"--")</f>
        <v>--</v>
      </c>
      <c r="K16" s="65" t="str">
        <f t="shared" si="1"/>
        <v>In</v>
      </c>
    </row>
    <row r="17">
      <c r="A17" s="62" t="s">
        <v>133</v>
      </c>
      <c r="B17" s="63">
        <v>44392.0</v>
      </c>
      <c r="C17" s="62" t="s">
        <v>108</v>
      </c>
      <c r="D17" s="64">
        <v>0.0</v>
      </c>
      <c r="E17" s="62" t="s">
        <v>109</v>
      </c>
      <c r="F17" s="62" t="s">
        <v>115</v>
      </c>
      <c r="G17" s="64" t="s">
        <v>61</v>
      </c>
      <c r="H17" s="3" t="s">
        <v>68</v>
      </c>
      <c r="I17" s="65">
        <f>IFERROR(VLOOKUP(A17,'3. Call duration'!$A:$C,3,0),"--")</f>
        <v>16.80050145</v>
      </c>
      <c r="J17" s="65" t="str">
        <f t="array" ref="J17">XLOOKUP(H17,'2. Matching'!$A$2:$A$39,'2. Matching'!$B$2:$B$39,"--")</f>
        <v>Acquisition</v>
      </c>
      <c r="K17" s="65" t="str">
        <f t="shared" si="1"/>
        <v>In</v>
      </c>
    </row>
    <row r="18">
      <c r="A18" s="62" t="s">
        <v>134</v>
      </c>
      <c r="B18" s="63">
        <v>44061.0</v>
      </c>
      <c r="C18" s="62" t="s">
        <v>119</v>
      </c>
      <c r="D18" s="64">
        <v>80.0</v>
      </c>
      <c r="E18" s="62" t="s">
        <v>114</v>
      </c>
      <c r="F18" s="62" t="s">
        <v>110</v>
      </c>
      <c r="G18" s="64" t="s">
        <v>64</v>
      </c>
      <c r="H18" s="3" t="s">
        <v>135</v>
      </c>
      <c r="I18" s="65">
        <f>IFERROR(VLOOKUP(A18,'3. Call duration'!$A:$C,3,0),"--")</f>
        <v>44.97214503</v>
      </c>
      <c r="J18" s="65" t="str">
        <f t="array" ref="J18">XLOOKUP(H18,'2. Matching'!$A$2:$A$39,'2. Matching'!$B$2:$B$39,"--")</f>
        <v>Acquisition</v>
      </c>
      <c r="K18" s="65" t="str">
        <f t="shared" si="1"/>
        <v>In</v>
      </c>
    </row>
    <row r="19">
      <c r="A19" s="62" t="s">
        <v>136</v>
      </c>
      <c r="B19" s="63">
        <v>44399.0</v>
      </c>
      <c r="C19" s="62" t="s">
        <v>112</v>
      </c>
      <c r="D19" s="64">
        <v>0.0</v>
      </c>
      <c r="E19" s="62" t="s">
        <v>114</v>
      </c>
      <c r="F19" s="62" t="s">
        <v>110</v>
      </c>
      <c r="G19" s="64" t="s">
        <v>60</v>
      </c>
      <c r="H19" s="3" t="s">
        <v>67</v>
      </c>
      <c r="I19" s="65" t="str">
        <f>IFERROR(VLOOKUP(A19,'3. Call duration'!$A:$C,3,0),"--")</f>
        <v>--</v>
      </c>
      <c r="J19" s="65" t="str">
        <f t="array" ref="J19">XLOOKUP(H19,'2. Matching'!$A$2:$A$39,'2. Matching'!$B$2:$B$39,"--")</f>
        <v>Acquisition</v>
      </c>
      <c r="K19" s="65" t="str">
        <f t="shared" si="1"/>
        <v>In</v>
      </c>
    </row>
    <row r="20">
      <c r="A20" s="62" t="s">
        <v>137</v>
      </c>
      <c r="B20" s="63">
        <v>44390.0</v>
      </c>
      <c r="C20" s="62" t="s">
        <v>108</v>
      </c>
      <c r="D20" s="64">
        <v>0.0</v>
      </c>
      <c r="E20" s="62" t="s">
        <v>109</v>
      </c>
      <c r="F20" s="62" t="s">
        <v>110</v>
      </c>
      <c r="G20" s="64" t="s">
        <v>60</v>
      </c>
      <c r="H20" s="3" t="s">
        <v>67</v>
      </c>
      <c r="I20" s="65">
        <f>IFERROR(VLOOKUP(A20,'3. Call duration'!$A:$C,3,0),"--")</f>
        <v>20.76521141</v>
      </c>
      <c r="J20" s="65" t="str">
        <f t="array" ref="J20">XLOOKUP(H20,'2. Matching'!$A$2:$A$39,'2. Matching'!$B$2:$B$39,"--")</f>
        <v>Acquisition</v>
      </c>
      <c r="K20" s="65" t="str">
        <f t="shared" si="1"/>
        <v>In</v>
      </c>
    </row>
    <row r="21">
      <c r="A21" s="62" t="s">
        <v>138</v>
      </c>
      <c r="B21" s="63">
        <v>44074.0</v>
      </c>
      <c r="C21" s="62" t="s">
        <v>119</v>
      </c>
      <c r="D21" s="64">
        <v>80.0</v>
      </c>
      <c r="E21" s="62" t="s">
        <v>114</v>
      </c>
      <c r="F21" s="62" t="s">
        <v>115</v>
      </c>
      <c r="G21" s="64" t="s">
        <v>64</v>
      </c>
      <c r="H21" s="3" t="s">
        <v>139</v>
      </c>
      <c r="I21" s="65">
        <f>IFERROR(VLOOKUP(A21,'3. Call duration'!$A:$C,3,0),"--")</f>
        <v>31.97828064</v>
      </c>
      <c r="J21" s="65" t="str">
        <f t="array" ref="J21">XLOOKUP(H21,'2. Matching'!$A$2:$A$39,'2. Matching'!$B$2:$B$39,"--")</f>
        <v>Acquisition</v>
      </c>
      <c r="K21" s="65" t="str">
        <f t="shared" si="1"/>
        <v>In</v>
      </c>
    </row>
    <row r="22">
      <c r="A22" s="62" t="s">
        <v>140</v>
      </c>
      <c r="B22" s="63">
        <v>44398.0</v>
      </c>
      <c r="C22" s="62" t="s">
        <v>108</v>
      </c>
      <c r="D22" s="64">
        <v>0.0</v>
      </c>
      <c r="E22" s="62" t="s">
        <v>114</v>
      </c>
      <c r="F22" s="62" t="s">
        <v>115</v>
      </c>
      <c r="G22" s="64" t="s">
        <v>64</v>
      </c>
      <c r="H22" s="3" t="s">
        <v>141</v>
      </c>
      <c r="I22" s="65">
        <f>IFERROR(VLOOKUP(A22,'3. Call duration'!$A:$C,3,0),"--")</f>
        <v>20.05223771</v>
      </c>
      <c r="J22" s="65" t="str">
        <f t="array" ref="J22">XLOOKUP(H22,'2. Matching'!$A$2:$A$39,'2. Matching'!$B$2:$B$39,"--")</f>
        <v>Acquisition</v>
      </c>
      <c r="K22" s="65" t="str">
        <f t="shared" si="1"/>
        <v>In</v>
      </c>
    </row>
    <row r="23">
      <c r="A23" s="62" t="s">
        <v>142</v>
      </c>
      <c r="B23" s="63">
        <v>44392.0</v>
      </c>
      <c r="C23" s="62" t="s">
        <v>108</v>
      </c>
      <c r="D23" s="64">
        <v>0.0</v>
      </c>
      <c r="E23" s="62" t="s">
        <v>114</v>
      </c>
      <c r="F23" s="62" t="s">
        <v>115</v>
      </c>
      <c r="G23" s="64" t="s">
        <v>63</v>
      </c>
      <c r="H23" s="3" t="s">
        <v>124</v>
      </c>
      <c r="I23" s="65">
        <f>IFERROR(VLOOKUP(A23,'3. Call duration'!$A:$C,3,0),"--")</f>
        <v>30.99213405</v>
      </c>
      <c r="J23" s="65" t="str">
        <f t="array" ref="J23">XLOOKUP(H23,'2. Matching'!$A$2:$A$39,'2. Matching'!$B$2:$B$39,"--")</f>
        <v>Acquisition</v>
      </c>
      <c r="K23" s="65" t="str">
        <f t="shared" si="1"/>
        <v>In</v>
      </c>
    </row>
    <row r="24">
      <c r="A24" s="62" t="s">
        <v>143</v>
      </c>
      <c r="B24" s="63">
        <v>44379.0</v>
      </c>
      <c r="C24" s="62" t="s">
        <v>108</v>
      </c>
      <c r="D24" s="64">
        <v>0.0</v>
      </c>
      <c r="E24" s="62" t="s">
        <v>109</v>
      </c>
      <c r="F24" s="62" t="s">
        <v>115</v>
      </c>
      <c r="G24" s="64" t="s">
        <v>61</v>
      </c>
      <c r="H24" s="3" t="s">
        <v>69</v>
      </c>
      <c r="I24" s="65">
        <f>IFERROR(VLOOKUP(A24,'3. Call duration'!$A:$C,3,0),"--")</f>
        <v>27.95874698</v>
      </c>
      <c r="J24" s="65" t="str">
        <f t="array" ref="J24">XLOOKUP(H24,'2. Matching'!$A$2:$A$39,'2. Matching'!$B$2:$B$39,"--")</f>
        <v>Acquisition</v>
      </c>
      <c r="K24" s="65" t="str">
        <f t="shared" si="1"/>
        <v>In</v>
      </c>
    </row>
    <row r="25">
      <c r="A25" s="62" t="s">
        <v>144</v>
      </c>
      <c r="B25" s="63">
        <v>44393.0</v>
      </c>
      <c r="C25" s="62" t="s">
        <v>108</v>
      </c>
      <c r="D25" s="64">
        <v>0.0</v>
      </c>
      <c r="E25" s="62" t="s">
        <v>109</v>
      </c>
      <c r="F25" s="62" t="s">
        <v>115</v>
      </c>
      <c r="G25" s="64" t="s">
        <v>64</v>
      </c>
      <c r="H25" s="3" t="s">
        <v>145</v>
      </c>
      <c r="I25" s="65">
        <f>IFERROR(VLOOKUP(A25,'3. Call duration'!$A:$C,3,0),"--")</f>
        <v>27.08692395</v>
      </c>
      <c r="J25" s="65" t="str">
        <f t="array" ref="J25">XLOOKUP(H25,'2. Matching'!$A$2:$A$39,'2. Matching'!$B$2:$B$39,"--")</f>
        <v>SEO</v>
      </c>
      <c r="K25" s="65" t="str">
        <f t="shared" si="1"/>
        <v>In</v>
      </c>
    </row>
    <row r="26">
      <c r="A26" s="62" t="s">
        <v>146</v>
      </c>
      <c r="B26" s="63">
        <v>44062.0</v>
      </c>
      <c r="C26" s="62" t="s">
        <v>119</v>
      </c>
      <c r="D26" s="64">
        <v>80.0</v>
      </c>
      <c r="E26" s="62" t="s">
        <v>114</v>
      </c>
      <c r="F26" s="62" t="s">
        <v>115</v>
      </c>
      <c r="G26" s="64" t="s">
        <v>64</v>
      </c>
      <c r="H26" s="3" t="s">
        <v>145</v>
      </c>
      <c r="I26" s="65">
        <f>IFERROR(VLOOKUP(A26,'3. Call duration'!$A:$C,3,0),"--")</f>
        <v>32.5097561</v>
      </c>
      <c r="J26" s="65" t="str">
        <f t="array" ref="J26">XLOOKUP(H26,'2. Matching'!$A$2:$A$39,'2. Matching'!$B$2:$B$39,"--")</f>
        <v>SEO</v>
      </c>
      <c r="K26" s="65" t="str">
        <f t="shared" si="1"/>
        <v>In</v>
      </c>
    </row>
    <row r="27">
      <c r="A27" s="62" t="s">
        <v>147</v>
      </c>
      <c r="B27" s="63">
        <v>44385.0</v>
      </c>
      <c r="C27" s="62" t="s">
        <v>108</v>
      </c>
      <c r="D27" s="64">
        <v>0.0</v>
      </c>
      <c r="E27" s="62" t="s">
        <v>114</v>
      </c>
      <c r="F27" s="62" t="s">
        <v>115</v>
      </c>
      <c r="G27" s="64" t="s">
        <v>112</v>
      </c>
      <c r="H27" s="3"/>
      <c r="I27" s="65">
        <f>IFERROR(VLOOKUP(A27,'3. Call duration'!$A:$C,3,0),"--")</f>
        <v>33.46338212</v>
      </c>
      <c r="J27" s="65" t="str">
        <f t="array" ref="J27">XLOOKUP(H27,'2. Matching'!$A$2:$A$39,'2. Matching'!$B$2:$B$39,"--")</f>
        <v>--</v>
      </c>
      <c r="K27" s="65" t="str">
        <f t="shared" si="1"/>
        <v>In</v>
      </c>
    </row>
    <row r="28">
      <c r="A28" s="62" t="s">
        <v>148</v>
      </c>
      <c r="B28" s="63">
        <v>44391.0</v>
      </c>
      <c r="C28" s="62" t="s">
        <v>108</v>
      </c>
      <c r="D28" s="64">
        <v>0.0</v>
      </c>
      <c r="E28" s="62" t="s">
        <v>109</v>
      </c>
      <c r="F28" s="62" t="s">
        <v>115</v>
      </c>
      <c r="G28" s="64" t="s">
        <v>61</v>
      </c>
      <c r="H28" s="3" t="s">
        <v>68</v>
      </c>
      <c r="I28" s="65">
        <f>IFERROR(VLOOKUP(A28,'3. Call duration'!$A:$C,3,0),"--")</f>
        <v>32.85615859</v>
      </c>
      <c r="J28" s="65" t="str">
        <f t="array" ref="J28">XLOOKUP(H28,'2. Matching'!$A$2:$A$39,'2. Matching'!$B$2:$B$39,"--")</f>
        <v>Acquisition</v>
      </c>
      <c r="K28" s="65" t="str">
        <f t="shared" si="1"/>
        <v>In</v>
      </c>
    </row>
    <row r="29">
      <c r="A29" s="62" t="s">
        <v>149</v>
      </c>
      <c r="B29" s="63">
        <v>43879.0</v>
      </c>
      <c r="C29" s="62" t="s">
        <v>119</v>
      </c>
      <c r="D29" s="64">
        <v>0.0</v>
      </c>
      <c r="E29" s="62" t="s">
        <v>109</v>
      </c>
      <c r="F29" s="62" t="s">
        <v>115</v>
      </c>
      <c r="G29" s="64" t="s">
        <v>64</v>
      </c>
      <c r="H29" s="3" t="s">
        <v>150</v>
      </c>
      <c r="I29" s="65">
        <f>IFERROR(VLOOKUP(A29,'3. Call duration'!$A:$C,3,0),"--")</f>
        <v>28.0622713</v>
      </c>
      <c r="J29" s="65" t="str">
        <f t="array" ref="J29">XLOOKUP(H29,'2. Matching'!$A$2:$A$39,'2. Matching'!$B$2:$B$39,"--")</f>
        <v>SEO</v>
      </c>
      <c r="K29" s="65" t="str">
        <f t="shared" si="1"/>
        <v>In</v>
      </c>
    </row>
    <row r="30">
      <c r="A30" s="62" t="s">
        <v>151</v>
      </c>
      <c r="B30" s="63">
        <v>44385.0</v>
      </c>
      <c r="C30" s="62" t="s">
        <v>108</v>
      </c>
      <c r="D30" s="64">
        <v>0.0</v>
      </c>
      <c r="E30" s="62" t="s">
        <v>114</v>
      </c>
      <c r="F30" s="62" t="s">
        <v>110</v>
      </c>
      <c r="G30" s="64" t="s">
        <v>61</v>
      </c>
      <c r="H30" s="3" t="s">
        <v>67</v>
      </c>
      <c r="I30" s="65">
        <f>IFERROR(VLOOKUP(A30,'3. Call duration'!$A:$C,3,0),"--")</f>
        <v>23.08836481</v>
      </c>
      <c r="J30" s="65" t="str">
        <f t="array" ref="J30">XLOOKUP(H30,'2. Matching'!$A$2:$A$39,'2. Matching'!$B$2:$B$39,"--")</f>
        <v>Acquisition</v>
      </c>
      <c r="K30" s="65" t="str">
        <f t="shared" si="1"/>
        <v>In</v>
      </c>
    </row>
    <row r="31">
      <c r="A31" s="62" t="s">
        <v>152</v>
      </c>
      <c r="B31" s="63">
        <v>44397.0</v>
      </c>
      <c r="C31" s="62" t="s">
        <v>112</v>
      </c>
      <c r="D31" s="64">
        <v>0.0</v>
      </c>
      <c r="E31" s="62" t="s">
        <v>109</v>
      </c>
      <c r="F31" s="62" t="s">
        <v>115</v>
      </c>
      <c r="G31" s="64" t="s">
        <v>64</v>
      </c>
      <c r="H31" s="3" t="s">
        <v>139</v>
      </c>
      <c r="I31" s="65" t="str">
        <f>IFERROR(VLOOKUP(A31,'3. Call duration'!$A:$C,3,0),"--")</f>
        <v>--</v>
      </c>
      <c r="J31" s="65" t="str">
        <f t="array" ref="J31">XLOOKUP(H31,'2. Matching'!$A$2:$A$39,'2. Matching'!$B$2:$B$39,"--")</f>
        <v>Acquisition</v>
      </c>
      <c r="K31" s="65" t="str">
        <f t="shared" si="1"/>
        <v>In</v>
      </c>
    </row>
    <row r="32">
      <c r="A32" s="62" t="s">
        <v>153</v>
      </c>
      <c r="B32" s="63">
        <v>44382.0</v>
      </c>
      <c r="C32" s="62" t="s">
        <v>108</v>
      </c>
      <c r="D32" s="64">
        <v>0.0</v>
      </c>
      <c r="E32" s="62" t="s">
        <v>109</v>
      </c>
      <c r="F32" s="62" t="s">
        <v>115</v>
      </c>
      <c r="G32" s="64" t="s">
        <v>59</v>
      </c>
      <c r="H32" s="3" t="s">
        <v>68</v>
      </c>
      <c r="I32" s="65">
        <f>IFERROR(VLOOKUP(A32,'3. Call duration'!$A:$C,3,0),"--")</f>
        <v>29.8620629</v>
      </c>
      <c r="J32" s="65" t="str">
        <f t="array" ref="J32">XLOOKUP(H32,'2. Matching'!$A$2:$A$39,'2. Matching'!$B$2:$B$39,"--")</f>
        <v>Acquisition</v>
      </c>
      <c r="K32" s="65" t="str">
        <f t="shared" si="1"/>
        <v>In</v>
      </c>
    </row>
    <row r="33">
      <c r="A33" s="62" t="s">
        <v>154</v>
      </c>
      <c r="B33" s="63">
        <v>44071.0</v>
      </c>
      <c r="C33" s="62" t="s">
        <v>119</v>
      </c>
      <c r="D33" s="64">
        <v>80.0</v>
      </c>
      <c r="E33" s="62" t="s">
        <v>114</v>
      </c>
      <c r="F33" s="62" t="s">
        <v>115</v>
      </c>
      <c r="G33" s="64" t="s">
        <v>64</v>
      </c>
      <c r="H33" s="3" t="s">
        <v>155</v>
      </c>
      <c r="I33" s="65">
        <f>IFERROR(VLOOKUP(A33,'3. Call duration'!$A:$C,3,0),"--")</f>
        <v>28.80767383</v>
      </c>
      <c r="J33" s="65" t="str">
        <f t="array" ref="J33">XLOOKUP(H33,'2. Matching'!$A$2:$A$39,'2. Matching'!$B$2:$B$39,"--")</f>
        <v>SEO</v>
      </c>
      <c r="K33" s="65" t="str">
        <f t="shared" si="1"/>
        <v>In</v>
      </c>
    </row>
    <row r="34">
      <c r="A34" s="62" t="s">
        <v>156</v>
      </c>
      <c r="B34" s="63">
        <v>44382.0</v>
      </c>
      <c r="C34" s="62" t="s">
        <v>108</v>
      </c>
      <c r="D34" s="64">
        <v>0.0</v>
      </c>
      <c r="E34" s="62" t="s">
        <v>109</v>
      </c>
      <c r="F34" s="62" t="s">
        <v>115</v>
      </c>
      <c r="G34" s="64" t="s">
        <v>60</v>
      </c>
      <c r="H34" s="3" t="s">
        <v>68</v>
      </c>
      <c r="I34" s="65">
        <f>IFERROR(VLOOKUP(A34,'3. Call duration'!$A:$C,3,0),"--")</f>
        <v>21.5445225</v>
      </c>
      <c r="J34" s="65" t="str">
        <f t="array" ref="J34">XLOOKUP(H34,'2. Matching'!$A$2:$A$39,'2. Matching'!$B$2:$B$39,"--")</f>
        <v>Acquisition</v>
      </c>
      <c r="K34" s="65" t="str">
        <f t="shared" si="1"/>
        <v>In</v>
      </c>
    </row>
    <row r="35">
      <c r="A35" s="62" t="s">
        <v>157</v>
      </c>
      <c r="B35" s="63">
        <v>44383.0</v>
      </c>
      <c r="C35" s="62" t="s">
        <v>108</v>
      </c>
      <c r="D35" s="64">
        <v>0.0</v>
      </c>
      <c r="E35" s="62" t="s">
        <v>109</v>
      </c>
      <c r="F35" s="62" t="s">
        <v>115</v>
      </c>
      <c r="G35" s="64" t="s">
        <v>60</v>
      </c>
      <c r="H35" s="3" t="s">
        <v>68</v>
      </c>
      <c r="I35" s="65">
        <f>IFERROR(VLOOKUP(A35,'3. Call duration'!$A:$C,3,0),"--")</f>
        <v>26.858622</v>
      </c>
      <c r="J35" s="65" t="str">
        <f t="array" ref="J35">XLOOKUP(H35,'2. Matching'!$A$2:$A$39,'2. Matching'!$B$2:$B$39,"--")</f>
        <v>Acquisition</v>
      </c>
      <c r="K35" s="65" t="str">
        <f t="shared" si="1"/>
        <v>In</v>
      </c>
    </row>
    <row r="36">
      <c r="A36" s="62" t="s">
        <v>158</v>
      </c>
      <c r="B36" s="63">
        <v>44382.0</v>
      </c>
      <c r="C36" s="62" t="s">
        <v>108</v>
      </c>
      <c r="D36" s="64">
        <v>0.0</v>
      </c>
      <c r="E36" s="62" t="s">
        <v>114</v>
      </c>
      <c r="F36" s="62" t="s">
        <v>110</v>
      </c>
      <c r="G36" s="64" t="s">
        <v>61</v>
      </c>
      <c r="H36" s="3" t="s">
        <v>67</v>
      </c>
      <c r="I36" s="65">
        <f>IFERROR(VLOOKUP(A36,'3. Call duration'!$A:$C,3,0),"--")</f>
        <v>33.56134167</v>
      </c>
      <c r="J36" s="65" t="str">
        <f t="array" ref="J36">XLOOKUP(H36,'2. Matching'!$A$2:$A$39,'2. Matching'!$B$2:$B$39,"--")</f>
        <v>Acquisition</v>
      </c>
      <c r="K36" s="65" t="str">
        <f t="shared" si="1"/>
        <v>In</v>
      </c>
    </row>
    <row r="37">
      <c r="A37" s="62" t="s">
        <v>159</v>
      </c>
      <c r="B37" s="63">
        <v>44400.0</v>
      </c>
      <c r="C37" s="62" t="s">
        <v>108</v>
      </c>
      <c r="D37" s="64">
        <v>0.0</v>
      </c>
      <c r="E37" s="62" t="s">
        <v>109</v>
      </c>
      <c r="F37" s="62" t="s">
        <v>115</v>
      </c>
      <c r="G37" s="64" t="s">
        <v>60</v>
      </c>
      <c r="H37" s="3" t="s">
        <v>68</v>
      </c>
      <c r="I37" s="65">
        <f>IFERROR(VLOOKUP(A37,'3. Call duration'!$A:$C,3,0),"--")</f>
        <v>27.31324316</v>
      </c>
      <c r="J37" s="65" t="str">
        <f t="array" ref="J37">XLOOKUP(H37,'2. Matching'!$A$2:$A$39,'2. Matching'!$B$2:$B$39,"--")</f>
        <v>Acquisition</v>
      </c>
      <c r="K37" s="65" t="str">
        <f t="shared" si="1"/>
        <v>In</v>
      </c>
    </row>
    <row r="38">
      <c r="A38" s="62" t="s">
        <v>160</v>
      </c>
      <c r="B38" s="63">
        <v>44389.0</v>
      </c>
      <c r="C38" s="62" t="s">
        <v>108</v>
      </c>
      <c r="D38" s="64">
        <v>0.0</v>
      </c>
      <c r="E38" s="62" t="s">
        <v>114</v>
      </c>
      <c r="F38" s="62" t="s">
        <v>115</v>
      </c>
      <c r="G38" s="64" t="s">
        <v>59</v>
      </c>
      <c r="H38" s="3" t="s">
        <v>68</v>
      </c>
      <c r="I38" s="65">
        <f>IFERROR(VLOOKUP(A38,'3. Call duration'!$A:$C,3,0),"--")</f>
        <v>20.33837188</v>
      </c>
      <c r="J38" s="65" t="str">
        <f t="array" ref="J38">XLOOKUP(H38,'2. Matching'!$A$2:$A$39,'2. Matching'!$B$2:$B$39,"--")</f>
        <v>Acquisition</v>
      </c>
      <c r="K38" s="65" t="str">
        <f t="shared" si="1"/>
        <v>In</v>
      </c>
    </row>
    <row r="39">
      <c r="A39" s="62" t="s">
        <v>161</v>
      </c>
      <c r="B39" s="63">
        <v>44071.0</v>
      </c>
      <c r="C39" s="62" t="s">
        <v>119</v>
      </c>
      <c r="D39" s="64">
        <v>80.0</v>
      </c>
      <c r="E39" s="62" t="s">
        <v>114</v>
      </c>
      <c r="F39" s="62" t="s">
        <v>115</v>
      </c>
      <c r="G39" s="64" t="s">
        <v>64</v>
      </c>
      <c r="H39" s="3" t="s">
        <v>139</v>
      </c>
      <c r="I39" s="65">
        <f>IFERROR(VLOOKUP(A39,'3. Call duration'!$A:$C,3,0),"--")</f>
        <v>39.10976462</v>
      </c>
      <c r="J39" s="65" t="str">
        <f t="array" ref="J39">XLOOKUP(H39,'2. Matching'!$A$2:$A$39,'2. Matching'!$B$2:$B$39,"--")</f>
        <v>Acquisition</v>
      </c>
      <c r="K39" s="65" t="str">
        <f t="shared" si="1"/>
        <v>In</v>
      </c>
    </row>
    <row r="40">
      <c r="A40" s="62" t="s">
        <v>162</v>
      </c>
      <c r="B40" s="63">
        <v>44399.0</v>
      </c>
      <c r="C40" s="62" t="s">
        <v>108</v>
      </c>
      <c r="D40" s="64">
        <v>0.0</v>
      </c>
      <c r="E40" s="62" t="s">
        <v>109</v>
      </c>
      <c r="F40" s="62" t="s">
        <v>110</v>
      </c>
      <c r="G40" s="64" t="s">
        <v>60</v>
      </c>
      <c r="H40" s="3" t="s">
        <v>68</v>
      </c>
      <c r="I40" s="65">
        <f>IFERROR(VLOOKUP(A40,'3. Call duration'!$A:$C,3,0),"--")</f>
        <v>31.68722956</v>
      </c>
      <c r="J40" s="65" t="str">
        <f t="array" ref="J40">XLOOKUP(H40,'2. Matching'!$A$2:$A$39,'2. Matching'!$B$2:$B$39,"--")</f>
        <v>Acquisition</v>
      </c>
      <c r="K40" s="65" t="str">
        <f t="shared" si="1"/>
        <v>In</v>
      </c>
    </row>
    <row r="41">
      <c r="A41" s="62" t="s">
        <v>163</v>
      </c>
      <c r="B41" s="63">
        <v>44068.0</v>
      </c>
      <c r="C41" s="62" t="s">
        <v>119</v>
      </c>
      <c r="D41" s="64">
        <v>80.0</v>
      </c>
      <c r="E41" s="62" t="s">
        <v>114</v>
      </c>
      <c r="F41" s="62" t="s">
        <v>115</v>
      </c>
      <c r="G41" s="64" t="s">
        <v>64</v>
      </c>
      <c r="H41" s="3" t="s">
        <v>164</v>
      </c>
      <c r="I41" s="65">
        <f>IFERROR(VLOOKUP(A41,'3. Call duration'!$A:$C,3,0),"--")</f>
        <v>15.95645915</v>
      </c>
      <c r="J41" s="65" t="str">
        <f t="array" ref="J41">XLOOKUP(H41,'2. Matching'!$A$2:$A$39,'2. Matching'!$B$2:$B$39,"--")</f>
        <v>SEO</v>
      </c>
      <c r="K41" s="65" t="str">
        <f t="shared" si="1"/>
        <v>In</v>
      </c>
    </row>
    <row r="42">
      <c r="A42" s="62" t="s">
        <v>165</v>
      </c>
      <c r="B42" s="63">
        <v>44393.0</v>
      </c>
      <c r="C42" s="62" t="s">
        <v>108</v>
      </c>
      <c r="D42" s="64">
        <v>0.0</v>
      </c>
      <c r="E42" s="62" t="s">
        <v>114</v>
      </c>
      <c r="F42" s="62" t="s">
        <v>110</v>
      </c>
      <c r="G42" s="64" t="s">
        <v>59</v>
      </c>
      <c r="H42" s="3" t="s">
        <v>68</v>
      </c>
      <c r="I42" s="65">
        <f>IFERROR(VLOOKUP(A42,'3. Call duration'!$A:$C,3,0),"--")</f>
        <v>23.03759011</v>
      </c>
      <c r="J42" s="65" t="str">
        <f t="array" ref="J42">XLOOKUP(H42,'2. Matching'!$A$2:$A$39,'2. Matching'!$B$2:$B$39,"--")</f>
        <v>Acquisition</v>
      </c>
      <c r="K42" s="65" t="str">
        <f t="shared" si="1"/>
        <v>In</v>
      </c>
    </row>
    <row r="43">
      <c r="A43" s="62" t="s">
        <v>166</v>
      </c>
      <c r="B43" s="63">
        <v>44064.0</v>
      </c>
      <c r="C43" s="62" t="s">
        <v>119</v>
      </c>
      <c r="D43" s="64">
        <v>80.0</v>
      </c>
      <c r="E43" s="62" t="s">
        <v>114</v>
      </c>
      <c r="F43" s="62" t="s">
        <v>115</v>
      </c>
      <c r="G43" s="64" t="s">
        <v>64</v>
      </c>
      <c r="H43" s="3" t="s">
        <v>135</v>
      </c>
      <c r="I43" s="65">
        <f>IFERROR(VLOOKUP(A43,'3. Call duration'!$A:$C,3,0),"--")</f>
        <v>23.05144543</v>
      </c>
      <c r="J43" s="65" t="str">
        <f t="array" ref="J43">XLOOKUP(H43,'2. Matching'!$A$2:$A$39,'2. Matching'!$B$2:$B$39,"--")</f>
        <v>Acquisition</v>
      </c>
      <c r="K43" s="65" t="str">
        <f t="shared" si="1"/>
        <v>In</v>
      </c>
    </row>
    <row r="44">
      <c r="A44" s="62" t="s">
        <v>167</v>
      </c>
      <c r="B44" s="63">
        <v>44400.0</v>
      </c>
      <c r="C44" s="62" t="s">
        <v>108</v>
      </c>
      <c r="D44" s="64">
        <v>0.0</v>
      </c>
      <c r="E44" s="62" t="s">
        <v>114</v>
      </c>
      <c r="F44" s="62" t="s">
        <v>110</v>
      </c>
      <c r="G44" s="64" t="s">
        <v>61</v>
      </c>
      <c r="H44" s="3" t="s">
        <v>68</v>
      </c>
      <c r="I44" s="65">
        <f>IFERROR(VLOOKUP(A44,'3. Call duration'!$A:$C,3,0),"--")</f>
        <v>38.71903309</v>
      </c>
      <c r="J44" s="65" t="str">
        <f t="array" ref="J44">XLOOKUP(H44,'2. Matching'!$A$2:$A$39,'2. Matching'!$B$2:$B$39,"--")</f>
        <v>Acquisition</v>
      </c>
      <c r="K44" s="65" t="str">
        <f t="shared" si="1"/>
        <v>In</v>
      </c>
    </row>
    <row r="45">
      <c r="A45" s="62" t="s">
        <v>168</v>
      </c>
      <c r="B45" s="63">
        <v>44383.0</v>
      </c>
      <c r="C45" s="62" t="s">
        <v>108</v>
      </c>
      <c r="D45" s="64">
        <v>0.0</v>
      </c>
      <c r="E45" s="62" t="s">
        <v>109</v>
      </c>
      <c r="F45" s="62" t="s">
        <v>115</v>
      </c>
      <c r="G45" s="64" t="s">
        <v>64</v>
      </c>
      <c r="H45" s="3" t="s">
        <v>169</v>
      </c>
      <c r="I45" s="65">
        <f>IFERROR(VLOOKUP(A45,'3. Call duration'!$A:$C,3,0),"--")</f>
        <v>32.93111497</v>
      </c>
      <c r="J45" s="65" t="str">
        <f t="array" ref="J45">XLOOKUP(H45,'2. Matching'!$A$2:$A$39,'2. Matching'!$B$2:$B$39,"--")</f>
        <v>SEO</v>
      </c>
      <c r="K45" s="65" t="str">
        <f t="shared" si="1"/>
        <v>In</v>
      </c>
    </row>
    <row r="46">
      <c r="A46" s="62" t="s">
        <v>170</v>
      </c>
      <c r="B46" s="63">
        <v>44377.0</v>
      </c>
      <c r="C46" s="62" t="s">
        <v>108</v>
      </c>
      <c r="D46" s="64">
        <v>0.0</v>
      </c>
      <c r="E46" s="62" t="s">
        <v>109</v>
      </c>
      <c r="F46" s="62" t="s">
        <v>115</v>
      </c>
      <c r="G46" s="64" t="s">
        <v>64</v>
      </c>
      <c r="H46" s="3" t="s">
        <v>171</v>
      </c>
      <c r="I46" s="65">
        <f>IFERROR(VLOOKUP(A46,'3. Call duration'!$A:$C,3,0),"--")</f>
        <v>31.38925847</v>
      </c>
      <c r="J46" s="65" t="str">
        <f t="array" ref="J46">XLOOKUP(H46,'2. Matching'!$A$2:$A$39,'2. Matching'!$B$2:$B$39,"--")</f>
        <v>SEO</v>
      </c>
      <c r="K46" s="65" t="str">
        <f t="shared" si="1"/>
        <v>In</v>
      </c>
    </row>
    <row r="47">
      <c r="A47" s="62" t="s">
        <v>172</v>
      </c>
      <c r="B47" s="63">
        <v>44386.0</v>
      </c>
      <c r="C47" s="62" t="s">
        <v>108</v>
      </c>
      <c r="D47" s="64">
        <v>0.0</v>
      </c>
      <c r="E47" s="62" t="s">
        <v>109</v>
      </c>
      <c r="F47" s="62" t="s">
        <v>110</v>
      </c>
      <c r="G47" s="64" t="s">
        <v>61</v>
      </c>
      <c r="H47" s="3" t="s">
        <v>67</v>
      </c>
      <c r="I47" s="65">
        <f>IFERROR(VLOOKUP(A47,'3. Call duration'!$A:$C,3,0),"--")</f>
        <v>24.61215963</v>
      </c>
      <c r="J47" s="65" t="str">
        <f t="array" ref="J47">XLOOKUP(H47,'2. Matching'!$A$2:$A$39,'2. Matching'!$B$2:$B$39,"--")</f>
        <v>Acquisition</v>
      </c>
      <c r="K47" s="65" t="str">
        <f t="shared" si="1"/>
        <v>In</v>
      </c>
    </row>
    <row r="48">
      <c r="A48" s="62" t="s">
        <v>173</v>
      </c>
      <c r="B48" s="63">
        <v>44050.0</v>
      </c>
      <c r="C48" s="62" t="s">
        <v>119</v>
      </c>
      <c r="D48" s="64">
        <v>80.0</v>
      </c>
      <c r="E48" s="62" t="s">
        <v>114</v>
      </c>
      <c r="F48" s="62" t="s">
        <v>115</v>
      </c>
      <c r="G48" s="64" t="s">
        <v>64</v>
      </c>
      <c r="H48" s="3" t="s">
        <v>164</v>
      </c>
      <c r="I48" s="65">
        <f>IFERROR(VLOOKUP(A48,'3. Call duration'!$A:$C,3,0),"--")</f>
        <v>31.25617465</v>
      </c>
      <c r="J48" s="65" t="str">
        <f t="array" ref="J48">XLOOKUP(H48,'2. Matching'!$A$2:$A$39,'2. Matching'!$B$2:$B$39,"--")</f>
        <v>SEO</v>
      </c>
      <c r="K48" s="65" t="str">
        <f t="shared" si="1"/>
        <v>In</v>
      </c>
    </row>
    <row r="49">
      <c r="A49" s="62" t="s">
        <v>174</v>
      </c>
      <c r="B49" s="63">
        <v>44380.0</v>
      </c>
      <c r="C49" s="62" t="s">
        <v>108</v>
      </c>
      <c r="D49" s="64">
        <v>0.0</v>
      </c>
      <c r="E49" s="62" t="s">
        <v>109</v>
      </c>
      <c r="F49" s="62" t="s">
        <v>115</v>
      </c>
      <c r="G49" s="64" t="s">
        <v>64</v>
      </c>
      <c r="H49" s="3" t="s">
        <v>175</v>
      </c>
      <c r="I49" s="65">
        <f>IFERROR(VLOOKUP(A49,'3. Call duration'!$A:$C,3,0),"--")</f>
        <v>15.39917848</v>
      </c>
      <c r="J49" s="65" t="str">
        <f t="array" ref="J49">XLOOKUP(H49,'2. Matching'!$A$2:$A$39,'2. Matching'!$B$2:$B$39,"--")</f>
        <v>SEO</v>
      </c>
      <c r="K49" s="65" t="str">
        <f t="shared" si="1"/>
        <v>In</v>
      </c>
    </row>
    <row r="50">
      <c r="A50" s="62" t="s">
        <v>176</v>
      </c>
      <c r="B50" s="63">
        <v>44383.0</v>
      </c>
      <c r="C50" s="62" t="s">
        <v>108</v>
      </c>
      <c r="D50" s="64">
        <v>0.0</v>
      </c>
      <c r="E50" s="62" t="s">
        <v>109</v>
      </c>
      <c r="F50" s="62" t="s">
        <v>115</v>
      </c>
      <c r="G50" s="64" t="s">
        <v>64</v>
      </c>
      <c r="H50" s="3" t="s">
        <v>139</v>
      </c>
      <c r="I50" s="65">
        <f>IFERROR(VLOOKUP(A50,'3. Call duration'!$A:$C,3,0),"--")</f>
        <v>42.37698521</v>
      </c>
      <c r="J50" s="65" t="str">
        <f t="array" ref="J50">XLOOKUP(H50,'2. Matching'!$A$2:$A$39,'2. Matching'!$B$2:$B$39,"--")</f>
        <v>Acquisition</v>
      </c>
      <c r="K50" s="65" t="str">
        <f t="shared" si="1"/>
        <v>In</v>
      </c>
    </row>
    <row r="51">
      <c r="A51" s="62" t="s">
        <v>177</v>
      </c>
      <c r="B51" s="63">
        <v>44393.0</v>
      </c>
      <c r="C51" s="62" t="s">
        <v>108</v>
      </c>
      <c r="D51" s="64">
        <v>0.0</v>
      </c>
      <c r="E51" s="62" t="s">
        <v>114</v>
      </c>
      <c r="F51" s="62" t="s">
        <v>110</v>
      </c>
      <c r="G51" s="64" t="s">
        <v>61</v>
      </c>
      <c r="H51" s="3" t="s">
        <v>67</v>
      </c>
      <c r="I51" s="65">
        <f>IFERROR(VLOOKUP(A51,'3. Call duration'!$A:$C,3,0),"--")</f>
        <v>21.37736195</v>
      </c>
      <c r="J51" s="65" t="str">
        <f t="array" ref="J51">XLOOKUP(H51,'2. Matching'!$A$2:$A$39,'2. Matching'!$B$2:$B$39,"--")</f>
        <v>Acquisition</v>
      </c>
      <c r="K51" s="65" t="str">
        <f t="shared" si="1"/>
        <v>In</v>
      </c>
    </row>
    <row r="52">
      <c r="A52" s="62" t="s">
        <v>178</v>
      </c>
      <c r="B52" s="63">
        <v>44383.0</v>
      </c>
      <c r="C52" s="62" t="s">
        <v>108</v>
      </c>
      <c r="D52" s="64">
        <v>0.0</v>
      </c>
      <c r="E52" s="62" t="s">
        <v>109</v>
      </c>
      <c r="F52" s="62" t="s">
        <v>110</v>
      </c>
      <c r="G52" s="64" t="s">
        <v>61</v>
      </c>
      <c r="H52" s="3" t="s">
        <v>67</v>
      </c>
      <c r="I52" s="65">
        <f>IFERROR(VLOOKUP(A52,'3. Call duration'!$A:$C,3,0),"--")</f>
        <v>15.22899133</v>
      </c>
      <c r="J52" s="65" t="str">
        <f t="array" ref="J52">XLOOKUP(H52,'2. Matching'!$A$2:$A$39,'2. Matching'!$B$2:$B$39,"--")</f>
        <v>Acquisition</v>
      </c>
      <c r="K52" s="65" t="str">
        <f t="shared" si="1"/>
        <v>In</v>
      </c>
    </row>
    <row r="53">
      <c r="A53" s="62" t="s">
        <v>179</v>
      </c>
      <c r="B53" s="63">
        <v>44384.0</v>
      </c>
      <c r="C53" s="62" t="s">
        <v>108</v>
      </c>
      <c r="D53" s="64">
        <v>0.0</v>
      </c>
      <c r="E53" s="62" t="s">
        <v>109</v>
      </c>
      <c r="F53" s="62" t="s">
        <v>110</v>
      </c>
      <c r="G53" s="64" t="s">
        <v>61</v>
      </c>
      <c r="H53" s="3" t="s">
        <v>67</v>
      </c>
      <c r="I53" s="65">
        <f>IFERROR(VLOOKUP(A53,'3. Call duration'!$A:$C,3,0),"--")</f>
        <v>31.82278751</v>
      </c>
      <c r="J53" s="65" t="str">
        <f t="array" ref="J53">XLOOKUP(H53,'2. Matching'!$A$2:$A$39,'2. Matching'!$B$2:$B$39,"--")</f>
        <v>Acquisition</v>
      </c>
      <c r="K53" s="65" t="str">
        <f t="shared" si="1"/>
        <v>In</v>
      </c>
    </row>
    <row r="54">
      <c r="A54" s="62" t="s">
        <v>180</v>
      </c>
      <c r="B54" s="63">
        <v>44383.0</v>
      </c>
      <c r="C54" s="62" t="s">
        <v>108</v>
      </c>
      <c r="D54" s="64">
        <v>0.0</v>
      </c>
      <c r="E54" s="62" t="s">
        <v>109</v>
      </c>
      <c r="F54" s="62" t="s">
        <v>110</v>
      </c>
      <c r="G54" s="64" t="s">
        <v>60</v>
      </c>
      <c r="H54" s="3" t="s">
        <v>67</v>
      </c>
      <c r="I54" s="65">
        <f>IFERROR(VLOOKUP(A54,'3. Call duration'!$A:$C,3,0),"--")</f>
        <v>10.1582317</v>
      </c>
      <c r="J54" s="65" t="str">
        <f t="array" ref="J54">XLOOKUP(H54,'2. Matching'!$A$2:$A$39,'2. Matching'!$B$2:$B$39,"--")</f>
        <v>Acquisition</v>
      </c>
      <c r="K54" s="65" t="str">
        <f t="shared" si="1"/>
        <v>In</v>
      </c>
    </row>
    <row r="55">
      <c r="A55" s="62" t="s">
        <v>181</v>
      </c>
      <c r="B55" s="63">
        <v>44071.0</v>
      </c>
      <c r="C55" s="62" t="s">
        <v>119</v>
      </c>
      <c r="D55" s="64">
        <v>80.0</v>
      </c>
      <c r="E55" s="62" t="s">
        <v>114</v>
      </c>
      <c r="F55" s="62" t="s">
        <v>115</v>
      </c>
      <c r="G55" s="64" t="s">
        <v>64</v>
      </c>
      <c r="H55" s="3" t="s">
        <v>139</v>
      </c>
      <c r="I55" s="65">
        <f>IFERROR(VLOOKUP(A55,'3. Call duration'!$A:$C,3,0),"--")</f>
        <v>25.96594454</v>
      </c>
      <c r="J55" s="65" t="str">
        <f t="array" ref="J55">XLOOKUP(H55,'2. Matching'!$A$2:$A$39,'2. Matching'!$B$2:$B$39,"--")</f>
        <v>Acquisition</v>
      </c>
      <c r="K55" s="65" t="str">
        <f t="shared" si="1"/>
        <v>In</v>
      </c>
    </row>
    <row r="56">
      <c r="A56" s="62" t="s">
        <v>182</v>
      </c>
      <c r="B56" s="63">
        <v>44380.0</v>
      </c>
      <c r="C56" s="62" t="s">
        <v>108</v>
      </c>
      <c r="D56" s="64">
        <v>0.0</v>
      </c>
      <c r="E56" s="62" t="s">
        <v>109</v>
      </c>
      <c r="F56" s="62" t="s">
        <v>115</v>
      </c>
      <c r="G56" s="64" t="s">
        <v>63</v>
      </c>
      <c r="H56" s="3" t="s">
        <v>183</v>
      </c>
      <c r="I56" s="65">
        <f>IFERROR(VLOOKUP(A56,'3. Call duration'!$A:$C,3,0),"--")</f>
        <v>25.07081375</v>
      </c>
      <c r="J56" s="65" t="str">
        <f t="array" ref="J56">XLOOKUP(H56,'2. Matching'!$A$2:$A$39,'2. Matching'!$B$2:$B$39,"--")</f>
        <v>SEO</v>
      </c>
      <c r="K56" s="65" t="str">
        <f t="shared" si="1"/>
        <v>In</v>
      </c>
    </row>
    <row r="57">
      <c r="A57" s="62" t="s">
        <v>184</v>
      </c>
      <c r="B57" s="63">
        <v>44378.0</v>
      </c>
      <c r="C57" s="62" t="s">
        <v>112</v>
      </c>
      <c r="D57" s="64">
        <v>0.0</v>
      </c>
      <c r="E57" s="62" t="s">
        <v>109</v>
      </c>
      <c r="F57" s="62" t="s">
        <v>115</v>
      </c>
      <c r="G57" s="64" t="s">
        <v>64</v>
      </c>
      <c r="H57" s="3" t="s">
        <v>185</v>
      </c>
      <c r="I57" s="65" t="str">
        <f>IFERROR(VLOOKUP(A57,'3. Call duration'!$A:$C,3,0),"--")</f>
        <v>--</v>
      </c>
      <c r="J57" s="65" t="str">
        <f t="array" ref="J57">XLOOKUP(H57,'2. Matching'!$A$2:$A$39,'2. Matching'!$B$2:$B$39,"--")</f>
        <v>SEO</v>
      </c>
      <c r="K57" s="65" t="str">
        <f t="shared" si="1"/>
        <v>In</v>
      </c>
    </row>
    <row r="58">
      <c r="A58" s="62" t="s">
        <v>186</v>
      </c>
      <c r="B58" s="63">
        <v>44399.0</v>
      </c>
      <c r="C58" s="62" t="s">
        <v>108</v>
      </c>
      <c r="D58" s="64">
        <v>0.0</v>
      </c>
      <c r="E58" s="62" t="s">
        <v>109</v>
      </c>
      <c r="F58" s="62" t="s">
        <v>115</v>
      </c>
      <c r="G58" s="64" t="s">
        <v>64</v>
      </c>
      <c r="H58" s="3" t="s">
        <v>139</v>
      </c>
      <c r="I58" s="65">
        <f>IFERROR(VLOOKUP(A58,'3. Call duration'!$A:$C,3,0),"--")</f>
        <v>24.68986784</v>
      </c>
      <c r="J58" s="65" t="str">
        <f t="array" ref="J58">XLOOKUP(H58,'2. Matching'!$A$2:$A$39,'2. Matching'!$B$2:$B$39,"--")</f>
        <v>Acquisition</v>
      </c>
      <c r="K58" s="65" t="str">
        <f t="shared" si="1"/>
        <v>In</v>
      </c>
    </row>
    <row r="59">
      <c r="A59" s="62" t="s">
        <v>187</v>
      </c>
      <c r="B59" s="63">
        <v>44390.0</v>
      </c>
      <c r="C59" s="62" t="s">
        <v>108</v>
      </c>
      <c r="D59" s="64">
        <v>0.0</v>
      </c>
      <c r="E59" s="62" t="s">
        <v>114</v>
      </c>
      <c r="F59" s="62" t="s">
        <v>110</v>
      </c>
      <c r="G59" s="64" t="s">
        <v>60</v>
      </c>
      <c r="H59" s="3" t="s">
        <v>67</v>
      </c>
      <c r="I59" s="65">
        <f>IFERROR(VLOOKUP(A59,'3. Call duration'!$A:$C,3,0),"--")</f>
        <v>26.31369117</v>
      </c>
      <c r="J59" s="65" t="str">
        <f t="array" ref="J59">XLOOKUP(H59,'2. Matching'!$A$2:$A$39,'2. Matching'!$B$2:$B$39,"--")</f>
        <v>Acquisition</v>
      </c>
      <c r="K59" s="65" t="str">
        <f t="shared" si="1"/>
        <v>In</v>
      </c>
    </row>
    <row r="60">
      <c r="A60" s="62" t="s">
        <v>188</v>
      </c>
      <c r="B60" s="63">
        <v>44389.0</v>
      </c>
      <c r="C60" s="62" t="s">
        <v>108</v>
      </c>
      <c r="D60" s="64">
        <v>0.0</v>
      </c>
      <c r="E60" s="62" t="s">
        <v>109</v>
      </c>
      <c r="F60" s="62" t="s">
        <v>115</v>
      </c>
      <c r="G60" s="64" t="s">
        <v>63</v>
      </c>
      <c r="H60" s="3" t="s">
        <v>189</v>
      </c>
      <c r="I60" s="65">
        <f>IFERROR(VLOOKUP(A60,'3. Call duration'!$A:$C,3,0),"--")</f>
        <v>12.1935917</v>
      </c>
      <c r="J60" s="65" t="str">
        <f t="array" ref="J60">XLOOKUP(H60,'2. Matching'!$A$2:$A$39,'2. Matching'!$B$2:$B$39,"--")</f>
        <v>SEO</v>
      </c>
      <c r="K60" s="65" t="str">
        <f t="shared" si="1"/>
        <v>Out</v>
      </c>
    </row>
    <row r="61">
      <c r="A61" s="62" t="s">
        <v>190</v>
      </c>
      <c r="B61" s="63">
        <v>44378.0</v>
      </c>
      <c r="C61" s="62" t="s">
        <v>112</v>
      </c>
      <c r="D61" s="64">
        <v>0.0</v>
      </c>
      <c r="E61" s="62" t="s">
        <v>114</v>
      </c>
      <c r="F61" s="62" t="s">
        <v>115</v>
      </c>
      <c r="G61" s="64" t="s">
        <v>64</v>
      </c>
      <c r="H61" s="3" t="s">
        <v>139</v>
      </c>
      <c r="I61" s="65" t="str">
        <f>IFERROR(VLOOKUP(A61,'3. Call duration'!$A:$C,3,0),"--")</f>
        <v>--</v>
      </c>
      <c r="J61" s="65" t="str">
        <f t="array" ref="J61">XLOOKUP(H61,'2. Matching'!$A$2:$A$39,'2. Matching'!$B$2:$B$39,"--")</f>
        <v>Acquisition</v>
      </c>
      <c r="K61" s="65" t="str">
        <f t="shared" si="1"/>
        <v>In</v>
      </c>
    </row>
    <row r="62">
      <c r="A62" s="62" t="s">
        <v>191</v>
      </c>
      <c r="B62" s="63">
        <v>44389.0</v>
      </c>
      <c r="C62" s="62" t="s">
        <v>108</v>
      </c>
      <c r="D62" s="64">
        <v>0.0</v>
      </c>
      <c r="E62" s="62" t="s">
        <v>109</v>
      </c>
      <c r="F62" s="62" t="s">
        <v>115</v>
      </c>
      <c r="G62" s="64" t="s">
        <v>64</v>
      </c>
      <c r="H62" s="3" t="s">
        <v>192</v>
      </c>
      <c r="I62" s="65">
        <f>IFERROR(VLOOKUP(A62,'3. Call duration'!$A:$C,3,0),"--")</f>
        <v>25.72516801</v>
      </c>
      <c r="J62" s="65" t="str">
        <f t="array" ref="J62">XLOOKUP(H62,'2. Matching'!$A$2:$A$39,'2. Matching'!$B$2:$B$39,"--")</f>
        <v>Farming</v>
      </c>
      <c r="K62" s="65" t="str">
        <f t="shared" si="1"/>
        <v>In</v>
      </c>
    </row>
    <row r="63">
      <c r="A63" s="62" t="s">
        <v>193</v>
      </c>
      <c r="B63" s="63">
        <v>44390.0</v>
      </c>
      <c r="C63" s="62" t="s">
        <v>112</v>
      </c>
      <c r="D63" s="64">
        <v>0.0</v>
      </c>
      <c r="E63" s="62" t="s">
        <v>114</v>
      </c>
      <c r="F63" s="62" t="s">
        <v>115</v>
      </c>
      <c r="G63" s="64" t="s">
        <v>61</v>
      </c>
      <c r="H63" s="3" t="s">
        <v>68</v>
      </c>
      <c r="I63" s="65" t="str">
        <f>IFERROR(VLOOKUP(A63,'3. Call duration'!$A:$C,3,0),"--")</f>
        <v>--</v>
      </c>
      <c r="J63" s="65" t="str">
        <f t="array" ref="J63">XLOOKUP(H63,'2. Matching'!$A$2:$A$39,'2. Matching'!$B$2:$B$39,"--")</f>
        <v>Acquisition</v>
      </c>
      <c r="K63" s="65" t="str">
        <f t="shared" si="1"/>
        <v>In</v>
      </c>
    </row>
    <row r="64">
      <c r="A64" s="62" t="s">
        <v>194</v>
      </c>
      <c r="B64" s="63">
        <v>44387.0</v>
      </c>
      <c r="C64" s="62" t="s">
        <v>108</v>
      </c>
      <c r="D64" s="64">
        <v>0.0</v>
      </c>
      <c r="E64" s="62" t="s">
        <v>114</v>
      </c>
      <c r="F64" s="62" t="s">
        <v>115</v>
      </c>
      <c r="G64" s="64" t="s">
        <v>64</v>
      </c>
      <c r="H64" s="3" t="s">
        <v>139</v>
      </c>
      <c r="I64" s="65">
        <f>IFERROR(VLOOKUP(A64,'3. Call duration'!$A:$C,3,0),"--")</f>
        <v>28.93968339</v>
      </c>
      <c r="J64" s="65" t="str">
        <f t="array" ref="J64">XLOOKUP(H64,'2. Matching'!$A$2:$A$39,'2. Matching'!$B$2:$B$39,"--")</f>
        <v>Acquisition</v>
      </c>
      <c r="K64" s="65" t="str">
        <f t="shared" si="1"/>
        <v>In</v>
      </c>
    </row>
    <row r="65">
      <c r="A65" s="62" t="s">
        <v>195</v>
      </c>
      <c r="B65" s="63">
        <v>44390.0</v>
      </c>
      <c r="C65" s="62" t="s">
        <v>108</v>
      </c>
      <c r="D65" s="64">
        <v>0.0</v>
      </c>
      <c r="E65" s="62" t="s">
        <v>109</v>
      </c>
      <c r="F65" s="62" t="s">
        <v>115</v>
      </c>
      <c r="G65" s="64" t="s">
        <v>60</v>
      </c>
      <c r="H65" s="3" t="s">
        <v>68</v>
      </c>
      <c r="I65" s="65" t="str">
        <f>IFERROR(VLOOKUP(A65,'3. Call duration'!$A:$C,3,0),"--")</f>
        <v>--</v>
      </c>
      <c r="J65" s="65" t="str">
        <f t="array" ref="J65">XLOOKUP(H65,'2. Matching'!$A$2:$A$39,'2. Matching'!$B$2:$B$39,"--")</f>
        <v>Acquisition</v>
      </c>
      <c r="K65" s="65" t="str">
        <f t="shared" si="1"/>
        <v>In</v>
      </c>
    </row>
    <row r="66">
      <c r="A66" s="62" t="s">
        <v>196</v>
      </c>
      <c r="B66" s="63">
        <v>44396.0</v>
      </c>
      <c r="C66" s="62" t="s">
        <v>108</v>
      </c>
      <c r="D66" s="64">
        <v>0.0</v>
      </c>
      <c r="E66" s="62" t="s">
        <v>109</v>
      </c>
      <c r="F66" s="62" t="s">
        <v>110</v>
      </c>
      <c r="G66" s="64" t="s">
        <v>61</v>
      </c>
      <c r="H66" s="3" t="s">
        <v>67</v>
      </c>
      <c r="I66" s="65">
        <f>IFERROR(VLOOKUP(A66,'3. Call duration'!$A:$C,3,0),"--")</f>
        <v>24.28730918</v>
      </c>
      <c r="J66" s="65" t="str">
        <f t="array" ref="J66">XLOOKUP(H66,'2. Matching'!$A$2:$A$39,'2. Matching'!$B$2:$B$39,"--")</f>
        <v>Acquisition</v>
      </c>
      <c r="K66" s="65" t="str">
        <f t="shared" si="1"/>
        <v>In</v>
      </c>
    </row>
    <row r="67">
      <c r="A67" s="62" t="s">
        <v>197</v>
      </c>
      <c r="B67" s="63">
        <v>44390.0</v>
      </c>
      <c r="C67" s="62" t="s">
        <v>108</v>
      </c>
      <c r="D67" s="64">
        <v>0.0</v>
      </c>
      <c r="E67" s="62" t="s">
        <v>109</v>
      </c>
      <c r="F67" s="62" t="s">
        <v>110</v>
      </c>
      <c r="G67" s="64" t="s">
        <v>61</v>
      </c>
      <c r="H67" s="3" t="s">
        <v>67</v>
      </c>
      <c r="I67" s="65">
        <f>IFERROR(VLOOKUP(A67,'3. Call duration'!$A:$C,3,0),"--")</f>
        <v>25.66878674</v>
      </c>
      <c r="J67" s="65" t="str">
        <f t="array" ref="J67">XLOOKUP(H67,'2. Matching'!$A$2:$A$39,'2. Matching'!$B$2:$B$39,"--")</f>
        <v>Acquisition</v>
      </c>
      <c r="K67" s="65" t="str">
        <f t="shared" si="1"/>
        <v>In</v>
      </c>
    </row>
    <row r="68">
      <c r="A68" s="62" t="s">
        <v>198</v>
      </c>
      <c r="B68" s="63">
        <v>44389.0</v>
      </c>
      <c r="C68" s="62" t="s">
        <v>108</v>
      </c>
      <c r="D68" s="64">
        <v>0.0</v>
      </c>
      <c r="E68" s="62" t="s">
        <v>109</v>
      </c>
      <c r="F68" s="62" t="s">
        <v>110</v>
      </c>
      <c r="G68" s="64" t="s">
        <v>61</v>
      </c>
      <c r="H68" s="3" t="s">
        <v>67</v>
      </c>
      <c r="I68" s="65">
        <f>IFERROR(VLOOKUP(A68,'3. Call duration'!$A:$C,3,0),"--")</f>
        <v>15.302415</v>
      </c>
      <c r="J68" s="65" t="str">
        <f t="array" ref="J68">XLOOKUP(H68,'2. Matching'!$A$2:$A$39,'2. Matching'!$B$2:$B$39,"--")</f>
        <v>Acquisition</v>
      </c>
      <c r="K68" s="65" t="str">
        <f t="shared" si="1"/>
        <v>In</v>
      </c>
    </row>
    <row r="69">
      <c r="A69" s="62" t="s">
        <v>199</v>
      </c>
      <c r="B69" s="63">
        <v>44063.0</v>
      </c>
      <c r="C69" s="62" t="s">
        <v>119</v>
      </c>
      <c r="D69" s="64">
        <v>80.0</v>
      </c>
      <c r="E69" s="62" t="s">
        <v>114</v>
      </c>
      <c r="F69" s="62" t="s">
        <v>115</v>
      </c>
      <c r="G69" s="64" t="s">
        <v>64</v>
      </c>
      <c r="H69" s="3" t="s">
        <v>164</v>
      </c>
      <c r="I69" s="65">
        <f>IFERROR(VLOOKUP(A69,'3. Call duration'!$A:$C,3,0),"--")</f>
        <v>20.31957747</v>
      </c>
      <c r="J69" s="65" t="str">
        <f t="array" ref="J69">XLOOKUP(H69,'2. Matching'!$A$2:$A$39,'2. Matching'!$B$2:$B$39,"--")</f>
        <v>SEO</v>
      </c>
      <c r="K69" s="65" t="str">
        <f t="shared" si="1"/>
        <v>In</v>
      </c>
    </row>
    <row r="70">
      <c r="A70" s="62" t="s">
        <v>200</v>
      </c>
      <c r="B70" s="63">
        <v>44074.0</v>
      </c>
      <c r="C70" s="62" t="s">
        <v>119</v>
      </c>
      <c r="D70" s="64">
        <v>80.0</v>
      </c>
      <c r="E70" s="62" t="s">
        <v>114</v>
      </c>
      <c r="F70" s="62" t="s">
        <v>110</v>
      </c>
      <c r="G70" s="64" t="s">
        <v>64</v>
      </c>
      <c r="H70" s="3" t="s">
        <v>139</v>
      </c>
      <c r="I70" s="65">
        <f>IFERROR(VLOOKUP(A70,'3. Call duration'!$A:$C,3,0),"--")</f>
        <v>26.06788798</v>
      </c>
      <c r="J70" s="65" t="str">
        <f t="array" ref="J70">XLOOKUP(H70,'2. Matching'!$A$2:$A$39,'2. Matching'!$B$2:$B$39,"--")</f>
        <v>Acquisition</v>
      </c>
      <c r="K70" s="65" t="str">
        <f t="shared" si="1"/>
        <v>In</v>
      </c>
    </row>
    <row r="71">
      <c r="A71" s="62" t="s">
        <v>201</v>
      </c>
      <c r="B71" s="63">
        <v>44397.0</v>
      </c>
      <c r="C71" s="62" t="s">
        <v>112</v>
      </c>
      <c r="D71" s="64">
        <v>0.0</v>
      </c>
      <c r="E71" s="62" t="s">
        <v>109</v>
      </c>
      <c r="F71" s="62" t="s">
        <v>115</v>
      </c>
      <c r="G71" s="64" t="s">
        <v>112</v>
      </c>
      <c r="H71" s="3"/>
      <c r="I71" s="65" t="str">
        <f>IFERROR(VLOOKUP(A71,'3. Call duration'!$A:$C,3,0),"--")</f>
        <v>--</v>
      </c>
      <c r="J71" s="65" t="str">
        <f t="array" ref="J71">XLOOKUP(H71,'2. Matching'!$A$2:$A$39,'2. Matching'!$B$2:$B$39,"--")</f>
        <v>--</v>
      </c>
      <c r="K71" s="65" t="str">
        <f t="shared" si="1"/>
        <v>In</v>
      </c>
    </row>
    <row r="72">
      <c r="A72" s="62" t="s">
        <v>202</v>
      </c>
      <c r="B72" s="63">
        <v>44398.0</v>
      </c>
      <c r="C72" s="62" t="s">
        <v>108</v>
      </c>
      <c r="D72" s="64">
        <v>0.0</v>
      </c>
      <c r="E72" s="62" t="s">
        <v>109</v>
      </c>
      <c r="F72" s="62" t="s">
        <v>115</v>
      </c>
      <c r="G72" s="64" t="s">
        <v>62</v>
      </c>
      <c r="H72" s="3" t="s">
        <v>203</v>
      </c>
      <c r="I72" s="65">
        <f>IFERROR(VLOOKUP(A72,'3. Call duration'!$A:$C,3,0),"--")</f>
        <v>30.99344135</v>
      </c>
      <c r="J72" s="65" t="str">
        <f t="array" ref="J72">XLOOKUP(H72,'2. Matching'!$A$2:$A$39,'2. Matching'!$B$2:$B$39,"--")</f>
        <v>Farming</v>
      </c>
      <c r="K72" s="65" t="str">
        <f t="shared" si="1"/>
        <v>In</v>
      </c>
    </row>
    <row r="73">
      <c r="A73" s="62" t="s">
        <v>204</v>
      </c>
      <c r="B73" s="63">
        <v>44389.0</v>
      </c>
      <c r="C73" s="62" t="s">
        <v>108</v>
      </c>
      <c r="D73" s="64">
        <v>0.0</v>
      </c>
      <c r="E73" s="62" t="s">
        <v>109</v>
      </c>
      <c r="F73" s="62" t="s">
        <v>115</v>
      </c>
      <c r="G73" s="64" t="s">
        <v>61</v>
      </c>
      <c r="H73" s="3" t="s">
        <v>67</v>
      </c>
      <c r="I73" s="65">
        <f>IFERROR(VLOOKUP(A73,'3. Call duration'!$A:$C,3,0),"--")</f>
        <v>30.92361156</v>
      </c>
      <c r="J73" s="65" t="str">
        <f t="array" ref="J73">XLOOKUP(H73,'2. Matching'!$A$2:$A$39,'2. Matching'!$B$2:$B$39,"--")</f>
        <v>Acquisition</v>
      </c>
      <c r="K73" s="65" t="str">
        <f t="shared" si="1"/>
        <v>In</v>
      </c>
    </row>
    <row r="74">
      <c r="A74" s="62" t="s">
        <v>205</v>
      </c>
      <c r="B74" s="63">
        <v>44068.0</v>
      </c>
      <c r="C74" s="62" t="s">
        <v>119</v>
      </c>
      <c r="D74" s="64">
        <v>80.0</v>
      </c>
      <c r="E74" s="62" t="s">
        <v>114</v>
      </c>
      <c r="F74" s="62" t="s">
        <v>110</v>
      </c>
      <c r="G74" s="64" t="s">
        <v>64</v>
      </c>
      <c r="H74" s="3" t="s">
        <v>131</v>
      </c>
      <c r="I74" s="65">
        <f>IFERROR(VLOOKUP(A74,'3. Call duration'!$A:$C,3,0),"--")</f>
        <v>20.30623197</v>
      </c>
      <c r="J74" s="65" t="str">
        <f t="array" ref="J74">XLOOKUP(H74,'2. Matching'!$A$2:$A$39,'2. Matching'!$B$2:$B$39,"--")</f>
        <v>Acquisition</v>
      </c>
      <c r="K74" s="65" t="str">
        <f t="shared" si="1"/>
        <v>In</v>
      </c>
    </row>
    <row r="75">
      <c r="A75" s="62" t="s">
        <v>206</v>
      </c>
      <c r="B75" s="63">
        <v>44396.0</v>
      </c>
      <c r="C75" s="62" t="s">
        <v>108</v>
      </c>
      <c r="D75" s="64">
        <v>0.0</v>
      </c>
      <c r="E75" s="62" t="s">
        <v>114</v>
      </c>
      <c r="F75" s="62" t="s">
        <v>115</v>
      </c>
      <c r="G75" s="64" t="s">
        <v>63</v>
      </c>
      <c r="H75" s="3" t="s">
        <v>124</v>
      </c>
      <c r="I75" s="65">
        <f>IFERROR(VLOOKUP(A75,'3. Call duration'!$A:$C,3,0),"--")</f>
        <v>29.38060514</v>
      </c>
      <c r="J75" s="65" t="str">
        <f t="array" ref="J75">XLOOKUP(H75,'2. Matching'!$A$2:$A$39,'2. Matching'!$B$2:$B$39,"--")</f>
        <v>Acquisition</v>
      </c>
      <c r="K75" s="65" t="str">
        <f t="shared" si="1"/>
        <v>In</v>
      </c>
    </row>
    <row r="76">
      <c r="A76" s="62" t="s">
        <v>207</v>
      </c>
      <c r="B76" s="63">
        <v>44399.0</v>
      </c>
      <c r="C76" s="62" t="s">
        <v>108</v>
      </c>
      <c r="D76" s="64">
        <v>0.0</v>
      </c>
      <c r="E76" s="62" t="s">
        <v>109</v>
      </c>
      <c r="F76" s="62" t="s">
        <v>115</v>
      </c>
      <c r="G76" s="64" t="s">
        <v>64</v>
      </c>
      <c r="H76" s="3" t="s">
        <v>171</v>
      </c>
      <c r="I76" s="65">
        <f>IFERROR(VLOOKUP(A76,'3. Call duration'!$A:$C,3,0),"--")</f>
        <v>24.20842311</v>
      </c>
      <c r="J76" s="65" t="str">
        <f t="array" ref="J76">XLOOKUP(H76,'2. Matching'!$A$2:$A$39,'2. Matching'!$B$2:$B$39,"--")</f>
        <v>SEO</v>
      </c>
      <c r="K76" s="65" t="str">
        <f t="shared" si="1"/>
        <v>In</v>
      </c>
    </row>
    <row r="77">
      <c r="A77" s="62" t="s">
        <v>208</v>
      </c>
      <c r="B77" s="63">
        <v>44399.0</v>
      </c>
      <c r="C77" s="62" t="s">
        <v>108</v>
      </c>
      <c r="D77" s="64">
        <v>0.0</v>
      </c>
      <c r="E77" s="62" t="s">
        <v>109</v>
      </c>
      <c r="F77" s="62" t="s">
        <v>115</v>
      </c>
      <c r="G77" s="64" t="s">
        <v>64</v>
      </c>
      <c r="H77" s="3" t="s">
        <v>139</v>
      </c>
      <c r="I77" s="65">
        <f>IFERROR(VLOOKUP(A77,'3. Call duration'!$A:$C,3,0),"--")</f>
        <v>27.8639886</v>
      </c>
      <c r="J77" s="65" t="str">
        <f t="array" ref="J77">XLOOKUP(H77,'2. Matching'!$A$2:$A$39,'2. Matching'!$B$2:$B$39,"--")</f>
        <v>Acquisition</v>
      </c>
      <c r="K77" s="65" t="str">
        <f t="shared" si="1"/>
        <v>In</v>
      </c>
    </row>
    <row r="78">
      <c r="A78" s="62" t="s">
        <v>209</v>
      </c>
      <c r="B78" s="63">
        <v>44060.0</v>
      </c>
      <c r="C78" s="62" t="s">
        <v>119</v>
      </c>
      <c r="D78" s="64">
        <v>80.0</v>
      </c>
      <c r="E78" s="62" t="s">
        <v>114</v>
      </c>
      <c r="F78" s="62" t="s">
        <v>115</v>
      </c>
      <c r="G78" s="64" t="s">
        <v>59</v>
      </c>
      <c r="H78" s="3" t="s">
        <v>68</v>
      </c>
      <c r="I78" s="65">
        <f>IFERROR(VLOOKUP(A78,'3. Call duration'!$A:$C,3,0),"--")</f>
        <v>24.56315992</v>
      </c>
      <c r="J78" s="65" t="str">
        <f t="array" ref="J78">XLOOKUP(H78,'2. Matching'!$A$2:$A$39,'2. Matching'!$B$2:$B$39,"--")</f>
        <v>Acquisition</v>
      </c>
      <c r="K78" s="65" t="str">
        <f t="shared" si="1"/>
        <v>In</v>
      </c>
    </row>
    <row r="79">
      <c r="A79" s="62" t="s">
        <v>210</v>
      </c>
      <c r="B79" s="63">
        <v>44069.0</v>
      </c>
      <c r="C79" s="62" t="s">
        <v>119</v>
      </c>
      <c r="D79" s="64">
        <v>80.0</v>
      </c>
      <c r="E79" s="62" t="s">
        <v>114</v>
      </c>
      <c r="F79" s="62" t="s">
        <v>115</v>
      </c>
      <c r="G79" s="64" t="s">
        <v>64</v>
      </c>
      <c r="H79" s="3" t="s">
        <v>131</v>
      </c>
      <c r="I79" s="65" t="str">
        <f>IFERROR(VLOOKUP(A79,'3. Call duration'!$A:$C,3,0),"--")</f>
        <v>--</v>
      </c>
      <c r="J79" s="65" t="str">
        <f t="array" ref="J79">XLOOKUP(H79,'2. Matching'!$A$2:$A$39,'2. Matching'!$B$2:$B$39,"--")</f>
        <v>Acquisition</v>
      </c>
      <c r="K79" s="65" t="str">
        <f t="shared" si="1"/>
        <v>In</v>
      </c>
    </row>
    <row r="80">
      <c r="A80" s="62" t="s">
        <v>211</v>
      </c>
      <c r="B80" s="63">
        <v>44397.0</v>
      </c>
      <c r="C80" s="62" t="s">
        <v>108</v>
      </c>
      <c r="D80" s="64">
        <v>0.0</v>
      </c>
      <c r="E80" s="62" t="s">
        <v>109</v>
      </c>
      <c r="F80" s="62" t="s">
        <v>110</v>
      </c>
      <c r="G80" s="64" t="s">
        <v>60</v>
      </c>
      <c r="H80" s="3" t="s">
        <v>67</v>
      </c>
      <c r="I80" s="65">
        <f>IFERROR(VLOOKUP(A80,'3. Call duration'!$A:$C,3,0),"--")</f>
        <v>48.19927025</v>
      </c>
      <c r="J80" s="65" t="str">
        <f t="array" ref="J80">XLOOKUP(H80,'2. Matching'!$A$2:$A$39,'2. Matching'!$B$2:$B$39,"--")</f>
        <v>Acquisition</v>
      </c>
      <c r="K80" s="65" t="str">
        <f t="shared" si="1"/>
        <v>In</v>
      </c>
    </row>
    <row r="81">
      <c r="A81" s="62" t="s">
        <v>212</v>
      </c>
      <c r="B81" s="63">
        <v>44069.0</v>
      </c>
      <c r="C81" s="62" t="s">
        <v>119</v>
      </c>
      <c r="D81" s="64">
        <v>80.0</v>
      </c>
      <c r="E81" s="62" t="s">
        <v>114</v>
      </c>
      <c r="F81" s="62" t="s">
        <v>115</v>
      </c>
      <c r="G81" s="64" t="s">
        <v>64</v>
      </c>
      <c r="H81" s="3" t="s">
        <v>139</v>
      </c>
      <c r="I81" s="65">
        <f>IFERROR(VLOOKUP(A81,'3. Call duration'!$A:$C,3,0),"--")</f>
        <v>21.19368254</v>
      </c>
      <c r="J81" s="65" t="str">
        <f t="array" ref="J81">XLOOKUP(H81,'2. Matching'!$A$2:$A$39,'2. Matching'!$B$2:$B$39,"--")</f>
        <v>Acquisition</v>
      </c>
      <c r="K81" s="65" t="str">
        <f t="shared" si="1"/>
        <v>In</v>
      </c>
    </row>
    <row r="82">
      <c r="A82" s="62" t="s">
        <v>213</v>
      </c>
      <c r="B82" s="63">
        <v>44393.0</v>
      </c>
      <c r="C82" s="62" t="s">
        <v>108</v>
      </c>
      <c r="D82" s="64">
        <v>0.0</v>
      </c>
      <c r="E82" s="62" t="s">
        <v>109</v>
      </c>
      <c r="F82" s="62" t="s">
        <v>110</v>
      </c>
      <c r="G82" s="64" t="s">
        <v>61</v>
      </c>
      <c r="H82" s="3" t="s">
        <v>67</v>
      </c>
      <c r="I82" s="65">
        <f>IFERROR(VLOOKUP(A82,'3. Call duration'!$A:$C,3,0),"--")</f>
        <v>21.70532913</v>
      </c>
      <c r="J82" s="65" t="str">
        <f t="array" ref="J82">XLOOKUP(H82,'2. Matching'!$A$2:$A$39,'2. Matching'!$B$2:$B$39,"--")</f>
        <v>Acquisition</v>
      </c>
      <c r="K82" s="65" t="str">
        <f t="shared" si="1"/>
        <v>In</v>
      </c>
    </row>
    <row r="83">
      <c r="A83" s="62" t="s">
        <v>214</v>
      </c>
      <c r="B83" s="63">
        <v>44390.0</v>
      </c>
      <c r="C83" s="62" t="s">
        <v>108</v>
      </c>
      <c r="D83" s="64">
        <v>0.0</v>
      </c>
      <c r="E83" s="62" t="s">
        <v>109</v>
      </c>
      <c r="F83" s="62" t="s">
        <v>110</v>
      </c>
      <c r="G83" s="64" t="s">
        <v>60</v>
      </c>
      <c r="H83" s="3" t="s">
        <v>67</v>
      </c>
      <c r="I83" s="65">
        <f>IFERROR(VLOOKUP(A83,'3. Call duration'!$A:$C,3,0),"--")</f>
        <v>23.73772868</v>
      </c>
      <c r="J83" s="65" t="str">
        <f t="array" ref="J83">XLOOKUP(H83,'2. Matching'!$A$2:$A$39,'2. Matching'!$B$2:$B$39,"--")</f>
        <v>Acquisition</v>
      </c>
      <c r="K83" s="65" t="str">
        <f t="shared" si="1"/>
        <v>In</v>
      </c>
    </row>
    <row r="84">
      <c r="A84" s="62" t="s">
        <v>215</v>
      </c>
      <c r="B84" s="63">
        <v>44379.0</v>
      </c>
      <c r="C84" s="62" t="s">
        <v>108</v>
      </c>
      <c r="D84" s="64">
        <v>0.0</v>
      </c>
      <c r="E84" s="62" t="s">
        <v>109</v>
      </c>
      <c r="F84" s="62" t="s">
        <v>115</v>
      </c>
      <c r="G84" s="64" t="s">
        <v>63</v>
      </c>
      <c r="H84" s="3" t="s">
        <v>124</v>
      </c>
      <c r="I84" s="65">
        <f>IFERROR(VLOOKUP(A84,'3. Call duration'!$A:$C,3,0),"--")</f>
        <v>30.10946498</v>
      </c>
      <c r="J84" s="65" t="str">
        <f t="array" ref="J84">XLOOKUP(H84,'2. Matching'!$A$2:$A$39,'2. Matching'!$B$2:$B$39,"--")</f>
        <v>Acquisition</v>
      </c>
      <c r="K84" s="65" t="str">
        <f t="shared" si="1"/>
        <v>In</v>
      </c>
    </row>
    <row r="85">
      <c r="A85" s="62" t="s">
        <v>216</v>
      </c>
      <c r="B85" s="63">
        <v>44389.0</v>
      </c>
      <c r="C85" s="62" t="s">
        <v>108</v>
      </c>
      <c r="D85" s="64">
        <v>0.0</v>
      </c>
      <c r="E85" s="62" t="s">
        <v>114</v>
      </c>
      <c r="F85" s="62" t="s">
        <v>115</v>
      </c>
      <c r="G85" s="64" t="s">
        <v>64</v>
      </c>
      <c r="H85" s="3" t="s">
        <v>116</v>
      </c>
      <c r="I85" s="65">
        <f>IFERROR(VLOOKUP(A85,'3. Call duration'!$A:$C,3,0),"--")</f>
        <v>32.08993269</v>
      </c>
      <c r="J85" s="65" t="str">
        <f t="array" ref="J85">XLOOKUP(H85,'2. Matching'!$A$2:$A$39,'2. Matching'!$B$2:$B$39,"--")</f>
        <v>Acquisition</v>
      </c>
      <c r="K85" s="65" t="str">
        <f t="shared" si="1"/>
        <v>In</v>
      </c>
    </row>
    <row r="86">
      <c r="A86" s="62" t="s">
        <v>217</v>
      </c>
      <c r="B86" s="63">
        <v>44393.0</v>
      </c>
      <c r="C86" s="62" t="s">
        <v>108</v>
      </c>
      <c r="D86" s="64">
        <v>0.0</v>
      </c>
      <c r="E86" s="62" t="s">
        <v>109</v>
      </c>
      <c r="F86" s="62" t="s">
        <v>115</v>
      </c>
      <c r="G86" s="64" t="s">
        <v>64</v>
      </c>
      <c r="H86" s="3" t="s">
        <v>131</v>
      </c>
      <c r="I86" s="65">
        <f>IFERROR(VLOOKUP(A86,'3. Call duration'!$A:$C,3,0),"--")</f>
        <v>28.7461697</v>
      </c>
      <c r="J86" s="65" t="str">
        <f t="array" ref="J86">XLOOKUP(H86,'2. Matching'!$A$2:$A$39,'2. Matching'!$B$2:$B$39,"--")</f>
        <v>Acquisition</v>
      </c>
      <c r="K86" s="65" t="str">
        <f t="shared" si="1"/>
        <v>In</v>
      </c>
    </row>
    <row r="87">
      <c r="A87" s="62" t="s">
        <v>218</v>
      </c>
      <c r="B87" s="63">
        <v>44390.0</v>
      </c>
      <c r="C87" s="62" t="s">
        <v>112</v>
      </c>
      <c r="D87" s="64">
        <v>0.0</v>
      </c>
      <c r="E87" s="62" t="s">
        <v>109</v>
      </c>
      <c r="F87" s="62" t="s">
        <v>110</v>
      </c>
      <c r="G87" s="64" t="s">
        <v>64</v>
      </c>
      <c r="H87" s="3" t="s">
        <v>139</v>
      </c>
      <c r="I87" s="65" t="str">
        <f>IFERROR(VLOOKUP(A87,'3. Call duration'!$A:$C,3,0),"--")</f>
        <v>--</v>
      </c>
      <c r="J87" s="65" t="str">
        <f t="array" ref="J87">XLOOKUP(H87,'2. Matching'!$A$2:$A$39,'2. Matching'!$B$2:$B$39,"--")</f>
        <v>Acquisition</v>
      </c>
      <c r="K87" s="65" t="str">
        <f t="shared" si="1"/>
        <v>In</v>
      </c>
    </row>
    <row r="88">
      <c r="A88" s="62" t="s">
        <v>219</v>
      </c>
      <c r="B88" s="63">
        <v>44071.0</v>
      </c>
      <c r="C88" s="62" t="s">
        <v>119</v>
      </c>
      <c r="D88" s="64">
        <v>80.0</v>
      </c>
      <c r="E88" s="62" t="s">
        <v>114</v>
      </c>
      <c r="F88" s="62" t="s">
        <v>115</v>
      </c>
      <c r="G88" s="64" t="s">
        <v>64</v>
      </c>
      <c r="H88" s="3" t="s">
        <v>131</v>
      </c>
      <c r="I88" s="65">
        <f>IFERROR(VLOOKUP(A88,'3. Call duration'!$A:$C,3,0),"--")</f>
        <v>22.7648907</v>
      </c>
      <c r="J88" s="65" t="str">
        <f t="array" ref="J88">XLOOKUP(H88,'2. Matching'!$A$2:$A$39,'2. Matching'!$B$2:$B$39,"--")</f>
        <v>Acquisition</v>
      </c>
      <c r="K88" s="65" t="str">
        <f t="shared" si="1"/>
        <v>In</v>
      </c>
    </row>
    <row r="89">
      <c r="A89" s="62" t="s">
        <v>220</v>
      </c>
      <c r="B89" s="63">
        <v>44387.0</v>
      </c>
      <c r="C89" s="62" t="s">
        <v>108</v>
      </c>
      <c r="D89" s="64">
        <v>0.0</v>
      </c>
      <c r="E89" s="62" t="s">
        <v>114</v>
      </c>
      <c r="F89" s="62" t="s">
        <v>115</v>
      </c>
      <c r="G89" s="64" t="s">
        <v>64</v>
      </c>
      <c r="H89" s="3" t="s">
        <v>221</v>
      </c>
      <c r="I89" s="65">
        <f>IFERROR(VLOOKUP(A89,'3. Call duration'!$A:$C,3,0),"--")</f>
        <v>43.10371759</v>
      </c>
      <c r="J89" s="65" t="str">
        <f t="array" ref="J89">XLOOKUP(H89,'2. Matching'!$A$2:$A$39,'2. Matching'!$B$2:$B$39,"--")</f>
        <v>Farming</v>
      </c>
      <c r="K89" s="65" t="str">
        <f t="shared" si="1"/>
        <v>In</v>
      </c>
    </row>
    <row r="90">
      <c r="A90" s="62" t="s">
        <v>222</v>
      </c>
      <c r="B90" s="63">
        <v>44399.0</v>
      </c>
      <c r="C90" s="62" t="s">
        <v>108</v>
      </c>
      <c r="D90" s="64">
        <v>0.0</v>
      </c>
      <c r="E90" s="62" t="s">
        <v>114</v>
      </c>
      <c r="F90" s="62" t="s">
        <v>115</v>
      </c>
      <c r="G90" s="64" t="s">
        <v>63</v>
      </c>
      <c r="H90" s="3" t="s">
        <v>124</v>
      </c>
      <c r="I90" s="65">
        <f>IFERROR(VLOOKUP(A90,'3. Call duration'!$A:$C,3,0),"--")</f>
        <v>23.92182822</v>
      </c>
      <c r="J90" s="65" t="str">
        <f t="array" ref="J90">XLOOKUP(H90,'2. Matching'!$A$2:$A$39,'2. Matching'!$B$2:$B$39,"--")</f>
        <v>Acquisition</v>
      </c>
      <c r="K90" s="65" t="str">
        <f t="shared" si="1"/>
        <v>In</v>
      </c>
    </row>
    <row r="91">
      <c r="A91" s="62" t="s">
        <v>223</v>
      </c>
      <c r="B91" s="63">
        <v>44380.0</v>
      </c>
      <c r="C91" s="62" t="s">
        <v>108</v>
      </c>
      <c r="D91" s="64">
        <v>0.0</v>
      </c>
      <c r="E91" s="62" t="s">
        <v>109</v>
      </c>
      <c r="F91" s="62" t="s">
        <v>115</v>
      </c>
      <c r="G91" s="64" t="s">
        <v>64</v>
      </c>
      <c r="H91" s="3" t="s">
        <v>164</v>
      </c>
      <c r="I91" s="65">
        <f>IFERROR(VLOOKUP(A91,'3. Call duration'!$A:$C,3,0),"--")</f>
        <v>22.59055581</v>
      </c>
      <c r="J91" s="65" t="str">
        <f t="array" ref="J91">XLOOKUP(H91,'2. Matching'!$A$2:$A$39,'2. Matching'!$B$2:$B$39,"--")</f>
        <v>SEO</v>
      </c>
      <c r="K91" s="65" t="str">
        <f t="shared" si="1"/>
        <v>In</v>
      </c>
    </row>
    <row r="92">
      <c r="A92" s="62" t="s">
        <v>224</v>
      </c>
      <c r="B92" s="63">
        <v>44382.0</v>
      </c>
      <c r="C92" s="62" t="s">
        <v>108</v>
      </c>
      <c r="D92" s="64">
        <v>0.0</v>
      </c>
      <c r="E92" s="62" t="s">
        <v>109</v>
      </c>
      <c r="F92" s="62" t="s">
        <v>115</v>
      </c>
      <c r="G92" s="64" t="s">
        <v>60</v>
      </c>
      <c r="H92" s="3" t="s">
        <v>68</v>
      </c>
      <c r="I92" s="65">
        <f>IFERROR(VLOOKUP(A92,'3. Call duration'!$A:$C,3,0),"--")</f>
        <v>21.00417602</v>
      </c>
      <c r="J92" s="65" t="str">
        <f t="array" ref="J92">XLOOKUP(H92,'2. Matching'!$A$2:$A$39,'2. Matching'!$B$2:$B$39,"--")</f>
        <v>Acquisition</v>
      </c>
      <c r="K92" s="65" t="str">
        <f t="shared" si="1"/>
        <v>In</v>
      </c>
    </row>
    <row r="93">
      <c r="A93" s="62" t="s">
        <v>225</v>
      </c>
      <c r="B93" s="63">
        <v>44386.0</v>
      </c>
      <c r="C93" s="62" t="s">
        <v>108</v>
      </c>
      <c r="D93" s="64">
        <v>0.0</v>
      </c>
      <c r="E93" s="62" t="s">
        <v>109</v>
      </c>
      <c r="F93" s="62" t="s">
        <v>115</v>
      </c>
      <c r="G93" s="64" t="s">
        <v>63</v>
      </c>
      <c r="H93" s="3" t="s">
        <v>128</v>
      </c>
      <c r="I93" s="65">
        <f>IFERROR(VLOOKUP(A93,'3. Call duration'!$A:$C,3,0),"--")</f>
        <v>23.38547564</v>
      </c>
      <c r="J93" s="65" t="str">
        <f t="array" ref="J93">XLOOKUP(H93,'2. Matching'!$A$2:$A$39,'2. Matching'!$B$2:$B$39,"--")</f>
        <v>Acquisition</v>
      </c>
      <c r="K93" s="65" t="str">
        <f t="shared" si="1"/>
        <v>In</v>
      </c>
    </row>
    <row r="94">
      <c r="A94" s="62" t="s">
        <v>226</v>
      </c>
      <c r="B94" s="63">
        <v>44393.0</v>
      </c>
      <c r="C94" s="62" t="s">
        <v>108</v>
      </c>
      <c r="D94" s="64">
        <v>0.0</v>
      </c>
      <c r="E94" s="62" t="s">
        <v>109</v>
      </c>
      <c r="F94" s="62" t="s">
        <v>115</v>
      </c>
      <c r="G94" s="64" t="s">
        <v>64</v>
      </c>
      <c r="H94" s="3" t="s">
        <v>70</v>
      </c>
      <c r="I94" s="65">
        <f>IFERROR(VLOOKUP(A94,'3. Call duration'!$A:$C,3,0),"--")</f>
        <v>39.44661376</v>
      </c>
      <c r="J94" s="65" t="str">
        <f t="array" ref="J94">XLOOKUP(H94,'2. Matching'!$A$2:$A$39,'2. Matching'!$B$2:$B$39,"--")</f>
        <v>Farming</v>
      </c>
      <c r="K94" s="65" t="str">
        <f t="shared" si="1"/>
        <v>In</v>
      </c>
    </row>
    <row r="95">
      <c r="A95" s="62" t="s">
        <v>227</v>
      </c>
      <c r="B95" s="63">
        <v>44393.0</v>
      </c>
      <c r="C95" s="62" t="s">
        <v>108</v>
      </c>
      <c r="D95" s="64">
        <v>0.0</v>
      </c>
      <c r="E95" s="62" t="s">
        <v>109</v>
      </c>
      <c r="F95" s="62" t="s">
        <v>115</v>
      </c>
      <c r="G95" s="64" t="s">
        <v>63</v>
      </c>
      <c r="H95" s="3" t="s">
        <v>228</v>
      </c>
      <c r="I95" s="65">
        <f>IFERROR(VLOOKUP(A95,'3. Call duration'!$A:$C,3,0),"--")</f>
        <v>15.52208318</v>
      </c>
      <c r="J95" s="65" t="str">
        <f t="array" ref="J95">XLOOKUP(H95,'2. Matching'!$A$2:$A$39,'2. Matching'!$B$2:$B$39,"--")</f>
        <v>Farming</v>
      </c>
      <c r="K95" s="65" t="str">
        <f t="shared" si="1"/>
        <v>In</v>
      </c>
    </row>
    <row r="96">
      <c r="A96" s="62" t="s">
        <v>229</v>
      </c>
      <c r="B96" s="63">
        <v>44387.0</v>
      </c>
      <c r="C96" s="62" t="s">
        <v>108</v>
      </c>
      <c r="D96" s="64">
        <v>0.0</v>
      </c>
      <c r="E96" s="62" t="s">
        <v>109</v>
      </c>
      <c r="F96" s="62" t="s">
        <v>115</v>
      </c>
      <c r="G96" s="64" t="s">
        <v>64</v>
      </c>
      <c r="H96" s="3" t="s">
        <v>139</v>
      </c>
      <c r="I96" s="65">
        <f>IFERROR(VLOOKUP(A96,'3. Call duration'!$A:$C,3,0),"--")</f>
        <v>14.85085838</v>
      </c>
      <c r="J96" s="65" t="str">
        <f t="array" ref="J96">XLOOKUP(H96,'2. Matching'!$A$2:$A$39,'2. Matching'!$B$2:$B$39,"--")</f>
        <v>Acquisition</v>
      </c>
      <c r="K96" s="65" t="str">
        <f t="shared" si="1"/>
        <v>In</v>
      </c>
    </row>
    <row r="97">
      <c r="A97" s="62" t="s">
        <v>230</v>
      </c>
      <c r="B97" s="63">
        <v>44386.0</v>
      </c>
      <c r="C97" s="62" t="s">
        <v>108</v>
      </c>
      <c r="D97" s="64">
        <v>0.0</v>
      </c>
      <c r="E97" s="62" t="s">
        <v>114</v>
      </c>
      <c r="F97" s="62" t="s">
        <v>115</v>
      </c>
      <c r="G97" s="64" t="s">
        <v>64</v>
      </c>
      <c r="H97" s="3" t="s">
        <v>155</v>
      </c>
      <c r="I97" s="65">
        <f>IFERROR(VLOOKUP(A97,'3. Call duration'!$A:$C,3,0),"--")</f>
        <v>33.86987933</v>
      </c>
      <c r="J97" s="65" t="str">
        <f t="array" ref="J97">XLOOKUP(H97,'2. Matching'!$A$2:$A$39,'2. Matching'!$B$2:$B$39,"--")</f>
        <v>SEO</v>
      </c>
      <c r="K97" s="65" t="str">
        <f t="shared" si="1"/>
        <v>In</v>
      </c>
    </row>
    <row r="98">
      <c r="A98" s="62" t="s">
        <v>231</v>
      </c>
      <c r="B98" s="63">
        <v>43808.0</v>
      </c>
      <c r="C98" s="62" t="s">
        <v>119</v>
      </c>
      <c r="D98" s="64">
        <v>0.0</v>
      </c>
      <c r="E98" s="62" t="s">
        <v>114</v>
      </c>
      <c r="F98" s="62" t="s">
        <v>115</v>
      </c>
      <c r="G98" s="64" t="s">
        <v>64</v>
      </c>
      <c r="H98" s="3" t="s">
        <v>131</v>
      </c>
      <c r="I98" s="65">
        <f>IFERROR(VLOOKUP(A98,'3. Call duration'!$A:$C,3,0),"--")</f>
        <v>45.72136738</v>
      </c>
      <c r="J98" s="65" t="str">
        <f t="array" ref="J98">XLOOKUP(H98,'2. Matching'!$A$2:$A$39,'2. Matching'!$B$2:$B$39,"--")</f>
        <v>Acquisition</v>
      </c>
      <c r="K98" s="65" t="str">
        <f t="shared" si="1"/>
        <v>In</v>
      </c>
    </row>
    <row r="99">
      <c r="A99" s="62" t="s">
        <v>232</v>
      </c>
      <c r="B99" s="63">
        <v>44382.0</v>
      </c>
      <c r="C99" s="62" t="s">
        <v>108</v>
      </c>
      <c r="D99" s="64">
        <v>0.0</v>
      </c>
      <c r="E99" s="62" t="s">
        <v>114</v>
      </c>
      <c r="F99" s="62" t="s">
        <v>115</v>
      </c>
      <c r="G99" s="64" t="s">
        <v>59</v>
      </c>
      <c r="H99" s="3" t="s">
        <v>68</v>
      </c>
      <c r="I99" s="65">
        <f>IFERROR(VLOOKUP(A99,'3. Call duration'!$A:$C,3,0),"--")</f>
        <v>24.09389193</v>
      </c>
      <c r="J99" s="65" t="str">
        <f t="array" ref="J99">XLOOKUP(H99,'2. Matching'!$A$2:$A$39,'2. Matching'!$B$2:$B$39,"--")</f>
        <v>Acquisition</v>
      </c>
      <c r="K99" s="65" t="str">
        <f t="shared" si="1"/>
        <v>In</v>
      </c>
    </row>
    <row r="100">
      <c r="A100" s="62" t="s">
        <v>233</v>
      </c>
      <c r="B100" s="63">
        <v>44394.0</v>
      </c>
      <c r="C100" s="62" t="s">
        <v>108</v>
      </c>
      <c r="D100" s="64">
        <v>0.0</v>
      </c>
      <c r="E100" s="62" t="s">
        <v>114</v>
      </c>
      <c r="F100" s="62" t="s">
        <v>110</v>
      </c>
      <c r="G100" s="64" t="s">
        <v>60</v>
      </c>
      <c r="H100" s="3" t="s">
        <v>67</v>
      </c>
      <c r="I100" s="65">
        <f>IFERROR(VLOOKUP(A100,'3. Call duration'!$A:$C,3,0),"--")</f>
        <v>25.45407524</v>
      </c>
      <c r="J100" s="65" t="str">
        <f t="array" ref="J100">XLOOKUP(H100,'2. Matching'!$A$2:$A$39,'2. Matching'!$B$2:$B$39,"--")</f>
        <v>Acquisition</v>
      </c>
      <c r="K100" s="65" t="str">
        <f t="shared" si="1"/>
        <v>In</v>
      </c>
    </row>
    <row r="101">
      <c r="A101" s="62" t="s">
        <v>234</v>
      </c>
      <c r="B101" s="63">
        <v>44071.0</v>
      </c>
      <c r="C101" s="62" t="s">
        <v>119</v>
      </c>
      <c r="D101" s="64">
        <v>80.0</v>
      </c>
      <c r="E101" s="62" t="s">
        <v>114</v>
      </c>
      <c r="F101" s="62" t="s">
        <v>115</v>
      </c>
      <c r="G101" s="64" t="s">
        <v>64</v>
      </c>
      <c r="H101" s="3" t="s">
        <v>235</v>
      </c>
      <c r="I101" s="65">
        <f>IFERROR(VLOOKUP(A101,'3. Call duration'!$A:$C,3,0),"--")</f>
        <v>28.51620918</v>
      </c>
      <c r="J101" s="65" t="str">
        <f t="array" ref="J101">XLOOKUP(H101,'2. Matching'!$A$2:$A$39,'2. Matching'!$B$2:$B$39,"--")</f>
        <v>Farming</v>
      </c>
      <c r="K101" s="65" t="str">
        <f t="shared" si="1"/>
        <v>In</v>
      </c>
    </row>
    <row r="102">
      <c r="A102" s="62" t="s">
        <v>236</v>
      </c>
      <c r="B102" s="63">
        <v>44400.0</v>
      </c>
      <c r="C102" s="62" t="s">
        <v>108</v>
      </c>
      <c r="D102" s="64">
        <v>0.0</v>
      </c>
      <c r="E102" s="62" t="s">
        <v>114</v>
      </c>
      <c r="F102" s="62" t="s">
        <v>115</v>
      </c>
      <c r="G102" s="64" t="s">
        <v>60</v>
      </c>
      <c r="H102" s="3" t="s">
        <v>68</v>
      </c>
      <c r="I102" s="65">
        <f>IFERROR(VLOOKUP(A102,'3. Call duration'!$A:$C,3,0),"--")</f>
        <v>20.44859266</v>
      </c>
      <c r="J102" s="65" t="str">
        <f t="array" ref="J102">XLOOKUP(H102,'2. Matching'!$A$2:$A$39,'2. Matching'!$B$2:$B$39,"--")</f>
        <v>Acquisition</v>
      </c>
      <c r="K102" s="65" t="str">
        <f t="shared" si="1"/>
        <v>In</v>
      </c>
    </row>
    <row r="103">
      <c r="A103" s="62" t="s">
        <v>237</v>
      </c>
      <c r="B103" s="63">
        <v>44386.0</v>
      </c>
      <c r="C103" s="62" t="s">
        <v>108</v>
      </c>
      <c r="D103" s="64">
        <v>0.0</v>
      </c>
      <c r="E103" s="62" t="s">
        <v>109</v>
      </c>
      <c r="F103" s="62" t="s">
        <v>110</v>
      </c>
      <c r="G103" s="64" t="s">
        <v>60</v>
      </c>
      <c r="H103" s="3" t="s">
        <v>67</v>
      </c>
      <c r="I103" s="65">
        <f>IFERROR(VLOOKUP(A103,'3. Call duration'!$A:$C,3,0),"--")</f>
        <v>33.29247569</v>
      </c>
      <c r="J103" s="65" t="str">
        <f t="array" ref="J103">XLOOKUP(H103,'2. Matching'!$A$2:$A$39,'2. Matching'!$B$2:$B$39,"--")</f>
        <v>Acquisition</v>
      </c>
      <c r="K103" s="65" t="str">
        <f t="shared" si="1"/>
        <v>In</v>
      </c>
    </row>
    <row r="104">
      <c r="A104" s="62" t="s">
        <v>238</v>
      </c>
      <c r="B104" s="63">
        <v>44392.0</v>
      </c>
      <c r="C104" s="62" t="s">
        <v>108</v>
      </c>
      <c r="D104" s="64">
        <v>0.0</v>
      </c>
      <c r="E104" s="62" t="s">
        <v>114</v>
      </c>
      <c r="F104" s="62" t="s">
        <v>110</v>
      </c>
      <c r="G104" s="64" t="s">
        <v>61</v>
      </c>
      <c r="H104" s="3" t="s">
        <v>67</v>
      </c>
      <c r="I104" s="65">
        <f>IFERROR(VLOOKUP(A104,'3. Call duration'!$A:$C,3,0),"--")</f>
        <v>27.06660504</v>
      </c>
      <c r="J104" s="65" t="str">
        <f t="array" ref="J104">XLOOKUP(H104,'2. Matching'!$A$2:$A$39,'2. Matching'!$B$2:$B$39,"--")</f>
        <v>Acquisition</v>
      </c>
      <c r="K104" s="65" t="str">
        <f t="shared" si="1"/>
        <v>In</v>
      </c>
    </row>
    <row r="105">
      <c r="A105" s="62" t="s">
        <v>239</v>
      </c>
      <c r="B105" s="63">
        <v>44394.0</v>
      </c>
      <c r="C105" s="62" t="s">
        <v>108</v>
      </c>
      <c r="D105" s="64">
        <v>0.0</v>
      </c>
      <c r="E105" s="62" t="s">
        <v>109</v>
      </c>
      <c r="F105" s="62" t="s">
        <v>115</v>
      </c>
      <c r="G105" s="64" t="s">
        <v>63</v>
      </c>
      <c r="H105" s="3" t="s">
        <v>124</v>
      </c>
      <c r="I105" s="65">
        <f>IFERROR(VLOOKUP(A105,'3. Call duration'!$A:$C,3,0),"--")</f>
        <v>31.39022807</v>
      </c>
      <c r="J105" s="65" t="str">
        <f t="array" ref="J105">XLOOKUP(H105,'2. Matching'!$A$2:$A$39,'2. Matching'!$B$2:$B$39,"--")</f>
        <v>Acquisition</v>
      </c>
      <c r="K105" s="65" t="str">
        <f t="shared" si="1"/>
        <v>In</v>
      </c>
    </row>
    <row r="106">
      <c r="A106" s="62" t="s">
        <v>240</v>
      </c>
      <c r="B106" s="63">
        <v>44399.0</v>
      </c>
      <c r="C106" s="62" t="s">
        <v>108</v>
      </c>
      <c r="D106" s="64">
        <v>0.0</v>
      </c>
      <c r="E106" s="62" t="s">
        <v>109</v>
      </c>
      <c r="F106" s="62" t="s">
        <v>115</v>
      </c>
      <c r="G106" s="64" t="s">
        <v>64</v>
      </c>
      <c r="H106" s="3" t="s">
        <v>139</v>
      </c>
      <c r="I106" s="65">
        <f>IFERROR(VLOOKUP(A106,'3. Call duration'!$A:$C,3,0),"--")</f>
        <v>15.78223632</v>
      </c>
      <c r="J106" s="65" t="str">
        <f t="array" ref="J106">XLOOKUP(H106,'2. Matching'!$A$2:$A$39,'2. Matching'!$B$2:$B$39,"--")</f>
        <v>Acquisition</v>
      </c>
      <c r="K106" s="65" t="str">
        <f t="shared" si="1"/>
        <v>In</v>
      </c>
    </row>
    <row r="107">
      <c r="A107" s="62" t="s">
        <v>241</v>
      </c>
      <c r="B107" s="63">
        <v>44383.0</v>
      </c>
      <c r="C107" s="62" t="s">
        <v>108</v>
      </c>
      <c r="D107" s="64">
        <v>0.0</v>
      </c>
      <c r="E107" s="62" t="s">
        <v>109</v>
      </c>
      <c r="F107" s="62" t="s">
        <v>110</v>
      </c>
      <c r="G107" s="64" t="s">
        <v>61</v>
      </c>
      <c r="H107" s="3" t="s">
        <v>69</v>
      </c>
      <c r="I107" s="65">
        <f>IFERROR(VLOOKUP(A107,'3. Call duration'!$A:$C,3,0),"--")</f>
        <v>22.90715317</v>
      </c>
      <c r="J107" s="65" t="str">
        <f t="array" ref="J107">XLOOKUP(H107,'2. Matching'!$A$2:$A$39,'2. Matching'!$B$2:$B$39,"--")</f>
        <v>Acquisition</v>
      </c>
      <c r="K107" s="65" t="str">
        <f t="shared" si="1"/>
        <v>In</v>
      </c>
    </row>
    <row r="108">
      <c r="A108" s="62" t="s">
        <v>242</v>
      </c>
      <c r="B108" s="63">
        <v>44392.0</v>
      </c>
      <c r="C108" s="62" t="s">
        <v>108</v>
      </c>
      <c r="D108" s="64">
        <v>0.0</v>
      </c>
      <c r="E108" s="62" t="s">
        <v>109</v>
      </c>
      <c r="F108" s="62" t="s">
        <v>115</v>
      </c>
      <c r="G108" s="64" t="s">
        <v>63</v>
      </c>
      <c r="H108" s="3" t="s">
        <v>183</v>
      </c>
      <c r="I108" s="65">
        <f>IFERROR(VLOOKUP(A108,'3. Call duration'!$A:$C,3,0),"--")</f>
        <v>21.91654589</v>
      </c>
      <c r="J108" s="65" t="str">
        <f t="array" ref="J108">XLOOKUP(H108,'2. Matching'!$A$2:$A$39,'2. Matching'!$B$2:$B$39,"--")</f>
        <v>SEO</v>
      </c>
      <c r="K108" s="65" t="str">
        <f t="shared" si="1"/>
        <v>In</v>
      </c>
    </row>
    <row r="109">
      <c r="A109" s="62" t="s">
        <v>243</v>
      </c>
      <c r="B109" s="63">
        <v>44060.0</v>
      </c>
      <c r="C109" s="62" t="s">
        <v>119</v>
      </c>
      <c r="D109" s="64">
        <v>80.0</v>
      </c>
      <c r="E109" s="62" t="s">
        <v>114</v>
      </c>
      <c r="F109" s="62" t="s">
        <v>115</v>
      </c>
      <c r="G109" s="64" t="s">
        <v>64</v>
      </c>
      <c r="H109" s="3" t="s">
        <v>175</v>
      </c>
      <c r="I109" s="65">
        <f>IFERROR(VLOOKUP(A109,'3. Call duration'!$A:$C,3,0),"--")</f>
        <v>20.23585507</v>
      </c>
      <c r="J109" s="65" t="str">
        <f t="array" ref="J109">XLOOKUP(H109,'2. Matching'!$A$2:$A$39,'2. Matching'!$B$2:$B$39,"--")</f>
        <v>SEO</v>
      </c>
      <c r="K109" s="65" t="str">
        <f t="shared" si="1"/>
        <v>In</v>
      </c>
    </row>
    <row r="110">
      <c r="A110" s="62" t="s">
        <v>244</v>
      </c>
      <c r="B110" s="63">
        <v>43840.0</v>
      </c>
      <c r="C110" s="62" t="s">
        <v>119</v>
      </c>
      <c r="D110" s="64">
        <v>0.0</v>
      </c>
      <c r="E110" s="62" t="s">
        <v>109</v>
      </c>
      <c r="F110" s="62" t="s">
        <v>110</v>
      </c>
      <c r="G110" s="64" t="s">
        <v>112</v>
      </c>
      <c r="H110" s="3"/>
      <c r="I110" s="65">
        <f>IFERROR(VLOOKUP(A110,'3. Call duration'!$A:$C,3,0),"--")</f>
        <v>32.45869295</v>
      </c>
      <c r="J110" s="65" t="str">
        <f t="array" ref="J110">XLOOKUP(H110,'2. Matching'!$A$2:$A$39,'2. Matching'!$B$2:$B$39,"--")</f>
        <v>--</v>
      </c>
      <c r="K110" s="65" t="str">
        <f t="shared" si="1"/>
        <v>In</v>
      </c>
    </row>
    <row r="111">
      <c r="A111" s="62" t="s">
        <v>245</v>
      </c>
      <c r="B111" s="63">
        <v>44398.0</v>
      </c>
      <c r="C111" s="62" t="s">
        <v>112</v>
      </c>
      <c r="D111" s="64">
        <v>0.0</v>
      </c>
      <c r="E111" s="62" t="s">
        <v>109</v>
      </c>
      <c r="F111" s="62" t="s">
        <v>110</v>
      </c>
      <c r="G111" s="64" t="s">
        <v>60</v>
      </c>
      <c r="H111" s="3" t="s">
        <v>67</v>
      </c>
      <c r="I111" s="65" t="str">
        <f>IFERROR(VLOOKUP(A111,'3. Call duration'!$A:$C,3,0),"--")</f>
        <v>--</v>
      </c>
      <c r="J111" s="65" t="str">
        <f t="array" ref="J111">XLOOKUP(H111,'2. Matching'!$A$2:$A$39,'2. Matching'!$B$2:$B$39,"--")</f>
        <v>Acquisition</v>
      </c>
      <c r="K111" s="65" t="str">
        <f t="shared" si="1"/>
        <v>In</v>
      </c>
    </row>
    <row r="112">
      <c r="A112" s="62" t="s">
        <v>246</v>
      </c>
      <c r="B112" s="63">
        <v>44379.0</v>
      </c>
      <c r="C112" s="62" t="s">
        <v>108</v>
      </c>
      <c r="D112" s="64">
        <v>0.0</v>
      </c>
      <c r="E112" s="62" t="s">
        <v>109</v>
      </c>
      <c r="F112" s="62" t="s">
        <v>115</v>
      </c>
      <c r="G112" s="64" t="s">
        <v>60</v>
      </c>
      <c r="H112" s="3" t="s">
        <v>68</v>
      </c>
      <c r="I112" s="65">
        <f>IFERROR(VLOOKUP(A112,'3. Call duration'!$A:$C,3,0),"--")</f>
        <v>30.39597322</v>
      </c>
      <c r="J112" s="65" t="str">
        <f t="array" ref="J112">XLOOKUP(H112,'2. Matching'!$A$2:$A$39,'2. Matching'!$B$2:$B$39,"--")</f>
        <v>Acquisition</v>
      </c>
      <c r="K112" s="65" t="str">
        <f t="shared" si="1"/>
        <v>In</v>
      </c>
    </row>
    <row r="113">
      <c r="A113" s="62" t="s">
        <v>247</v>
      </c>
      <c r="B113" s="63">
        <v>44393.0</v>
      </c>
      <c r="C113" s="62" t="s">
        <v>108</v>
      </c>
      <c r="D113" s="64">
        <v>0.0</v>
      </c>
      <c r="E113" s="62" t="s">
        <v>109</v>
      </c>
      <c r="F113" s="62" t="s">
        <v>115</v>
      </c>
      <c r="G113" s="64" t="s">
        <v>64</v>
      </c>
      <c r="H113" s="3" t="s">
        <v>139</v>
      </c>
      <c r="I113" s="65">
        <f>IFERROR(VLOOKUP(A113,'3. Call duration'!$A:$C,3,0),"--")</f>
        <v>48.13146829</v>
      </c>
      <c r="J113" s="65" t="str">
        <f t="array" ref="J113">XLOOKUP(H113,'2. Matching'!$A$2:$A$39,'2. Matching'!$B$2:$B$39,"--")</f>
        <v>Acquisition</v>
      </c>
      <c r="K113" s="65" t="str">
        <f t="shared" si="1"/>
        <v>In</v>
      </c>
    </row>
    <row r="114">
      <c r="A114" s="62" t="s">
        <v>248</v>
      </c>
      <c r="B114" s="63">
        <v>44398.0</v>
      </c>
      <c r="C114" s="62" t="s">
        <v>112</v>
      </c>
      <c r="D114" s="64">
        <v>0.0</v>
      </c>
      <c r="E114" s="62" t="s">
        <v>109</v>
      </c>
      <c r="F114" s="62" t="s">
        <v>110</v>
      </c>
      <c r="G114" s="64" t="s">
        <v>61</v>
      </c>
      <c r="H114" s="3" t="s">
        <v>67</v>
      </c>
      <c r="I114" s="65" t="str">
        <f>IFERROR(VLOOKUP(A114,'3. Call duration'!$A:$C,3,0),"--")</f>
        <v>--</v>
      </c>
      <c r="J114" s="65" t="str">
        <f t="array" ref="J114">XLOOKUP(H114,'2. Matching'!$A$2:$A$39,'2. Matching'!$B$2:$B$39,"--")</f>
        <v>Acquisition</v>
      </c>
      <c r="K114" s="65" t="str">
        <f t="shared" si="1"/>
        <v>In</v>
      </c>
    </row>
    <row r="115">
      <c r="A115" s="62" t="s">
        <v>249</v>
      </c>
      <c r="B115" s="63">
        <v>44383.0</v>
      </c>
      <c r="C115" s="62" t="s">
        <v>108</v>
      </c>
      <c r="D115" s="64">
        <v>0.0</v>
      </c>
      <c r="E115" s="62" t="s">
        <v>109</v>
      </c>
      <c r="F115" s="62" t="s">
        <v>115</v>
      </c>
      <c r="G115" s="64" t="s">
        <v>61</v>
      </c>
      <c r="H115" s="3" t="s">
        <v>69</v>
      </c>
      <c r="I115" s="65">
        <f>IFERROR(VLOOKUP(A115,'3. Call duration'!$A:$C,3,0),"--")</f>
        <v>33.16666079</v>
      </c>
      <c r="J115" s="65" t="str">
        <f t="array" ref="J115">XLOOKUP(H115,'2. Matching'!$A$2:$A$39,'2. Matching'!$B$2:$B$39,"--")</f>
        <v>Acquisition</v>
      </c>
      <c r="K115" s="65" t="str">
        <f t="shared" si="1"/>
        <v>In</v>
      </c>
    </row>
    <row r="116">
      <c r="A116" s="62" t="s">
        <v>250</v>
      </c>
      <c r="B116" s="63">
        <v>44393.0</v>
      </c>
      <c r="C116" s="62" t="s">
        <v>108</v>
      </c>
      <c r="D116" s="64">
        <v>0.0</v>
      </c>
      <c r="E116" s="62" t="s">
        <v>109</v>
      </c>
      <c r="F116" s="62" t="s">
        <v>110</v>
      </c>
      <c r="G116" s="64" t="s">
        <v>61</v>
      </c>
      <c r="H116" s="3" t="s">
        <v>67</v>
      </c>
      <c r="I116" s="65">
        <f>IFERROR(VLOOKUP(A116,'3. Call duration'!$A:$C,3,0),"--")</f>
        <v>26.16932611</v>
      </c>
      <c r="J116" s="65" t="str">
        <f t="array" ref="J116">XLOOKUP(H116,'2. Matching'!$A$2:$A$39,'2. Matching'!$B$2:$B$39,"--")</f>
        <v>Acquisition</v>
      </c>
      <c r="K116" s="65" t="str">
        <f t="shared" si="1"/>
        <v>In</v>
      </c>
    </row>
    <row r="117">
      <c r="A117" s="62" t="s">
        <v>251</v>
      </c>
      <c r="B117" s="63">
        <v>44392.0</v>
      </c>
      <c r="C117" s="62" t="s">
        <v>108</v>
      </c>
      <c r="D117" s="64">
        <v>0.0</v>
      </c>
      <c r="E117" s="62" t="s">
        <v>109</v>
      </c>
      <c r="F117" s="62" t="s">
        <v>115</v>
      </c>
      <c r="G117" s="64" t="s">
        <v>63</v>
      </c>
      <c r="H117" s="3" t="s">
        <v>228</v>
      </c>
      <c r="I117" s="65">
        <f>IFERROR(VLOOKUP(A117,'3. Call duration'!$A:$C,3,0),"--")</f>
        <v>27.83395162</v>
      </c>
      <c r="J117" s="65" t="str">
        <f t="array" ref="J117">XLOOKUP(H117,'2. Matching'!$A$2:$A$39,'2. Matching'!$B$2:$B$39,"--")</f>
        <v>Farming</v>
      </c>
      <c r="K117" s="65" t="str">
        <f t="shared" si="1"/>
        <v>In</v>
      </c>
    </row>
    <row r="118">
      <c r="A118" s="62" t="s">
        <v>252</v>
      </c>
      <c r="B118" s="63">
        <v>44392.0</v>
      </c>
      <c r="C118" s="62" t="s">
        <v>108</v>
      </c>
      <c r="D118" s="64">
        <v>0.0</v>
      </c>
      <c r="E118" s="62" t="s">
        <v>114</v>
      </c>
      <c r="F118" s="62" t="s">
        <v>110</v>
      </c>
      <c r="G118" s="64" t="s">
        <v>60</v>
      </c>
      <c r="H118" s="3" t="s">
        <v>67</v>
      </c>
      <c r="I118" s="65">
        <f>IFERROR(VLOOKUP(A118,'3. Call duration'!$A:$C,3,0),"--")</f>
        <v>29.9080569</v>
      </c>
      <c r="J118" s="65" t="str">
        <f t="array" ref="J118">XLOOKUP(H118,'2. Matching'!$A$2:$A$39,'2. Matching'!$B$2:$B$39,"--")</f>
        <v>Acquisition</v>
      </c>
      <c r="K118" s="65" t="str">
        <f t="shared" si="1"/>
        <v>In</v>
      </c>
    </row>
    <row r="119">
      <c r="A119" s="62" t="s">
        <v>253</v>
      </c>
      <c r="B119" s="63">
        <v>44394.0</v>
      </c>
      <c r="C119" s="62" t="s">
        <v>108</v>
      </c>
      <c r="D119" s="64">
        <v>0.0</v>
      </c>
      <c r="E119" s="62" t="s">
        <v>114</v>
      </c>
      <c r="F119" s="62" t="s">
        <v>110</v>
      </c>
      <c r="G119" s="64" t="s">
        <v>60</v>
      </c>
      <c r="H119" s="3" t="s">
        <v>67</v>
      </c>
      <c r="I119" s="65" t="str">
        <f>IFERROR(VLOOKUP(A119,'3. Call duration'!$A:$C,3,0),"--")</f>
        <v>--</v>
      </c>
      <c r="J119" s="65" t="str">
        <f t="array" ref="J119">XLOOKUP(H119,'2. Matching'!$A$2:$A$39,'2. Matching'!$B$2:$B$39,"--")</f>
        <v>Acquisition</v>
      </c>
      <c r="K119" s="65" t="str">
        <f t="shared" si="1"/>
        <v>In</v>
      </c>
    </row>
    <row r="120">
      <c r="A120" s="62" t="s">
        <v>254</v>
      </c>
      <c r="B120" s="63">
        <v>44040.0</v>
      </c>
      <c r="C120" s="62" t="s">
        <v>119</v>
      </c>
      <c r="D120" s="64">
        <v>0.0</v>
      </c>
      <c r="E120" s="62" t="s">
        <v>114</v>
      </c>
      <c r="F120" s="62" t="s">
        <v>115</v>
      </c>
      <c r="G120" s="64" t="s">
        <v>64</v>
      </c>
      <c r="H120" s="3" t="s">
        <v>131</v>
      </c>
      <c r="I120" s="65">
        <f>IFERROR(VLOOKUP(A120,'3. Call duration'!$A:$C,3,0),"--")</f>
        <v>33.5235131</v>
      </c>
      <c r="J120" s="65" t="str">
        <f t="array" ref="J120">XLOOKUP(H120,'2. Matching'!$A$2:$A$39,'2. Matching'!$B$2:$B$39,"--")</f>
        <v>Acquisition</v>
      </c>
      <c r="K120" s="65" t="str">
        <f t="shared" si="1"/>
        <v>In</v>
      </c>
    </row>
    <row r="121">
      <c r="A121" s="62" t="s">
        <v>255</v>
      </c>
      <c r="B121" s="63">
        <v>44389.0</v>
      </c>
      <c r="C121" s="62" t="s">
        <v>112</v>
      </c>
      <c r="D121" s="64">
        <v>0.0</v>
      </c>
      <c r="E121" s="62" t="s">
        <v>109</v>
      </c>
      <c r="F121" s="62" t="s">
        <v>115</v>
      </c>
      <c r="G121" s="64" t="s">
        <v>64</v>
      </c>
      <c r="H121" s="3" t="s">
        <v>116</v>
      </c>
      <c r="I121" s="65" t="str">
        <f>IFERROR(VLOOKUP(A121,'3. Call duration'!$A:$C,3,0),"--")</f>
        <v>--</v>
      </c>
      <c r="J121" s="65" t="str">
        <f t="array" ref="J121">XLOOKUP(H121,'2. Matching'!$A$2:$A$39,'2. Matching'!$B$2:$B$39,"--")</f>
        <v>Acquisition</v>
      </c>
      <c r="K121" s="65" t="str">
        <f t="shared" si="1"/>
        <v>In</v>
      </c>
    </row>
    <row r="122">
      <c r="A122" s="62" t="s">
        <v>256</v>
      </c>
      <c r="B122" s="63">
        <v>44396.0</v>
      </c>
      <c r="C122" s="62" t="s">
        <v>108</v>
      </c>
      <c r="D122" s="64">
        <v>0.0</v>
      </c>
      <c r="E122" s="62" t="s">
        <v>109</v>
      </c>
      <c r="F122" s="62" t="s">
        <v>115</v>
      </c>
      <c r="G122" s="64" t="s">
        <v>64</v>
      </c>
      <c r="H122" s="3" t="s">
        <v>169</v>
      </c>
      <c r="I122" s="65">
        <f>IFERROR(VLOOKUP(A122,'3. Call duration'!$A:$C,3,0),"--")</f>
        <v>24.74713915</v>
      </c>
      <c r="J122" s="65" t="str">
        <f t="array" ref="J122">XLOOKUP(H122,'2. Matching'!$A$2:$A$39,'2. Matching'!$B$2:$B$39,"--")</f>
        <v>SEO</v>
      </c>
      <c r="K122" s="65" t="str">
        <f t="shared" si="1"/>
        <v>In</v>
      </c>
    </row>
    <row r="123">
      <c r="A123" s="62" t="s">
        <v>257</v>
      </c>
      <c r="B123" s="63">
        <v>44389.0</v>
      </c>
      <c r="C123" s="62" t="s">
        <v>108</v>
      </c>
      <c r="D123" s="64">
        <v>0.0</v>
      </c>
      <c r="E123" s="62" t="s">
        <v>109</v>
      </c>
      <c r="F123" s="62" t="s">
        <v>110</v>
      </c>
      <c r="G123" s="64" t="s">
        <v>61</v>
      </c>
      <c r="H123" s="3" t="s">
        <v>67</v>
      </c>
      <c r="I123" s="65">
        <f>IFERROR(VLOOKUP(A123,'3. Call duration'!$A:$C,3,0),"--")</f>
        <v>29.16387364</v>
      </c>
      <c r="J123" s="65" t="str">
        <f t="array" ref="J123">XLOOKUP(H123,'2. Matching'!$A$2:$A$39,'2. Matching'!$B$2:$B$39,"--")</f>
        <v>Acquisition</v>
      </c>
      <c r="K123" s="65" t="str">
        <f t="shared" si="1"/>
        <v>In</v>
      </c>
    </row>
    <row r="124">
      <c r="A124" s="62" t="s">
        <v>258</v>
      </c>
      <c r="B124" s="63">
        <v>44400.0</v>
      </c>
      <c r="C124" s="62" t="s">
        <v>108</v>
      </c>
      <c r="D124" s="64">
        <v>0.0</v>
      </c>
      <c r="E124" s="62" t="s">
        <v>109</v>
      </c>
      <c r="F124" s="62" t="s">
        <v>115</v>
      </c>
      <c r="G124" s="64" t="s">
        <v>63</v>
      </c>
      <c r="H124" s="3" t="s">
        <v>124</v>
      </c>
      <c r="I124" s="65">
        <f>IFERROR(VLOOKUP(A124,'3. Call duration'!$A:$C,3,0),"--")</f>
        <v>24.66619932</v>
      </c>
      <c r="J124" s="65" t="str">
        <f t="array" ref="J124">XLOOKUP(H124,'2. Matching'!$A$2:$A$39,'2. Matching'!$B$2:$B$39,"--")</f>
        <v>Acquisition</v>
      </c>
      <c r="K124" s="65" t="str">
        <f t="shared" si="1"/>
        <v>In</v>
      </c>
    </row>
    <row r="125">
      <c r="A125" s="62" t="s">
        <v>259</v>
      </c>
      <c r="B125" s="63">
        <v>44399.0</v>
      </c>
      <c r="C125" s="62" t="s">
        <v>108</v>
      </c>
      <c r="D125" s="64">
        <v>0.0</v>
      </c>
      <c r="E125" s="62" t="s">
        <v>109</v>
      </c>
      <c r="F125" s="62" t="s">
        <v>110</v>
      </c>
      <c r="G125" s="64" t="s">
        <v>60</v>
      </c>
      <c r="H125" s="3" t="s">
        <v>67</v>
      </c>
      <c r="I125" s="65">
        <f>IFERROR(VLOOKUP(A125,'3. Call duration'!$A:$C,3,0),"--")</f>
        <v>29.12991039</v>
      </c>
      <c r="J125" s="65" t="str">
        <f t="array" ref="J125">XLOOKUP(H125,'2. Matching'!$A$2:$A$39,'2. Matching'!$B$2:$B$39,"--")</f>
        <v>Acquisition</v>
      </c>
      <c r="K125" s="65" t="str">
        <f t="shared" si="1"/>
        <v>In</v>
      </c>
    </row>
    <row r="126">
      <c r="A126" s="62" t="s">
        <v>260</v>
      </c>
      <c r="B126" s="63">
        <v>44383.0</v>
      </c>
      <c r="C126" s="62" t="s">
        <v>112</v>
      </c>
      <c r="D126" s="64">
        <v>0.0</v>
      </c>
      <c r="E126" s="62" t="s">
        <v>114</v>
      </c>
      <c r="F126" s="62" t="s">
        <v>110</v>
      </c>
      <c r="G126" s="64" t="s">
        <v>59</v>
      </c>
      <c r="H126" s="3" t="s">
        <v>68</v>
      </c>
      <c r="I126" s="65" t="str">
        <f>IFERROR(VLOOKUP(A126,'3. Call duration'!$A:$C,3,0),"--")</f>
        <v>--</v>
      </c>
      <c r="J126" s="65" t="str">
        <f t="array" ref="J126">XLOOKUP(H126,'2. Matching'!$A$2:$A$39,'2. Matching'!$B$2:$B$39,"--")</f>
        <v>Acquisition</v>
      </c>
      <c r="K126" s="65" t="str">
        <f t="shared" si="1"/>
        <v>In</v>
      </c>
    </row>
    <row r="127">
      <c r="A127" s="62" t="s">
        <v>261</v>
      </c>
      <c r="B127" s="63">
        <v>44389.0</v>
      </c>
      <c r="C127" s="62" t="s">
        <v>108</v>
      </c>
      <c r="D127" s="64">
        <v>0.0</v>
      </c>
      <c r="E127" s="62" t="s">
        <v>109</v>
      </c>
      <c r="F127" s="62" t="s">
        <v>115</v>
      </c>
      <c r="G127" s="64" t="s">
        <v>59</v>
      </c>
      <c r="H127" s="3" t="s">
        <v>68</v>
      </c>
      <c r="I127" s="65">
        <f>IFERROR(VLOOKUP(A127,'3. Call duration'!$A:$C,3,0),"--")</f>
        <v>32.86662168</v>
      </c>
      <c r="J127" s="65" t="str">
        <f t="array" ref="J127">XLOOKUP(H127,'2. Matching'!$A$2:$A$39,'2. Matching'!$B$2:$B$39,"--")</f>
        <v>Acquisition</v>
      </c>
      <c r="K127" s="65" t="str">
        <f t="shared" si="1"/>
        <v>In</v>
      </c>
    </row>
    <row r="128">
      <c r="A128" s="62" t="s">
        <v>262</v>
      </c>
      <c r="B128" s="63">
        <v>44385.0</v>
      </c>
      <c r="C128" s="62" t="s">
        <v>108</v>
      </c>
      <c r="D128" s="64">
        <v>0.0</v>
      </c>
      <c r="E128" s="62" t="s">
        <v>114</v>
      </c>
      <c r="F128" s="62" t="s">
        <v>110</v>
      </c>
      <c r="G128" s="64" t="s">
        <v>61</v>
      </c>
      <c r="H128" s="3" t="s">
        <v>67</v>
      </c>
      <c r="I128" s="65" t="str">
        <f>IFERROR(VLOOKUP(A128,'3. Call duration'!$A:$C,3,0),"--")</f>
        <v>--</v>
      </c>
      <c r="J128" s="65" t="str">
        <f t="array" ref="J128">XLOOKUP(H128,'2. Matching'!$A$2:$A$39,'2. Matching'!$B$2:$B$39,"--")</f>
        <v>Acquisition</v>
      </c>
      <c r="K128" s="65" t="str">
        <f t="shared" si="1"/>
        <v>In</v>
      </c>
    </row>
    <row r="129">
      <c r="A129" s="62" t="s">
        <v>263</v>
      </c>
      <c r="B129" s="63">
        <v>44391.0</v>
      </c>
      <c r="C129" s="62" t="s">
        <v>108</v>
      </c>
      <c r="D129" s="64">
        <v>0.0</v>
      </c>
      <c r="E129" s="62" t="s">
        <v>114</v>
      </c>
      <c r="F129" s="62" t="s">
        <v>115</v>
      </c>
      <c r="G129" s="64" t="s">
        <v>60</v>
      </c>
      <c r="H129" s="3" t="s">
        <v>68</v>
      </c>
      <c r="I129" s="65">
        <f>IFERROR(VLOOKUP(A129,'3. Call duration'!$A:$C,3,0),"--")</f>
        <v>30.39556649</v>
      </c>
      <c r="J129" s="65" t="str">
        <f t="array" ref="J129">XLOOKUP(H129,'2. Matching'!$A$2:$A$39,'2. Matching'!$B$2:$B$39,"--")</f>
        <v>Acquisition</v>
      </c>
      <c r="K129" s="65" t="str">
        <f t="shared" si="1"/>
        <v>In</v>
      </c>
    </row>
    <row r="130">
      <c r="A130" s="62" t="s">
        <v>264</v>
      </c>
      <c r="B130" s="63">
        <v>44383.0</v>
      </c>
      <c r="C130" s="62" t="s">
        <v>108</v>
      </c>
      <c r="D130" s="64">
        <v>0.0</v>
      </c>
      <c r="E130" s="62" t="s">
        <v>109</v>
      </c>
      <c r="F130" s="62" t="s">
        <v>115</v>
      </c>
      <c r="G130" s="64" t="s">
        <v>63</v>
      </c>
      <c r="H130" s="3" t="s">
        <v>228</v>
      </c>
      <c r="I130" s="65">
        <f>IFERROR(VLOOKUP(A130,'3. Call duration'!$A:$C,3,0),"--")</f>
        <v>24.04987022</v>
      </c>
      <c r="J130" s="65" t="str">
        <f t="array" ref="J130">XLOOKUP(H130,'2. Matching'!$A$2:$A$39,'2. Matching'!$B$2:$B$39,"--")</f>
        <v>Farming</v>
      </c>
      <c r="K130" s="65" t="str">
        <f t="shared" si="1"/>
        <v>In</v>
      </c>
    </row>
    <row r="131">
      <c r="A131" s="62" t="s">
        <v>265</v>
      </c>
      <c r="B131" s="63">
        <v>44398.0</v>
      </c>
      <c r="C131" s="62" t="s">
        <v>112</v>
      </c>
      <c r="D131" s="64">
        <v>0.0</v>
      </c>
      <c r="E131" s="62" t="s">
        <v>109</v>
      </c>
      <c r="F131" s="62" t="s">
        <v>110</v>
      </c>
      <c r="G131" s="64" t="s">
        <v>60</v>
      </c>
      <c r="H131" s="3" t="s">
        <v>67</v>
      </c>
      <c r="I131" s="65" t="str">
        <f>IFERROR(VLOOKUP(A131,'3. Call duration'!$A:$C,3,0),"--")</f>
        <v>--</v>
      </c>
      <c r="J131" s="65" t="str">
        <f t="array" ref="J131">XLOOKUP(H131,'2. Matching'!$A$2:$A$39,'2. Matching'!$B$2:$B$39,"--")</f>
        <v>Acquisition</v>
      </c>
      <c r="K131" s="65" t="str">
        <f t="shared" si="1"/>
        <v>In</v>
      </c>
    </row>
    <row r="132">
      <c r="A132" s="62" t="s">
        <v>266</v>
      </c>
      <c r="B132" s="63">
        <v>44382.0</v>
      </c>
      <c r="C132" s="62" t="s">
        <v>108</v>
      </c>
      <c r="D132" s="64">
        <v>0.0</v>
      </c>
      <c r="E132" s="62" t="s">
        <v>109</v>
      </c>
      <c r="F132" s="62" t="s">
        <v>115</v>
      </c>
      <c r="G132" s="64" t="s">
        <v>64</v>
      </c>
      <c r="H132" s="3" t="s">
        <v>116</v>
      </c>
      <c r="I132" s="65">
        <f>IFERROR(VLOOKUP(A132,'3. Call duration'!$A:$C,3,0),"--")</f>
        <v>31.04027431</v>
      </c>
      <c r="J132" s="65" t="str">
        <f t="array" ref="J132">XLOOKUP(H132,'2. Matching'!$A$2:$A$39,'2. Matching'!$B$2:$B$39,"--")</f>
        <v>Acquisition</v>
      </c>
      <c r="K132" s="65" t="str">
        <f t="shared" si="1"/>
        <v>In</v>
      </c>
    </row>
    <row r="133">
      <c r="A133" s="62" t="s">
        <v>267</v>
      </c>
      <c r="B133" s="63">
        <v>44390.0</v>
      </c>
      <c r="C133" s="62" t="s">
        <v>108</v>
      </c>
      <c r="D133" s="64">
        <v>0.0</v>
      </c>
      <c r="E133" s="62" t="s">
        <v>114</v>
      </c>
      <c r="F133" s="62" t="s">
        <v>110</v>
      </c>
      <c r="G133" s="64" t="s">
        <v>60</v>
      </c>
      <c r="H133" s="3" t="s">
        <v>67</v>
      </c>
      <c r="I133" s="65">
        <f>IFERROR(VLOOKUP(A133,'3. Call duration'!$A:$C,3,0),"--")</f>
        <v>28.69305892</v>
      </c>
      <c r="J133" s="65" t="str">
        <f t="array" ref="J133">XLOOKUP(H133,'2. Matching'!$A$2:$A$39,'2. Matching'!$B$2:$B$39,"--")</f>
        <v>Acquisition</v>
      </c>
      <c r="K133" s="65" t="str">
        <f t="shared" si="1"/>
        <v>In</v>
      </c>
    </row>
    <row r="134">
      <c r="A134" s="62" t="s">
        <v>268</v>
      </c>
      <c r="B134" s="63">
        <v>44383.0</v>
      </c>
      <c r="C134" s="62" t="s">
        <v>108</v>
      </c>
      <c r="D134" s="64">
        <v>0.0</v>
      </c>
      <c r="E134" s="62" t="s">
        <v>109</v>
      </c>
      <c r="F134" s="62" t="s">
        <v>115</v>
      </c>
      <c r="G134" s="64" t="s">
        <v>60</v>
      </c>
      <c r="H134" s="3" t="s">
        <v>68</v>
      </c>
      <c r="I134" s="65">
        <f>IFERROR(VLOOKUP(A134,'3. Call duration'!$A:$C,3,0),"--")</f>
        <v>16.45357123</v>
      </c>
      <c r="J134" s="65" t="str">
        <f t="array" ref="J134">XLOOKUP(H134,'2. Matching'!$A$2:$A$39,'2. Matching'!$B$2:$B$39,"--")</f>
        <v>Acquisition</v>
      </c>
      <c r="K134" s="65" t="str">
        <f t="shared" si="1"/>
        <v>In</v>
      </c>
    </row>
    <row r="135">
      <c r="A135" s="62" t="s">
        <v>269</v>
      </c>
      <c r="B135" s="63">
        <v>44378.0</v>
      </c>
      <c r="C135" s="62" t="s">
        <v>112</v>
      </c>
      <c r="D135" s="64">
        <v>0.0</v>
      </c>
      <c r="E135" s="62" t="s">
        <v>109</v>
      </c>
      <c r="F135" s="62" t="s">
        <v>115</v>
      </c>
      <c r="G135" s="64" t="s">
        <v>64</v>
      </c>
      <c r="H135" s="3" t="s">
        <v>116</v>
      </c>
      <c r="I135" s="65" t="str">
        <f>IFERROR(VLOOKUP(A135,'3. Call duration'!$A:$C,3,0),"--")</f>
        <v>--</v>
      </c>
      <c r="J135" s="65" t="str">
        <f t="array" ref="J135">XLOOKUP(H135,'2. Matching'!$A$2:$A$39,'2. Matching'!$B$2:$B$39,"--")</f>
        <v>Acquisition</v>
      </c>
      <c r="K135" s="65" t="str">
        <f t="shared" si="1"/>
        <v>In</v>
      </c>
    </row>
    <row r="136">
      <c r="A136" s="62" t="s">
        <v>270</v>
      </c>
      <c r="B136" s="63">
        <v>44067.0</v>
      </c>
      <c r="C136" s="62" t="s">
        <v>119</v>
      </c>
      <c r="D136" s="64">
        <v>80.0</v>
      </c>
      <c r="E136" s="62" t="s">
        <v>114</v>
      </c>
      <c r="F136" s="62" t="s">
        <v>115</v>
      </c>
      <c r="G136" s="64" t="s">
        <v>64</v>
      </c>
      <c r="H136" s="3" t="s">
        <v>235</v>
      </c>
      <c r="I136" s="65">
        <f>IFERROR(VLOOKUP(A136,'3. Call duration'!$A:$C,3,0),"--")</f>
        <v>24.67312949</v>
      </c>
      <c r="J136" s="65" t="str">
        <f t="array" ref="J136">XLOOKUP(H136,'2. Matching'!$A$2:$A$39,'2. Matching'!$B$2:$B$39,"--")</f>
        <v>Farming</v>
      </c>
      <c r="K136" s="65" t="str">
        <f t="shared" si="1"/>
        <v>In</v>
      </c>
    </row>
    <row r="137">
      <c r="A137" s="62" t="s">
        <v>271</v>
      </c>
      <c r="B137" s="63">
        <v>44397.0</v>
      </c>
      <c r="C137" s="62" t="s">
        <v>112</v>
      </c>
      <c r="D137" s="64">
        <v>0.0</v>
      </c>
      <c r="E137" s="62" t="s">
        <v>109</v>
      </c>
      <c r="F137" s="62" t="s">
        <v>115</v>
      </c>
      <c r="G137" s="64" t="s">
        <v>61</v>
      </c>
      <c r="H137" s="3" t="s">
        <v>68</v>
      </c>
      <c r="I137" s="65" t="str">
        <f>IFERROR(VLOOKUP(A137,'3. Call duration'!$A:$C,3,0),"--")</f>
        <v>--</v>
      </c>
      <c r="J137" s="65" t="str">
        <f t="array" ref="J137">XLOOKUP(H137,'2. Matching'!$A$2:$A$39,'2. Matching'!$B$2:$B$39,"--")</f>
        <v>Acquisition</v>
      </c>
      <c r="K137" s="65" t="str">
        <f t="shared" si="1"/>
        <v>In</v>
      </c>
    </row>
    <row r="138">
      <c r="A138" s="62" t="s">
        <v>272</v>
      </c>
      <c r="B138" s="63">
        <v>44393.0</v>
      </c>
      <c r="C138" s="62" t="s">
        <v>108</v>
      </c>
      <c r="D138" s="64">
        <v>0.0</v>
      </c>
      <c r="E138" s="62" t="s">
        <v>109</v>
      </c>
      <c r="F138" s="62" t="s">
        <v>115</v>
      </c>
      <c r="G138" s="64" t="s">
        <v>63</v>
      </c>
      <c r="H138" s="3" t="s">
        <v>183</v>
      </c>
      <c r="I138" s="65">
        <f>IFERROR(VLOOKUP(A138,'3. Call duration'!$A:$C,3,0),"--")</f>
        <v>27.88785302</v>
      </c>
      <c r="J138" s="65" t="str">
        <f t="array" ref="J138">XLOOKUP(H138,'2. Matching'!$A$2:$A$39,'2. Matching'!$B$2:$B$39,"--")</f>
        <v>SEO</v>
      </c>
      <c r="K138" s="65" t="str">
        <f t="shared" si="1"/>
        <v>In</v>
      </c>
    </row>
    <row r="139">
      <c r="A139" s="62" t="s">
        <v>273</v>
      </c>
      <c r="B139" s="63">
        <v>44070.0</v>
      </c>
      <c r="C139" s="62" t="s">
        <v>119</v>
      </c>
      <c r="D139" s="64">
        <v>80.0</v>
      </c>
      <c r="E139" s="62" t="s">
        <v>114</v>
      </c>
      <c r="F139" s="62" t="s">
        <v>115</v>
      </c>
      <c r="G139" s="64" t="s">
        <v>64</v>
      </c>
      <c r="H139" s="3" t="s">
        <v>164</v>
      </c>
      <c r="I139" s="65">
        <f>IFERROR(VLOOKUP(A139,'3. Call duration'!$A:$C,3,0),"--")</f>
        <v>22.56271807</v>
      </c>
      <c r="J139" s="65" t="str">
        <f t="array" ref="J139">XLOOKUP(H139,'2. Matching'!$A$2:$A$39,'2. Matching'!$B$2:$B$39,"--")</f>
        <v>SEO</v>
      </c>
      <c r="K139" s="65" t="str">
        <f t="shared" si="1"/>
        <v>In</v>
      </c>
    </row>
    <row r="140">
      <c r="A140" s="62" t="s">
        <v>274</v>
      </c>
      <c r="B140" s="63">
        <v>44399.0</v>
      </c>
      <c r="C140" s="62" t="s">
        <v>108</v>
      </c>
      <c r="D140" s="64">
        <v>0.0</v>
      </c>
      <c r="E140" s="62" t="s">
        <v>109</v>
      </c>
      <c r="F140" s="62" t="s">
        <v>115</v>
      </c>
      <c r="G140" s="64" t="s">
        <v>64</v>
      </c>
      <c r="H140" s="3" t="s">
        <v>141</v>
      </c>
      <c r="I140" s="65">
        <f>IFERROR(VLOOKUP(A140,'3. Call duration'!$A:$C,3,0),"--")</f>
        <v>27.60103664</v>
      </c>
      <c r="J140" s="65" t="str">
        <f t="array" ref="J140">XLOOKUP(H140,'2. Matching'!$A$2:$A$39,'2. Matching'!$B$2:$B$39,"--")</f>
        <v>Acquisition</v>
      </c>
      <c r="K140" s="65" t="str">
        <f t="shared" si="1"/>
        <v>In</v>
      </c>
    </row>
    <row r="141">
      <c r="A141" s="62" t="s">
        <v>275</v>
      </c>
      <c r="B141" s="63">
        <v>44397.0</v>
      </c>
      <c r="C141" s="62" t="s">
        <v>112</v>
      </c>
      <c r="D141" s="64">
        <v>0.0</v>
      </c>
      <c r="E141" s="62" t="s">
        <v>114</v>
      </c>
      <c r="F141" s="62" t="s">
        <v>115</v>
      </c>
      <c r="G141" s="64" t="s">
        <v>64</v>
      </c>
      <c r="H141" s="3" t="s">
        <v>169</v>
      </c>
      <c r="I141" s="65" t="str">
        <f>IFERROR(VLOOKUP(A141,'3. Call duration'!$A:$C,3,0),"--")</f>
        <v>--</v>
      </c>
      <c r="J141" s="65" t="str">
        <f t="array" ref="J141">XLOOKUP(H141,'2. Matching'!$A$2:$A$39,'2. Matching'!$B$2:$B$39,"--")</f>
        <v>SEO</v>
      </c>
      <c r="K141" s="65" t="str">
        <f t="shared" si="1"/>
        <v>In</v>
      </c>
    </row>
    <row r="142">
      <c r="A142" s="62" t="s">
        <v>276</v>
      </c>
      <c r="B142" s="63">
        <v>44382.0</v>
      </c>
      <c r="C142" s="62" t="s">
        <v>108</v>
      </c>
      <c r="D142" s="64">
        <v>0.0</v>
      </c>
      <c r="E142" s="62" t="s">
        <v>109</v>
      </c>
      <c r="F142" s="62" t="s">
        <v>115</v>
      </c>
      <c r="G142" s="64" t="s">
        <v>63</v>
      </c>
      <c r="H142" s="3" t="s">
        <v>124</v>
      </c>
      <c r="I142" s="65">
        <f>IFERROR(VLOOKUP(A142,'3. Call duration'!$A:$C,3,0),"--")</f>
        <v>27.45634972</v>
      </c>
      <c r="J142" s="65" t="str">
        <f t="array" ref="J142">XLOOKUP(H142,'2. Matching'!$A$2:$A$39,'2. Matching'!$B$2:$B$39,"--")</f>
        <v>Acquisition</v>
      </c>
      <c r="K142" s="65" t="str">
        <f t="shared" si="1"/>
        <v>In</v>
      </c>
    </row>
    <row r="143">
      <c r="A143" s="62" t="s">
        <v>277</v>
      </c>
      <c r="B143" s="63">
        <v>44392.0</v>
      </c>
      <c r="C143" s="62" t="s">
        <v>108</v>
      </c>
      <c r="D143" s="64">
        <v>0.0</v>
      </c>
      <c r="E143" s="62" t="s">
        <v>114</v>
      </c>
      <c r="F143" s="62" t="s">
        <v>110</v>
      </c>
      <c r="G143" s="64" t="s">
        <v>60</v>
      </c>
      <c r="H143" s="3" t="s">
        <v>67</v>
      </c>
      <c r="I143" s="65">
        <f>IFERROR(VLOOKUP(A143,'3. Call duration'!$A:$C,3,0),"--")</f>
        <v>28.57810984</v>
      </c>
      <c r="J143" s="65" t="str">
        <f t="array" ref="J143">XLOOKUP(H143,'2. Matching'!$A$2:$A$39,'2. Matching'!$B$2:$B$39,"--")</f>
        <v>Acquisition</v>
      </c>
      <c r="K143" s="65" t="str">
        <f t="shared" si="1"/>
        <v>In</v>
      </c>
    </row>
    <row r="144">
      <c r="A144" s="62" t="s">
        <v>278</v>
      </c>
      <c r="B144" s="63">
        <v>43827.0</v>
      </c>
      <c r="C144" s="62" t="s">
        <v>119</v>
      </c>
      <c r="D144" s="64">
        <v>0.0</v>
      </c>
      <c r="E144" s="62" t="s">
        <v>109</v>
      </c>
      <c r="F144" s="62" t="s">
        <v>115</v>
      </c>
      <c r="G144" s="64" t="s">
        <v>112</v>
      </c>
      <c r="H144" s="3"/>
      <c r="I144" s="65">
        <f>IFERROR(VLOOKUP(A144,'3. Call duration'!$A:$C,3,0),"--")</f>
        <v>36.94052558</v>
      </c>
      <c r="J144" s="65" t="str">
        <f t="array" ref="J144">XLOOKUP(H144,'2. Matching'!$A$2:$A$39,'2. Matching'!$B$2:$B$39,"--")</f>
        <v>--</v>
      </c>
      <c r="K144" s="65" t="str">
        <f t="shared" si="1"/>
        <v>In</v>
      </c>
    </row>
    <row r="145">
      <c r="A145" s="62" t="s">
        <v>279</v>
      </c>
      <c r="B145" s="63">
        <v>44393.0</v>
      </c>
      <c r="C145" s="62" t="s">
        <v>108</v>
      </c>
      <c r="D145" s="64">
        <v>0.0</v>
      </c>
      <c r="E145" s="62" t="s">
        <v>114</v>
      </c>
      <c r="F145" s="62" t="s">
        <v>110</v>
      </c>
      <c r="G145" s="64" t="s">
        <v>61</v>
      </c>
      <c r="H145" s="3" t="s">
        <v>67</v>
      </c>
      <c r="I145" s="65">
        <f>IFERROR(VLOOKUP(A145,'3. Call duration'!$A:$C,3,0),"--")</f>
        <v>26.09934962</v>
      </c>
      <c r="J145" s="65" t="str">
        <f t="array" ref="J145">XLOOKUP(H145,'2. Matching'!$A$2:$A$39,'2. Matching'!$B$2:$B$39,"--")</f>
        <v>Acquisition</v>
      </c>
      <c r="K145" s="65" t="str">
        <f t="shared" si="1"/>
        <v>In</v>
      </c>
    </row>
    <row r="146">
      <c r="A146" s="62" t="s">
        <v>280</v>
      </c>
      <c r="B146" s="63">
        <v>44398.0</v>
      </c>
      <c r="C146" s="62" t="s">
        <v>112</v>
      </c>
      <c r="D146" s="64">
        <v>0.0</v>
      </c>
      <c r="E146" s="62" t="s">
        <v>109</v>
      </c>
      <c r="F146" s="62" t="s">
        <v>110</v>
      </c>
      <c r="G146" s="64" t="s">
        <v>60</v>
      </c>
      <c r="H146" s="3" t="s">
        <v>67</v>
      </c>
      <c r="I146" s="65" t="str">
        <f>IFERROR(VLOOKUP(A146,'3. Call duration'!$A:$C,3,0),"--")</f>
        <v>--</v>
      </c>
      <c r="J146" s="65" t="str">
        <f t="array" ref="J146">XLOOKUP(H146,'2. Matching'!$A$2:$A$39,'2. Matching'!$B$2:$B$39,"--")</f>
        <v>Acquisition</v>
      </c>
      <c r="K146" s="65" t="str">
        <f t="shared" si="1"/>
        <v>In</v>
      </c>
    </row>
    <row r="147">
      <c r="A147" s="62" t="s">
        <v>281</v>
      </c>
      <c r="B147" s="63">
        <v>44398.0</v>
      </c>
      <c r="C147" s="62" t="s">
        <v>108</v>
      </c>
      <c r="D147" s="64">
        <v>0.0</v>
      </c>
      <c r="E147" s="62" t="s">
        <v>109</v>
      </c>
      <c r="F147" s="62" t="s">
        <v>110</v>
      </c>
      <c r="G147" s="64" t="s">
        <v>63</v>
      </c>
      <c r="H147" s="3" t="s">
        <v>124</v>
      </c>
      <c r="I147" s="65">
        <f>IFERROR(VLOOKUP(A147,'3. Call duration'!$A:$C,3,0),"--")</f>
        <v>26.48008965</v>
      </c>
      <c r="J147" s="65" t="str">
        <f t="array" ref="J147">XLOOKUP(H147,'2. Matching'!$A$2:$A$39,'2. Matching'!$B$2:$B$39,"--")</f>
        <v>Acquisition</v>
      </c>
      <c r="K147" s="65" t="str">
        <f t="shared" si="1"/>
        <v>In</v>
      </c>
    </row>
    <row r="148">
      <c r="A148" s="62" t="s">
        <v>282</v>
      </c>
      <c r="B148" s="63">
        <v>44393.0</v>
      </c>
      <c r="C148" s="62" t="s">
        <v>108</v>
      </c>
      <c r="D148" s="64">
        <v>0.0</v>
      </c>
      <c r="E148" s="62" t="s">
        <v>109</v>
      </c>
      <c r="F148" s="62" t="s">
        <v>115</v>
      </c>
      <c r="G148" s="64" t="s">
        <v>63</v>
      </c>
      <c r="H148" s="3" t="s">
        <v>124</v>
      </c>
      <c r="I148" s="65">
        <f>IFERROR(VLOOKUP(A148,'3. Call duration'!$A:$C,3,0),"--")</f>
        <v>23.91783894</v>
      </c>
      <c r="J148" s="65" t="str">
        <f t="array" ref="J148">XLOOKUP(H148,'2. Matching'!$A$2:$A$39,'2. Matching'!$B$2:$B$39,"--")</f>
        <v>Acquisition</v>
      </c>
      <c r="K148" s="65" t="str">
        <f t="shared" si="1"/>
        <v>In</v>
      </c>
    </row>
    <row r="149">
      <c r="A149" s="62" t="s">
        <v>283</v>
      </c>
      <c r="B149" s="63">
        <v>44399.0</v>
      </c>
      <c r="C149" s="62" t="s">
        <v>112</v>
      </c>
      <c r="D149" s="64">
        <v>0.0</v>
      </c>
      <c r="E149" s="62" t="s">
        <v>109</v>
      </c>
      <c r="F149" s="62" t="s">
        <v>115</v>
      </c>
      <c r="G149" s="64" t="s">
        <v>64</v>
      </c>
      <c r="H149" s="3" t="s">
        <v>139</v>
      </c>
      <c r="I149" s="65" t="str">
        <f>IFERROR(VLOOKUP(A149,'3. Call duration'!$A:$C,3,0),"--")</f>
        <v>--</v>
      </c>
      <c r="J149" s="65" t="str">
        <f t="array" ref="J149">XLOOKUP(H149,'2. Matching'!$A$2:$A$39,'2. Matching'!$B$2:$B$39,"--")</f>
        <v>Acquisition</v>
      </c>
      <c r="K149" s="65" t="str">
        <f t="shared" si="1"/>
        <v>In</v>
      </c>
    </row>
    <row r="150">
      <c r="A150" s="62" t="s">
        <v>284</v>
      </c>
      <c r="B150" s="63">
        <v>44382.0</v>
      </c>
      <c r="C150" s="62" t="s">
        <v>108</v>
      </c>
      <c r="D150" s="64">
        <v>0.0</v>
      </c>
      <c r="E150" s="62" t="s">
        <v>109</v>
      </c>
      <c r="F150" s="62" t="s">
        <v>115</v>
      </c>
      <c r="G150" s="64" t="s">
        <v>64</v>
      </c>
      <c r="H150" s="3" t="s">
        <v>139</v>
      </c>
      <c r="I150" s="65">
        <f>IFERROR(VLOOKUP(A150,'3. Call duration'!$A:$C,3,0),"--")</f>
        <v>12.75027185</v>
      </c>
      <c r="J150" s="65" t="str">
        <f t="array" ref="J150">XLOOKUP(H150,'2. Matching'!$A$2:$A$39,'2. Matching'!$B$2:$B$39,"--")</f>
        <v>Acquisition</v>
      </c>
      <c r="K150" s="65" t="str">
        <f t="shared" si="1"/>
        <v>In</v>
      </c>
    </row>
    <row r="151">
      <c r="A151" s="62" t="s">
        <v>285</v>
      </c>
      <c r="B151" s="63">
        <v>44232.0</v>
      </c>
      <c r="C151" s="62" t="s">
        <v>112</v>
      </c>
      <c r="D151" s="64">
        <v>0.0</v>
      </c>
      <c r="E151" s="62" t="s">
        <v>109</v>
      </c>
      <c r="F151" s="62" t="s">
        <v>115</v>
      </c>
      <c r="G151" s="64" t="s">
        <v>62</v>
      </c>
      <c r="H151" s="3" t="s">
        <v>286</v>
      </c>
      <c r="I151" s="65" t="str">
        <f>IFERROR(VLOOKUP(A151,'3. Call duration'!$A:$C,3,0),"--")</f>
        <v>--</v>
      </c>
      <c r="J151" s="65" t="str">
        <f t="array" ref="J151">XLOOKUP(H151,'2. Matching'!$A$2:$A$39,'2. Matching'!$B$2:$B$39,"--")</f>
        <v>Farming</v>
      </c>
      <c r="K151" s="65" t="str">
        <f t="shared" si="1"/>
        <v>In</v>
      </c>
    </row>
    <row r="152">
      <c r="A152" s="62" t="s">
        <v>287</v>
      </c>
      <c r="B152" s="63">
        <v>44125.0</v>
      </c>
      <c r="C152" s="62" t="s">
        <v>108</v>
      </c>
      <c r="D152" s="64">
        <v>0.0</v>
      </c>
      <c r="E152" s="62" t="s">
        <v>109</v>
      </c>
      <c r="F152" s="62" t="s">
        <v>110</v>
      </c>
      <c r="G152" s="64" t="s">
        <v>64</v>
      </c>
      <c r="H152" s="3" t="s">
        <v>221</v>
      </c>
      <c r="I152" s="65">
        <f>IFERROR(VLOOKUP(A152,'3. Call duration'!$A:$C,3,0),"--")</f>
        <v>21.9008232</v>
      </c>
      <c r="J152" s="65" t="str">
        <f t="array" ref="J152">XLOOKUP(H152,'2. Matching'!$A$2:$A$39,'2. Matching'!$B$2:$B$39,"--")</f>
        <v>Farming</v>
      </c>
      <c r="K152" s="65" t="str">
        <f t="shared" si="1"/>
        <v>In</v>
      </c>
    </row>
    <row r="153">
      <c r="A153" s="62" t="s">
        <v>288</v>
      </c>
      <c r="B153" s="63">
        <v>44354.0</v>
      </c>
      <c r="C153" s="62" t="s">
        <v>112</v>
      </c>
      <c r="D153" s="64">
        <v>0.0</v>
      </c>
      <c r="E153" s="62" t="s">
        <v>114</v>
      </c>
      <c r="F153" s="62" t="s">
        <v>110</v>
      </c>
      <c r="G153" s="64" t="s">
        <v>60</v>
      </c>
      <c r="H153" s="3" t="s">
        <v>67</v>
      </c>
      <c r="I153" s="65" t="str">
        <f>IFERROR(VLOOKUP(A153,'3. Call duration'!$A:$C,3,0),"--")</f>
        <v>--</v>
      </c>
      <c r="J153" s="65" t="str">
        <f t="array" ref="J153">XLOOKUP(H153,'2. Matching'!$A$2:$A$39,'2. Matching'!$B$2:$B$39,"--")</f>
        <v>Acquisition</v>
      </c>
      <c r="K153" s="65" t="str">
        <f t="shared" si="1"/>
        <v>In</v>
      </c>
    </row>
    <row r="154">
      <c r="A154" s="62" t="s">
        <v>289</v>
      </c>
      <c r="B154" s="63">
        <v>44342.0</v>
      </c>
      <c r="C154" s="62" t="s">
        <v>119</v>
      </c>
      <c r="D154" s="64">
        <v>47.5</v>
      </c>
      <c r="E154" s="62" t="s">
        <v>109</v>
      </c>
      <c r="F154" s="62" t="s">
        <v>110</v>
      </c>
      <c r="G154" s="64" t="s">
        <v>64</v>
      </c>
      <c r="H154" s="3" t="s">
        <v>54</v>
      </c>
      <c r="I154" s="65">
        <f>IFERROR(VLOOKUP(A154,'3. Call duration'!$A:$C,3,0),"--")</f>
        <v>8.556238184</v>
      </c>
      <c r="J154" s="65" t="str">
        <f t="array" ref="J154">XLOOKUP(H154,'2. Matching'!$A$2:$A$39,'2. Matching'!$B$2:$B$39,"--")</f>
        <v>Partnerships</v>
      </c>
      <c r="K154" s="65" t="str">
        <f t="shared" si="1"/>
        <v>In</v>
      </c>
    </row>
    <row r="155">
      <c r="A155" s="62" t="s">
        <v>290</v>
      </c>
      <c r="B155" s="63">
        <v>44117.0</v>
      </c>
      <c r="C155" s="62" t="s">
        <v>108</v>
      </c>
      <c r="D155" s="64">
        <v>0.0</v>
      </c>
      <c r="E155" s="62" t="s">
        <v>109</v>
      </c>
      <c r="F155" s="62" t="s">
        <v>115</v>
      </c>
      <c r="G155" s="64" t="s">
        <v>64</v>
      </c>
      <c r="H155" s="3" t="s">
        <v>169</v>
      </c>
      <c r="I155" s="65" t="str">
        <f>IFERROR(VLOOKUP(A155,'3. Call duration'!$A:$C,3,0),"--")</f>
        <v>--</v>
      </c>
      <c r="J155" s="65" t="str">
        <f t="array" ref="J155">XLOOKUP(H155,'2. Matching'!$A$2:$A$39,'2. Matching'!$B$2:$B$39,"--")</f>
        <v>SEO</v>
      </c>
      <c r="K155" s="65" t="str">
        <f t="shared" si="1"/>
        <v>In</v>
      </c>
    </row>
    <row r="156">
      <c r="A156" s="62" t="s">
        <v>291</v>
      </c>
      <c r="B156" s="63">
        <v>44203.0</v>
      </c>
      <c r="C156" s="62" t="s">
        <v>112</v>
      </c>
      <c r="D156" s="64">
        <v>0.0</v>
      </c>
      <c r="E156" s="62" t="s">
        <v>109</v>
      </c>
      <c r="F156" s="62" t="s">
        <v>115</v>
      </c>
      <c r="G156" s="64" t="s">
        <v>64</v>
      </c>
      <c r="H156" s="3" t="s">
        <v>155</v>
      </c>
      <c r="I156" s="65" t="str">
        <f>IFERROR(VLOOKUP(A156,'3. Call duration'!$A:$C,3,0),"--")</f>
        <v>--</v>
      </c>
      <c r="J156" s="65" t="str">
        <f t="array" ref="J156">XLOOKUP(H156,'2. Matching'!$A$2:$A$39,'2. Matching'!$B$2:$B$39,"--")</f>
        <v>SEO</v>
      </c>
      <c r="K156" s="65" t="str">
        <f t="shared" si="1"/>
        <v>In</v>
      </c>
    </row>
    <row r="157">
      <c r="A157" s="62" t="s">
        <v>292</v>
      </c>
      <c r="B157" s="63">
        <v>44356.0</v>
      </c>
      <c r="C157" s="62" t="s">
        <v>112</v>
      </c>
      <c r="D157" s="64">
        <v>0.0</v>
      </c>
      <c r="E157" s="62" t="s">
        <v>109</v>
      </c>
      <c r="F157" s="62" t="s">
        <v>110</v>
      </c>
      <c r="G157" s="64" t="s">
        <v>60</v>
      </c>
      <c r="H157" s="3" t="s">
        <v>67</v>
      </c>
      <c r="I157" s="65" t="str">
        <f>IFERROR(VLOOKUP(A157,'3. Call duration'!$A:$C,3,0),"--")</f>
        <v>--</v>
      </c>
      <c r="J157" s="65" t="str">
        <f t="array" ref="J157">XLOOKUP(H157,'2. Matching'!$A$2:$A$39,'2. Matching'!$B$2:$B$39,"--")</f>
        <v>Acquisition</v>
      </c>
      <c r="K157" s="65" t="str">
        <f t="shared" si="1"/>
        <v>In</v>
      </c>
    </row>
    <row r="158">
      <c r="A158" s="62" t="s">
        <v>293</v>
      </c>
      <c r="B158" s="63">
        <v>44166.0</v>
      </c>
      <c r="C158" s="62" t="s">
        <v>108</v>
      </c>
      <c r="D158" s="64">
        <v>0.0</v>
      </c>
      <c r="E158" s="62" t="s">
        <v>109</v>
      </c>
      <c r="F158" s="62" t="s">
        <v>115</v>
      </c>
      <c r="G158" s="64" t="s">
        <v>62</v>
      </c>
      <c r="H158" s="3" t="s">
        <v>294</v>
      </c>
      <c r="I158" s="65">
        <f>IFERROR(VLOOKUP(A158,'3. Call duration'!$A:$C,3,0),"--")</f>
        <v>31.50749813</v>
      </c>
      <c r="J158" s="65" t="str">
        <f t="array" ref="J158">XLOOKUP(H158,'2. Matching'!$A$2:$A$39,'2. Matching'!$B$2:$B$39,"--")</f>
        <v>Farming</v>
      </c>
      <c r="K158" s="65" t="str">
        <f t="shared" si="1"/>
        <v>In</v>
      </c>
    </row>
    <row r="159">
      <c r="A159" s="62" t="s">
        <v>295</v>
      </c>
      <c r="B159" s="63">
        <v>44329.0</v>
      </c>
      <c r="C159" s="62" t="s">
        <v>119</v>
      </c>
      <c r="D159" s="64">
        <v>47.5</v>
      </c>
      <c r="E159" s="62" t="s">
        <v>109</v>
      </c>
      <c r="F159" s="62" t="s">
        <v>115</v>
      </c>
      <c r="G159" s="64" t="s">
        <v>59</v>
      </c>
      <c r="H159" s="3" t="s">
        <v>68</v>
      </c>
      <c r="I159" s="65">
        <f>IFERROR(VLOOKUP(A159,'3. Call duration'!$A:$C,3,0),"--")</f>
        <v>10.17415549</v>
      </c>
      <c r="J159" s="65" t="str">
        <f t="array" ref="J159">XLOOKUP(H159,'2. Matching'!$A$2:$A$39,'2. Matching'!$B$2:$B$39,"--")</f>
        <v>Acquisition</v>
      </c>
      <c r="K159" s="65" t="str">
        <f t="shared" si="1"/>
        <v>In</v>
      </c>
    </row>
    <row r="160">
      <c r="A160" s="62" t="s">
        <v>296</v>
      </c>
      <c r="B160" s="63">
        <v>44274.0</v>
      </c>
      <c r="C160" s="62" t="s">
        <v>112</v>
      </c>
      <c r="D160" s="64">
        <v>0.0</v>
      </c>
      <c r="E160" s="62" t="s">
        <v>114</v>
      </c>
      <c r="F160" s="62" t="s">
        <v>110</v>
      </c>
      <c r="G160" s="64" t="s">
        <v>64</v>
      </c>
      <c r="H160" s="3" t="s">
        <v>297</v>
      </c>
      <c r="I160" s="65" t="str">
        <f>IFERROR(VLOOKUP(A160,'3. Call duration'!$A:$C,3,0),"--")</f>
        <v>--</v>
      </c>
      <c r="J160" s="65" t="str">
        <f t="array" ref="J160">XLOOKUP(H160,'2. Matching'!$A$2:$A$39,'2. Matching'!$B$2:$B$39,"--")</f>
        <v>Farming</v>
      </c>
      <c r="K160" s="65" t="str">
        <f t="shared" si="1"/>
        <v>In</v>
      </c>
    </row>
    <row r="161">
      <c r="A161" s="62" t="s">
        <v>298</v>
      </c>
      <c r="B161" s="63">
        <v>44342.0</v>
      </c>
      <c r="C161" s="62" t="s">
        <v>119</v>
      </c>
      <c r="D161" s="64">
        <v>47.5</v>
      </c>
      <c r="E161" s="62" t="s">
        <v>109</v>
      </c>
      <c r="F161" s="62" t="s">
        <v>110</v>
      </c>
      <c r="G161" s="64" t="s">
        <v>59</v>
      </c>
      <c r="H161" s="3" t="s">
        <v>68</v>
      </c>
      <c r="I161" s="65">
        <f>IFERROR(VLOOKUP(A161,'3. Call duration'!$A:$C,3,0),"--")</f>
        <v>10.19757223</v>
      </c>
      <c r="J161" s="65" t="str">
        <f t="array" ref="J161">XLOOKUP(H161,'2. Matching'!$A$2:$A$39,'2. Matching'!$B$2:$B$39,"--")</f>
        <v>Acquisition</v>
      </c>
      <c r="K161" s="65" t="str">
        <f t="shared" si="1"/>
        <v>In</v>
      </c>
    </row>
    <row r="162">
      <c r="A162" s="62" t="s">
        <v>299</v>
      </c>
      <c r="B162" s="63">
        <v>44371.0</v>
      </c>
      <c r="C162" s="62" t="s">
        <v>112</v>
      </c>
      <c r="D162" s="64">
        <v>0.0</v>
      </c>
      <c r="E162" s="62" t="s">
        <v>109</v>
      </c>
      <c r="F162" s="62" t="s">
        <v>115</v>
      </c>
      <c r="G162" s="64" t="s">
        <v>59</v>
      </c>
      <c r="H162" s="3" t="s">
        <v>68</v>
      </c>
      <c r="I162" s="65" t="str">
        <f>IFERROR(VLOOKUP(A162,'3. Call duration'!$A:$C,3,0),"--")</f>
        <v>--</v>
      </c>
      <c r="J162" s="65" t="str">
        <f t="array" ref="J162">XLOOKUP(H162,'2. Matching'!$A$2:$A$39,'2. Matching'!$B$2:$B$39,"--")</f>
        <v>Acquisition</v>
      </c>
      <c r="K162" s="65" t="str">
        <f t="shared" si="1"/>
        <v>In</v>
      </c>
    </row>
    <row r="163">
      <c r="A163" s="62" t="s">
        <v>300</v>
      </c>
      <c r="B163" s="63">
        <v>44235.0</v>
      </c>
      <c r="C163" s="62" t="s">
        <v>108</v>
      </c>
      <c r="D163" s="64">
        <v>0.0</v>
      </c>
      <c r="E163" s="62" t="s">
        <v>109</v>
      </c>
      <c r="F163" s="62" t="s">
        <v>115</v>
      </c>
      <c r="G163" s="64" t="s">
        <v>64</v>
      </c>
      <c r="H163" s="3" t="s">
        <v>139</v>
      </c>
      <c r="I163" s="65">
        <f>IFERROR(VLOOKUP(A163,'3. Call duration'!$A:$C,3,0),"--")</f>
        <v>31.59603906</v>
      </c>
      <c r="J163" s="65" t="str">
        <f t="array" ref="J163">XLOOKUP(H163,'2. Matching'!$A$2:$A$39,'2. Matching'!$B$2:$B$39,"--")</f>
        <v>Acquisition</v>
      </c>
      <c r="K163" s="65" t="str">
        <f t="shared" si="1"/>
        <v>In</v>
      </c>
    </row>
    <row r="164">
      <c r="A164" s="62" t="s">
        <v>301</v>
      </c>
      <c r="B164" s="63">
        <v>44396.0</v>
      </c>
      <c r="C164" s="62" t="s">
        <v>108</v>
      </c>
      <c r="D164" s="64">
        <v>0.0</v>
      </c>
      <c r="E164" s="62" t="s">
        <v>114</v>
      </c>
      <c r="F164" s="62" t="s">
        <v>110</v>
      </c>
      <c r="G164" s="64" t="s">
        <v>61</v>
      </c>
      <c r="H164" s="3" t="s">
        <v>67</v>
      </c>
      <c r="I164" s="65">
        <f>IFERROR(VLOOKUP(A164,'3. Call duration'!$A:$C,3,0),"--")</f>
        <v>32.58872752</v>
      </c>
      <c r="J164" s="65" t="str">
        <f t="array" ref="J164">XLOOKUP(H164,'2. Matching'!$A$2:$A$39,'2. Matching'!$B$2:$B$39,"--")</f>
        <v>Acquisition</v>
      </c>
      <c r="K164" s="65" t="str">
        <f t="shared" si="1"/>
        <v>In</v>
      </c>
    </row>
    <row r="165">
      <c r="A165" s="62" t="s">
        <v>302</v>
      </c>
      <c r="B165" s="63">
        <v>44238.0</v>
      </c>
      <c r="C165" s="62" t="s">
        <v>112</v>
      </c>
      <c r="D165" s="64">
        <v>0.0</v>
      </c>
      <c r="E165" s="62" t="s">
        <v>109</v>
      </c>
      <c r="F165" s="62" t="s">
        <v>115</v>
      </c>
      <c r="G165" s="64" t="s">
        <v>64</v>
      </c>
      <c r="H165" s="3" t="s">
        <v>175</v>
      </c>
      <c r="I165" s="65" t="str">
        <f>IFERROR(VLOOKUP(A165,'3. Call duration'!$A:$C,3,0),"--")</f>
        <v>--</v>
      </c>
      <c r="J165" s="65" t="str">
        <f t="array" ref="J165">XLOOKUP(H165,'2. Matching'!$A$2:$A$39,'2. Matching'!$B$2:$B$39,"--")</f>
        <v>SEO</v>
      </c>
      <c r="K165" s="65" t="str">
        <f t="shared" si="1"/>
        <v>In</v>
      </c>
    </row>
    <row r="166">
      <c r="A166" s="62" t="s">
        <v>303</v>
      </c>
      <c r="B166" s="63">
        <v>44349.0</v>
      </c>
      <c r="C166" s="62" t="s">
        <v>112</v>
      </c>
      <c r="D166" s="64">
        <v>0.0</v>
      </c>
      <c r="E166" s="62" t="s">
        <v>109</v>
      </c>
      <c r="F166" s="62" t="s">
        <v>115</v>
      </c>
      <c r="G166" s="64" t="s">
        <v>64</v>
      </c>
      <c r="H166" s="3" t="s">
        <v>52</v>
      </c>
      <c r="I166" s="65" t="str">
        <f>IFERROR(VLOOKUP(A166,'3. Call duration'!$A:$C,3,0),"--")</f>
        <v>--</v>
      </c>
      <c r="J166" s="65" t="str">
        <f t="array" ref="J166">XLOOKUP(H166,'2. Matching'!$A$2:$A$39,'2. Matching'!$B$2:$B$39,"--")</f>
        <v>Partnerships</v>
      </c>
      <c r="K166" s="65" t="str">
        <f t="shared" si="1"/>
        <v>In</v>
      </c>
    </row>
    <row r="167">
      <c r="A167" s="62" t="s">
        <v>304</v>
      </c>
      <c r="B167" s="63">
        <v>44313.0</v>
      </c>
      <c r="C167" s="62" t="s">
        <v>108</v>
      </c>
      <c r="D167" s="64">
        <v>0.0</v>
      </c>
      <c r="E167" s="62" t="s">
        <v>109</v>
      </c>
      <c r="F167" s="62" t="s">
        <v>110</v>
      </c>
      <c r="G167" s="64" t="s">
        <v>63</v>
      </c>
      <c r="H167" s="3" t="s">
        <v>128</v>
      </c>
      <c r="I167" s="65">
        <f>IFERROR(VLOOKUP(A167,'3. Call duration'!$A:$C,3,0),"--")</f>
        <v>27.08360708</v>
      </c>
      <c r="J167" s="65" t="str">
        <f t="array" ref="J167">XLOOKUP(H167,'2. Matching'!$A$2:$A$39,'2. Matching'!$B$2:$B$39,"--")</f>
        <v>Acquisition</v>
      </c>
      <c r="K167" s="65" t="str">
        <f t="shared" si="1"/>
        <v>In</v>
      </c>
    </row>
    <row r="168">
      <c r="A168" s="62" t="s">
        <v>305</v>
      </c>
      <c r="B168" s="63">
        <v>44292.0</v>
      </c>
      <c r="C168" s="62" t="s">
        <v>108</v>
      </c>
      <c r="D168" s="64">
        <v>0.0</v>
      </c>
      <c r="E168" s="62" t="s">
        <v>109</v>
      </c>
      <c r="F168" s="62" t="s">
        <v>115</v>
      </c>
      <c r="G168" s="64" t="s">
        <v>64</v>
      </c>
      <c r="H168" s="3" t="s">
        <v>141</v>
      </c>
      <c r="I168" s="65">
        <f>IFERROR(VLOOKUP(A168,'3. Call duration'!$A:$C,3,0),"--")</f>
        <v>45.68697336</v>
      </c>
      <c r="J168" s="65" t="str">
        <f t="array" ref="J168">XLOOKUP(H168,'2. Matching'!$A$2:$A$39,'2. Matching'!$B$2:$B$39,"--")</f>
        <v>Acquisition</v>
      </c>
      <c r="K168" s="65" t="str">
        <f t="shared" si="1"/>
        <v>In</v>
      </c>
    </row>
    <row r="169">
      <c r="A169" s="62" t="s">
        <v>306</v>
      </c>
      <c r="B169" s="63">
        <v>44249.0</v>
      </c>
      <c r="C169" s="62" t="s">
        <v>112</v>
      </c>
      <c r="D169" s="64">
        <v>0.0</v>
      </c>
      <c r="E169" s="62" t="s">
        <v>109</v>
      </c>
      <c r="F169" s="62" t="s">
        <v>115</v>
      </c>
      <c r="G169" s="64" t="s">
        <v>64</v>
      </c>
      <c r="H169" s="3" t="s">
        <v>145</v>
      </c>
      <c r="I169" s="65" t="str">
        <f>IFERROR(VLOOKUP(A169,'3. Call duration'!$A:$C,3,0),"--")</f>
        <v>--</v>
      </c>
      <c r="J169" s="65" t="str">
        <f t="array" ref="J169">XLOOKUP(H169,'2. Matching'!$A$2:$A$39,'2. Matching'!$B$2:$B$39,"--")</f>
        <v>SEO</v>
      </c>
      <c r="K169" s="65" t="str">
        <f t="shared" si="1"/>
        <v>In</v>
      </c>
    </row>
    <row r="170">
      <c r="A170" s="62" t="s">
        <v>307</v>
      </c>
      <c r="B170" s="63">
        <v>44298.0</v>
      </c>
      <c r="C170" s="62" t="s">
        <v>112</v>
      </c>
      <c r="D170" s="64">
        <v>0.0</v>
      </c>
      <c r="E170" s="62" t="s">
        <v>109</v>
      </c>
      <c r="F170" s="62" t="s">
        <v>110</v>
      </c>
      <c r="G170" s="64" t="s">
        <v>64</v>
      </c>
      <c r="H170" s="3" t="s">
        <v>297</v>
      </c>
      <c r="I170" s="65" t="str">
        <f>IFERROR(VLOOKUP(A170,'3. Call duration'!$A:$C,3,0),"--")</f>
        <v>--</v>
      </c>
      <c r="J170" s="65" t="str">
        <f t="array" ref="J170">XLOOKUP(H170,'2. Matching'!$A$2:$A$39,'2. Matching'!$B$2:$B$39,"--")</f>
        <v>Farming</v>
      </c>
      <c r="K170" s="65" t="str">
        <f t="shared" si="1"/>
        <v>In</v>
      </c>
    </row>
    <row r="171">
      <c r="A171" s="62" t="s">
        <v>308</v>
      </c>
      <c r="B171" s="63">
        <v>44223.0</v>
      </c>
      <c r="C171" s="62" t="s">
        <v>108</v>
      </c>
      <c r="D171" s="64">
        <v>0.0</v>
      </c>
      <c r="E171" s="62" t="s">
        <v>109</v>
      </c>
      <c r="F171" s="62" t="s">
        <v>115</v>
      </c>
      <c r="G171" s="64" t="s">
        <v>64</v>
      </c>
      <c r="H171" s="3" t="s">
        <v>175</v>
      </c>
      <c r="I171" s="65">
        <f>IFERROR(VLOOKUP(A171,'3. Call duration'!$A:$C,3,0),"--")</f>
        <v>26.23851336</v>
      </c>
      <c r="J171" s="65" t="str">
        <f t="array" ref="J171">XLOOKUP(H171,'2. Matching'!$A$2:$A$39,'2. Matching'!$B$2:$B$39,"--")</f>
        <v>SEO</v>
      </c>
      <c r="K171" s="65" t="str">
        <f t="shared" si="1"/>
        <v>In</v>
      </c>
    </row>
    <row r="172">
      <c r="A172" s="62" t="s">
        <v>309</v>
      </c>
      <c r="B172" s="63">
        <v>44229.0</v>
      </c>
      <c r="C172" s="62" t="s">
        <v>108</v>
      </c>
      <c r="D172" s="64">
        <v>0.0</v>
      </c>
      <c r="E172" s="62" t="s">
        <v>109</v>
      </c>
      <c r="F172" s="62" t="s">
        <v>115</v>
      </c>
      <c r="G172" s="64" t="s">
        <v>64</v>
      </c>
      <c r="H172" s="3" t="s">
        <v>185</v>
      </c>
      <c r="I172" s="65">
        <f>IFERROR(VLOOKUP(A172,'3. Call duration'!$A:$C,3,0),"--")</f>
        <v>45.35707725</v>
      </c>
      <c r="J172" s="65" t="str">
        <f t="array" ref="J172">XLOOKUP(H172,'2. Matching'!$A$2:$A$39,'2. Matching'!$B$2:$B$39,"--")</f>
        <v>SEO</v>
      </c>
      <c r="K172" s="65" t="str">
        <f t="shared" si="1"/>
        <v>In</v>
      </c>
    </row>
    <row r="173">
      <c r="A173" s="62" t="s">
        <v>310</v>
      </c>
      <c r="B173" s="63">
        <v>44343.0</v>
      </c>
      <c r="C173" s="62" t="s">
        <v>119</v>
      </c>
      <c r="D173" s="64">
        <v>95.0</v>
      </c>
      <c r="E173" s="62" t="s">
        <v>114</v>
      </c>
      <c r="F173" s="62" t="s">
        <v>115</v>
      </c>
      <c r="G173" s="64" t="s">
        <v>64</v>
      </c>
      <c r="H173" s="3" t="s">
        <v>164</v>
      </c>
      <c r="I173" s="65">
        <f>IFERROR(VLOOKUP(A173,'3. Call duration'!$A:$C,3,0),"--")</f>
        <v>10.25131539</v>
      </c>
      <c r="J173" s="65" t="str">
        <f t="array" ref="J173">XLOOKUP(H173,'2. Matching'!$A$2:$A$39,'2. Matching'!$B$2:$B$39,"--")</f>
        <v>SEO</v>
      </c>
      <c r="K173" s="65" t="str">
        <f t="shared" si="1"/>
        <v>In</v>
      </c>
    </row>
    <row r="174">
      <c r="A174" s="62" t="s">
        <v>311</v>
      </c>
      <c r="B174" s="63">
        <v>44288.0</v>
      </c>
      <c r="C174" s="62" t="s">
        <v>112</v>
      </c>
      <c r="D174" s="64">
        <v>0.0</v>
      </c>
      <c r="E174" s="62" t="s">
        <v>114</v>
      </c>
      <c r="F174" s="62" t="s">
        <v>110</v>
      </c>
      <c r="G174" s="64" t="s">
        <v>64</v>
      </c>
      <c r="H174" s="3" t="s">
        <v>54</v>
      </c>
      <c r="I174" s="65" t="str">
        <f>IFERROR(VLOOKUP(A174,'3. Call duration'!$A:$C,3,0),"--")</f>
        <v>--</v>
      </c>
      <c r="J174" s="65" t="str">
        <f t="array" ref="J174">XLOOKUP(H174,'2. Matching'!$A$2:$A$39,'2. Matching'!$B$2:$B$39,"--")</f>
        <v>Partnerships</v>
      </c>
      <c r="K174" s="65" t="str">
        <f t="shared" si="1"/>
        <v>In</v>
      </c>
    </row>
    <row r="175">
      <c r="A175" s="62" t="s">
        <v>312</v>
      </c>
      <c r="B175" s="63">
        <v>44344.0</v>
      </c>
      <c r="C175" s="62" t="s">
        <v>119</v>
      </c>
      <c r="D175" s="64">
        <v>47.5</v>
      </c>
      <c r="E175" s="62" t="s">
        <v>109</v>
      </c>
      <c r="F175" s="62" t="s">
        <v>110</v>
      </c>
      <c r="G175" s="64" t="s">
        <v>64</v>
      </c>
      <c r="H175" s="3" t="s">
        <v>54</v>
      </c>
      <c r="I175" s="65">
        <f>IFERROR(VLOOKUP(A175,'3. Call duration'!$A:$C,3,0),"--")</f>
        <v>10.37739501</v>
      </c>
      <c r="J175" s="65" t="str">
        <f t="array" ref="J175">XLOOKUP(H175,'2. Matching'!$A$2:$A$39,'2. Matching'!$B$2:$B$39,"--")</f>
        <v>Partnerships</v>
      </c>
      <c r="K175" s="65" t="str">
        <f t="shared" si="1"/>
        <v>In</v>
      </c>
    </row>
    <row r="176">
      <c r="A176" s="62" t="s">
        <v>313</v>
      </c>
      <c r="B176" s="63">
        <v>44328.0</v>
      </c>
      <c r="C176" s="62" t="s">
        <v>119</v>
      </c>
      <c r="D176" s="64">
        <v>47.5</v>
      </c>
      <c r="E176" s="62" t="s">
        <v>109</v>
      </c>
      <c r="F176" s="62" t="s">
        <v>115</v>
      </c>
      <c r="G176" s="64" t="s">
        <v>64</v>
      </c>
      <c r="H176" s="3" t="s">
        <v>135</v>
      </c>
      <c r="I176" s="65">
        <f>IFERROR(VLOOKUP(A176,'3. Call duration'!$A:$C,3,0),"--")</f>
        <v>10.44613034</v>
      </c>
      <c r="J176" s="65" t="str">
        <f t="array" ref="J176">XLOOKUP(H176,'2. Matching'!$A$2:$A$39,'2. Matching'!$B$2:$B$39,"--")</f>
        <v>Acquisition</v>
      </c>
      <c r="K176" s="65" t="str">
        <f t="shared" si="1"/>
        <v>In</v>
      </c>
    </row>
    <row r="177">
      <c r="A177" s="62" t="s">
        <v>314</v>
      </c>
      <c r="B177" s="63">
        <v>44312.0</v>
      </c>
      <c r="C177" s="62" t="s">
        <v>108</v>
      </c>
      <c r="D177" s="64">
        <v>0.0</v>
      </c>
      <c r="E177" s="62" t="s">
        <v>109</v>
      </c>
      <c r="F177" s="62" t="s">
        <v>115</v>
      </c>
      <c r="G177" s="64" t="s">
        <v>63</v>
      </c>
      <c r="H177" s="3" t="s">
        <v>189</v>
      </c>
      <c r="I177" s="65">
        <f>IFERROR(VLOOKUP(A177,'3. Call duration'!$A:$C,3,0),"--")</f>
        <v>20.29758511</v>
      </c>
      <c r="J177" s="65" t="str">
        <f t="array" ref="J177">XLOOKUP(H177,'2. Matching'!$A$2:$A$39,'2. Matching'!$B$2:$B$39,"--")</f>
        <v>SEO</v>
      </c>
      <c r="K177" s="65" t="str">
        <f t="shared" si="1"/>
        <v>Out</v>
      </c>
    </row>
    <row r="178">
      <c r="A178" s="62" t="s">
        <v>315</v>
      </c>
      <c r="B178" s="63">
        <v>44179.0</v>
      </c>
      <c r="C178" s="62" t="s">
        <v>112</v>
      </c>
      <c r="D178" s="64">
        <v>0.0</v>
      </c>
      <c r="E178" s="62" t="s">
        <v>114</v>
      </c>
      <c r="F178" s="62" t="s">
        <v>115</v>
      </c>
      <c r="G178" s="64" t="s">
        <v>62</v>
      </c>
      <c r="H178" s="3" t="s">
        <v>286</v>
      </c>
      <c r="I178" s="65" t="str">
        <f>IFERROR(VLOOKUP(A178,'3. Call duration'!$A:$C,3,0),"--")</f>
        <v>--</v>
      </c>
      <c r="J178" s="65" t="str">
        <f t="array" ref="J178">XLOOKUP(H178,'2. Matching'!$A$2:$A$39,'2. Matching'!$B$2:$B$39,"--")</f>
        <v>Farming</v>
      </c>
      <c r="K178" s="65" t="str">
        <f t="shared" si="1"/>
        <v>In</v>
      </c>
    </row>
    <row r="179">
      <c r="A179" s="62" t="s">
        <v>316</v>
      </c>
      <c r="B179" s="63">
        <v>44344.0</v>
      </c>
      <c r="C179" s="62" t="s">
        <v>119</v>
      </c>
      <c r="D179" s="64">
        <v>47.5</v>
      </c>
      <c r="E179" s="62" t="s">
        <v>109</v>
      </c>
      <c r="F179" s="62" t="s">
        <v>115</v>
      </c>
      <c r="G179" s="64" t="s">
        <v>64</v>
      </c>
      <c r="H179" s="3" t="s">
        <v>139</v>
      </c>
      <c r="I179" s="65">
        <f>IFERROR(VLOOKUP(A179,'3. Call duration'!$A:$C,3,0),"--")</f>
        <v>10.4658215</v>
      </c>
      <c r="J179" s="65" t="str">
        <f t="array" ref="J179">XLOOKUP(H179,'2. Matching'!$A$2:$A$39,'2. Matching'!$B$2:$B$39,"--")</f>
        <v>Acquisition</v>
      </c>
      <c r="K179" s="65" t="str">
        <f t="shared" si="1"/>
        <v>In</v>
      </c>
    </row>
    <row r="180">
      <c r="A180" s="62" t="s">
        <v>317</v>
      </c>
      <c r="B180" s="63">
        <v>44172.0</v>
      </c>
      <c r="C180" s="62" t="s">
        <v>112</v>
      </c>
      <c r="D180" s="64">
        <v>0.0</v>
      </c>
      <c r="E180" s="62" t="s">
        <v>114</v>
      </c>
      <c r="F180" s="62" t="s">
        <v>110</v>
      </c>
      <c r="G180" s="64" t="s">
        <v>64</v>
      </c>
      <c r="H180" s="3" t="s">
        <v>175</v>
      </c>
      <c r="I180" s="65" t="str">
        <f>IFERROR(VLOOKUP(A180,'3. Call duration'!$A:$C,3,0),"--")</f>
        <v>--</v>
      </c>
      <c r="J180" s="65" t="str">
        <f t="array" ref="J180">XLOOKUP(H180,'2. Matching'!$A$2:$A$39,'2. Matching'!$B$2:$B$39,"--")</f>
        <v>SEO</v>
      </c>
      <c r="K180" s="65" t="str">
        <f t="shared" si="1"/>
        <v>In</v>
      </c>
    </row>
    <row r="181">
      <c r="A181" s="62" t="s">
        <v>318</v>
      </c>
      <c r="B181" s="63">
        <v>44256.0</v>
      </c>
      <c r="C181" s="62" t="s">
        <v>108</v>
      </c>
      <c r="D181" s="64">
        <v>0.0</v>
      </c>
      <c r="E181" s="62" t="s">
        <v>114</v>
      </c>
      <c r="F181" s="62" t="s">
        <v>110</v>
      </c>
      <c r="G181" s="64" t="s">
        <v>64</v>
      </c>
      <c r="H181" s="3" t="s">
        <v>297</v>
      </c>
      <c r="I181" s="65">
        <f>IFERROR(VLOOKUP(A181,'3. Call duration'!$A:$C,3,0),"--")</f>
        <v>24.71199563</v>
      </c>
      <c r="J181" s="65" t="str">
        <f t="array" ref="J181">XLOOKUP(H181,'2. Matching'!$A$2:$A$39,'2. Matching'!$B$2:$B$39,"--")</f>
        <v>Farming</v>
      </c>
      <c r="K181" s="65" t="str">
        <f t="shared" si="1"/>
        <v>In</v>
      </c>
    </row>
    <row r="182">
      <c r="A182" s="62" t="s">
        <v>319</v>
      </c>
      <c r="B182" s="63">
        <v>44309.0</v>
      </c>
      <c r="C182" s="62" t="s">
        <v>112</v>
      </c>
      <c r="D182" s="64">
        <v>0.0</v>
      </c>
      <c r="E182" s="62" t="s">
        <v>109</v>
      </c>
      <c r="F182" s="62" t="s">
        <v>110</v>
      </c>
      <c r="G182" s="64" t="s">
        <v>64</v>
      </c>
      <c r="H182" s="3" t="s">
        <v>54</v>
      </c>
      <c r="I182" s="65" t="str">
        <f>IFERROR(VLOOKUP(A182,'3. Call duration'!$A:$C,3,0),"--")</f>
        <v>--</v>
      </c>
      <c r="J182" s="65" t="str">
        <f t="array" ref="J182">XLOOKUP(H182,'2. Matching'!$A$2:$A$39,'2. Matching'!$B$2:$B$39,"--")</f>
        <v>Partnerships</v>
      </c>
      <c r="K182" s="65" t="str">
        <f t="shared" si="1"/>
        <v>In</v>
      </c>
    </row>
    <row r="183">
      <c r="A183" s="62" t="s">
        <v>320</v>
      </c>
      <c r="B183" s="63">
        <v>44370.0</v>
      </c>
      <c r="C183" s="62" t="s">
        <v>108</v>
      </c>
      <c r="D183" s="64">
        <v>0.0</v>
      </c>
      <c r="E183" s="62" t="s">
        <v>114</v>
      </c>
      <c r="F183" s="62" t="s">
        <v>110</v>
      </c>
      <c r="G183" s="64" t="s">
        <v>63</v>
      </c>
      <c r="H183" s="3" t="s">
        <v>124</v>
      </c>
      <c r="I183" s="65">
        <f>IFERROR(VLOOKUP(A183,'3. Call duration'!$A:$C,3,0),"--")</f>
        <v>30.60847358</v>
      </c>
      <c r="J183" s="65" t="str">
        <f t="array" ref="J183">XLOOKUP(H183,'2. Matching'!$A$2:$A$39,'2. Matching'!$B$2:$B$39,"--")</f>
        <v>Acquisition</v>
      </c>
      <c r="K183" s="65" t="str">
        <f t="shared" si="1"/>
        <v>In</v>
      </c>
    </row>
    <row r="184">
      <c r="A184" s="62" t="s">
        <v>321</v>
      </c>
      <c r="B184" s="63">
        <v>44292.0</v>
      </c>
      <c r="C184" s="62" t="s">
        <v>108</v>
      </c>
      <c r="D184" s="64">
        <v>0.0</v>
      </c>
      <c r="E184" s="62" t="s">
        <v>109</v>
      </c>
      <c r="F184" s="62" t="s">
        <v>115</v>
      </c>
      <c r="G184" s="64" t="s">
        <v>64</v>
      </c>
      <c r="H184" s="3" t="s">
        <v>185</v>
      </c>
      <c r="I184" s="65">
        <f>IFERROR(VLOOKUP(A184,'3. Call duration'!$A:$C,3,0),"--")</f>
        <v>26.18400291</v>
      </c>
      <c r="J184" s="65" t="str">
        <f t="array" ref="J184">XLOOKUP(H184,'2. Matching'!$A$2:$A$39,'2. Matching'!$B$2:$B$39,"--")</f>
        <v>SEO</v>
      </c>
      <c r="K184" s="65" t="str">
        <f t="shared" si="1"/>
        <v>In</v>
      </c>
    </row>
    <row r="185">
      <c r="A185" s="62" t="s">
        <v>322</v>
      </c>
      <c r="B185" s="63">
        <v>44394.0</v>
      </c>
      <c r="C185" s="62" t="s">
        <v>112</v>
      </c>
      <c r="D185" s="64">
        <v>0.0</v>
      </c>
      <c r="E185" s="62" t="s">
        <v>109</v>
      </c>
      <c r="F185" s="62" t="s">
        <v>110</v>
      </c>
      <c r="G185" s="64" t="s">
        <v>60</v>
      </c>
      <c r="H185" s="3" t="s">
        <v>67</v>
      </c>
      <c r="I185" s="65" t="str">
        <f>IFERROR(VLOOKUP(A185,'3. Call duration'!$A:$C,3,0),"--")</f>
        <v>--</v>
      </c>
      <c r="J185" s="65" t="str">
        <f t="array" ref="J185">XLOOKUP(H185,'2. Matching'!$A$2:$A$39,'2. Matching'!$B$2:$B$39,"--")</f>
        <v>Acquisition</v>
      </c>
      <c r="K185" s="65" t="str">
        <f t="shared" si="1"/>
        <v>In</v>
      </c>
    </row>
    <row r="186">
      <c r="A186" s="62" t="s">
        <v>323</v>
      </c>
      <c r="B186" s="63">
        <v>44302.0</v>
      </c>
      <c r="C186" s="62" t="s">
        <v>112</v>
      </c>
      <c r="D186" s="64">
        <v>0.0</v>
      </c>
      <c r="E186" s="62" t="s">
        <v>109</v>
      </c>
      <c r="F186" s="62" t="s">
        <v>115</v>
      </c>
      <c r="G186" s="64" t="s">
        <v>63</v>
      </c>
      <c r="H186" s="3" t="s">
        <v>183</v>
      </c>
      <c r="I186" s="65" t="str">
        <f>IFERROR(VLOOKUP(A186,'3. Call duration'!$A:$C,3,0),"--")</f>
        <v>--</v>
      </c>
      <c r="J186" s="65" t="str">
        <f t="array" ref="J186">XLOOKUP(H186,'2. Matching'!$A$2:$A$39,'2. Matching'!$B$2:$B$39,"--")</f>
        <v>SEO</v>
      </c>
      <c r="K186" s="65" t="str">
        <f t="shared" si="1"/>
        <v>In</v>
      </c>
    </row>
    <row r="187">
      <c r="A187" s="62" t="s">
        <v>324</v>
      </c>
      <c r="B187" s="63">
        <v>44326.0</v>
      </c>
      <c r="C187" s="62" t="s">
        <v>108</v>
      </c>
      <c r="D187" s="64">
        <v>0.0</v>
      </c>
      <c r="E187" s="62" t="s">
        <v>114</v>
      </c>
      <c r="F187" s="62" t="s">
        <v>115</v>
      </c>
      <c r="G187" s="64" t="s">
        <v>63</v>
      </c>
      <c r="H187" s="3" t="s">
        <v>189</v>
      </c>
      <c r="I187" s="65">
        <f>IFERROR(VLOOKUP(A187,'3. Call duration'!$A:$C,3,0),"--")</f>
        <v>10.5179116</v>
      </c>
      <c r="J187" s="65" t="str">
        <f t="array" ref="J187">XLOOKUP(H187,'2. Matching'!$A$2:$A$39,'2. Matching'!$B$2:$B$39,"--")</f>
        <v>SEO</v>
      </c>
      <c r="K187" s="65" t="str">
        <f t="shared" si="1"/>
        <v>Out</v>
      </c>
    </row>
    <row r="188">
      <c r="A188" s="62" t="s">
        <v>325</v>
      </c>
      <c r="B188" s="63">
        <v>44215.0</v>
      </c>
      <c r="C188" s="62" t="s">
        <v>112</v>
      </c>
      <c r="D188" s="64">
        <v>0.0</v>
      </c>
      <c r="E188" s="62" t="s">
        <v>109</v>
      </c>
      <c r="F188" s="62" t="s">
        <v>115</v>
      </c>
      <c r="G188" s="64" t="s">
        <v>64</v>
      </c>
      <c r="H188" s="3" t="s">
        <v>150</v>
      </c>
      <c r="I188" s="65" t="str">
        <f>IFERROR(VLOOKUP(A188,'3. Call duration'!$A:$C,3,0),"--")</f>
        <v>--</v>
      </c>
      <c r="J188" s="65" t="str">
        <f t="array" ref="J188">XLOOKUP(H188,'2. Matching'!$A$2:$A$39,'2. Matching'!$B$2:$B$39,"--")</f>
        <v>SEO</v>
      </c>
      <c r="K188" s="65" t="str">
        <f t="shared" si="1"/>
        <v>In</v>
      </c>
    </row>
    <row r="189">
      <c r="A189" s="62" t="s">
        <v>326</v>
      </c>
      <c r="B189" s="63">
        <v>44378.0</v>
      </c>
      <c r="C189" s="62" t="s">
        <v>112</v>
      </c>
      <c r="D189" s="64">
        <v>0.0</v>
      </c>
      <c r="E189" s="62" t="s">
        <v>109</v>
      </c>
      <c r="F189" s="62" t="s">
        <v>115</v>
      </c>
      <c r="G189" s="64" t="s">
        <v>63</v>
      </c>
      <c r="H189" s="3" t="s">
        <v>124</v>
      </c>
      <c r="I189" s="65" t="str">
        <f>IFERROR(VLOOKUP(A189,'3. Call duration'!$A:$C,3,0),"--")</f>
        <v>--</v>
      </c>
      <c r="J189" s="65" t="str">
        <f t="array" ref="J189">XLOOKUP(H189,'2. Matching'!$A$2:$A$39,'2. Matching'!$B$2:$B$39,"--")</f>
        <v>Acquisition</v>
      </c>
      <c r="K189" s="65" t="str">
        <f t="shared" si="1"/>
        <v>In</v>
      </c>
    </row>
    <row r="190">
      <c r="A190" s="62" t="s">
        <v>327</v>
      </c>
      <c r="B190" s="63">
        <v>44175.0</v>
      </c>
      <c r="C190" s="62" t="s">
        <v>108</v>
      </c>
      <c r="D190" s="64">
        <v>0.0</v>
      </c>
      <c r="E190" s="62" t="s">
        <v>109</v>
      </c>
      <c r="F190" s="62" t="s">
        <v>115</v>
      </c>
      <c r="G190" s="64" t="s">
        <v>64</v>
      </c>
      <c r="H190" s="3" t="s">
        <v>175</v>
      </c>
      <c r="I190" s="65">
        <f>IFERROR(VLOOKUP(A190,'3. Call duration'!$A:$C,3,0),"--")</f>
        <v>27.92499814</v>
      </c>
      <c r="J190" s="65" t="str">
        <f t="array" ref="J190">XLOOKUP(H190,'2. Matching'!$A$2:$A$39,'2. Matching'!$B$2:$B$39,"--")</f>
        <v>SEO</v>
      </c>
      <c r="K190" s="65" t="str">
        <f t="shared" si="1"/>
        <v>In</v>
      </c>
    </row>
    <row r="191">
      <c r="A191" s="62" t="s">
        <v>328</v>
      </c>
      <c r="B191" s="63">
        <v>44363.0</v>
      </c>
      <c r="C191" s="62" t="s">
        <v>108</v>
      </c>
      <c r="D191" s="64">
        <v>0.0</v>
      </c>
      <c r="E191" s="62" t="s">
        <v>109</v>
      </c>
      <c r="F191" s="62" t="s">
        <v>115</v>
      </c>
      <c r="G191" s="64" t="s">
        <v>64</v>
      </c>
      <c r="H191" s="3" t="s">
        <v>141</v>
      </c>
      <c r="I191" s="65">
        <f>IFERROR(VLOOKUP(A191,'3. Call duration'!$A:$C,3,0),"--")</f>
        <v>32.31589764</v>
      </c>
      <c r="J191" s="65" t="str">
        <f t="array" ref="J191">XLOOKUP(H191,'2. Matching'!$A$2:$A$39,'2. Matching'!$B$2:$B$39,"--")</f>
        <v>Acquisition</v>
      </c>
      <c r="K191" s="65" t="str">
        <f t="shared" si="1"/>
        <v>In</v>
      </c>
    </row>
    <row r="192">
      <c r="A192" s="62" t="s">
        <v>329</v>
      </c>
      <c r="B192" s="63">
        <v>44153.0</v>
      </c>
      <c r="C192" s="62" t="s">
        <v>112</v>
      </c>
      <c r="D192" s="64">
        <v>0.0</v>
      </c>
      <c r="E192" s="62" t="s">
        <v>114</v>
      </c>
      <c r="F192" s="62" t="s">
        <v>115</v>
      </c>
      <c r="G192" s="64" t="s">
        <v>64</v>
      </c>
      <c r="H192" s="3" t="s">
        <v>185</v>
      </c>
      <c r="I192" s="65" t="str">
        <f>IFERROR(VLOOKUP(A192,'3. Call duration'!$A:$C,3,0),"--")</f>
        <v>--</v>
      </c>
      <c r="J192" s="65" t="str">
        <f t="array" ref="J192">XLOOKUP(H192,'2. Matching'!$A$2:$A$39,'2. Matching'!$B$2:$B$39,"--")</f>
        <v>SEO</v>
      </c>
      <c r="K192" s="65" t="str">
        <f t="shared" si="1"/>
        <v>In</v>
      </c>
    </row>
    <row r="193">
      <c r="A193" s="62" t="s">
        <v>330</v>
      </c>
      <c r="B193" s="63">
        <v>44201.0</v>
      </c>
      <c r="C193" s="62" t="s">
        <v>112</v>
      </c>
      <c r="D193" s="64">
        <v>0.0</v>
      </c>
      <c r="E193" s="62" t="s">
        <v>109</v>
      </c>
      <c r="F193" s="62" t="s">
        <v>115</v>
      </c>
      <c r="G193" s="64" t="s">
        <v>64</v>
      </c>
      <c r="H193" s="3" t="s">
        <v>175</v>
      </c>
      <c r="I193" s="65" t="str">
        <f>IFERROR(VLOOKUP(A193,'3. Call duration'!$A:$C,3,0),"--")</f>
        <v>--</v>
      </c>
      <c r="J193" s="65" t="str">
        <f t="array" ref="J193">XLOOKUP(H193,'2. Matching'!$A$2:$A$39,'2. Matching'!$B$2:$B$39,"--")</f>
        <v>SEO</v>
      </c>
      <c r="K193" s="65" t="str">
        <f t="shared" si="1"/>
        <v>In</v>
      </c>
    </row>
    <row r="194">
      <c r="A194" s="62" t="s">
        <v>331</v>
      </c>
      <c r="B194" s="63">
        <v>44319.0</v>
      </c>
      <c r="C194" s="62" t="s">
        <v>119</v>
      </c>
      <c r="D194" s="64">
        <v>95.0</v>
      </c>
      <c r="E194" s="62" t="s">
        <v>114</v>
      </c>
      <c r="F194" s="62" t="s">
        <v>110</v>
      </c>
      <c r="G194" s="64" t="s">
        <v>64</v>
      </c>
      <c r="H194" s="3" t="s">
        <v>52</v>
      </c>
      <c r="I194" s="65">
        <f>IFERROR(VLOOKUP(A194,'3. Call duration'!$A:$C,3,0),"--")</f>
        <v>10.55557133</v>
      </c>
      <c r="J194" s="65" t="str">
        <f t="array" ref="J194">XLOOKUP(H194,'2. Matching'!$A$2:$A$39,'2. Matching'!$B$2:$B$39,"--")</f>
        <v>Partnerships</v>
      </c>
      <c r="K194" s="65" t="str">
        <f t="shared" si="1"/>
        <v>In</v>
      </c>
    </row>
    <row r="195">
      <c r="A195" s="62" t="s">
        <v>332</v>
      </c>
      <c r="B195" s="63">
        <v>44280.0</v>
      </c>
      <c r="C195" s="62" t="s">
        <v>112</v>
      </c>
      <c r="D195" s="64">
        <v>0.0</v>
      </c>
      <c r="E195" s="62" t="s">
        <v>114</v>
      </c>
      <c r="F195" s="62" t="s">
        <v>115</v>
      </c>
      <c r="G195" s="64" t="s">
        <v>64</v>
      </c>
      <c r="H195" s="3" t="s">
        <v>55</v>
      </c>
      <c r="I195" s="65" t="str">
        <f>IFERROR(VLOOKUP(A195,'3. Call duration'!$A:$C,3,0),"--")</f>
        <v>--</v>
      </c>
      <c r="J195" s="65" t="str">
        <f t="array" ref="J195">XLOOKUP(H195,'2. Matching'!$A$2:$A$39,'2. Matching'!$B$2:$B$39,"--")</f>
        <v>Partnerships</v>
      </c>
      <c r="K195" s="65" t="str">
        <f t="shared" si="1"/>
        <v>In</v>
      </c>
    </row>
    <row r="196">
      <c r="A196" s="62" t="s">
        <v>333</v>
      </c>
      <c r="B196" s="63">
        <v>44363.0</v>
      </c>
      <c r="C196" s="62" t="s">
        <v>112</v>
      </c>
      <c r="D196" s="64">
        <v>0.0</v>
      </c>
      <c r="E196" s="62" t="s">
        <v>109</v>
      </c>
      <c r="F196" s="62" t="s">
        <v>115</v>
      </c>
      <c r="G196" s="64" t="s">
        <v>64</v>
      </c>
      <c r="H196" s="3" t="s">
        <v>175</v>
      </c>
      <c r="I196" s="65" t="str">
        <f>IFERROR(VLOOKUP(A196,'3. Call duration'!$A:$C,3,0),"--")</f>
        <v>--</v>
      </c>
      <c r="J196" s="65" t="str">
        <f t="array" ref="J196">XLOOKUP(H196,'2. Matching'!$A$2:$A$39,'2. Matching'!$B$2:$B$39,"--")</f>
        <v>SEO</v>
      </c>
      <c r="K196" s="65" t="str">
        <f t="shared" si="1"/>
        <v>In</v>
      </c>
    </row>
    <row r="197">
      <c r="A197" s="62" t="s">
        <v>334</v>
      </c>
      <c r="B197" s="63">
        <v>44349.0</v>
      </c>
      <c r="C197" s="62" t="s">
        <v>112</v>
      </c>
      <c r="D197" s="64">
        <v>0.0</v>
      </c>
      <c r="E197" s="62" t="s">
        <v>109</v>
      </c>
      <c r="F197" s="62" t="s">
        <v>115</v>
      </c>
      <c r="G197" s="64" t="s">
        <v>63</v>
      </c>
      <c r="H197" s="3" t="s">
        <v>228</v>
      </c>
      <c r="I197" s="65" t="str">
        <f>IFERROR(VLOOKUP(A197,'3. Call duration'!$A:$C,3,0),"--")</f>
        <v>--</v>
      </c>
      <c r="J197" s="65" t="str">
        <f t="array" ref="J197">XLOOKUP(H197,'2. Matching'!$A$2:$A$39,'2. Matching'!$B$2:$B$39,"--")</f>
        <v>Farming</v>
      </c>
      <c r="K197" s="65" t="str">
        <f t="shared" si="1"/>
        <v>In</v>
      </c>
    </row>
    <row r="198">
      <c r="A198" s="62" t="s">
        <v>335</v>
      </c>
      <c r="B198" s="63">
        <v>44237.0</v>
      </c>
      <c r="C198" s="62" t="s">
        <v>108</v>
      </c>
      <c r="D198" s="64">
        <v>0.0</v>
      </c>
      <c r="E198" s="62" t="s">
        <v>114</v>
      </c>
      <c r="F198" s="62" t="s">
        <v>115</v>
      </c>
      <c r="G198" s="64" t="s">
        <v>64</v>
      </c>
      <c r="H198" s="3" t="s">
        <v>171</v>
      </c>
      <c r="I198" s="65">
        <f>IFERROR(VLOOKUP(A198,'3. Call duration'!$A:$C,3,0),"--")</f>
        <v>27.22921711</v>
      </c>
      <c r="J198" s="65" t="str">
        <f t="array" ref="J198">XLOOKUP(H198,'2. Matching'!$A$2:$A$39,'2. Matching'!$B$2:$B$39,"--")</f>
        <v>SEO</v>
      </c>
      <c r="K198" s="65" t="str">
        <f t="shared" si="1"/>
        <v>In</v>
      </c>
    </row>
    <row r="199">
      <c r="A199" s="62" t="s">
        <v>336</v>
      </c>
      <c r="B199" s="63">
        <v>44266.0</v>
      </c>
      <c r="C199" s="62" t="s">
        <v>108</v>
      </c>
      <c r="D199" s="64">
        <v>0.0</v>
      </c>
      <c r="E199" s="62" t="s">
        <v>109</v>
      </c>
      <c r="F199" s="62" t="s">
        <v>115</v>
      </c>
      <c r="G199" s="64" t="s">
        <v>64</v>
      </c>
      <c r="H199" s="3" t="s">
        <v>185</v>
      </c>
      <c r="I199" s="65">
        <f>IFERROR(VLOOKUP(A199,'3. Call duration'!$A:$C,3,0),"--")</f>
        <v>30.33554177</v>
      </c>
      <c r="J199" s="65" t="str">
        <f t="array" ref="J199">XLOOKUP(H199,'2. Matching'!$A$2:$A$39,'2. Matching'!$B$2:$B$39,"--")</f>
        <v>SEO</v>
      </c>
      <c r="K199" s="65" t="str">
        <f t="shared" si="1"/>
        <v>In</v>
      </c>
    </row>
    <row r="200">
      <c r="A200" s="62" t="s">
        <v>337</v>
      </c>
      <c r="B200" s="63">
        <v>44061.0</v>
      </c>
      <c r="C200" s="62" t="s">
        <v>112</v>
      </c>
      <c r="D200" s="64">
        <v>0.0</v>
      </c>
      <c r="E200" s="62" t="s">
        <v>109</v>
      </c>
      <c r="F200" s="62" t="s">
        <v>115</v>
      </c>
      <c r="G200" s="64" t="s">
        <v>64</v>
      </c>
      <c r="H200" s="3" t="s">
        <v>57</v>
      </c>
      <c r="I200" s="65" t="str">
        <f>IFERROR(VLOOKUP(A200,'3. Call duration'!$A:$C,3,0),"--")</f>
        <v>--</v>
      </c>
      <c r="J200" s="65" t="str">
        <f t="array" ref="J200">XLOOKUP(H200,'2. Matching'!$A$2:$A$39,'2. Matching'!$B$2:$B$39,"--")</f>
        <v>Partnerships</v>
      </c>
      <c r="K200" s="65" t="str">
        <f t="shared" si="1"/>
        <v>In</v>
      </c>
    </row>
    <row r="201">
      <c r="A201" s="62" t="s">
        <v>338</v>
      </c>
      <c r="B201" s="63">
        <v>44208.0</v>
      </c>
      <c r="C201" s="62" t="s">
        <v>108</v>
      </c>
      <c r="D201" s="64">
        <v>0.0</v>
      </c>
      <c r="E201" s="62" t="s">
        <v>109</v>
      </c>
      <c r="F201" s="62" t="s">
        <v>115</v>
      </c>
      <c r="G201" s="64" t="s">
        <v>64</v>
      </c>
      <c r="H201" s="3" t="s">
        <v>131</v>
      </c>
      <c r="I201" s="65">
        <f>IFERROR(VLOOKUP(A201,'3. Call duration'!$A:$C,3,0),"--")</f>
        <v>27.7505261</v>
      </c>
      <c r="J201" s="65" t="str">
        <f t="array" ref="J201">XLOOKUP(H201,'2. Matching'!$A$2:$A$39,'2. Matching'!$B$2:$B$39,"--")</f>
        <v>Acquisition</v>
      </c>
      <c r="K201" s="65" t="str">
        <f t="shared" si="1"/>
        <v>In</v>
      </c>
    </row>
    <row r="202">
      <c r="A202" s="62" t="s">
        <v>339</v>
      </c>
      <c r="B202" s="63">
        <v>44327.0</v>
      </c>
      <c r="C202" s="62" t="s">
        <v>119</v>
      </c>
      <c r="D202" s="64">
        <v>47.5</v>
      </c>
      <c r="E202" s="62" t="s">
        <v>109</v>
      </c>
      <c r="F202" s="62" t="s">
        <v>115</v>
      </c>
      <c r="G202" s="64" t="s">
        <v>64</v>
      </c>
      <c r="H202" s="3" t="s">
        <v>131</v>
      </c>
      <c r="I202" s="65">
        <f>IFERROR(VLOOKUP(A202,'3. Call duration'!$A:$C,3,0),"--")</f>
        <v>10.97004448</v>
      </c>
      <c r="J202" s="65" t="str">
        <f t="array" ref="J202">XLOOKUP(H202,'2. Matching'!$A$2:$A$39,'2. Matching'!$B$2:$B$39,"--")</f>
        <v>Acquisition</v>
      </c>
      <c r="K202" s="65" t="str">
        <f t="shared" si="1"/>
        <v>In</v>
      </c>
    </row>
    <row r="203">
      <c r="A203" s="62" t="s">
        <v>340</v>
      </c>
      <c r="B203" s="63">
        <v>44209.0</v>
      </c>
      <c r="C203" s="62" t="s">
        <v>108</v>
      </c>
      <c r="D203" s="64">
        <v>0.0</v>
      </c>
      <c r="E203" s="62" t="s">
        <v>109</v>
      </c>
      <c r="F203" s="62" t="s">
        <v>110</v>
      </c>
      <c r="G203" s="64" t="s">
        <v>64</v>
      </c>
      <c r="H203" s="3" t="s">
        <v>139</v>
      </c>
      <c r="I203" s="65">
        <f>IFERROR(VLOOKUP(A203,'3. Call duration'!$A:$C,3,0),"--")</f>
        <v>21.40695797</v>
      </c>
      <c r="J203" s="65" t="str">
        <f t="array" ref="J203">XLOOKUP(H203,'2. Matching'!$A$2:$A$39,'2. Matching'!$B$2:$B$39,"--")</f>
        <v>Acquisition</v>
      </c>
      <c r="K203" s="65" t="str">
        <f t="shared" si="1"/>
        <v>In</v>
      </c>
    </row>
    <row r="204">
      <c r="A204" s="62" t="s">
        <v>341</v>
      </c>
      <c r="B204" s="63">
        <v>44225.0</v>
      </c>
      <c r="C204" s="62" t="s">
        <v>112</v>
      </c>
      <c r="D204" s="64">
        <v>0.0</v>
      </c>
      <c r="E204" s="62" t="s">
        <v>109</v>
      </c>
      <c r="F204" s="62" t="s">
        <v>110</v>
      </c>
      <c r="G204" s="64" t="s">
        <v>64</v>
      </c>
      <c r="H204" s="3" t="s">
        <v>221</v>
      </c>
      <c r="I204" s="65" t="str">
        <f>IFERROR(VLOOKUP(A204,'3. Call duration'!$A:$C,3,0),"--")</f>
        <v>--</v>
      </c>
      <c r="J204" s="65" t="str">
        <f t="array" ref="J204">XLOOKUP(H204,'2. Matching'!$A$2:$A$39,'2. Matching'!$B$2:$B$39,"--")</f>
        <v>Farming</v>
      </c>
      <c r="K204" s="65" t="str">
        <f t="shared" si="1"/>
        <v>In</v>
      </c>
    </row>
    <row r="205">
      <c r="A205" s="62" t="s">
        <v>342</v>
      </c>
      <c r="B205" s="63">
        <v>44378.0</v>
      </c>
      <c r="C205" s="62" t="s">
        <v>112</v>
      </c>
      <c r="D205" s="64">
        <v>0.0</v>
      </c>
      <c r="E205" s="62" t="s">
        <v>109</v>
      </c>
      <c r="F205" s="62" t="s">
        <v>110</v>
      </c>
      <c r="G205" s="64" t="s">
        <v>63</v>
      </c>
      <c r="H205" s="3" t="s">
        <v>189</v>
      </c>
      <c r="I205" s="65" t="str">
        <f>IFERROR(VLOOKUP(A205,'3. Call duration'!$A:$C,3,0),"--")</f>
        <v>--</v>
      </c>
      <c r="J205" s="65" t="str">
        <f t="array" ref="J205">XLOOKUP(H205,'2. Matching'!$A$2:$A$39,'2. Matching'!$B$2:$B$39,"--")</f>
        <v>SEO</v>
      </c>
      <c r="K205" s="65" t="str">
        <f t="shared" si="1"/>
        <v>Out</v>
      </c>
    </row>
    <row r="206">
      <c r="A206" s="62" t="s">
        <v>343</v>
      </c>
      <c r="B206" s="63">
        <v>44168.0</v>
      </c>
      <c r="C206" s="62" t="s">
        <v>108</v>
      </c>
      <c r="D206" s="64">
        <v>0.0</v>
      </c>
      <c r="E206" s="62" t="s">
        <v>109</v>
      </c>
      <c r="F206" s="62" t="s">
        <v>110</v>
      </c>
      <c r="G206" s="64" t="s">
        <v>64</v>
      </c>
      <c r="H206" s="3" t="s">
        <v>169</v>
      </c>
      <c r="I206" s="65">
        <f>IFERROR(VLOOKUP(A206,'3. Call duration'!$A:$C,3,0),"--")</f>
        <v>29.7691251</v>
      </c>
      <c r="J206" s="65" t="str">
        <f t="array" ref="J206">XLOOKUP(H206,'2. Matching'!$A$2:$A$39,'2. Matching'!$B$2:$B$39,"--")</f>
        <v>SEO</v>
      </c>
      <c r="K206" s="65" t="str">
        <f t="shared" si="1"/>
        <v>In</v>
      </c>
    </row>
    <row r="207">
      <c r="A207" s="62" t="s">
        <v>344</v>
      </c>
      <c r="B207" s="63">
        <v>44333.0</v>
      </c>
      <c r="C207" s="62" t="s">
        <v>119</v>
      </c>
      <c r="D207" s="64">
        <v>47.5</v>
      </c>
      <c r="E207" s="62" t="s">
        <v>109</v>
      </c>
      <c r="F207" s="62" t="s">
        <v>115</v>
      </c>
      <c r="G207" s="64" t="s">
        <v>64</v>
      </c>
      <c r="H207" s="3" t="s">
        <v>169</v>
      </c>
      <c r="I207" s="65">
        <f>IFERROR(VLOOKUP(A207,'3. Call duration'!$A:$C,3,0),"--")</f>
        <v>11.00914339</v>
      </c>
      <c r="J207" s="65" t="str">
        <f t="array" ref="J207">XLOOKUP(H207,'2. Matching'!$A$2:$A$39,'2. Matching'!$B$2:$B$39,"--")</f>
        <v>SEO</v>
      </c>
      <c r="K207" s="65" t="str">
        <f t="shared" si="1"/>
        <v>In</v>
      </c>
    </row>
    <row r="208">
      <c r="A208" s="62" t="s">
        <v>345</v>
      </c>
      <c r="B208" s="63">
        <v>44271.0</v>
      </c>
      <c r="C208" s="62" t="s">
        <v>108</v>
      </c>
      <c r="D208" s="64">
        <v>0.0</v>
      </c>
      <c r="E208" s="62" t="s">
        <v>109</v>
      </c>
      <c r="F208" s="62" t="s">
        <v>110</v>
      </c>
      <c r="G208" s="64" t="s">
        <v>64</v>
      </c>
      <c r="H208" s="3" t="s">
        <v>297</v>
      </c>
      <c r="I208" s="65">
        <f>IFERROR(VLOOKUP(A208,'3. Call duration'!$A:$C,3,0),"--")</f>
        <v>27.97270879</v>
      </c>
      <c r="J208" s="65" t="str">
        <f t="array" ref="J208">XLOOKUP(H208,'2. Matching'!$A$2:$A$39,'2. Matching'!$B$2:$B$39,"--")</f>
        <v>Farming</v>
      </c>
      <c r="K208" s="65" t="str">
        <f t="shared" si="1"/>
        <v>In</v>
      </c>
    </row>
    <row r="209">
      <c r="A209" s="62" t="s">
        <v>346</v>
      </c>
      <c r="B209" s="63">
        <v>44335.0</v>
      </c>
      <c r="C209" s="62" t="s">
        <v>119</v>
      </c>
      <c r="D209" s="64">
        <v>95.0</v>
      </c>
      <c r="E209" s="62" t="s">
        <v>114</v>
      </c>
      <c r="F209" s="62" t="s">
        <v>115</v>
      </c>
      <c r="G209" s="64" t="s">
        <v>64</v>
      </c>
      <c r="H209" s="3" t="s">
        <v>141</v>
      </c>
      <c r="I209" s="65">
        <f>IFERROR(VLOOKUP(A209,'3. Call duration'!$A:$C,3,0),"--")</f>
        <v>11.0176269</v>
      </c>
      <c r="J209" s="65" t="str">
        <f t="array" ref="J209">XLOOKUP(H209,'2. Matching'!$A$2:$A$39,'2. Matching'!$B$2:$B$39,"--")</f>
        <v>Acquisition</v>
      </c>
      <c r="K209" s="65" t="str">
        <f t="shared" si="1"/>
        <v>In</v>
      </c>
    </row>
    <row r="210">
      <c r="A210" s="62" t="s">
        <v>347</v>
      </c>
      <c r="B210" s="63">
        <v>44260.0</v>
      </c>
      <c r="C210" s="62" t="s">
        <v>112</v>
      </c>
      <c r="D210" s="64">
        <v>0.0</v>
      </c>
      <c r="E210" s="62" t="s">
        <v>109</v>
      </c>
      <c r="F210" s="62" t="s">
        <v>110</v>
      </c>
      <c r="G210" s="64" t="s">
        <v>64</v>
      </c>
      <c r="H210" s="3" t="s">
        <v>169</v>
      </c>
      <c r="I210" s="65" t="str">
        <f>IFERROR(VLOOKUP(A210,'3. Call duration'!$A:$C,3,0),"--")</f>
        <v>--</v>
      </c>
      <c r="J210" s="65" t="str">
        <f t="array" ref="J210">XLOOKUP(H210,'2. Matching'!$A$2:$A$39,'2. Matching'!$B$2:$B$39,"--")</f>
        <v>SEO</v>
      </c>
      <c r="K210" s="65" t="str">
        <f t="shared" si="1"/>
        <v>In</v>
      </c>
    </row>
    <row r="211">
      <c r="A211" s="62" t="s">
        <v>348</v>
      </c>
      <c r="B211" s="63">
        <v>44259.0</v>
      </c>
      <c r="C211" s="62" t="s">
        <v>108</v>
      </c>
      <c r="D211" s="64">
        <v>0.0</v>
      </c>
      <c r="E211" s="62" t="s">
        <v>109</v>
      </c>
      <c r="F211" s="62" t="s">
        <v>115</v>
      </c>
      <c r="G211" s="64" t="s">
        <v>64</v>
      </c>
      <c r="H211" s="3" t="s">
        <v>139</v>
      </c>
      <c r="I211" s="65">
        <f>IFERROR(VLOOKUP(A211,'3. Call duration'!$A:$C,3,0),"--")</f>
        <v>33.59851131</v>
      </c>
      <c r="J211" s="65" t="str">
        <f t="array" ref="J211">XLOOKUP(H211,'2. Matching'!$A$2:$A$39,'2. Matching'!$B$2:$B$39,"--")</f>
        <v>Acquisition</v>
      </c>
      <c r="K211" s="65" t="str">
        <f t="shared" si="1"/>
        <v>In</v>
      </c>
    </row>
    <row r="212">
      <c r="A212" s="62" t="s">
        <v>349</v>
      </c>
      <c r="B212" s="63">
        <v>44223.0</v>
      </c>
      <c r="C212" s="62" t="s">
        <v>112</v>
      </c>
      <c r="D212" s="64">
        <v>0.0</v>
      </c>
      <c r="E212" s="62" t="s">
        <v>109</v>
      </c>
      <c r="F212" s="62" t="s">
        <v>110</v>
      </c>
      <c r="G212" s="64" t="s">
        <v>64</v>
      </c>
      <c r="H212" s="3" t="s">
        <v>116</v>
      </c>
      <c r="I212" s="65" t="str">
        <f>IFERROR(VLOOKUP(A212,'3. Call duration'!$A:$C,3,0),"--")</f>
        <v>--</v>
      </c>
      <c r="J212" s="65" t="str">
        <f t="array" ref="J212">XLOOKUP(H212,'2. Matching'!$A$2:$A$39,'2. Matching'!$B$2:$B$39,"--")</f>
        <v>Acquisition</v>
      </c>
      <c r="K212" s="65" t="str">
        <f t="shared" si="1"/>
        <v>In</v>
      </c>
    </row>
    <row r="213">
      <c r="A213" s="62" t="s">
        <v>350</v>
      </c>
      <c r="B213" s="63">
        <v>44357.0</v>
      </c>
      <c r="C213" s="62" t="s">
        <v>112</v>
      </c>
      <c r="D213" s="64">
        <v>0.0</v>
      </c>
      <c r="E213" s="62" t="s">
        <v>114</v>
      </c>
      <c r="F213" s="62" t="s">
        <v>110</v>
      </c>
      <c r="G213" s="64" t="s">
        <v>60</v>
      </c>
      <c r="H213" s="3" t="s">
        <v>67</v>
      </c>
      <c r="I213" s="65" t="str">
        <f>IFERROR(VLOOKUP(A213,'3. Call duration'!$A:$C,3,0),"--")</f>
        <v>--</v>
      </c>
      <c r="J213" s="65" t="str">
        <f t="array" ref="J213">XLOOKUP(H213,'2. Matching'!$A$2:$A$39,'2. Matching'!$B$2:$B$39,"--")</f>
        <v>Acquisition</v>
      </c>
      <c r="K213" s="65" t="str">
        <f t="shared" si="1"/>
        <v>In</v>
      </c>
    </row>
    <row r="214">
      <c r="A214" s="62" t="s">
        <v>351</v>
      </c>
      <c r="B214" s="63">
        <v>44267.0</v>
      </c>
      <c r="C214" s="62" t="s">
        <v>112</v>
      </c>
      <c r="D214" s="64">
        <v>0.0</v>
      </c>
      <c r="E214" s="62" t="s">
        <v>114</v>
      </c>
      <c r="F214" s="62" t="s">
        <v>110</v>
      </c>
      <c r="G214" s="64" t="s">
        <v>64</v>
      </c>
      <c r="H214" s="3" t="s">
        <v>54</v>
      </c>
      <c r="I214" s="65" t="str">
        <f>IFERROR(VLOOKUP(A214,'3. Call duration'!$A:$C,3,0),"--")</f>
        <v>--</v>
      </c>
      <c r="J214" s="65" t="str">
        <f t="array" ref="J214">XLOOKUP(H214,'2. Matching'!$A$2:$A$39,'2. Matching'!$B$2:$B$39,"--")</f>
        <v>Partnerships</v>
      </c>
      <c r="K214" s="65" t="str">
        <f t="shared" si="1"/>
        <v>In</v>
      </c>
    </row>
    <row r="215">
      <c r="A215" s="62" t="s">
        <v>352</v>
      </c>
      <c r="B215" s="63">
        <v>44361.0</v>
      </c>
      <c r="C215" s="62" t="s">
        <v>112</v>
      </c>
      <c r="D215" s="64">
        <v>0.0</v>
      </c>
      <c r="E215" s="62" t="s">
        <v>109</v>
      </c>
      <c r="F215" s="62" t="s">
        <v>110</v>
      </c>
      <c r="G215" s="64" t="s">
        <v>64</v>
      </c>
      <c r="H215" s="3" t="s">
        <v>52</v>
      </c>
      <c r="I215" s="65" t="str">
        <f>IFERROR(VLOOKUP(A215,'3. Call duration'!$A:$C,3,0),"--")</f>
        <v>--</v>
      </c>
      <c r="J215" s="65" t="str">
        <f t="array" ref="J215">XLOOKUP(H215,'2. Matching'!$A$2:$A$39,'2. Matching'!$B$2:$B$39,"--")</f>
        <v>Partnerships</v>
      </c>
      <c r="K215" s="65" t="str">
        <f t="shared" si="1"/>
        <v>In</v>
      </c>
    </row>
    <row r="216">
      <c r="A216" s="62" t="s">
        <v>353</v>
      </c>
      <c r="B216" s="63">
        <v>44342.0</v>
      </c>
      <c r="C216" s="62" t="s">
        <v>119</v>
      </c>
      <c r="D216" s="64">
        <v>47.5</v>
      </c>
      <c r="E216" s="62" t="s">
        <v>109</v>
      </c>
      <c r="F216" s="62" t="s">
        <v>110</v>
      </c>
      <c r="G216" s="64" t="s">
        <v>64</v>
      </c>
      <c r="H216" s="3" t="s">
        <v>175</v>
      </c>
      <c r="I216" s="65">
        <f>IFERROR(VLOOKUP(A216,'3. Call duration'!$A:$C,3,0),"--")</f>
        <v>11.10015709</v>
      </c>
      <c r="J216" s="65" t="str">
        <f t="array" ref="J216">XLOOKUP(H216,'2. Matching'!$A$2:$A$39,'2. Matching'!$B$2:$B$39,"--")</f>
        <v>SEO</v>
      </c>
      <c r="K216" s="65" t="str">
        <f t="shared" si="1"/>
        <v>In</v>
      </c>
    </row>
    <row r="217">
      <c r="A217" s="62" t="s">
        <v>354</v>
      </c>
      <c r="B217" s="63">
        <v>44130.0</v>
      </c>
      <c r="C217" s="62" t="s">
        <v>112</v>
      </c>
      <c r="D217" s="64">
        <v>0.0</v>
      </c>
      <c r="E217" s="62" t="s">
        <v>109</v>
      </c>
      <c r="F217" s="62" t="s">
        <v>115</v>
      </c>
      <c r="G217" s="64" t="s">
        <v>64</v>
      </c>
      <c r="H217" s="3" t="s">
        <v>131</v>
      </c>
      <c r="I217" s="65" t="str">
        <f>IFERROR(VLOOKUP(A217,'3. Call duration'!$A:$C,3,0),"--")</f>
        <v>--</v>
      </c>
      <c r="J217" s="65" t="str">
        <f t="array" ref="J217">XLOOKUP(H217,'2. Matching'!$A$2:$A$39,'2. Matching'!$B$2:$B$39,"--")</f>
        <v>Acquisition</v>
      </c>
      <c r="K217" s="65" t="str">
        <f t="shared" si="1"/>
        <v>In</v>
      </c>
    </row>
    <row r="218">
      <c r="A218" s="62" t="s">
        <v>355</v>
      </c>
      <c r="B218" s="63">
        <v>44292.0</v>
      </c>
      <c r="C218" s="62" t="s">
        <v>112</v>
      </c>
      <c r="D218" s="64">
        <v>0.0</v>
      </c>
      <c r="E218" s="62" t="s">
        <v>114</v>
      </c>
      <c r="F218" s="62" t="s">
        <v>110</v>
      </c>
      <c r="G218" s="64" t="s">
        <v>64</v>
      </c>
      <c r="H218" s="3" t="s">
        <v>297</v>
      </c>
      <c r="I218" s="65" t="str">
        <f>IFERROR(VLOOKUP(A218,'3. Call duration'!$A:$C,3,0),"--")</f>
        <v>--</v>
      </c>
      <c r="J218" s="65" t="str">
        <f t="array" ref="J218">XLOOKUP(H218,'2. Matching'!$A$2:$A$39,'2. Matching'!$B$2:$B$39,"--")</f>
        <v>Farming</v>
      </c>
      <c r="K218" s="65" t="str">
        <f t="shared" si="1"/>
        <v>In</v>
      </c>
    </row>
    <row r="219">
      <c r="A219" s="62" t="s">
        <v>356</v>
      </c>
      <c r="B219" s="63">
        <v>44223.0</v>
      </c>
      <c r="C219" s="62" t="s">
        <v>108</v>
      </c>
      <c r="D219" s="64">
        <v>0.0</v>
      </c>
      <c r="E219" s="62" t="s">
        <v>109</v>
      </c>
      <c r="F219" s="62" t="s">
        <v>115</v>
      </c>
      <c r="G219" s="64" t="s">
        <v>64</v>
      </c>
      <c r="H219" s="3" t="s">
        <v>131</v>
      </c>
      <c r="I219" s="65">
        <f>IFERROR(VLOOKUP(A219,'3. Call duration'!$A:$C,3,0),"--")</f>
        <v>27.66976237</v>
      </c>
      <c r="J219" s="65" t="str">
        <f t="array" ref="J219">XLOOKUP(H219,'2. Matching'!$A$2:$A$39,'2. Matching'!$B$2:$B$39,"--")</f>
        <v>Acquisition</v>
      </c>
      <c r="K219" s="65" t="str">
        <f t="shared" si="1"/>
        <v>In</v>
      </c>
    </row>
    <row r="220">
      <c r="A220" s="62" t="s">
        <v>357</v>
      </c>
      <c r="B220" s="63">
        <v>44355.0</v>
      </c>
      <c r="C220" s="62" t="s">
        <v>108</v>
      </c>
      <c r="D220" s="64">
        <v>0.0</v>
      </c>
      <c r="E220" s="62" t="s">
        <v>109</v>
      </c>
      <c r="F220" s="62" t="s">
        <v>110</v>
      </c>
      <c r="G220" s="64" t="s">
        <v>59</v>
      </c>
      <c r="H220" s="3" t="s">
        <v>68</v>
      </c>
      <c r="I220" s="65">
        <f>IFERROR(VLOOKUP(A220,'3. Call duration'!$A:$C,3,0),"--")</f>
        <v>21.82079047</v>
      </c>
      <c r="J220" s="65" t="str">
        <f t="array" ref="J220">XLOOKUP(H220,'2. Matching'!$A$2:$A$39,'2. Matching'!$B$2:$B$39,"--")</f>
        <v>Acquisition</v>
      </c>
      <c r="K220" s="65" t="str">
        <f t="shared" si="1"/>
        <v>In</v>
      </c>
    </row>
    <row r="221">
      <c r="A221" s="62" t="s">
        <v>358</v>
      </c>
      <c r="B221" s="63">
        <v>44337.0</v>
      </c>
      <c r="C221" s="62" t="s">
        <v>119</v>
      </c>
      <c r="D221" s="64">
        <v>47.5</v>
      </c>
      <c r="E221" s="62" t="s">
        <v>109</v>
      </c>
      <c r="F221" s="62" t="s">
        <v>115</v>
      </c>
      <c r="G221" s="64" t="s">
        <v>63</v>
      </c>
      <c r="H221" s="3" t="s">
        <v>189</v>
      </c>
      <c r="I221" s="65">
        <f>IFERROR(VLOOKUP(A221,'3. Call duration'!$A:$C,3,0),"--")</f>
        <v>11.14555903</v>
      </c>
      <c r="J221" s="65" t="str">
        <f t="array" ref="J221">XLOOKUP(H221,'2. Matching'!$A$2:$A$39,'2. Matching'!$B$2:$B$39,"--")</f>
        <v>SEO</v>
      </c>
      <c r="K221" s="65" t="str">
        <f t="shared" si="1"/>
        <v>Out</v>
      </c>
    </row>
    <row r="222">
      <c r="A222" s="62" t="s">
        <v>359</v>
      </c>
      <c r="B222" s="63">
        <v>44319.0</v>
      </c>
      <c r="C222" s="62" t="s">
        <v>119</v>
      </c>
      <c r="D222" s="64">
        <v>47.5</v>
      </c>
      <c r="E222" s="62" t="s">
        <v>109</v>
      </c>
      <c r="F222" s="62" t="s">
        <v>115</v>
      </c>
      <c r="G222" s="64" t="s">
        <v>64</v>
      </c>
      <c r="H222" s="3" t="s">
        <v>141</v>
      </c>
      <c r="I222" s="65">
        <f>IFERROR(VLOOKUP(A222,'3. Call duration'!$A:$C,3,0),"--")</f>
        <v>11.39843293</v>
      </c>
      <c r="J222" s="65" t="str">
        <f t="array" ref="J222">XLOOKUP(H222,'2. Matching'!$A$2:$A$39,'2. Matching'!$B$2:$B$39,"--")</f>
        <v>Acquisition</v>
      </c>
      <c r="K222" s="65" t="str">
        <f t="shared" si="1"/>
        <v>In</v>
      </c>
    </row>
    <row r="223">
      <c r="A223" s="62" t="s">
        <v>360</v>
      </c>
      <c r="B223" s="63">
        <v>44369.0</v>
      </c>
      <c r="C223" s="62" t="s">
        <v>108</v>
      </c>
      <c r="D223" s="64">
        <v>0.0</v>
      </c>
      <c r="E223" s="62" t="s">
        <v>109</v>
      </c>
      <c r="F223" s="62" t="s">
        <v>110</v>
      </c>
      <c r="G223" s="64" t="s">
        <v>60</v>
      </c>
      <c r="H223" s="3" t="s">
        <v>67</v>
      </c>
      <c r="I223" s="65">
        <f>IFERROR(VLOOKUP(A223,'3. Call duration'!$A:$C,3,0),"--")</f>
        <v>30.42560869</v>
      </c>
      <c r="J223" s="65" t="str">
        <f t="array" ref="J223">XLOOKUP(H223,'2. Matching'!$A$2:$A$39,'2. Matching'!$B$2:$B$39,"--")</f>
        <v>Acquisition</v>
      </c>
      <c r="K223" s="65" t="str">
        <f t="shared" si="1"/>
        <v>In</v>
      </c>
    </row>
    <row r="224">
      <c r="A224" s="62" t="s">
        <v>361</v>
      </c>
      <c r="B224" s="63">
        <v>44375.0</v>
      </c>
      <c r="C224" s="62" t="s">
        <v>112</v>
      </c>
      <c r="D224" s="64">
        <v>0.0</v>
      </c>
      <c r="E224" s="62" t="s">
        <v>109</v>
      </c>
      <c r="F224" s="62" t="s">
        <v>110</v>
      </c>
      <c r="G224" s="64" t="s">
        <v>60</v>
      </c>
      <c r="H224" s="3" t="s">
        <v>67</v>
      </c>
      <c r="I224" s="65" t="str">
        <f>IFERROR(VLOOKUP(A224,'3. Call duration'!$A:$C,3,0),"--")</f>
        <v>--</v>
      </c>
      <c r="J224" s="65" t="str">
        <f t="array" ref="J224">XLOOKUP(H224,'2. Matching'!$A$2:$A$39,'2. Matching'!$B$2:$B$39,"--")</f>
        <v>Acquisition</v>
      </c>
      <c r="K224" s="65" t="str">
        <f t="shared" si="1"/>
        <v>In</v>
      </c>
    </row>
    <row r="225">
      <c r="A225" s="62" t="s">
        <v>362</v>
      </c>
      <c r="B225" s="63">
        <v>44231.0</v>
      </c>
      <c r="C225" s="62" t="s">
        <v>112</v>
      </c>
      <c r="D225" s="64">
        <v>0.0</v>
      </c>
      <c r="E225" s="62" t="s">
        <v>109</v>
      </c>
      <c r="F225" s="62" t="s">
        <v>110</v>
      </c>
      <c r="G225" s="64" t="s">
        <v>112</v>
      </c>
      <c r="H225" s="3"/>
      <c r="I225" s="65" t="str">
        <f>IFERROR(VLOOKUP(A225,'3. Call duration'!$A:$C,3,0),"--")</f>
        <v>--</v>
      </c>
      <c r="J225" s="65" t="str">
        <f t="array" ref="J225">XLOOKUP(H225,'2. Matching'!$A$2:$A$39,'2. Matching'!$B$2:$B$39,"--")</f>
        <v>--</v>
      </c>
      <c r="K225" s="65" t="str">
        <f t="shared" si="1"/>
        <v>In</v>
      </c>
    </row>
    <row r="226">
      <c r="A226" s="62" t="s">
        <v>363</v>
      </c>
      <c r="B226" s="63">
        <v>44347.0</v>
      </c>
      <c r="C226" s="62" t="s">
        <v>119</v>
      </c>
      <c r="D226" s="64">
        <v>47.5</v>
      </c>
      <c r="E226" s="62" t="s">
        <v>109</v>
      </c>
      <c r="F226" s="62" t="s">
        <v>110</v>
      </c>
      <c r="G226" s="64" t="s">
        <v>60</v>
      </c>
      <c r="H226" s="3" t="s">
        <v>68</v>
      </c>
      <c r="I226" s="65">
        <f>IFERROR(VLOOKUP(A226,'3. Call duration'!$A:$C,3,0),"--")</f>
        <v>11.68039977</v>
      </c>
      <c r="J226" s="65" t="str">
        <f t="array" ref="J226">XLOOKUP(H226,'2. Matching'!$A$2:$A$39,'2. Matching'!$B$2:$B$39,"--")</f>
        <v>Acquisition</v>
      </c>
      <c r="K226" s="65" t="str">
        <f t="shared" si="1"/>
        <v>In</v>
      </c>
    </row>
    <row r="227">
      <c r="A227" s="62" t="s">
        <v>364</v>
      </c>
      <c r="B227" s="63">
        <v>44265.0</v>
      </c>
      <c r="C227" s="62" t="s">
        <v>108</v>
      </c>
      <c r="D227" s="64">
        <v>0.0</v>
      </c>
      <c r="E227" s="62" t="s">
        <v>109</v>
      </c>
      <c r="F227" s="62" t="s">
        <v>110</v>
      </c>
      <c r="G227" s="64" t="s">
        <v>64</v>
      </c>
      <c r="H227" s="3" t="s">
        <v>55</v>
      </c>
      <c r="I227" s="65">
        <f>IFERROR(VLOOKUP(A227,'3. Call duration'!$A:$C,3,0),"--")</f>
        <v>18.46040118</v>
      </c>
      <c r="J227" s="65" t="str">
        <f t="array" ref="J227">XLOOKUP(H227,'2. Matching'!$A$2:$A$39,'2. Matching'!$B$2:$B$39,"--")</f>
        <v>Partnerships</v>
      </c>
      <c r="K227" s="65" t="str">
        <f t="shared" si="1"/>
        <v>In</v>
      </c>
    </row>
    <row r="228">
      <c r="A228" s="62" t="s">
        <v>365</v>
      </c>
      <c r="B228" s="63">
        <v>44225.0</v>
      </c>
      <c r="C228" s="62" t="s">
        <v>112</v>
      </c>
      <c r="D228" s="64">
        <v>0.0</v>
      </c>
      <c r="E228" s="62" t="s">
        <v>109</v>
      </c>
      <c r="F228" s="62" t="s">
        <v>115</v>
      </c>
      <c r="G228" s="64" t="s">
        <v>64</v>
      </c>
      <c r="H228" s="3" t="s">
        <v>139</v>
      </c>
      <c r="I228" s="65" t="str">
        <f>IFERROR(VLOOKUP(A228,'3. Call duration'!$A:$C,3,0),"--")</f>
        <v>--</v>
      </c>
      <c r="J228" s="65" t="str">
        <f t="array" ref="J228">XLOOKUP(H228,'2. Matching'!$A$2:$A$39,'2. Matching'!$B$2:$B$39,"--")</f>
        <v>Acquisition</v>
      </c>
      <c r="K228" s="65" t="str">
        <f t="shared" si="1"/>
        <v>In</v>
      </c>
    </row>
    <row r="229">
      <c r="A229" s="62" t="s">
        <v>366</v>
      </c>
      <c r="B229" s="63">
        <v>44358.0</v>
      </c>
      <c r="C229" s="62" t="s">
        <v>108</v>
      </c>
      <c r="D229" s="64">
        <v>0.0</v>
      </c>
      <c r="E229" s="62" t="s">
        <v>114</v>
      </c>
      <c r="F229" s="62" t="s">
        <v>115</v>
      </c>
      <c r="G229" s="64" t="s">
        <v>59</v>
      </c>
      <c r="H229" s="3" t="s">
        <v>68</v>
      </c>
      <c r="I229" s="65">
        <f>IFERROR(VLOOKUP(A229,'3. Call duration'!$A:$C,3,0),"--")</f>
        <v>37.05975979</v>
      </c>
      <c r="J229" s="65" t="str">
        <f t="array" ref="J229">XLOOKUP(H229,'2. Matching'!$A$2:$A$39,'2. Matching'!$B$2:$B$39,"--")</f>
        <v>Acquisition</v>
      </c>
      <c r="K229" s="65" t="str">
        <f t="shared" si="1"/>
        <v>In</v>
      </c>
    </row>
    <row r="230">
      <c r="A230" s="62" t="s">
        <v>367</v>
      </c>
      <c r="B230" s="63">
        <v>44265.0</v>
      </c>
      <c r="C230" s="62" t="s">
        <v>112</v>
      </c>
      <c r="D230" s="64">
        <v>0.0</v>
      </c>
      <c r="E230" s="62" t="s">
        <v>109</v>
      </c>
      <c r="F230" s="62" t="s">
        <v>110</v>
      </c>
      <c r="G230" s="64" t="s">
        <v>64</v>
      </c>
      <c r="H230" s="3" t="s">
        <v>55</v>
      </c>
      <c r="I230" s="65" t="str">
        <f>IFERROR(VLOOKUP(A230,'3. Call duration'!$A:$C,3,0),"--")</f>
        <v>--</v>
      </c>
      <c r="J230" s="65" t="str">
        <f t="array" ref="J230">XLOOKUP(H230,'2. Matching'!$A$2:$A$39,'2. Matching'!$B$2:$B$39,"--")</f>
        <v>Partnerships</v>
      </c>
      <c r="K230" s="65" t="str">
        <f t="shared" si="1"/>
        <v>In</v>
      </c>
    </row>
    <row r="231">
      <c r="A231" s="62" t="s">
        <v>368</v>
      </c>
      <c r="B231" s="63">
        <v>44243.0</v>
      </c>
      <c r="C231" s="62" t="s">
        <v>112</v>
      </c>
      <c r="D231" s="64">
        <v>0.0</v>
      </c>
      <c r="E231" s="62" t="s">
        <v>114</v>
      </c>
      <c r="F231" s="62" t="s">
        <v>110</v>
      </c>
      <c r="G231" s="64" t="s">
        <v>64</v>
      </c>
      <c r="H231" s="3" t="s">
        <v>145</v>
      </c>
      <c r="I231" s="65" t="str">
        <f>IFERROR(VLOOKUP(A231,'3. Call duration'!$A:$C,3,0),"--")</f>
        <v>--</v>
      </c>
      <c r="J231" s="65" t="str">
        <f t="array" ref="J231">XLOOKUP(H231,'2. Matching'!$A$2:$A$39,'2. Matching'!$B$2:$B$39,"--")</f>
        <v>SEO</v>
      </c>
      <c r="K231" s="65" t="str">
        <f t="shared" si="1"/>
        <v>In</v>
      </c>
    </row>
    <row r="232">
      <c r="A232" s="62" t="s">
        <v>369</v>
      </c>
      <c r="B232" s="63">
        <v>44328.0</v>
      </c>
      <c r="C232" s="62" t="s">
        <v>119</v>
      </c>
      <c r="D232" s="64">
        <v>47.5</v>
      </c>
      <c r="E232" s="62" t="s">
        <v>109</v>
      </c>
      <c r="F232" s="62" t="s">
        <v>115</v>
      </c>
      <c r="G232" s="64" t="s">
        <v>64</v>
      </c>
      <c r="H232" s="3" t="s">
        <v>49</v>
      </c>
      <c r="I232" s="65">
        <f>IFERROR(VLOOKUP(A232,'3. Call duration'!$A:$C,3,0),"--")</f>
        <v>11.76181613</v>
      </c>
      <c r="J232" s="65" t="str">
        <f t="array" ref="J232">XLOOKUP(H232,'2. Matching'!$A$2:$A$39,'2. Matching'!$B$2:$B$39,"--")</f>
        <v>Partnerships</v>
      </c>
      <c r="K232" s="65" t="str">
        <f t="shared" si="1"/>
        <v>In</v>
      </c>
    </row>
    <row r="233">
      <c r="A233" s="62" t="s">
        <v>370</v>
      </c>
      <c r="B233" s="63">
        <v>44382.0</v>
      </c>
      <c r="C233" s="62" t="s">
        <v>112</v>
      </c>
      <c r="D233" s="64">
        <v>0.0</v>
      </c>
      <c r="E233" s="62" t="s">
        <v>109</v>
      </c>
      <c r="F233" s="62" t="s">
        <v>110</v>
      </c>
      <c r="G233" s="64" t="s">
        <v>59</v>
      </c>
      <c r="H233" s="3" t="s">
        <v>68</v>
      </c>
      <c r="I233" s="65" t="str">
        <f>IFERROR(VLOOKUP(A233,'3. Call duration'!$A:$C,3,0),"--")</f>
        <v>--</v>
      </c>
      <c r="J233" s="65" t="str">
        <f t="array" ref="J233">XLOOKUP(H233,'2. Matching'!$A$2:$A$39,'2. Matching'!$B$2:$B$39,"--")</f>
        <v>Acquisition</v>
      </c>
      <c r="K233" s="65" t="str">
        <f t="shared" si="1"/>
        <v>In</v>
      </c>
    </row>
    <row r="234">
      <c r="A234" s="62" t="s">
        <v>371</v>
      </c>
      <c r="B234" s="63">
        <v>44193.0</v>
      </c>
      <c r="C234" s="62" t="s">
        <v>112</v>
      </c>
      <c r="D234" s="64">
        <v>0.0</v>
      </c>
      <c r="E234" s="62" t="s">
        <v>109</v>
      </c>
      <c r="F234" s="62" t="s">
        <v>110</v>
      </c>
      <c r="G234" s="64" t="s">
        <v>62</v>
      </c>
      <c r="H234" s="3" t="s">
        <v>294</v>
      </c>
      <c r="I234" s="65" t="str">
        <f>IFERROR(VLOOKUP(A234,'3. Call duration'!$A:$C,3,0),"--")</f>
        <v>--</v>
      </c>
      <c r="J234" s="65" t="str">
        <f t="array" ref="J234">XLOOKUP(H234,'2. Matching'!$A$2:$A$39,'2. Matching'!$B$2:$B$39,"--")</f>
        <v>Farming</v>
      </c>
      <c r="K234" s="65" t="str">
        <f t="shared" si="1"/>
        <v>In</v>
      </c>
    </row>
    <row r="235">
      <c r="A235" s="62" t="s">
        <v>372</v>
      </c>
      <c r="B235" s="63">
        <v>44354.0</v>
      </c>
      <c r="C235" s="62" t="s">
        <v>112</v>
      </c>
      <c r="D235" s="64">
        <v>0.0</v>
      </c>
      <c r="E235" s="62" t="s">
        <v>109</v>
      </c>
      <c r="F235" s="62" t="s">
        <v>115</v>
      </c>
      <c r="G235" s="64" t="s">
        <v>59</v>
      </c>
      <c r="H235" s="3" t="s">
        <v>53</v>
      </c>
      <c r="I235" s="65" t="str">
        <f>IFERROR(VLOOKUP(A235,'3. Call duration'!$A:$C,3,0),"--")</f>
        <v>--</v>
      </c>
      <c r="J235" s="65" t="str">
        <f t="array" ref="J235">XLOOKUP(H235,'2. Matching'!$A$2:$A$39,'2. Matching'!$B$2:$B$39,"--")</f>
        <v>Partnerships</v>
      </c>
      <c r="K235" s="65" t="str">
        <f t="shared" si="1"/>
        <v>In</v>
      </c>
    </row>
    <row r="236">
      <c r="A236" s="62" t="s">
        <v>373</v>
      </c>
      <c r="B236" s="63">
        <v>44327.0</v>
      </c>
      <c r="C236" s="62" t="s">
        <v>119</v>
      </c>
      <c r="D236" s="64">
        <v>95.0</v>
      </c>
      <c r="E236" s="62" t="s">
        <v>114</v>
      </c>
      <c r="F236" s="62" t="s">
        <v>115</v>
      </c>
      <c r="G236" s="64" t="s">
        <v>64</v>
      </c>
      <c r="H236" s="3" t="s">
        <v>116</v>
      </c>
      <c r="I236" s="65">
        <f>IFERROR(VLOOKUP(A236,'3. Call duration'!$A:$C,3,0),"--")</f>
        <v>11.86579735</v>
      </c>
      <c r="J236" s="65" t="str">
        <f t="array" ref="J236">XLOOKUP(H236,'2. Matching'!$A$2:$A$39,'2. Matching'!$B$2:$B$39,"--")</f>
        <v>Acquisition</v>
      </c>
      <c r="K236" s="65" t="str">
        <f t="shared" si="1"/>
        <v>In</v>
      </c>
    </row>
    <row r="237">
      <c r="A237" s="62" t="s">
        <v>374</v>
      </c>
      <c r="B237" s="63">
        <v>44232.0</v>
      </c>
      <c r="C237" s="62" t="s">
        <v>108</v>
      </c>
      <c r="D237" s="64">
        <v>0.0</v>
      </c>
      <c r="E237" s="62" t="s">
        <v>109</v>
      </c>
      <c r="F237" s="62" t="s">
        <v>115</v>
      </c>
      <c r="G237" s="64" t="s">
        <v>64</v>
      </c>
      <c r="H237" s="3" t="s">
        <v>175</v>
      </c>
      <c r="I237" s="65">
        <f>IFERROR(VLOOKUP(A237,'3. Call duration'!$A:$C,3,0),"--")</f>
        <v>27.00634821</v>
      </c>
      <c r="J237" s="65" t="str">
        <f t="array" ref="J237">XLOOKUP(H237,'2. Matching'!$A$2:$A$39,'2. Matching'!$B$2:$B$39,"--")</f>
        <v>SEO</v>
      </c>
      <c r="K237" s="65" t="str">
        <f t="shared" si="1"/>
        <v>In</v>
      </c>
    </row>
    <row r="238">
      <c r="A238" s="62" t="s">
        <v>375</v>
      </c>
      <c r="B238" s="63">
        <v>44344.0</v>
      </c>
      <c r="C238" s="62" t="s">
        <v>119</v>
      </c>
      <c r="D238" s="64">
        <v>47.5</v>
      </c>
      <c r="E238" s="62" t="s">
        <v>109</v>
      </c>
      <c r="F238" s="62" t="s">
        <v>110</v>
      </c>
      <c r="G238" s="64" t="s">
        <v>64</v>
      </c>
      <c r="H238" s="3" t="s">
        <v>171</v>
      </c>
      <c r="I238" s="65">
        <f>IFERROR(VLOOKUP(A238,'3. Call duration'!$A:$C,3,0),"--")</f>
        <v>11.87343331</v>
      </c>
      <c r="J238" s="65" t="str">
        <f t="array" ref="J238">XLOOKUP(H238,'2. Matching'!$A$2:$A$39,'2. Matching'!$B$2:$B$39,"--")</f>
        <v>SEO</v>
      </c>
      <c r="K238" s="65" t="str">
        <f t="shared" si="1"/>
        <v>In</v>
      </c>
    </row>
    <row r="239">
      <c r="A239" s="62" t="s">
        <v>376</v>
      </c>
      <c r="B239" s="63">
        <v>44362.0</v>
      </c>
      <c r="C239" s="62" t="s">
        <v>108</v>
      </c>
      <c r="D239" s="64">
        <v>0.0</v>
      </c>
      <c r="E239" s="62" t="s">
        <v>109</v>
      </c>
      <c r="F239" s="62" t="s">
        <v>110</v>
      </c>
      <c r="G239" s="64" t="s">
        <v>60</v>
      </c>
      <c r="H239" s="3" t="s">
        <v>67</v>
      </c>
      <c r="I239" s="65">
        <f>IFERROR(VLOOKUP(A239,'3. Call duration'!$A:$C,3,0),"--")</f>
        <v>33.35075061</v>
      </c>
      <c r="J239" s="65" t="str">
        <f t="array" ref="J239">XLOOKUP(H239,'2. Matching'!$A$2:$A$39,'2. Matching'!$B$2:$B$39,"--")</f>
        <v>Acquisition</v>
      </c>
      <c r="K239" s="65" t="str">
        <f t="shared" si="1"/>
        <v>In</v>
      </c>
    </row>
    <row r="240">
      <c r="A240" s="62" t="s">
        <v>377</v>
      </c>
      <c r="B240" s="63">
        <v>44388.0</v>
      </c>
      <c r="C240" s="62" t="s">
        <v>108</v>
      </c>
      <c r="D240" s="64">
        <v>0.0</v>
      </c>
      <c r="E240" s="62" t="s">
        <v>114</v>
      </c>
      <c r="F240" s="62" t="s">
        <v>110</v>
      </c>
      <c r="G240" s="64" t="s">
        <v>64</v>
      </c>
      <c r="H240" s="3" t="s">
        <v>139</v>
      </c>
      <c r="I240" s="65">
        <f>IFERROR(VLOOKUP(A240,'3. Call duration'!$A:$C,3,0),"--")</f>
        <v>13.24311749</v>
      </c>
      <c r="J240" s="65" t="str">
        <f t="array" ref="J240">XLOOKUP(H240,'2. Matching'!$A$2:$A$39,'2. Matching'!$B$2:$B$39,"--")</f>
        <v>Acquisition</v>
      </c>
      <c r="K240" s="65" t="str">
        <f t="shared" si="1"/>
        <v>In</v>
      </c>
    </row>
    <row r="241">
      <c r="A241" s="62" t="s">
        <v>378</v>
      </c>
      <c r="B241" s="63">
        <v>44309.0</v>
      </c>
      <c r="C241" s="62" t="s">
        <v>112</v>
      </c>
      <c r="D241" s="64">
        <v>0.0</v>
      </c>
      <c r="E241" s="62" t="s">
        <v>109</v>
      </c>
      <c r="F241" s="62" t="s">
        <v>110</v>
      </c>
      <c r="G241" s="64" t="s">
        <v>61</v>
      </c>
      <c r="H241" s="3" t="s">
        <v>69</v>
      </c>
      <c r="I241" s="65" t="str">
        <f>IFERROR(VLOOKUP(A241,'3. Call duration'!$A:$C,3,0),"--")</f>
        <v>--</v>
      </c>
      <c r="J241" s="65" t="str">
        <f t="array" ref="J241">XLOOKUP(H241,'2. Matching'!$A$2:$A$39,'2. Matching'!$B$2:$B$39,"--")</f>
        <v>Acquisition</v>
      </c>
      <c r="K241" s="65" t="str">
        <f t="shared" si="1"/>
        <v>In</v>
      </c>
    </row>
    <row r="242">
      <c r="A242" s="62" t="s">
        <v>379</v>
      </c>
      <c r="B242" s="63">
        <v>44333.0</v>
      </c>
      <c r="C242" s="62" t="s">
        <v>119</v>
      </c>
      <c r="D242" s="64">
        <v>95.0</v>
      </c>
      <c r="E242" s="62" t="s">
        <v>114</v>
      </c>
      <c r="F242" s="62" t="s">
        <v>115</v>
      </c>
      <c r="G242" s="64" t="s">
        <v>64</v>
      </c>
      <c r="H242" s="3" t="s">
        <v>155</v>
      </c>
      <c r="I242" s="65">
        <f>IFERROR(VLOOKUP(A242,'3. Call duration'!$A:$C,3,0),"--")</f>
        <v>11.91524033</v>
      </c>
      <c r="J242" s="65" t="str">
        <f t="array" ref="J242">XLOOKUP(H242,'2. Matching'!$A$2:$A$39,'2. Matching'!$B$2:$B$39,"--")</f>
        <v>SEO</v>
      </c>
      <c r="K242" s="65" t="str">
        <f t="shared" si="1"/>
        <v>In</v>
      </c>
    </row>
    <row r="243">
      <c r="A243" s="62" t="s">
        <v>380</v>
      </c>
      <c r="B243" s="63">
        <v>44364.0</v>
      </c>
      <c r="C243" s="62" t="s">
        <v>112</v>
      </c>
      <c r="D243" s="64">
        <v>0.0</v>
      </c>
      <c r="E243" s="62" t="s">
        <v>109</v>
      </c>
      <c r="F243" s="62" t="s">
        <v>115</v>
      </c>
      <c r="G243" s="64" t="s">
        <v>64</v>
      </c>
      <c r="H243" s="3" t="s">
        <v>141</v>
      </c>
      <c r="I243" s="65" t="str">
        <f>IFERROR(VLOOKUP(A243,'3. Call duration'!$A:$C,3,0),"--")</f>
        <v>--</v>
      </c>
      <c r="J243" s="65" t="str">
        <f t="array" ref="J243">XLOOKUP(H243,'2. Matching'!$A$2:$A$39,'2. Matching'!$B$2:$B$39,"--")</f>
        <v>Acquisition</v>
      </c>
      <c r="K243" s="65" t="str">
        <f t="shared" si="1"/>
        <v>In</v>
      </c>
    </row>
    <row r="244">
      <c r="A244" s="62" t="s">
        <v>381</v>
      </c>
      <c r="B244" s="63">
        <v>44207.0</v>
      </c>
      <c r="C244" s="62" t="s">
        <v>112</v>
      </c>
      <c r="D244" s="64">
        <v>0.0</v>
      </c>
      <c r="E244" s="62" t="s">
        <v>114</v>
      </c>
      <c r="F244" s="62" t="s">
        <v>110</v>
      </c>
      <c r="G244" s="64" t="s">
        <v>62</v>
      </c>
      <c r="H244" s="3" t="s">
        <v>286</v>
      </c>
      <c r="I244" s="65" t="str">
        <f>IFERROR(VLOOKUP(A244,'3. Call duration'!$A:$C,3,0),"--")</f>
        <v>--</v>
      </c>
      <c r="J244" s="65" t="str">
        <f t="array" ref="J244">XLOOKUP(H244,'2. Matching'!$A$2:$A$39,'2. Matching'!$B$2:$B$39,"--")</f>
        <v>Farming</v>
      </c>
      <c r="K244" s="65" t="str">
        <f t="shared" si="1"/>
        <v>In</v>
      </c>
    </row>
    <row r="245">
      <c r="A245" s="62" t="s">
        <v>382</v>
      </c>
      <c r="B245" s="63">
        <v>44375.0</v>
      </c>
      <c r="C245" s="62" t="s">
        <v>112</v>
      </c>
      <c r="D245" s="64">
        <v>0.0</v>
      </c>
      <c r="E245" s="62" t="s">
        <v>109</v>
      </c>
      <c r="F245" s="62" t="s">
        <v>110</v>
      </c>
      <c r="G245" s="64" t="s">
        <v>64</v>
      </c>
      <c r="H245" s="3" t="s">
        <v>171</v>
      </c>
      <c r="I245" s="65" t="str">
        <f>IFERROR(VLOOKUP(A245,'3. Call duration'!$A:$C,3,0),"--")</f>
        <v>--</v>
      </c>
      <c r="J245" s="65" t="str">
        <f t="array" ref="J245">XLOOKUP(H245,'2. Matching'!$A$2:$A$39,'2. Matching'!$B$2:$B$39,"--")</f>
        <v>SEO</v>
      </c>
      <c r="K245" s="65" t="str">
        <f t="shared" si="1"/>
        <v>In</v>
      </c>
    </row>
    <row r="246">
      <c r="A246" s="62" t="s">
        <v>383</v>
      </c>
      <c r="B246" s="63">
        <v>44377.0</v>
      </c>
      <c r="C246" s="62" t="s">
        <v>108</v>
      </c>
      <c r="D246" s="64">
        <v>0.0</v>
      </c>
      <c r="E246" s="62" t="s">
        <v>109</v>
      </c>
      <c r="F246" s="62" t="s">
        <v>115</v>
      </c>
      <c r="G246" s="64" t="s">
        <v>64</v>
      </c>
      <c r="H246" s="3" t="s">
        <v>164</v>
      </c>
      <c r="I246" s="65">
        <f>IFERROR(VLOOKUP(A246,'3. Call duration'!$A:$C,3,0),"--")</f>
        <v>32.87435101</v>
      </c>
      <c r="J246" s="65" t="str">
        <f t="array" ref="J246">XLOOKUP(H246,'2. Matching'!$A$2:$A$39,'2. Matching'!$B$2:$B$39,"--")</f>
        <v>SEO</v>
      </c>
      <c r="K246" s="65" t="str">
        <f t="shared" si="1"/>
        <v>In</v>
      </c>
    </row>
    <row r="247">
      <c r="A247" s="62" t="s">
        <v>384</v>
      </c>
      <c r="B247" s="63">
        <v>44351.0</v>
      </c>
      <c r="C247" s="62" t="s">
        <v>112</v>
      </c>
      <c r="D247" s="64">
        <v>0.0</v>
      </c>
      <c r="E247" s="62" t="s">
        <v>109</v>
      </c>
      <c r="F247" s="62" t="s">
        <v>110</v>
      </c>
      <c r="G247" s="64" t="s">
        <v>59</v>
      </c>
      <c r="H247" s="3" t="s">
        <v>68</v>
      </c>
      <c r="I247" s="65" t="str">
        <f>IFERROR(VLOOKUP(A247,'3. Call duration'!$A:$C,3,0),"--")</f>
        <v>--</v>
      </c>
      <c r="J247" s="65" t="str">
        <f t="array" ref="J247">XLOOKUP(H247,'2. Matching'!$A$2:$A$39,'2. Matching'!$B$2:$B$39,"--")</f>
        <v>Acquisition</v>
      </c>
      <c r="K247" s="65" t="str">
        <f t="shared" si="1"/>
        <v>In</v>
      </c>
    </row>
    <row r="248">
      <c r="A248" s="62" t="s">
        <v>385</v>
      </c>
      <c r="B248" s="63">
        <v>44370.0</v>
      </c>
      <c r="C248" s="62" t="s">
        <v>112</v>
      </c>
      <c r="D248" s="64">
        <v>0.0</v>
      </c>
      <c r="E248" s="62" t="s">
        <v>109</v>
      </c>
      <c r="F248" s="62" t="s">
        <v>110</v>
      </c>
      <c r="G248" s="64" t="s">
        <v>59</v>
      </c>
      <c r="H248" s="3" t="s">
        <v>68</v>
      </c>
      <c r="I248" s="65" t="str">
        <f>IFERROR(VLOOKUP(A248,'3. Call duration'!$A:$C,3,0),"--")</f>
        <v>--</v>
      </c>
      <c r="J248" s="65" t="str">
        <f t="array" ref="J248">XLOOKUP(H248,'2. Matching'!$A$2:$A$39,'2. Matching'!$B$2:$B$39,"--")</f>
        <v>Acquisition</v>
      </c>
      <c r="K248" s="65" t="str">
        <f t="shared" si="1"/>
        <v>In</v>
      </c>
    </row>
    <row r="249">
      <c r="A249" s="62" t="s">
        <v>386</v>
      </c>
      <c r="B249" s="63">
        <v>44328.0</v>
      </c>
      <c r="C249" s="62" t="s">
        <v>119</v>
      </c>
      <c r="D249" s="64">
        <v>47.5</v>
      </c>
      <c r="E249" s="62" t="s">
        <v>109</v>
      </c>
      <c r="F249" s="62" t="s">
        <v>115</v>
      </c>
      <c r="G249" s="64" t="s">
        <v>64</v>
      </c>
      <c r="H249" s="3" t="s">
        <v>169</v>
      </c>
      <c r="I249" s="65">
        <f>IFERROR(VLOOKUP(A249,'3. Call duration'!$A:$C,3,0),"--")</f>
        <v>11.98131369</v>
      </c>
      <c r="J249" s="65" t="str">
        <f t="array" ref="J249">XLOOKUP(H249,'2. Matching'!$A$2:$A$39,'2. Matching'!$B$2:$B$39,"--")</f>
        <v>SEO</v>
      </c>
      <c r="K249" s="65" t="str">
        <f t="shared" si="1"/>
        <v>In</v>
      </c>
    </row>
    <row r="250">
      <c r="A250" s="62" t="s">
        <v>387</v>
      </c>
      <c r="B250" s="63">
        <v>44355.0</v>
      </c>
      <c r="C250" s="62" t="s">
        <v>108</v>
      </c>
      <c r="D250" s="64">
        <v>0.0</v>
      </c>
      <c r="E250" s="62" t="s">
        <v>109</v>
      </c>
      <c r="F250" s="62" t="s">
        <v>110</v>
      </c>
      <c r="G250" s="64" t="s">
        <v>60</v>
      </c>
      <c r="H250" s="3" t="s">
        <v>68</v>
      </c>
      <c r="I250" s="65">
        <f>IFERROR(VLOOKUP(A250,'3. Call duration'!$A:$C,3,0),"--")</f>
        <v>23.31732941</v>
      </c>
      <c r="J250" s="65" t="str">
        <f t="array" ref="J250">XLOOKUP(H250,'2. Matching'!$A$2:$A$39,'2. Matching'!$B$2:$B$39,"--")</f>
        <v>Acquisition</v>
      </c>
      <c r="K250" s="65" t="str">
        <f t="shared" si="1"/>
        <v>In</v>
      </c>
    </row>
    <row r="251">
      <c r="A251" s="62" t="s">
        <v>388</v>
      </c>
      <c r="B251" s="63">
        <v>44267.0</v>
      </c>
      <c r="C251" s="62" t="s">
        <v>112</v>
      </c>
      <c r="D251" s="64">
        <v>0.0</v>
      </c>
      <c r="E251" s="62" t="s">
        <v>109</v>
      </c>
      <c r="F251" s="62" t="s">
        <v>110</v>
      </c>
      <c r="G251" s="64" t="s">
        <v>64</v>
      </c>
      <c r="H251" s="3" t="s">
        <v>54</v>
      </c>
      <c r="I251" s="65" t="str">
        <f>IFERROR(VLOOKUP(A251,'3. Call duration'!$A:$C,3,0),"--")</f>
        <v>--</v>
      </c>
      <c r="J251" s="65" t="str">
        <f t="array" ref="J251">XLOOKUP(H251,'2. Matching'!$A$2:$A$39,'2. Matching'!$B$2:$B$39,"--")</f>
        <v>Partnerships</v>
      </c>
      <c r="K251" s="65" t="str">
        <f t="shared" si="1"/>
        <v>In</v>
      </c>
    </row>
    <row r="252">
      <c r="A252" s="62" t="s">
        <v>389</v>
      </c>
      <c r="B252" s="63">
        <v>44366.0</v>
      </c>
      <c r="C252" s="62" t="s">
        <v>112</v>
      </c>
      <c r="D252" s="64">
        <v>0.0</v>
      </c>
      <c r="E252" s="62" t="s">
        <v>109</v>
      </c>
      <c r="F252" s="62" t="s">
        <v>110</v>
      </c>
      <c r="G252" s="64" t="s">
        <v>59</v>
      </c>
      <c r="H252" s="3" t="s">
        <v>68</v>
      </c>
      <c r="I252" s="65" t="str">
        <f>IFERROR(VLOOKUP(A252,'3. Call duration'!$A:$C,3,0),"--")</f>
        <v>--</v>
      </c>
      <c r="J252" s="65" t="str">
        <f t="array" ref="J252">XLOOKUP(H252,'2. Matching'!$A$2:$A$39,'2. Matching'!$B$2:$B$39,"--")</f>
        <v>Acquisition</v>
      </c>
      <c r="K252" s="65" t="str">
        <f t="shared" si="1"/>
        <v>In</v>
      </c>
    </row>
    <row r="253">
      <c r="A253" s="62" t="s">
        <v>390</v>
      </c>
      <c r="B253" s="63">
        <v>44098.0</v>
      </c>
      <c r="C253" s="62" t="s">
        <v>108</v>
      </c>
      <c r="D253" s="64">
        <v>0.0</v>
      </c>
      <c r="E253" s="62" t="s">
        <v>114</v>
      </c>
      <c r="F253" s="62" t="s">
        <v>115</v>
      </c>
      <c r="G253" s="64" t="s">
        <v>64</v>
      </c>
      <c r="H253" s="3" t="s">
        <v>139</v>
      </c>
      <c r="I253" s="65">
        <f>IFERROR(VLOOKUP(A253,'3. Call duration'!$A:$C,3,0),"--")</f>
        <v>15.39464213</v>
      </c>
      <c r="J253" s="65" t="str">
        <f t="array" ref="J253">XLOOKUP(H253,'2. Matching'!$A$2:$A$39,'2. Matching'!$B$2:$B$39,"--")</f>
        <v>Acquisition</v>
      </c>
      <c r="K253" s="65" t="str">
        <f t="shared" si="1"/>
        <v>In</v>
      </c>
    </row>
    <row r="254">
      <c r="A254" s="62" t="s">
        <v>391</v>
      </c>
      <c r="B254" s="63">
        <v>44112.0</v>
      </c>
      <c r="C254" s="62" t="s">
        <v>112</v>
      </c>
      <c r="D254" s="64">
        <v>0.0</v>
      </c>
      <c r="E254" s="62" t="s">
        <v>109</v>
      </c>
      <c r="F254" s="62" t="s">
        <v>115</v>
      </c>
      <c r="G254" s="64" t="s">
        <v>60</v>
      </c>
      <c r="H254" s="3" t="s">
        <v>68</v>
      </c>
      <c r="I254" s="65" t="str">
        <f>IFERROR(VLOOKUP(A254,'3. Call duration'!$A:$C,3,0),"--")</f>
        <v>--</v>
      </c>
      <c r="J254" s="65" t="str">
        <f t="array" ref="J254">XLOOKUP(H254,'2. Matching'!$A$2:$A$39,'2. Matching'!$B$2:$B$39,"--")</f>
        <v>Acquisition</v>
      </c>
      <c r="K254" s="65" t="str">
        <f t="shared" si="1"/>
        <v>In</v>
      </c>
    </row>
    <row r="255">
      <c r="A255" s="62" t="s">
        <v>392</v>
      </c>
      <c r="B255" s="63">
        <v>44337.0</v>
      </c>
      <c r="C255" s="62" t="s">
        <v>108</v>
      </c>
      <c r="D255" s="64">
        <v>0.0</v>
      </c>
      <c r="E255" s="62" t="s">
        <v>109</v>
      </c>
      <c r="F255" s="62" t="s">
        <v>115</v>
      </c>
      <c r="G255" s="64" t="s">
        <v>59</v>
      </c>
      <c r="H255" s="3" t="s">
        <v>68</v>
      </c>
      <c r="I255" s="65">
        <f>IFERROR(VLOOKUP(A255,'3. Call duration'!$A:$C,3,0),"--")</f>
        <v>11.99270356</v>
      </c>
      <c r="J255" s="65" t="str">
        <f t="array" ref="J255">XLOOKUP(H255,'2. Matching'!$A$2:$A$39,'2. Matching'!$B$2:$B$39,"--")</f>
        <v>Acquisition</v>
      </c>
      <c r="K255" s="65" t="str">
        <f t="shared" si="1"/>
        <v>In</v>
      </c>
    </row>
    <row r="256">
      <c r="A256" s="62" t="s">
        <v>393</v>
      </c>
      <c r="B256" s="63">
        <v>44330.0</v>
      </c>
      <c r="C256" s="62" t="s">
        <v>119</v>
      </c>
      <c r="D256" s="64">
        <v>47.5</v>
      </c>
      <c r="E256" s="62" t="s">
        <v>109</v>
      </c>
      <c r="F256" s="62" t="s">
        <v>115</v>
      </c>
      <c r="G256" s="64" t="s">
        <v>64</v>
      </c>
      <c r="H256" s="3" t="s">
        <v>135</v>
      </c>
      <c r="I256" s="65">
        <f>IFERROR(VLOOKUP(A256,'3. Call duration'!$A:$C,3,0),"--")</f>
        <v>12.66568062</v>
      </c>
      <c r="J256" s="65" t="str">
        <f t="array" ref="J256">XLOOKUP(H256,'2. Matching'!$A$2:$A$39,'2. Matching'!$B$2:$B$39,"--")</f>
        <v>Acquisition</v>
      </c>
      <c r="K256" s="65" t="str">
        <f t="shared" si="1"/>
        <v>In</v>
      </c>
    </row>
    <row r="257">
      <c r="A257" s="62" t="s">
        <v>394</v>
      </c>
      <c r="B257" s="63">
        <v>44343.0</v>
      </c>
      <c r="C257" s="62" t="s">
        <v>119</v>
      </c>
      <c r="D257" s="64">
        <v>47.5</v>
      </c>
      <c r="E257" s="62" t="s">
        <v>109</v>
      </c>
      <c r="F257" s="62" t="s">
        <v>110</v>
      </c>
      <c r="G257" s="64" t="s">
        <v>64</v>
      </c>
      <c r="H257" s="3" t="s">
        <v>171</v>
      </c>
      <c r="I257" s="65">
        <f>IFERROR(VLOOKUP(A257,'3. Call duration'!$A:$C,3,0),"--")</f>
        <v>12.72165535</v>
      </c>
      <c r="J257" s="65" t="str">
        <f t="array" ref="J257">XLOOKUP(H257,'2. Matching'!$A$2:$A$39,'2. Matching'!$B$2:$B$39,"--")</f>
        <v>SEO</v>
      </c>
      <c r="K257" s="65" t="str">
        <f t="shared" si="1"/>
        <v>In</v>
      </c>
    </row>
    <row r="258">
      <c r="A258" s="62" t="s">
        <v>395</v>
      </c>
      <c r="B258" s="63">
        <v>44092.0</v>
      </c>
      <c r="C258" s="62" t="s">
        <v>108</v>
      </c>
      <c r="D258" s="64">
        <v>0.0</v>
      </c>
      <c r="E258" s="62" t="s">
        <v>109</v>
      </c>
      <c r="F258" s="62" t="s">
        <v>115</v>
      </c>
      <c r="G258" s="64" t="s">
        <v>64</v>
      </c>
      <c r="H258" s="3" t="s">
        <v>139</v>
      </c>
      <c r="I258" s="65">
        <f>IFERROR(VLOOKUP(A258,'3. Call duration'!$A:$C,3,0),"--")</f>
        <v>11.61387068</v>
      </c>
      <c r="J258" s="65" t="str">
        <f t="array" ref="J258">XLOOKUP(H258,'2. Matching'!$A$2:$A$39,'2. Matching'!$B$2:$B$39,"--")</f>
        <v>Acquisition</v>
      </c>
      <c r="K258" s="65" t="str">
        <f t="shared" si="1"/>
        <v>In</v>
      </c>
    </row>
    <row r="259">
      <c r="A259" s="62" t="s">
        <v>396</v>
      </c>
      <c r="B259" s="63">
        <v>44306.0</v>
      </c>
      <c r="C259" s="62" t="s">
        <v>112</v>
      </c>
      <c r="D259" s="64">
        <v>0.0</v>
      </c>
      <c r="E259" s="62" t="s">
        <v>109</v>
      </c>
      <c r="F259" s="62" t="s">
        <v>110</v>
      </c>
      <c r="G259" s="64" t="s">
        <v>63</v>
      </c>
      <c r="H259" s="3" t="s">
        <v>189</v>
      </c>
      <c r="I259" s="65" t="str">
        <f>IFERROR(VLOOKUP(A259,'3. Call duration'!$A:$C,3,0),"--")</f>
        <v>--</v>
      </c>
      <c r="J259" s="65" t="str">
        <f t="array" ref="J259">XLOOKUP(H259,'2. Matching'!$A$2:$A$39,'2. Matching'!$B$2:$B$39,"--")</f>
        <v>SEO</v>
      </c>
      <c r="K259" s="65" t="str">
        <f t="shared" si="1"/>
        <v>Out</v>
      </c>
    </row>
    <row r="260">
      <c r="A260" s="62" t="s">
        <v>397</v>
      </c>
      <c r="B260" s="63">
        <v>44343.0</v>
      </c>
      <c r="C260" s="62" t="s">
        <v>119</v>
      </c>
      <c r="D260" s="64">
        <v>47.5</v>
      </c>
      <c r="E260" s="62" t="s">
        <v>109</v>
      </c>
      <c r="F260" s="62" t="s">
        <v>110</v>
      </c>
      <c r="G260" s="64" t="s">
        <v>64</v>
      </c>
      <c r="H260" s="3" t="s">
        <v>131</v>
      </c>
      <c r="I260" s="65">
        <f>IFERROR(VLOOKUP(A260,'3. Call duration'!$A:$C,3,0),"--")</f>
        <v>12.77725218</v>
      </c>
      <c r="J260" s="65" t="str">
        <f t="array" ref="J260">XLOOKUP(H260,'2. Matching'!$A$2:$A$39,'2. Matching'!$B$2:$B$39,"--")</f>
        <v>Acquisition</v>
      </c>
      <c r="K260" s="65" t="str">
        <f t="shared" si="1"/>
        <v>In</v>
      </c>
    </row>
    <row r="261">
      <c r="A261" s="62" t="s">
        <v>398</v>
      </c>
      <c r="B261" s="63">
        <v>44327.0</v>
      </c>
      <c r="C261" s="62" t="s">
        <v>119</v>
      </c>
      <c r="D261" s="64">
        <v>47.5</v>
      </c>
      <c r="E261" s="62" t="s">
        <v>109</v>
      </c>
      <c r="F261" s="62" t="s">
        <v>115</v>
      </c>
      <c r="G261" s="64" t="s">
        <v>64</v>
      </c>
      <c r="H261" s="3" t="s">
        <v>139</v>
      </c>
      <c r="I261" s="65">
        <f>IFERROR(VLOOKUP(A261,'3. Call duration'!$A:$C,3,0),"--")</f>
        <v>12.86247966</v>
      </c>
      <c r="J261" s="65" t="str">
        <f t="array" ref="J261">XLOOKUP(H261,'2. Matching'!$A$2:$A$39,'2. Matching'!$B$2:$B$39,"--")</f>
        <v>Acquisition</v>
      </c>
      <c r="K261" s="65" t="str">
        <f t="shared" si="1"/>
        <v>In</v>
      </c>
    </row>
    <row r="262">
      <c r="A262" s="62" t="s">
        <v>399</v>
      </c>
      <c r="B262" s="63">
        <v>44334.0</v>
      </c>
      <c r="C262" s="62" t="s">
        <v>119</v>
      </c>
      <c r="D262" s="64">
        <v>47.5</v>
      </c>
      <c r="E262" s="62" t="s">
        <v>109</v>
      </c>
      <c r="F262" s="62" t="s">
        <v>115</v>
      </c>
      <c r="G262" s="64" t="s">
        <v>64</v>
      </c>
      <c r="H262" s="3" t="s">
        <v>175</v>
      </c>
      <c r="I262" s="65">
        <f>IFERROR(VLOOKUP(A262,'3. Call duration'!$A:$C,3,0),"--")</f>
        <v>12.89442338</v>
      </c>
      <c r="J262" s="65" t="str">
        <f t="array" ref="J262">XLOOKUP(H262,'2. Matching'!$A$2:$A$39,'2. Matching'!$B$2:$B$39,"--")</f>
        <v>SEO</v>
      </c>
      <c r="K262" s="65" t="str">
        <f t="shared" si="1"/>
        <v>In</v>
      </c>
    </row>
    <row r="263">
      <c r="A263" s="62" t="s">
        <v>400</v>
      </c>
      <c r="B263" s="63">
        <v>44063.0</v>
      </c>
      <c r="C263" s="62" t="s">
        <v>112</v>
      </c>
      <c r="D263" s="64">
        <v>0.0</v>
      </c>
      <c r="E263" s="62" t="s">
        <v>109</v>
      </c>
      <c r="F263" s="62" t="s">
        <v>115</v>
      </c>
      <c r="G263" s="64" t="s">
        <v>64</v>
      </c>
      <c r="H263" s="3" t="s">
        <v>164</v>
      </c>
      <c r="I263" s="65" t="str">
        <f>IFERROR(VLOOKUP(A263,'3. Call duration'!$A:$C,3,0),"--")</f>
        <v>--</v>
      </c>
      <c r="J263" s="65" t="str">
        <f t="array" ref="J263">XLOOKUP(H263,'2. Matching'!$A$2:$A$39,'2. Matching'!$B$2:$B$39,"--")</f>
        <v>SEO</v>
      </c>
      <c r="K263" s="65" t="str">
        <f t="shared" si="1"/>
        <v>In</v>
      </c>
    </row>
    <row r="264">
      <c r="A264" s="62" t="s">
        <v>401</v>
      </c>
      <c r="B264" s="63">
        <v>44354.0</v>
      </c>
      <c r="C264" s="62" t="s">
        <v>108</v>
      </c>
      <c r="D264" s="64">
        <v>0.0</v>
      </c>
      <c r="E264" s="62" t="s">
        <v>109</v>
      </c>
      <c r="F264" s="62" t="s">
        <v>110</v>
      </c>
      <c r="G264" s="64" t="s">
        <v>59</v>
      </c>
      <c r="H264" s="3" t="s">
        <v>68</v>
      </c>
      <c r="I264" s="65">
        <f>IFERROR(VLOOKUP(A264,'3. Call duration'!$A:$C,3,0),"--")</f>
        <v>24.47733225</v>
      </c>
      <c r="J264" s="65" t="str">
        <f t="array" ref="J264">XLOOKUP(H264,'2. Matching'!$A$2:$A$39,'2. Matching'!$B$2:$B$39,"--")</f>
        <v>Acquisition</v>
      </c>
      <c r="K264" s="65" t="str">
        <f t="shared" si="1"/>
        <v>In</v>
      </c>
    </row>
    <row r="265">
      <c r="A265" s="62" t="s">
        <v>402</v>
      </c>
      <c r="B265" s="63">
        <v>44255.0</v>
      </c>
      <c r="C265" s="62" t="s">
        <v>112</v>
      </c>
      <c r="D265" s="64">
        <v>0.0</v>
      </c>
      <c r="E265" s="62" t="s">
        <v>109</v>
      </c>
      <c r="F265" s="62" t="s">
        <v>115</v>
      </c>
      <c r="G265" s="64" t="s">
        <v>64</v>
      </c>
      <c r="H265" s="3" t="s">
        <v>139</v>
      </c>
      <c r="I265" s="65" t="str">
        <f>IFERROR(VLOOKUP(A265,'3. Call duration'!$A:$C,3,0),"--")</f>
        <v>--</v>
      </c>
      <c r="J265" s="65" t="str">
        <f t="array" ref="J265">XLOOKUP(H265,'2. Matching'!$A$2:$A$39,'2. Matching'!$B$2:$B$39,"--")</f>
        <v>Acquisition</v>
      </c>
      <c r="K265" s="65" t="str">
        <f t="shared" si="1"/>
        <v>In</v>
      </c>
    </row>
    <row r="266">
      <c r="A266" s="62" t="s">
        <v>403</v>
      </c>
      <c r="B266" s="63">
        <v>44228.0</v>
      </c>
      <c r="C266" s="62" t="s">
        <v>112</v>
      </c>
      <c r="D266" s="64">
        <v>0.0</v>
      </c>
      <c r="E266" s="62" t="s">
        <v>109</v>
      </c>
      <c r="F266" s="62" t="s">
        <v>115</v>
      </c>
      <c r="G266" s="64" t="s">
        <v>64</v>
      </c>
      <c r="H266" s="3" t="s">
        <v>131</v>
      </c>
      <c r="I266" s="65" t="str">
        <f>IFERROR(VLOOKUP(A266,'3. Call duration'!$A:$C,3,0),"--")</f>
        <v>--</v>
      </c>
      <c r="J266" s="65" t="str">
        <f t="array" ref="J266">XLOOKUP(H266,'2. Matching'!$A$2:$A$39,'2. Matching'!$B$2:$B$39,"--")</f>
        <v>Acquisition</v>
      </c>
      <c r="K266" s="65" t="str">
        <f t="shared" si="1"/>
        <v>In</v>
      </c>
    </row>
    <row r="267">
      <c r="A267" s="62" t="s">
        <v>404</v>
      </c>
      <c r="B267" s="63">
        <v>44203.0</v>
      </c>
      <c r="C267" s="62" t="s">
        <v>108</v>
      </c>
      <c r="D267" s="64">
        <v>0.0</v>
      </c>
      <c r="E267" s="62" t="s">
        <v>114</v>
      </c>
      <c r="F267" s="62" t="s">
        <v>110</v>
      </c>
      <c r="G267" s="64" t="s">
        <v>62</v>
      </c>
      <c r="H267" s="3" t="s">
        <v>286</v>
      </c>
      <c r="I267" s="65" t="str">
        <f>IFERROR(VLOOKUP(A267,'3. Call duration'!$A:$C,3,0),"--")</f>
        <v>--</v>
      </c>
      <c r="J267" s="65" t="str">
        <f t="array" ref="J267">XLOOKUP(H267,'2. Matching'!$A$2:$A$39,'2. Matching'!$B$2:$B$39,"--")</f>
        <v>Farming</v>
      </c>
      <c r="K267" s="65" t="str">
        <f t="shared" si="1"/>
        <v>In</v>
      </c>
    </row>
    <row r="268">
      <c r="A268" s="62" t="s">
        <v>405</v>
      </c>
      <c r="B268" s="63">
        <v>44071.0</v>
      </c>
      <c r="C268" s="62" t="s">
        <v>112</v>
      </c>
      <c r="D268" s="64">
        <v>0.0</v>
      </c>
      <c r="E268" s="62" t="s">
        <v>109</v>
      </c>
      <c r="F268" s="62" t="s">
        <v>110</v>
      </c>
      <c r="G268" s="64" t="s">
        <v>64</v>
      </c>
      <c r="H268" s="3" t="s">
        <v>155</v>
      </c>
      <c r="I268" s="65" t="str">
        <f>IFERROR(VLOOKUP(A268,'3. Call duration'!$A:$C,3,0),"--")</f>
        <v>--</v>
      </c>
      <c r="J268" s="65" t="str">
        <f t="array" ref="J268">XLOOKUP(H268,'2. Matching'!$A$2:$A$39,'2. Matching'!$B$2:$B$39,"--")</f>
        <v>SEO</v>
      </c>
      <c r="K268" s="65" t="str">
        <f t="shared" si="1"/>
        <v>In</v>
      </c>
    </row>
    <row r="269">
      <c r="A269" s="62" t="s">
        <v>406</v>
      </c>
      <c r="B269" s="63">
        <v>44333.0</v>
      </c>
      <c r="C269" s="62" t="s">
        <v>119</v>
      </c>
      <c r="D269" s="64">
        <v>47.5</v>
      </c>
      <c r="E269" s="62" t="s">
        <v>109</v>
      </c>
      <c r="F269" s="62" t="s">
        <v>115</v>
      </c>
      <c r="G269" s="64" t="s">
        <v>59</v>
      </c>
      <c r="H269" s="3" t="s">
        <v>68</v>
      </c>
      <c r="I269" s="65">
        <f>IFERROR(VLOOKUP(A269,'3. Call duration'!$A:$C,3,0),"--")</f>
        <v>12.95253906</v>
      </c>
      <c r="J269" s="65" t="str">
        <f t="array" ref="J269">XLOOKUP(H269,'2. Matching'!$A$2:$A$39,'2. Matching'!$B$2:$B$39,"--")</f>
        <v>Acquisition</v>
      </c>
      <c r="K269" s="65" t="str">
        <f t="shared" si="1"/>
        <v>In</v>
      </c>
    </row>
    <row r="270">
      <c r="A270" s="62" t="s">
        <v>407</v>
      </c>
      <c r="B270" s="63">
        <v>44306.0</v>
      </c>
      <c r="C270" s="62" t="s">
        <v>112</v>
      </c>
      <c r="D270" s="64">
        <v>0.0</v>
      </c>
      <c r="E270" s="62" t="s">
        <v>109</v>
      </c>
      <c r="F270" s="62" t="s">
        <v>115</v>
      </c>
      <c r="G270" s="64" t="s">
        <v>64</v>
      </c>
      <c r="H270" s="3" t="s">
        <v>221</v>
      </c>
      <c r="I270" s="65" t="str">
        <f>IFERROR(VLOOKUP(A270,'3. Call duration'!$A:$C,3,0),"--")</f>
        <v>--</v>
      </c>
      <c r="J270" s="65" t="str">
        <f t="array" ref="J270">XLOOKUP(H270,'2. Matching'!$A$2:$A$39,'2. Matching'!$B$2:$B$39,"--")</f>
        <v>Farming</v>
      </c>
      <c r="K270" s="65" t="str">
        <f t="shared" si="1"/>
        <v>In</v>
      </c>
    </row>
    <row r="271">
      <c r="A271" s="62" t="s">
        <v>408</v>
      </c>
      <c r="B271" s="63">
        <v>44252.0</v>
      </c>
      <c r="C271" s="62" t="s">
        <v>112</v>
      </c>
      <c r="D271" s="64">
        <v>0.0</v>
      </c>
      <c r="E271" s="62" t="s">
        <v>109</v>
      </c>
      <c r="F271" s="62" t="s">
        <v>115</v>
      </c>
      <c r="G271" s="64" t="s">
        <v>63</v>
      </c>
      <c r="H271" s="3" t="s">
        <v>189</v>
      </c>
      <c r="I271" s="65" t="str">
        <f>IFERROR(VLOOKUP(A271,'3. Call duration'!$A:$C,3,0),"--")</f>
        <v>--</v>
      </c>
      <c r="J271" s="65" t="str">
        <f t="array" ref="J271">XLOOKUP(H271,'2. Matching'!$A$2:$A$39,'2. Matching'!$B$2:$B$39,"--")</f>
        <v>SEO</v>
      </c>
      <c r="K271" s="65" t="str">
        <f t="shared" si="1"/>
        <v>Out</v>
      </c>
    </row>
    <row r="272">
      <c r="A272" s="62" t="s">
        <v>409</v>
      </c>
      <c r="B272" s="63">
        <v>44383.0</v>
      </c>
      <c r="C272" s="62" t="s">
        <v>112</v>
      </c>
      <c r="D272" s="64">
        <v>0.0</v>
      </c>
      <c r="E272" s="62" t="s">
        <v>114</v>
      </c>
      <c r="F272" s="62" t="s">
        <v>110</v>
      </c>
      <c r="G272" s="64" t="s">
        <v>61</v>
      </c>
      <c r="H272" s="3" t="s">
        <v>69</v>
      </c>
      <c r="I272" s="65" t="str">
        <f>IFERROR(VLOOKUP(A272,'3. Call duration'!$A:$C,3,0),"--")</f>
        <v>--</v>
      </c>
      <c r="J272" s="65" t="str">
        <f t="array" ref="J272">XLOOKUP(H272,'2. Matching'!$A$2:$A$39,'2. Matching'!$B$2:$B$39,"--")</f>
        <v>Acquisition</v>
      </c>
      <c r="K272" s="65" t="str">
        <f t="shared" si="1"/>
        <v>In</v>
      </c>
    </row>
    <row r="273">
      <c r="A273" s="62" t="s">
        <v>410</v>
      </c>
      <c r="B273" s="63">
        <v>44259.0</v>
      </c>
      <c r="C273" s="62" t="s">
        <v>112</v>
      </c>
      <c r="D273" s="64">
        <v>0.0</v>
      </c>
      <c r="E273" s="62" t="s">
        <v>109</v>
      </c>
      <c r="F273" s="62" t="s">
        <v>110</v>
      </c>
      <c r="G273" s="64" t="s">
        <v>64</v>
      </c>
      <c r="H273" s="3" t="s">
        <v>131</v>
      </c>
      <c r="I273" s="65" t="str">
        <f>IFERROR(VLOOKUP(A273,'3. Call duration'!$A:$C,3,0),"--")</f>
        <v>--</v>
      </c>
      <c r="J273" s="65" t="str">
        <f t="array" ref="J273">XLOOKUP(H273,'2. Matching'!$A$2:$A$39,'2. Matching'!$B$2:$B$39,"--")</f>
        <v>Acquisition</v>
      </c>
      <c r="K273" s="65" t="str">
        <f t="shared" si="1"/>
        <v>In</v>
      </c>
    </row>
    <row r="274">
      <c r="A274" s="62" t="s">
        <v>411</v>
      </c>
      <c r="B274" s="63">
        <v>44369.0</v>
      </c>
      <c r="C274" s="62" t="s">
        <v>112</v>
      </c>
      <c r="D274" s="64">
        <v>0.0</v>
      </c>
      <c r="E274" s="62" t="s">
        <v>109</v>
      </c>
      <c r="F274" s="62" t="s">
        <v>110</v>
      </c>
      <c r="G274" s="64" t="s">
        <v>60</v>
      </c>
      <c r="H274" s="3" t="s">
        <v>68</v>
      </c>
      <c r="I274" s="65" t="str">
        <f>IFERROR(VLOOKUP(A274,'3. Call duration'!$A:$C,3,0),"--")</f>
        <v>--</v>
      </c>
      <c r="J274" s="65" t="str">
        <f t="array" ref="J274">XLOOKUP(H274,'2. Matching'!$A$2:$A$39,'2. Matching'!$B$2:$B$39,"--")</f>
        <v>Acquisition</v>
      </c>
      <c r="K274" s="65" t="str">
        <f t="shared" si="1"/>
        <v>In</v>
      </c>
    </row>
    <row r="275">
      <c r="A275" s="62" t="s">
        <v>412</v>
      </c>
      <c r="B275" s="63">
        <v>44251.0</v>
      </c>
      <c r="C275" s="62" t="s">
        <v>112</v>
      </c>
      <c r="D275" s="64">
        <v>0.0</v>
      </c>
      <c r="E275" s="62" t="s">
        <v>109</v>
      </c>
      <c r="F275" s="62" t="s">
        <v>115</v>
      </c>
      <c r="G275" s="64" t="s">
        <v>64</v>
      </c>
      <c r="H275" s="3" t="s">
        <v>139</v>
      </c>
      <c r="I275" s="65" t="str">
        <f>IFERROR(VLOOKUP(A275,'3. Call duration'!$A:$C,3,0),"--")</f>
        <v>--</v>
      </c>
      <c r="J275" s="65" t="str">
        <f t="array" ref="J275">XLOOKUP(H275,'2. Matching'!$A$2:$A$39,'2. Matching'!$B$2:$B$39,"--")</f>
        <v>Acquisition</v>
      </c>
      <c r="K275" s="65" t="str">
        <f t="shared" si="1"/>
        <v>In</v>
      </c>
    </row>
    <row r="276">
      <c r="A276" s="62" t="s">
        <v>413</v>
      </c>
      <c r="B276" s="63">
        <v>44361.0</v>
      </c>
      <c r="C276" s="62" t="s">
        <v>108</v>
      </c>
      <c r="D276" s="64">
        <v>0.0</v>
      </c>
      <c r="E276" s="62" t="s">
        <v>109</v>
      </c>
      <c r="F276" s="62" t="s">
        <v>110</v>
      </c>
      <c r="G276" s="64" t="s">
        <v>63</v>
      </c>
      <c r="H276" s="3" t="s">
        <v>228</v>
      </c>
      <c r="I276" s="65">
        <f>IFERROR(VLOOKUP(A276,'3. Call duration'!$A:$C,3,0),"--")</f>
        <v>27.08745302</v>
      </c>
      <c r="J276" s="65" t="str">
        <f t="array" ref="J276">XLOOKUP(H276,'2. Matching'!$A$2:$A$39,'2. Matching'!$B$2:$B$39,"--")</f>
        <v>Farming</v>
      </c>
      <c r="K276" s="65" t="str">
        <f t="shared" si="1"/>
        <v>In</v>
      </c>
    </row>
    <row r="277">
      <c r="A277" s="62" t="s">
        <v>414</v>
      </c>
      <c r="B277" s="63">
        <v>44228.0</v>
      </c>
      <c r="C277" s="62" t="s">
        <v>108</v>
      </c>
      <c r="D277" s="64">
        <v>0.0</v>
      </c>
      <c r="E277" s="62" t="s">
        <v>109</v>
      </c>
      <c r="F277" s="62" t="s">
        <v>115</v>
      </c>
      <c r="G277" s="64" t="s">
        <v>64</v>
      </c>
      <c r="H277" s="3" t="s">
        <v>169</v>
      </c>
      <c r="I277" s="65">
        <f>IFERROR(VLOOKUP(A277,'3. Call duration'!$A:$C,3,0),"--")</f>
        <v>20.17943486</v>
      </c>
      <c r="J277" s="65" t="str">
        <f t="array" ref="J277">XLOOKUP(H277,'2. Matching'!$A$2:$A$39,'2. Matching'!$B$2:$B$39,"--")</f>
        <v>SEO</v>
      </c>
      <c r="K277" s="65" t="str">
        <f t="shared" si="1"/>
        <v>In</v>
      </c>
    </row>
    <row r="278">
      <c r="A278" s="62" t="s">
        <v>415</v>
      </c>
      <c r="B278" s="63">
        <v>44342.0</v>
      </c>
      <c r="C278" s="62" t="s">
        <v>119</v>
      </c>
      <c r="D278" s="64">
        <v>95.0</v>
      </c>
      <c r="E278" s="62" t="s">
        <v>114</v>
      </c>
      <c r="F278" s="62" t="s">
        <v>115</v>
      </c>
      <c r="G278" s="64" t="s">
        <v>64</v>
      </c>
      <c r="H278" s="3" t="s">
        <v>164</v>
      </c>
      <c r="I278" s="65">
        <f>IFERROR(VLOOKUP(A278,'3. Call duration'!$A:$C,3,0),"--")</f>
        <v>13.04373391</v>
      </c>
      <c r="J278" s="65" t="str">
        <f t="array" ref="J278">XLOOKUP(H278,'2. Matching'!$A$2:$A$39,'2. Matching'!$B$2:$B$39,"--")</f>
        <v>SEO</v>
      </c>
      <c r="K278" s="65" t="str">
        <f t="shared" si="1"/>
        <v>In</v>
      </c>
    </row>
    <row r="279">
      <c r="A279" s="62" t="s">
        <v>416</v>
      </c>
      <c r="B279" s="63">
        <v>44345.0</v>
      </c>
      <c r="C279" s="62" t="s">
        <v>119</v>
      </c>
      <c r="D279" s="64">
        <v>47.5</v>
      </c>
      <c r="E279" s="62" t="s">
        <v>109</v>
      </c>
      <c r="F279" s="62" t="s">
        <v>110</v>
      </c>
      <c r="G279" s="64" t="s">
        <v>59</v>
      </c>
      <c r="H279" s="3" t="s">
        <v>68</v>
      </c>
      <c r="I279" s="65">
        <f>IFERROR(VLOOKUP(A279,'3. Call duration'!$A:$C,3,0),"--")</f>
        <v>13.26153617</v>
      </c>
      <c r="J279" s="65" t="str">
        <f t="array" ref="J279">XLOOKUP(H279,'2. Matching'!$A$2:$A$39,'2. Matching'!$B$2:$B$39,"--")</f>
        <v>Acquisition</v>
      </c>
      <c r="K279" s="65" t="str">
        <f t="shared" si="1"/>
        <v>In</v>
      </c>
    </row>
    <row r="280">
      <c r="A280" s="62" t="s">
        <v>417</v>
      </c>
      <c r="B280" s="63">
        <v>44272.0</v>
      </c>
      <c r="C280" s="62" t="s">
        <v>112</v>
      </c>
      <c r="D280" s="64">
        <v>0.0</v>
      </c>
      <c r="E280" s="62" t="s">
        <v>109</v>
      </c>
      <c r="F280" s="62" t="s">
        <v>110</v>
      </c>
      <c r="G280" s="64" t="s">
        <v>64</v>
      </c>
      <c r="H280" s="3" t="s">
        <v>52</v>
      </c>
      <c r="I280" s="65" t="str">
        <f>IFERROR(VLOOKUP(A280,'3. Call duration'!$A:$C,3,0),"--")</f>
        <v>--</v>
      </c>
      <c r="J280" s="65" t="str">
        <f t="array" ref="J280">XLOOKUP(H280,'2. Matching'!$A$2:$A$39,'2. Matching'!$B$2:$B$39,"--")</f>
        <v>Partnerships</v>
      </c>
      <c r="K280" s="65" t="str">
        <f t="shared" si="1"/>
        <v>In</v>
      </c>
    </row>
    <row r="281">
      <c r="A281" s="62" t="s">
        <v>418</v>
      </c>
      <c r="B281" s="63">
        <v>44334.0</v>
      </c>
      <c r="C281" s="62" t="s">
        <v>119</v>
      </c>
      <c r="D281" s="64">
        <v>47.5</v>
      </c>
      <c r="E281" s="62" t="s">
        <v>109</v>
      </c>
      <c r="F281" s="62" t="s">
        <v>115</v>
      </c>
      <c r="G281" s="64" t="s">
        <v>63</v>
      </c>
      <c r="H281" s="3" t="s">
        <v>189</v>
      </c>
      <c r="I281" s="65">
        <f>IFERROR(VLOOKUP(A281,'3. Call duration'!$A:$C,3,0),"--")</f>
        <v>13.27704854</v>
      </c>
      <c r="J281" s="65" t="str">
        <f t="array" ref="J281">XLOOKUP(H281,'2. Matching'!$A$2:$A$39,'2. Matching'!$B$2:$B$39,"--")</f>
        <v>SEO</v>
      </c>
      <c r="K281" s="65" t="str">
        <f t="shared" si="1"/>
        <v>Out</v>
      </c>
    </row>
    <row r="282">
      <c r="A282" s="62" t="s">
        <v>419</v>
      </c>
      <c r="B282" s="63">
        <v>44078.0</v>
      </c>
      <c r="C282" s="62" t="s">
        <v>112</v>
      </c>
      <c r="D282" s="64">
        <v>0.0</v>
      </c>
      <c r="E282" s="62" t="s">
        <v>109</v>
      </c>
      <c r="F282" s="62" t="s">
        <v>115</v>
      </c>
      <c r="G282" s="64" t="s">
        <v>64</v>
      </c>
      <c r="H282" s="3" t="s">
        <v>139</v>
      </c>
      <c r="I282" s="65" t="str">
        <f>IFERROR(VLOOKUP(A282,'3. Call duration'!$A:$C,3,0),"--")</f>
        <v>--</v>
      </c>
      <c r="J282" s="65" t="str">
        <f t="array" ref="J282">XLOOKUP(H282,'2. Matching'!$A$2:$A$39,'2. Matching'!$B$2:$B$39,"--")</f>
        <v>Acquisition</v>
      </c>
      <c r="K282" s="65" t="str">
        <f t="shared" si="1"/>
        <v>In</v>
      </c>
    </row>
    <row r="283">
      <c r="A283" s="62" t="s">
        <v>420</v>
      </c>
      <c r="B283" s="63">
        <v>44073.0</v>
      </c>
      <c r="C283" s="62" t="s">
        <v>108</v>
      </c>
      <c r="D283" s="64">
        <v>0.0</v>
      </c>
      <c r="E283" s="62" t="s">
        <v>109</v>
      </c>
      <c r="F283" s="62" t="s">
        <v>115</v>
      </c>
      <c r="G283" s="64" t="s">
        <v>64</v>
      </c>
      <c r="H283" s="3" t="s">
        <v>139</v>
      </c>
      <c r="I283" s="65">
        <f>IFERROR(VLOOKUP(A283,'3. Call duration'!$A:$C,3,0),"--")</f>
        <v>29.30729974</v>
      </c>
      <c r="J283" s="65" t="str">
        <f t="array" ref="J283">XLOOKUP(H283,'2. Matching'!$A$2:$A$39,'2. Matching'!$B$2:$B$39,"--")</f>
        <v>Acquisition</v>
      </c>
      <c r="K283" s="65" t="str">
        <f t="shared" si="1"/>
        <v>In</v>
      </c>
    </row>
    <row r="284">
      <c r="A284" s="62" t="s">
        <v>421</v>
      </c>
      <c r="B284" s="63">
        <v>44376.0</v>
      </c>
      <c r="C284" s="62" t="s">
        <v>108</v>
      </c>
      <c r="D284" s="64">
        <v>0.0</v>
      </c>
      <c r="E284" s="62" t="s">
        <v>109</v>
      </c>
      <c r="F284" s="62" t="s">
        <v>110</v>
      </c>
      <c r="G284" s="64" t="s">
        <v>60</v>
      </c>
      <c r="H284" s="3" t="s">
        <v>68</v>
      </c>
      <c r="I284" s="65">
        <f>IFERROR(VLOOKUP(A284,'3. Call duration'!$A:$C,3,0),"--")</f>
        <v>33.07359788</v>
      </c>
      <c r="J284" s="65" t="str">
        <f t="array" ref="J284">XLOOKUP(H284,'2. Matching'!$A$2:$A$39,'2. Matching'!$B$2:$B$39,"--")</f>
        <v>Acquisition</v>
      </c>
      <c r="K284" s="65" t="str">
        <f t="shared" si="1"/>
        <v>In</v>
      </c>
    </row>
    <row r="285">
      <c r="A285" s="62" t="s">
        <v>422</v>
      </c>
      <c r="B285" s="63">
        <v>44349.0</v>
      </c>
      <c r="C285" s="62" t="s">
        <v>112</v>
      </c>
      <c r="D285" s="64">
        <v>0.0</v>
      </c>
      <c r="E285" s="62" t="s">
        <v>109</v>
      </c>
      <c r="F285" s="62" t="s">
        <v>110</v>
      </c>
      <c r="G285" s="64" t="s">
        <v>60</v>
      </c>
      <c r="H285" s="3" t="s">
        <v>68</v>
      </c>
      <c r="I285" s="65" t="str">
        <f>IFERROR(VLOOKUP(A285,'3. Call duration'!$A:$C,3,0),"--")</f>
        <v>--</v>
      </c>
      <c r="J285" s="65" t="str">
        <f t="array" ref="J285">XLOOKUP(H285,'2. Matching'!$A$2:$A$39,'2. Matching'!$B$2:$B$39,"--")</f>
        <v>Acquisition</v>
      </c>
      <c r="K285" s="65" t="str">
        <f t="shared" si="1"/>
        <v>In</v>
      </c>
    </row>
    <row r="286">
      <c r="A286" s="62" t="s">
        <v>423</v>
      </c>
      <c r="B286" s="63">
        <v>44335.0</v>
      </c>
      <c r="C286" s="62" t="s">
        <v>119</v>
      </c>
      <c r="D286" s="64">
        <v>47.5</v>
      </c>
      <c r="E286" s="62" t="s">
        <v>109</v>
      </c>
      <c r="F286" s="62" t="s">
        <v>115</v>
      </c>
      <c r="G286" s="64" t="s">
        <v>64</v>
      </c>
      <c r="H286" s="3" t="s">
        <v>175</v>
      </c>
      <c r="I286" s="65">
        <f>IFERROR(VLOOKUP(A286,'3. Call duration'!$A:$C,3,0),"--")</f>
        <v>13.33225421</v>
      </c>
      <c r="J286" s="65" t="str">
        <f t="array" ref="J286">XLOOKUP(H286,'2. Matching'!$A$2:$A$39,'2. Matching'!$B$2:$B$39,"--")</f>
        <v>SEO</v>
      </c>
      <c r="K286" s="65" t="str">
        <f t="shared" si="1"/>
        <v>In</v>
      </c>
    </row>
    <row r="287">
      <c r="A287" s="62" t="s">
        <v>424</v>
      </c>
      <c r="B287" s="63">
        <v>44385.0</v>
      </c>
      <c r="C287" s="62" t="s">
        <v>112</v>
      </c>
      <c r="D287" s="64">
        <v>0.0</v>
      </c>
      <c r="E287" s="62" t="s">
        <v>114</v>
      </c>
      <c r="F287" s="62" t="s">
        <v>110</v>
      </c>
      <c r="G287" s="64" t="s">
        <v>60</v>
      </c>
      <c r="H287" s="3" t="s">
        <v>67</v>
      </c>
      <c r="I287" s="65" t="str">
        <f>IFERROR(VLOOKUP(A287,'3. Call duration'!$A:$C,3,0),"--")</f>
        <v>--</v>
      </c>
      <c r="J287" s="65" t="str">
        <f t="array" ref="J287">XLOOKUP(H287,'2. Matching'!$A$2:$A$39,'2. Matching'!$B$2:$B$39,"--")</f>
        <v>Acquisition</v>
      </c>
      <c r="K287" s="65" t="str">
        <f t="shared" si="1"/>
        <v>In</v>
      </c>
    </row>
    <row r="288">
      <c r="A288" s="62" t="s">
        <v>425</v>
      </c>
      <c r="B288" s="63">
        <v>44221.0</v>
      </c>
      <c r="C288" s="62" t="s">
        <v>112</v>
      </c>
      <c r="D288" s="64">
        <v>0.0</v>
      </c>
      <c r="E288" s="62" t="s">
        <v>109</v>
      </c>
      <c r="F288" s="62" t="s">
        <v>115</v>
      </c>
      <c r="G288" s="64" t="s">
        <v>64</v>
      </c>
      <c r="H288" s="3" t="s">
        <v>175</v>
      </c>
      <c r="I288" s="65" t="str">
        <f>IFERROR(VLOOKUP(A288,'3. Call duration'!$A:$C,3,0),"--")</f>
        <v>--</v>
      </c>
      <c r="J288" s="65" t="str">
        <f t="array" ref="J288">XLOOKUP(H288,'2. Matching'!$A$2:$A$39,'2. Matching'!$B$2:$B$39,"--")</f>
        <v>SEO</v>
      </c>
      <c r="K288" s="65" t="str">
        <f t="shared" si="1"/>
        <v>In</v>
      </c>
    </row>
    <row r="289">
      <c r="A289" s="62" t="s">
        <v>426</v>
      </c>
      <c r="B289" s="63">
        <v>44270.0</v>
      </c>
      <c r="C289" s="62" t="s">
        <v>112</v>
      </c>
      <c r="D289" s="64">
        <v>0.0</v>
      </c>
      <c r="E289" s="62" t="s">
        <v>114</v>
      </c>
      <c r="F289" s="62" t="s">
        <v>110</v>
      </c>
      <c r="G289" s="64" t="s">
        <v>60</v>
      </c>
      <c r="H289" s="3" t="s">
        <v>68</v>
      </c>
      <c r="I289" s="65" t="str">
        <f>IFERROR(VLOOKUP(A289,'3. Call duration'!$A:$C,3,0),"--")</f>
        <v>--</v>
      </c>
      <c r="J289" s="65" t="str">
        <f t="array" ref="J289">XLOOKUP(H289,'2. Matching'!$A$2:$A$39,'2. Matching'!$B$2:$B$39,"--")</f>
        <v>Acquisition</v>
      </c>
      <c r="K289" s="65" t="str">
        <f t="shared" si="1"/>
        <v>In</v>
      </c>
    </row>
    <row r="290">
      <c r="A290" s="62" t="s">
        <v>427</v>
      </c>
      <c r="B290" s="63">
        <v>44333.0</v>
      </c>
      <c r="C290" s="62" t="s">
        <v>119</v>
      </c>
      <c r="D290" s="64">
        <v>47.5</v>
      </c>
      <c r="E290" s="62" t="s">
        <v>109</v>
      </c>
      <c r="F290" s="62" t="s">
        <v>115</v>
      </c>
      <c r="G290" s="64" t="s">
        <v>59</v>
      </c>
      <c r="H290" s="3" t="s">
        <v>68</v>
      </c>
      <c r="I290" s="65">
        <f>IFERROR(VLOOKUP(A290,'3. Call duration'!$A:$C,3,0),"--")</f>
        <v>13.39366311</v>
      </c>
      <c r="J290" s="65" t="str">
        <f t="array" ref="J290">XLOOKUP(H290,'2. Matching'!$A$2:$A$39,'2. Matching'!$B$2:$B$39,"--")</f>
        <v>Acquisition</v>
      </c>
      <c r="K290" s="65" t="str">
        <f t="shared" si="1"/>
        <v>In</v>
      </c>
    </row>
    <row r="291">
      <c r="A291" s="62" t="s">
        <v>428</v>
      </c>
      <c r="B291" s="63">
        <v>44376.0</v>
      </c>
      <c r="C291" s="62" t="s">
        <v>112</v>
      </c>
      <c r="D291" s="64">
        <v>0.0</v>
      </c>
      <c r="E291" s="62" t="s">
        <v>114</v>
      </c>
      <c r="F291" s="62" t="s">
        <v>110</v>
      </c>
      <c r="G291" s="64" t="s">
        <v>63</v>
      </c>
      <c r="H291" s="3" t="s">
        <v>183</v>
      </c>
      <c r="I291" s="65" t="str">
        <f>IFERROR(VLOOKUP(A291,'3. Call duration'!$A:$C,3,0),"--")</f>
        <v>--</v>
      </c>
      <c r="J291" s="65" t="str">
        <f t="array" ref="J291">XLOOKUP(H291,'2. Matching'!$A$2:$A$39,'2. Matching'!$B$2:$B$39,"--")</f>
        <v>SEO</v>
      </c>
      <c r="K291" s="65" t="str">
        <f t="shared" si="1"/>
        <v>In</v>
      </c>
    </row>
    <row r="292">
      <c r="A292" s="62" t="s">
        <v>429</v>
      </c>
      <c r="B292" s="63">
        <v>44169.0</v>
      </c>
      <c r="C292" s="62" t="s">
        <v>112</v>
      </c>
      <c r="D292" s="64">
        <v>0.0</v>
      </c>
      <c r="E292" s="62" t="s">
        <v>109</v>
      </c>
      <c r="F292" s="62" t="s">
        <v>110</v>
      </c>
      <c r="G292" s="64" t="s">
        <v>62</v>
      </c>
      <c r="H292" s="3" t="s">
        <v>294</v>
      </c>
      <c r="I292" s="65" t="str">
        <f>IFERROR(VLOOKUP(A292,'3. Call duration'!$A:$C,3,0),"--")</f>
        <v>--</v>
      </c>
      <c r="J292" s="65" t="str">
        <f t="array" ref="J292">XLOOKUP(H292,'2. Matching'!$A$2:$A$39,'2. Matching'!$B$2:$B$39,"--")</f>
        <v>Farming</v>
      </c>
      <c r="K292" s="65" t="str">
        <f t="shared" si="1"/>
        <v>In</v>
      </c>
    </row>
    <row r="293">
      <c r="A293" s="62" t="s">
        <v>430</v>
      </c>
      <c r="B293" s="63">
        <v>44162.0</v>
      </c>
      <c r="C293" s="62" t="s">
        <v>112</v>
      </c>
      <c r="D293" s="64">
        <v>0.0</v>
      </c>
      <c r="E293" s="62" t="s">
        <v>109</v>
      </c>
      <c r="F293" s="62" t="s">
        <v>115</v>
      </c>
      <c r="G293" s="64" t="s">
        <v>64</v>
      </c>
      <c r="H293" s="3" t="s">
        <v>164</v>
      </c>
      <c r="I293" s="65" t="str">
        <f>IFERROR(VLOOKUP(A293,'3. Call duration'!$A:$C,3,0),"--")</f>
        <v>--</v>
      </c>
      <c r="J293" s="65" t="str">
        <f t="array" ref="J293">XLOOKUP(H293,'2. Matching'!$A$2:$A$39,'2. Matching'!$B$2:$B$39,"--")</f>
        <v>SEO</v>
      </c>
      <c r="K293" s="65" t="str">
        <f t="shared" si="1"/>
        <v>In</v>
      </c>
    </row>
    <row r="294">
      <c r="A294" s="62" t="s">
        <v>431</v>
      </c>
      <c r="B294" s="63">
        <v>44060.0</v>
      </c>
      <c r="C294" s="62" t="s">
        <v>108</v>
      </c>
      <c r="D294" s="64">
        <v>0.0</v>
      </c>
      <c r="E294" s="62" t="s">
        <v>114</v>
      </c>
      <c r="F294" s="62" t="s">
        <v>115</v>
      </c>
      <c r="G294" s="64" t="s">
        <v>64</v>
      </c>
      <c r="H294" s="3" t="s">
        <v>131</v>
      </c>
      <c r="I294" s="65">
        <f>IFERROR(VLOOKUP(A294,'3. Call duration'!$A:$C,3,0),"--")</f>
        <v>22.51069179</v>
      </c>
      <c r="J294" s="65" t="str">
        <f t="array" ref="J294">XLOOKUP(H294,'2. Matching'!$A$2:$A$39,'2. Matching'!$B$2:$B$39,"--")</f>
        <v>Acquisition</v>
      </c>
      <c r="K294" s="65" t="str">
        <f t="shared" si="1"/>
        <v>In</v>
      </c>
    </row>
    <row r="295">
      <c r="A295" s="62" t="s">
        <v>432</v>
      </c>
      <c r="B295" s="63">
        <v>44104.0</v>
      </c>
      <c r="C295" s="62" t="s">
        <v>108</v>
      </c>
      <c r="D295" s="64">
        <v>0.0</v>
      </c>
      <c r="E295" s="62" t="s">
        <v>109</v>
      </c>
      <c r="F295" s="62" t="s">
        <v>115</v>
      </c>
      <c r="G295" s="64" t="s">
        <v>64</v>
      </c>
      <c r="H295" s="3" t="s">
        <v>155</v>
      </c>
      <c r="I295" s="65">
        <f>IFERROR(VLOOKUP(A295,'3. Call duration'!$A:$C,3,0),"--")</f>
        <v>32.57633564</v>
      </c>
      <c r="J295" s="65" t="str">
        <f t="array" ref="J295">XLOOKUP(H295,'2. Matching'!$A$2:$A$39,'2. Matching'!$B$2:$B$39,"--")</f>
        <v>SEO</v>
      </c>
      <c r="K295" s="65" t="str">
        <f t="shared" si="1"/>
        <v>In</v>
      </c>
    </row>
    <row r="296">
      <c r="A296" s="62" t="s">
        <v>433</v>
      </c>
      <c r="B296" s="63">
        <v>44333.0</v>
      </c>
      <c r="C296" s="62" t="s">
        <v>119</v>
      </c>
      <c r="D296" s="64">
        <v>47.5</v>
      </c>
      <c r="E296" s="62" t="s">
        <v>109</v>
      </c>
      <c r="F296" s="62" t="s">
        <v>115</v>
      </c>
      <c r="G296" s="64" t="s">
        <v>59</v>
      </c>
      <c r="H296" s="3" t="s">
        <v>68</v>
      </c>
      <c r="I296" s="65">
        <f>IFERROR(VLOOKUP(A296,'3. Call duration'!$A:$C,3,0),"--")</f>
        <v>13.40483539</v>
      </c>
      <c r="J296" s="65" t="str">
        <f t="array" ref="J296">XLOOKUP(H296,'2. Matching'!$A$2:$A$39,'2. Matching'!$B$2:$B$39,"--")</f>
        <v>Acquisition</v>
      </c>
      <c r="K296" s="65" t="str">
        <f t="shared" si="1"/>
        <v>In</v>
      </c>
    </row>
    <row r="297">
      <c r="A297" s="62" t="s">
        <v>434</v>
      </c>
      <c r="B297" s="63">
        <v>44354.0</v>
      </c>
      <c r="C297" s="62" t="s">
        <v>112</v>
      </c>
      <c r="D297" s="64">
        <v>0.0</v>
      </c>
      <c r="E297" s="62" t="s">
        <v>114</v>
      </c>
      <c r="F297" s="62" t="s">
        <v>110</v>
      </c>
      <c r="G297" s="64" t="s">
        <v>60</v>
      </c>
      <c r="H297" s="3" t="s">
        <v>67</v>
      </c>
      <c r="I297" s="65" t="str">
        <f>IFERROR(VLOOKUP(A297,'3. Call duration'!$A:$C,3,0),"--")</f>
        <v>--</v>
      </c>
      <c r="J297" s="65" t="str">
        <f t="array" ref="J297">XLOOKUP(H297,'2. Matching'!$A$2:$A$39,'2. Matching'!$B$2:$B$39,"--")</f>
        <v>Acquisition</v>
      </c>
      <c r="K297" s="65" t="str">
        <f t="shared" si="1"/>
        <v>In</v>
      </c>
    </row>
    <row r="298">
      <c r="A298" s="62" t="s">
        <v>435</v>
      </c>
      <c r="B298" s="63">
        <v>44127.0</v>
      </c>
      <c r="C298" s="62" t="s">
        <v>112</v>
      </c>
      <c r="D298" s="64">
        <v>0.0</v>
      </c>
      <c r="E298" s="62" t="s">
        <v>109</v>
      </c>
      <c r="F298" s="62" t="s">
        <v>110</v>
      </c>
      <c r="G298" s="64" t="s">
        <v>60</v>
      </c>
      <c r="H298" s="3" t="s">
        <v>70</v>
      </c>
      <c r="I298" s="65" t="str">
        <f>IFERROR(VLOOKUP(A298,'3. Call duration'!$A:$C,3,0),"--")</f>
        <v>--</v>
      </c>
      <c r="J298" s="65" t="str">
        <f t="array" ref="J298">XLOOKUP(H298,'2. Matching'!$A$2:$A$39,'2. Matching'!$B$2:$B$39,"--")</f>
        <v>Farming</v>
      </c>
      <c r="K298" s="65" t="str">
        <f t="shared" si="1"/>
        <v>In</v>
      </c>
    </row>
    <row r="299">
      <c r="A299" s="62" t="s">
        <v>436</v>
      </c>
      <c r="B299" s="63">
        <v>44277.0</v>
      </c>
      <c r="C299" s="62" t="s">
        <v>112</v>
      </c>
      <c r="D299" s="64">
        <v>0.0</v>
      </c>
      <c r="E299" s="62" t="s">
        <v>109</v>
      </c>
      <c r="F299" s="62" t="s">
        <v>110</v>
      </c>
      <c r="G299" s="64" t="s">
        <v>64</v>
      </c>
      <c r="H299" s="3" t="s">
        <v>52</v>
      </c>
      <c r="I299" s="65" t="str">
        <f>IFERROR(VLOOKUP(A299,'3. Call duration'!$A:$C,3,0),"--")</f>
        <v>--</v>
      </c>
      <c r="J299" s="65" t="str">
        <f t="array" ref="J299">XLOOKUP(H299,'2. Matching'!$A$2:$A$39,'2. Matching'!$B$2:$B$39,"--")</f>
        <v>Partnerships</v>
      </c>
      <c r="K299" s="65" t="str">
        <f t="shared" si="1"/>
        <v>In</v>
      </c>
    </row>
    <row r="300">
      <c r="A300" s="62" t="s">
        <v>437</v>
      </c>
      <c r="B300" s="63">
        <v>44279.0</v>
      </c>
      <c r="C300" s="62" t="s">
        <v>112</v>
      </c>
      <c r="D300" s="64">
        <v>0.0</v>
      </c>
      <c r="E300" s="62" t="s">
        <v>109</v>
      </c>
      <c r="F300" s="62" t="s">
        <v>110</v>
      </c>
      <c r="G300" s="64" t="s">
        <v>63</v>
      </c>
      <c r="H300" s="3" t="s">
        <v>128</v>
      </c>
      <c r="I300" s="65" t="str">
        <f>IFERROR(VLOOKUP(A300,'3. Call duration'!$A:$C,3,0),"--")</f>
        <v>--</v>
      </c>
      <c r="J300" s="65" t="str">
        <f t="array" ref="J300">XLOOKUP(H300,'2. Matching'!$A$2:$A$39,'2. Matching'!$B$2:$B$39,"--")</f>
        <v>Acquisition</v>
      </c>
      <c r="K300" s="65" t="str">
        <f t="shared" si="1"/>
        <v>In</v>
      </c>
    </row>
    <row r="301">
      <c r="A301" s="62" t="s">
        <v>438</v>
      </c>
      <c r="B301" s="63">
        <v>44118.0</v>
      </c>
      <c r="C301" s="62" t="s">
        <v>108</v>
      </c>
      <c r="D301" s="64">
        <v>0.0</v>
      </c>
      <c r="E301" s="62" t="s">
        <v>109</v>
      </c>
      <c r="F301" s="62" t="s">
        <v>115</v>
      </c>
      <c r="G301" s="64" t="s">
        <v>64</v>
      </c>
      <c r="H301" s="3" t="s">
        <v>139</v>
      </c>
      <c r="I301" s="65">
        <f>IFERROR(VLOOKUP(A301,'3. Call duration'!$A:$C,3,0),"--")</f>
        <v>28.74188519</v>
      </c>
      <c r="J301" s="65" t="str">
        <f t="array" ref="J301">XLOOKUP(H301,'2. Matching'!$A$2:$A$39,'2. Matching'!$B$2:$B$39,"--")</f>
        <v>Acquisition</v>
      </c>
      <c r="K301" s="65" t="str">
        <f t="shared" si="1"/>
        <v>In</v>
      </c>
    </row>
    <row r="302">
      <c r="A302" s="62" t="s">
        <v>439</v>
      </c>
      <c r="B302" s="63">
        <v>44375.0</v>
      </c>
      <c r="C302" s="62" t="s">
        <v>112</v>
      </c>
      <c r="D302" s="64">
        <v>0.0</v>
      </c>
      <c r="E302" s="62" t="s">
        <v>109</v>
      </c>
      <c r="F302" s="62" t="s">
        <v>110</v>
      </c>
      <c r="G302" s="64" t="s">
        <v>60</v>
      </c>
      <c r="H302" s="3" t="s">
        <v>68</v>
      </c>
      <c r="I302" s="65" t="str">
        <f>IFERROR(VLOOKUP(A302,'3. Call duration'!$A:$C,3,0),"--")</f>
        <v>--</v>
      </c>
      <c r="J302" s="65" t="str">
        <f t="array" ref="J302">XLOOKUP(H302,'2. Matching'!$A$2:$A$39,'2. Matching'!$B$2:$B$39,"--")</f>
        <v>Acquisition</v>
      </c>
      <c r="K302" s="65" t="str">
        <f t="shared" si="1"/>
        <v>In</v>
      </c>
    </row>
    <row r="303">
      <c r="A303" s="62" t="s">
        <v>440</v>
      </c>
      <c r="B303" s="63">
        <v>44358.0</v>
      </c>
      <c r="C303" s="62" t="s">
        <v>112</v>
      </c>
      <c r="D303" s="64">
        <v>0.0</v>
      </c>
      <c r="E303" s="62" t="s">
        <v>109</v>
      </c>
      <c r="F303" s="62" t="s">
        <v>110</v>
      </c>
      <c r="G303" s="64" t="s">
        <v>63</v>
      </c>
      <c r="H303" s="3" t="s">
        <v>128</v>
      </c>
      <c r="I303" s="65" t="str">
        <f>IFERROR(VLOOKUP(A303,'3. Call duration'!$A:$C,3,0),"--")</f>
        <v>--</v>
      </c>
      <c r="J303" s="65" t="str">
        <f t="array" ref="J303">XLOOKUP(H303,'2. Matching'!$A$2:$A$39,'2. Matching'!$B$2:$B$39,"--")</f>
        <v>Acquisition</v>
      </c>
      <c r="K303" s="65" t="str">
        <f t="shared" si="1"/>
        <v>In</v>
      </c>
    </row>
    <row r="304">
      <c r="A304" s="62" t="s">
        <v>441</v>
      </c>
      <c r="B304" s="63">
        <v>44247.0</v>
      </c>
      <c r="C304" s="62" t="s">
        <v>112</v>
      </c>
      <c r="D304" s="64">
        <v>0.0</v>
      </c>
      <c r="E304" s="62" t="s">
        <v>114</v>
      </c>
      <c r="F304" s="62" t="s">
        <v>115</v>
      </c>
      <c r="G304" s="64" t="s">
        <v>64</v>
      </c>
      <c r="H304" s="3" t="s">
        <v>139</v>
      </c>
      <c r="I304" s="65" t="str">
        <f>IFERROR(VLOOKUP(A304,'3. Call duration'!$A:$C,3,0),"--")</f>
        <v>--</v>
      </c>
      <c r="J304" s="65" t="str">
        <f t="array" ref="J304">XLOOKUP(H304,'2. Matching'!$A$2:$A$39,'2. Matching'!$B$2:$B$39,"--")</f>
        <v>Acquisition</v>
      </c>
      <c r="K304" s="65" t="str">
        <f t="shared" si="1"/>
        <v>In</v>
      </c>
    </row>
    <row r="305">
      <c r="A305" s="62" t="s">
        <v>442</v>
      </c>
      <c r="B305" s="63">
        <v>44330.0</v>
      </c>
      <c r="C305" s="62" t="s">
        <v>119</v>
      </c>
      <c r="D305" s="64">
        <v>47.5</v>
      </c>
      <c r="E305" s="62" t="s">
        <v>109</v>
      </c>
      <c r="F305" s="62" t="s">
        <v>115</v>
      </c>
      <c r="G305" s="64" t="s">
        <v>64</v>
      </c>
      <c r="H305" s="3" t="s">
        <v>185</v>
      </c>
      <c r="I305" s="65">
        <f>IFERROR(VLOOKUP(A305,'3. Call duration'!$A:$C,3,0),"--")</f>
        <v>13.47757063</v>
      </c>
      <c r="J305" s="65" t="str">
        <f t="array" ref="J305">XLOOKUP(H305,'2. Matching'!$A$2:$A$39,'2. Matching'!$B$2:$B$39,"--")</f>
        <v>SEO</v>
      </c>
      <c r="K305" s="65" t="str">
        <f t="shared" si="1"/>
        <v>In</v>
      </c>
    </row>
    <row r="306">
      <c r="A306" s="62" t="s">
        <v>443</v>
      </c>
      <c r="B306" s="63">
        <v>44337.0</v>
      </c>
      <c r="C306" s="62" t="s">
        <v>119</v>
      </c>
      <c r="D306" s="64">
        <v>47.5</v>
      </c>
      <c r="E306" s="62" t="s">
        <v>109</v>
      </c>
      <c r="F306" s="62" t="s">
        <v>115</v>
      </c>
      <c r="G306" s="64" t="s">
        <v>64</v>
      </c>
      <c r="H306" s="3" t="s">
        <v>175</v>
      </c>
      <c r="I306" s="65">
        <f>IFERROR(VLOOKUP(A306,'3. Call duration'!$A:$C,3,0),"--")</f>
        <v>13.70072066</v>
      </c>
      <c r="J306" s="65" t="str">
        <f t="array" ref="J306">XLOOKUP(H306,'2. Matching'!$A$2:$A$39,'2. Matching'!$B$2:$B$39,"--")</f>
        <v>SEO</v>
      </c>
      <c r="K306" s="65" t="str">
        <f t="shared" si="1"/>
        <v>In</v>
      </c>
    </row>
    <row r="307">
      <c r="A307" s="62" t="s">
        <v>444</v>
      </c>
      <c r="B307" s="63">
        <v>44224.0</v>
      </c>
      <c r="C307" s="62" t="s">
        <v>112</v>
      </c>
      <c r="D307" s="64">
        <v>0.0</v>
      </c>
      <c r="E307" s="62" t="s">
        <v>109</v>
      </c>
      <c r="F307" s="62" t="s">
        <v>110</v>
      </c>
      <c r="G307" s="64" t="s">
        <v>64</v>
      </c>
      <c r="H307" s="3" t="s">
        <v>131</v>
      </c>
      <c r="I307" s="65" t="str">
        <f>IFERROR(VLOOKUP(A307,'3. Call duration'!$A:$C,3,0),"--")</f>
        <v>--</v>
      </c>
      <c r="J307" s="65" t="str">
        <f t="array" ref="J307">XLOOKUP(H307,'2. Matching'!$A$2:$A$39,'2. Matching'!$B$2:$B$39,"--")</f>
        <v>Acquisition</v>
      </c>
      <c r="K307" s="65" t="str">
        <f t="shared" si="1"/>
        <v>In</v>
      </c>
    </row>
    <row r="308">
      <c r="A308" s="62" t="s">
        <v>445</v>
      </c>
      <c r="B308" s="63">
        <v>44384.0</v>
      </c>
      <c r="C308" s="62" t="s">
        <v>108</v>
      </c>
      <c r="D308" s="64">
        <v>0.0</v>
      </c>
      <c r="E308" s="62" t="s">
        <v>109</v>
      </c>
      <c r="F308" s="62" t="s">
        <v>110</v>
      </c>
      <c r="G308" s="64" t="s">
        <v>60</v>
      </c>
      <c r="H308" s="3" t="s">
        <v>67</v>
      </c>
      <c r="I308" s="65">
        <f>IFERROR(VLOOKUP(A308,'3. Call duration'!$A:$C,3,0),"--")</f>
        <v>27.35896197</v>
      </c>
      <c r="J308" s="65" t="str">
        <f t="array" ref="J308">XLOOKUP(H308,'2. Matching'!$A$2:$A$39,'2. Matching'!$B$2:$B$39,"--")</f>
        <v>Acquisition</v>
      </c>
      <c r="K308" s="65" t="str">
        <f t="shared" si="1"/>
        <v>In</v>
      </c>
    </row>
    <row r="309">
      <c r="A309" s="62" t="s">
        <v>446</v>
      </c>
      <c r="B309" s="63">
        <v>44224.0</v>
      </c>
      <c r="C309" s="62" t="s">
        <v>108</v>
      </c>
      <c r="D309" s="64">
        <v>0.0</v>
      </c>
      <c r="E309" s="62" t="s">
        <v>109</v>
      </c>
      <c r="F309" s="62" t="s">
        <v>115</v>
      </c>
      <c r="G309" s="64" t="s">
        <v>64</v>
      </c>
      <c r="H309" s="3" t="s">
        <v>155</v>
      </c>
      <c r="I309" s="65">
        <f>IFERROR(VLOOKUP(A309,'3. Call duration'!$A:$C,3,0),"--")</f>
        <v>29.70025194</v>
      </c>
      <c r="J309" s="65" t="str">
        <f t="array" ref="J309">XLOOKUP(H309,'2. Matching'!$A$2:$A$39,'2. Matching'!$B$2:$B$39,"--")</f>
        <v>SEO</v>
      </c>
      <c r="K309" s="65" t="str">
        <f t="shared" si="1"/>
        <v>In</v>
      </c>
    </row>
    <row r="310">
      <c r="A310" s="62" t="s">
        <v>447</v>
      </c>
      <c r="B310" s="63">
        <v>44253.0</v>
      </c>
      <c r="C310" s="62" t="s">
        <v>112</v>
      </c>
      <c r="D310" s="64">
        <v>0.0</v>
      </c>
      <c r="E310" s="62" t="s">
        <v>109</v>
      </c>
      <c r="F310" s="62" t="s">
        <v>110</v>
      </c>
      <c r="G310" s="64" t="s">
        <v>63</v>
      </c>
      <c r="H310" s="3" t="s">
        <v>189</v>
      </c>
      <c r="I310" s="65" t="str">
        <f>IFERROR(VLOOKUP(A310,'3. Call duration'!$A:$C,3,0),"--")</f>
        <v>--</v>
      </c>
      <c r="J310" s="65" t="str">
        <f t="array" ref="J310">XLOOKUP(H310,'2. Matching'!$A$2:$A$39,'2. Matching'!$B$2:$B$39,"--")</f>
        <v>SEO</v>
      </c>
      <c r="K310" s="65" t="str">
        <f t="shared" si="1"/>
        <v>Out</v>
      </c>
    </row>
    <row r="311">
      <c r="A311" s="62" t="s">
        <v>448</v>
      </c>
      <c r="B311" s="63">
        <v>44306.0</v>
      </c>
      <c r="C311" s="62" t="s">
        <v>112</v>
      </c>
      <c r="D311" s="64">
        <v>0.0</v>
      </c>
      <c r="E311" s="62" t="s">
        <v>114</v>
      </c>
      <c r="F311" s="62" t="s">
        <v>110</v>
      </c>
      <c r="G311" s="64" t="s">
        <v>62</v>
      </c>
      <c r="H311" s="3" t="s">
        <v>203</v>
      </c>
      <c r="I311" s="65" t="str">
        <f>IFERROR(VLOOKUP(A311,'3. Call duration'!$A:$C,3,0),"--")</f>
        <v>--</v>
      </c>
      <c r="J311" s="65" t="str">
        <f t="array" ref="J311">XLOOKUP(H311,'2. Matching'!$A$2:$A$39,'2. Matching'!$B$2:$B$39,"--")</f>
        <v>Farming</v>
      </c>
      <c r="K311" s="65" t="str">
        <f t="shared" si="1"/>
        <v>In</v>
      </c>
    </row>
    <row r="312">
      <c r="A312" s="62" t="s">
        <v>449</v>
      </c>
      <c r="B312" s="63">
        <v>44266.0</v>
      </c>
      <c r="C312" s="62" t="s">
        <v>108</v>
      </c>
      <c r="D312" s="64">
        <v>0.0</v>
      </c>
      <c r="E312" s="62" t="s">
        <v>109</v>
      </c>
      <c r="F312" s="62" t="s">
        <v>115</v>
      </c>
      <c r="G312" s="64" t="s">
        <v>64</v>
      </c>
      <c r="H312" s="3" t="s">
        <v>49</v>
      </c>
      <c r="I312" s="65">
        <f>IFERROR(VLOOKUP(A312,'3. Call duration'!$A:$C,3,0),"--")</f>
        <v>21.26693959</v>
      </c>
      <c r="J312" s="65" t="str">
        <f t="array" ref="J312">XLOOKUP(H312,'2. Matching'!$A$2:$A$39,'2. Matching'!$B$2:$B$39,"--")</f>
        <v>Partnerships</v>
      </c>
      <c r="K312" s="65" t="str">
        <f t="shared" si="1"/>
        <v>In</v>
      </c>
    </row>
    <row r="313">
      <c r="A313" s="62" t="s">
        <v>450</v>
      </c>
      <c r="B313" s="63">
        <v>44298.0</v>
      </c>
      <c r="C313" s="62" t="s">
        <v>112</v>
      </c>
      <c r="D313" s="64">
        <v>0.0</v>
      </c>
      <c r="E313" s="62" t="s">
        <v>109</v>
      </c>
      <c r="F313" s="62" t="s">
        <v>115</v>
      </c>
      <c r="G313" s="64" t="s">
        <v>64</v>
      </c>
      <c r="H313" s="3" t="s">
        <v>52</v>
      </c>
      <c r="I313" s="65" t="str">
        <f>IFERROR(VLOOKUP(A313,'3. Call duration'!$A:$C,3,0),"--")</f>
        <v>--</v>
      </c>
      <c r="J313" s="65" t="str">
        <f t="array" ref="J313">XLOOKUP(H313,'2. Matching'!$A$2:$A$39,'2. Matching'!$B$2:$B$39,"--")</f>
        <v>Partnerships</v>
      </c>
      <c r="K313" s="65" t="str">
        <f t="shared" si="1"/>
        <v>In</v>
      </c>
    </row>
    <row r="314">
      <c r="A314" s="62" t="s">
        <v>451</v>
      </c>
      <c r="B314" s="63">
        <v>44319.0</v>
      </c>
      <c r="C314" s="62" t="s">
        <v>119</v>
      </c>
      <c r="D314" s="64">
        <v>47.5</v>
      </c>
      <c r="E314" s="62" t="s">
        <v>109</v>
      </c>
      <c r="F314" s="62" t="s">
        <v>115</v>
      </c>
      <c r="G314" s="64" t="s">
        <v>64</v>
      </c>
      <c r="H314" s="3" t="s">
        <v>185</v>
      </c>
      <c r="I314" s="65">
        <f>IFERROR(VLOOKUP(A314,'3. Call duration'!$A:$C,3,0),"--")</f>
        <v>13.87521312</v>
      </c>
      <c r="J314" s="65" t="str">
        <f t="array" ref="J314">XLOOKUP(H314,'2. Matching'!$A$2:$A$39,'2. Matching'!$B$2:$B$39,"--")</f>
        <v>SEO</v>
      </c>
      <c r="K314" s="65" t="str">
        <f t="shared" si="1"/>
        <v>In</v>
      </c>
    </row>
    <row r="315">
      <c r="A315" s="62" t="s">
        <v>452</v>
      </c>
      <c r="B315" s="63">
        <v>44368.0</v>
      </c>
      <c r="C315" s="62" t="s">
        <v>112</v>
      </c>
      <c r="D315" s="64">
        <v>0.0</v>
      </c>
      <c r="E315" s="62" t="s">
        <v>109</v>
      </c>
      <c r="F315" s="62" t="s">
        <v>115</v>
      </c>
      <c r="G315" s="64" t="s">
        <v>64</v>
      </c>
      <c r="H315" s="3" t="s">
        <v>171</v>
      </c>
      <c r="I315" s="65" t="str">
        <f>IFERROR(VLOOKUP(A315,'3. Call duration'!$A:$C,3,0),"--")</f>
        <v>--</v>
      </c>
      <c r="J315" s="65" t="str">
        <f t="array" ref="J315">XLOOKUP(H315,'2. Matching'!$A$2:$A$39,'2. Matching'!$B$2:$B$39,"--")</f>
        <v>SEO</v>
      </c>
      <c r="K315" s="65" t="str">
        <f t="shared" si="1"/>
        <v>In</v>
      </c>
    </row>
    <row r="316">
      <c r="A316" s="62" t="s">
        <v>453</v>
      </c>
      <c r="B316" s="63">
        <v>44251.0</v>
      </c>
      <c r="C316" s="62" t="s">
        <v>112</v>
      </c>
      <c r="D316" s="64">
        <v>0.0</v>
      </c>
      <c r="E316" s="62" t="s">
        <v>109</v>
      </c>
      <c r="F316" s="62" t="s">
        <v>110</v>
      </c>
      <c r="G316" s="64" t="s">
        <v>64</v>
      </c>
      <c r="H316" s="3" t="s">
        <v>145</v>
      </c>
      <c r="I316" s="65" t="str">
        <f>IFERROR(VLOOKUP(A316,'3. Call duration'!$A:$C,3,0),"--")</f>
        <v>--</v>
      </c>
      <c r="J316" s="65" t="str">
        <f t="array" ref="J316">XLOOKUP(H316,'2. Matching'!$A$2:$A$39,'2. Matching'!$B$2:$B$39,"--")</f>
        <v>SEO</v>
      </c>
      <c r="K316" s="65" t="str">
        <f t="shared" si="1"/>
        <v>In</v>
      </c>
    </row>
    <row r="317">
      <c r="A317" s="62" t="s">
        <v>454</v>
      </c>
      <c r="B317" s="63">
        <v>44186.0</v>
      </c>
      <c r="C317" s="62" t="s">
        <v>112</v>
      </c>
      <c r="D317" s="64">
        <v>0.0</v>
      </c>
      <c r="E317" s="62" t="s">
        <v>109</v>
      </c>
      <c r="F317" s="62" t="s">
        <v>110</v>
      </c>
      <c r="G317" s="64" t="s">
        <v>64</v>
      </c>
      <c r="H317" s="3" t="s">
        <v>164</v>
      </c>
      <c r="I317" s="65" t="str">
        <f>IFERROR(VLOOKUP(A317,'3. Call duration'!$A:$C,3,0),"--")</f>
        <v>--</v>
      </c>
      <c r="J317" s="65" t="str">
        <f t="array" ref="J317">XLOOKUP(H317,'2. Matching'!$A$2:$A$39,'2. Matching'!$B$2:$B$39,"--")</f>
        <v>SEO</v>
      </c>
      <c r="K317" s="65" t="str">
        <f t="shared" si="1"/>
        <v>In</v>
      </c>
    </row>
    <row r="318">
      <c r="A318" s="62" t="s">
        <v>455</v>
      </c>
      <c r="B318" s="63">
        <v>44069.0</v>
      </c>
      <c r="C318" s="62" t="s">
        <v>108</v>
      </c>
      <c r="D318" s="64">
        <v>0.0</v>
      </c>
      <c r="E318" s="62" t="s">
        <v>109</v>
      </c>
      <c r="F318" s="62" t="s">
        <v>115</v>
      </c>
      <c r="G318" s="64" t="s">
        <v>64</v>
      </c>
      <c r="H318" s="3" t="s">
        <v>139</v>
      </c>
      <c r="I318" s="65">
        <f>IFERROR(VLOOKUP(A318,'3. Call duration'!$A:$C,3,0),"--")</f>
        <v>31.01129364</v>
      </c>
      <c r="J318" s="65" t="str">
        <f t="array" ref="J318">XLOOKUP(H318,'2. Matching'!$A$2:$A$39,'2. Matching'!$B$2:$B$39,"--")</f>
        <v>Acquisition</v>
      </c>
      <c r="K318" s="65" t="str">
        <f t="shared" si="1"/>
        <v>In</v>
      </c>
    </row>
    <row r="319">
      <c r="A319" s="62" t="s">
        <v>456</v>
      </c>
      <c r="B319" s="63">
        <v>44114.0</v>
      </c>
      <c r="C319" s="62" t="s">
        <v>108</v>
      </c>
      <c r="D319" s="64">
        <v>0.0</v>
      </c>
      <c r="E319" s="62" t="s">
        <v>109</v>
      </c>
      <c r="F319" s="62" t="s">
        <v>115</v>
      </c>
      <c r="G319" s="64" t="s">
        <v>64</v>
      </c>
      <c r="H319" s="3" t="s">
        <v>139</v>
      </c>
      <c r="I319" s="65">
        <f>IFERROR(VLOOKUP(A319,'3. Call duration'!$A:$C,3,0),"--")</f>
        <v>31.75189878</v>
      </c>
      <c r="J319" s="65" t="str">
        <f t="array" ref="J319">XLOOKUP(H319,'2. Matching'!$A$2:$A$39,'2. Matching'!$B$2:$B$39,"--")</f>
        <v>Acquisition</v>
      </c>
      <c r="K319" s="65" t="str">
        <f t="shared" si="1"/>
        <v>In</v>
      </c>
    </row>
    <row r="320">
      <c r="A320" s="62" t="s">
        <v>457</v>
      </c>
      <c r="B320" s="63">
        <v>44393.0</v>
      </c>
      <c r="C320" s="62" t="s">
        <v>112</v>
      </c>
      <c r="D320" s="64">
        <v>0.0</v>
      </c>
      <c r="E320" s="62" t="s">
        <v>109</v>
      </c>
      <c r="F320" s="62" t="s">
        <v>110</v>
      </c>
      <c r="G320" s="64" t="s">
        <v>61</v>
      </c>
      <c r="H320" s="3" t="s">
        <v>69</v>
      </c>
      <c r="I320" s="65" t="str">
        <f>IFERROR(VLOOKUP(A320,'3. Call duration'!$A:$C,3,0),"--")</f>
        <v>--</v>
      </c>
      <c r="J320" s="65" t="str">
        <f t="array" ref="J320">XLOOKUP(H320,'2. Matching'!$A$2:$A$39,'2. Matching'!$B$2:$B$39,"--")</f>
        <v>Acquisition</v>
      </c>
      <c r="K320" s="65" t="str">
        <f t="shared" si="1"/>
        <v>In</v>
      </c>
    </row>
    <row r="321">
      <c r="A321" s="62" t="s">
        <v>458</v>
      </c>
      <c r="B321" s="63">
        <v>44176.0</v>
      </c>
      <c r="C321" s="62" t="s">
        <v>108</v>
      </c>
      <c r="D321" s="64">
        <v>0.0</v>
      </c>
      <c r="E321" s="62" t="s">
        <v>109</v>
      </c>
      <c r="F321" s="62" t="s">
        <v>115</v>
      </c>
      <c r="G321" s="64" t="s">
        <v>64</v>
      </c>
      <c r="H321" s="3" t="s">
        <v>221</v>
      </c>
      <c r="I321" s="65">
        <f>IFERROR(VLOOKUP(A321,'3. Call duration'!$A:$C,3,0),"--")</f>
        <v>30.95841575</v>
      </c>
      <c r="J321" s="65" t="str">
        <f t="array" ref="J321">XLOOKUP(H321,'2. Matching'!$A$2:$A$39,'2. Matching'!$B$2:$B$39,"--")</f>
        <v>Farming</v>
      </c>
      <c r="K321" s="65" t="str">
        <f t="shared" si="1"/>
        <v>In</v>
      </c>
    </row>
    <row r="322">
      <c r="A322" s="62" t="s">
        <v>459</v>
      </c>
      <c r="B322" s="63">
        <v>44098.0</v>
      </c>
      <c r="C322" s="62" t="s">
        <v>108</v>
      </c>
      <c r="D322" s="64">
        <v>0.0</v>
      </c>
      <c r="E322" s="62" t="s">
        <v>114</v>
      </c>
      <c r="F322" s="62" t="s">
        <v>115</v>
      </c>
      <c r="G322" s="64" t="s">
        <v>64</v>
      </c>
      <c r="H322" s="3" t="s">
        <v>139</v>
      </c>
      <c r="I322" s="65">
        <f>IFERROR(VLOOKUP(A322,'3. Call duration'!$A:$C,3,0),"--")</f>
        <v>14.83360584</v>
      </c>
      <c r="J322" s="65" t="str">
        <f t="array" ref="J322">XLOOKUP(H322,'2. Matching'!$A$2:$A$39,'2. Matching'!$B$2:$B$39,"--")</f>
        <v>Acquisition</v>
      </c>
      <c r="K322" s="65" t="str">
        <f t="shared" si="1"/>
        <v>In</v>
      </c>
    </row>
    <row r="323">
      <c r="A323" s="62" t="s">
        <v>460</v>
      </c>
      <c r="B323" s="63">
        <v>44210.0</v>
      </c>
      <c r="C323" s="62" t="s">
        <v>112</v>
      </c>
      <c r="D323" s="64">
        <v>0.0</v>
      </c>
      <c r="E323" s="62" t="s">
        <v>109</v>
      </c>
      <c r="F323" s="62" t="s">
        <v>115</v>
      </c>
      <c r="G323" s="64" t="s">
        <v>59</v>
      </c>
      <c r="H323" s="3" t="s">
        <v>68</v>
      </c>
      <c r="I323" s="65" t="str">
        <f>IFERROR(VLOOKUP(A323,'3. Call duration'!$A:$C,3,0),"--")</f>
        <v>--</v>
      </c>
      <c r="J323" s="65" t="str">
        <f t="array" ref="J323">XLOOKUP(H323,'2. Matching'!$A$2:$A$39,'2. Matching'!$B$2:$B$39,"--")</f>
        <v>Acquisition</v>
      </c>
      <c r="K323" s="65" t="str">
        <f t="shared" si="1"/>
        <v>In</v>
      </c>
    </row>
    <row r="324">
      <c r="A324" s="62" t="s">
        <v>461</v>
      </c>
      <c r="B324" s="63">
        <v>44355.0</v>
      </c>
      <c r="C324" s="62" t="s">
        <v>108</v>
      </c>
      <c r="D324" s="64">
        <v>0.0</v>
      </c>
      <c r="E324" s="62" t="s">
        <v>109</v>
      </c>
      <c r="F324" s="62" t="s">
        <v>115</v>
      </c>
      <c r="G324" s="64" t="s">
        <v>64</v>
      </c>
      <c r="H324" s="3" t="s">
        <v>171</v>
      </c>
      <c r="I324" s="65">
        <f>IFERROR(VLOOKUP(A324,'3. Call duration'!$A:$C,3,0),"--")</f>
        <v>33.2571499</v>
      </c>
      <c r="J324" s="65" t="str">
        <f t="array" ref="J324">XLOOKUP(H324,'2. Matching'!$A$2:$A$39,'2. Matching'!$B$2:$B$39,"--")</f>
        <v>SEO</v>
      </c>
      <c r="K324" s="65" t="str">
        <f t="shared" si="1"/>
        <v>In</v>
      </c>
    </row>
    <row r="325">
      <c r="A325" s="62" t="s">
        <v>462</v>
      </c>
      <c r="B325" s="63">
        <v>44370.0</v>
      </c>
      <c r="C325" s="62" t="s">
        <v>108</v>
      </c>
      <c r="D325" s="64">
        <v>0.0</v>
      </c>
      <c r="E325" s="62" t="s">
        <v>109</v>
      </c>
      <c r="F325" s="62" t="s">
        <v>110</v>
      </c>
      <c r="G325" s="64" t="s">
        <v>61</v>
      </c>
      <c r="H325" s="3" t="s">
        <v>67</v>
      </c>
      <c r="I325" s="65">
        <f>IFERROR(VLOOKUP(A325,'3. Call duration'!$A:$C,3,0),"--")</f>
        <v>11.26828631</v>
      </c>
      <c r="J325" s="65" t="str">
        <f t="array" ref="J325">XLOOKUP(H325,'2. Matching'!$A$2:$A$39,'2. Matching'!$B$2:$B$39,"--")</f>
        <v>Acquisition</v>
      </c>
      <c r="K325" s="65" t="str">
        <f t="shared" si="1"/>
        <v>In</v>
      </c>
    </row>
    <row r="326">
      <c r="A326" s="62" t="s">
        <v>463</v>
      </c>
      <c r="B326" s="63">
        <v>44267.0</v>
      </c>
      <c r="C326" s="62" t="s">
        <v>112</v>
      </c>
      <c r="D326" s="64">
        <v>0.0</v>
      </c>
      <c r="E326" s="62" t="s">
        <v>109</v>
      </c>
      <c r="F326" s="62" t="s">
        <v>110</v>
      </c>
      <c r="G326" s="64" t="s">
        <v>64</v>
      </c>
      <c r="H326" s="3" t="s">
        <v>185</v>
      </c>
      <c r="I326" s="65" t="str">
        <f>IFERROR(VLOOKUP(A326,'3. Call duration'!$A:$C,3,0),"--")</f>
        <v>--</v>
      </c>
      <c r="J326" s="65" t="str">
        <f t="array" ref="J326">XLOOKUP(H326,'2. Matching'!$A$2:$A$39,'2. Matching'!$B$2:$B$39,"--")</f>
        <v>SEO</v>
      </c>
      <c r="K326" s="65" t="str">
        <f t="shared" si="1"/>
        <v>In</v>
      </c>
    </row>
    <row r="327">
      <c r="A327" s="62" t="s">
        <v>464</v>
      </c>
      <c r="B327" s="63">
        <v>44270.0</v>
      </c>
      <c r="C327" s="62" t="s">
        <v>112</v>
      </c>
      <c r="D327" s="64">
        <v>0.0</v>
      </c>
      <c r="E327" s="62" t="s">
        <v>109</v>
      </c>
      <c r="F327" s="62" t="s">
        <v>110</v>
      </c>
      <c r="G327" s="64" t="s">
        <v>64</v>
      </c>
      <c r="H327" s="3" t="s">
        <v>54</v>
      </c>
      <c r="I327" s="65" t="str">
        <f>IFERROR(VLOOKUP(A327,'3. Call duration'!$A:$C,3,0),"--")</f>
        <v>--</v>
      </c>
      <c r="J327" s="65" t="str">
        <f t="array" ref="J327">XLOOKUP(H327,'2. Matching'!$A$2:$A$39,'2. Matching'!$B$2:$B$39,"--")</f>
        <v>Partnerships</v>
      </c>
      <c r="K327" s="65" t="str">
        <f t="shared" si="1"/>
        <v>In</v>
      </c>
    </row>
    <row r="328">
      <c r="A328" s="62" t="s">
        <v>465</v>
      </c>
      <c r="B328" s="63">
        <v>44321.0</v>
      </c>
      <c r="C328" s="62" t="s">
        <v>119</v>
      </c>
      <c r="D328" s="64">
        <v>47.5</v>
      </c>
      <c r="E328" s="62" t="s">
        <v>109</v>
      </c>
      <c r="F328" s="62" t="s">
        <v>110</v>
      </c>
      <c r="G328" s="64" t="s">
        <v>64</v>
      </c>
      <c r="H328" s="3" t="s">
        <v>175</v>
      </c>
      <c r="I328" s="65">
        <f>IFERROR(VLOOKUP(A328,'3. Call duration'!$A:$C,3,0),"--")</f>
        <v>13.89944191</v>
      </c>
      <c r="J328" s="65" t="str">
        <f t="array" ref="J328">XLOOKUP(H328,'2. Matching'!$A$2:$A$39,'2. Matching'!$B$2:$B$39,"--")</f>
        <v>SEO</v>
      </c>
      <c r="K328" s="65" t="str">
        <f t="shared" si="1"/>
        <v>In</v>
      </c>
    </row>
    <row r="329">
      <c r="A329" s="62" t="s">
        <v>466</v>
      </c>
      <c r="B329" s="63">
        <v>44074.0</v>
      </c>
      <c r="C329" s="62" t="s">
        <v>108</v>
      </c>
      <c r="D329" s="64">
        <v>0.0</v>
      </c>
      <c r="E329" s="62" t="s">
        <v>114</v>
      </c>
      <c r="F329" s="62" t="s">
        <v>115</v>
      </c>
      <c r="G329" s="64" t="s">
        <v>64</v>
      </c>
      <c r="H329" s="3" t="s">
        <v>139</v>
      </c>
      <c r="I329" s="65">
        <f>IFERROR(VLOOKUP(A329,'3. Call duration'!$A:$C,3,0),"--")</f>
        <v>27.60412558</v>
      </c>
      <c r="J329" s="65" t="str">
        <f t="array" ref="J329">XLOOKUP(H329,'2. Matching'!$A$2:$A$39,'2. Matching'!$B$2:$B$39,"--")</f>
        <v>Acquisition</v>
      </c>
      <c r="K329" s="65" t="str">
        <f t="shared" si="1"/>
        <v>In</v>
      </c>
    </row>
    <row r="330">
      <c r="A330" s="62" t="s">
        <v>467</v>
      </c>
      <c r="B330" s="63">
        <v>44302.0</v>
      </c>
      <c r="C330" s="62" t="s">
        <v>108</v>
      </c>
      <c r="D330" s="64">
        <v>0.0</v>
      </c>
      <c r="E330" s="62" t="s">
        <v>109</v>
      </c>
      <c r="F330" s="62" t="s">
        <v>115</v>
      </c>
      <c r="G330" s="64" t="s">
        <v>64</v>
      </c>
      <c r="H330" s="3" t="s">
        <v>131</v>
      </c>
      <c r="I330" s="65">
        <f>IFERROR(VLOOKUP(A330,'3. Call duration'!$A:$C,3,0),"--")</f>
        <v>30.52224151</v>
      </c>
      <c r="J330" s="65" t="str">
        <f t="array" ref="J330">XLOOKUP(H330,'2. Matching'!$A$2:$A$39,'2. Matching'!$B$2:$B$39,"--")</f>
        <v>Acquisition</v>
      </c>
      <c r="K330" s="65" t="str">
        <f t="shared" si="1"/>
        <v>In</v>
      </c>
    </row>
    <row r="331">
      <c r="A331" s="62" t="s">
        <v>468</v>
      </c>
      <c r="B331" s="63">
        <v>44320.0</v>
      </c>
      <c r="C331" s="62" t="s">
        <v>119</v>
      </c>
      <c r="D331" s="64">
        <v>95.0</v>
      </c>
      <c r="E331" s="62" t="s">
        <v>114</v>
      </c>
      <c r="F331" s="62" t="s">
        <v>110</v>
      </c>
      <c r="G331" s="64" t="s">
        <v>64</v>
      </c>
      <c r="H331" s="3" t="s">
        <v>185</v>
      </c>
      <c r="I331" s="65">
        <f>IFERROR(VLOOKUP(A331,'3. Call duration'!$A:$C,3,0),"--")</f>
        <v>13.91355155</v>
      </c>
      <c r="J331" s="65" t="str">
        <f t="array" ref="J331">XLOOKUP(H331,'2. Matching'!$A$2:$A$39,'2. Matching'!$B$2:$B$39,"--")</f>
        <v>SEO</v>
      </c>
      <c r="K331" s="65" t="str">
        <f t="shared" si="1"/>
        <v>In</v>
      </c>
    </row>
    <row r="332">
      <c r="A332" s="62" t="s">
        <v>469</v>
      </c>
      <c r="B332" s="63">
        <v>44277.0</v>
      </c>
      <c r="C332" s="62" t="s">
        <v>108</v>
      </c>
      <c r="D332" s="64">
        <v>0.0</v>
      </c>
      <c r="E332" s="62" t="s">
        <v>109</v>
      </c>
      <c r="F332" s="62" t="s">
        <v>110</v>
      </c>
      <c r="G332" s="64" t="s">
        <v>63</v>
      </c>
      <c r="H332" s="3" t="s">
        <v>189</v>
      </c>
      <c r="I332" s="65">
        <f>IFERROR(VLOOKUP(A332,'3. Call duration'!$A:$C,3,0),"--")</f>
        <v>24.09604155</v>
      </c>
      <c r="J332" s="65" t="str">
        <f t="array" ref="J332">XLOOKUP(H332,'2. Matching'!$A$2:$A$39,'2. Matching'!$B$2:$B$39,"--")</f>
        <v>SEO</v>
      </c>
      <c r="K332" s="65" t="str">
        <f t="shared" si="1"/>
        <v>Out</v>
      </c>
    </row>
    <row r="333">
      <c r="A333" s="62" t="s">
        <v>470</v>
      </c>
      <c r="B333" s="63">
        <v>44320.0</v>
      </c>
      <c r="C333" s="62" t="s">
        <v>108</v>
      </c>
      <c r="D333" s="64">
        <v>0.0</v>
      </c>
      <c r="E333" s="62" t="s">
        <v>109</v>
      </c>
      <c r="F333" s="62" t="s">
        <v>115</v>
      </c>
      <c r="G333" s="64" t="s">
        <v>64</v>
      </c>
      <c r="H333" s="3" t="s">
        <v>145</v>
      </c>
      <c r="I333" s="65">
        <f>IFERROR(VLOOKUP(A333,'3. Call duration'!$A:$C,3,0),"--")</f>
        <v>13.96787404</v>
      </c>
      <c r="J333" s="65" t="str">
        <f t="array" ref="J333">XLOOKUP(H333,'2. Matching'!$A$2:$A$39,'2. Matching'!$B$2:$B$39,"--")</f>
        <v>SEO</v>
      </c>
      <c r="K333" s="65" t="str">
        <f t="shared" si="1"/>
        <v>In</v>
      </c>
    </row>
    <row r="334">
      <c r="A334" s="62" t="s">
        <v>471</v>
      </c>
      <c r="B334" s="63">
        <v>44245.0</v>
      </c>
      <c r="C334" s="62" t="s">
        <v>108</v>
      </c>
      <c r="D334" s="64">
        <v>0.0</v>
      </c>
      <c r="E334" s="62" t="s">
        <v>109</v>
      </c>
      <c r="F334" s="62" t="s">
        <v>115</v>
      </c>
      <c r="G334" s="64" t="s">
        <v>64</v>
      </c>
      <c r="H334" s="3" t="s">
        <v>139</v>
      </c>
      <c r="I334" s="65">
        <f>IFERROR(VLOOKUP(A334,'3. Call duration'!$A:$C,3,0),"--")</f>
        <v>33.03505213</v>
      </c>
      <c r="J334" s="65" t="str">
        <f t="array" ref="J334">XLOOKUP(H334,'2. Matching'!$A$2:$A$39,'2. Matching'!$B$2:$B$39,"--")</f>
        <v>Acquisition</v>
      </c>
      <c r="K334" s="65" t="str">
        <f t="shared" si="1"/>
        <v>In</v>
      </c>
    </row>
    <row r="335">
      <c r="A335" s="62" t="s">
        <v>472</v>
      </c>
      <c r="B335" s="63">
        <v>44277.0</v>
      </c>
      <c r="C335" s="62" t="s">
        <v>112</v>
      </c>
      <c r="D335" s="64">
        <v>0.0</v>
      </c>
      <c r="E335" s="62" t="s">
        <v>109</v>
      </c>
      <c r="F335" s="62" t="s">
        <v>110</v>
      </c>
      <c r="G335" s="64" t="s">
        <v>64</v>
      </c>
      <c r="H335" s="3" t="s">
        <v>297</v>
      </c>
      <c r="I335" s="65" t="str">
        <f>IFERROR(VLOOKUP(A335,'3. Call duration'!$A:$C,3,0),"--")</f>
        <v>--</v>
      </c>
      <c r="J335" s="65" t="str">
        <f t="array" ref="J335">XLOOKUP(H335,'2. Matching'!$A$2:$A$39,'2. Matching'!$B$2:$B$39,"--")</f>
        <v>Farming</v>
      </c>
      <c r="K335" s="65" t="str">
        <f t="shared" si="1"/>
        <v>In</v>
      </c>
    </row>
    <row r="336">
      <c r="A336" s="62" t="s">
        <v>473</v>
      </c>
      <c r="B336" s="63">
        <v>44352.0</v>
      </c>
      <c r="C336" s="62" t="s">
        <v>112</v>
      </c>
      <c r="D336" s="64">
        <v>0.0</v>
      </c>
      <c r="E336" s="62" t="s">
        <v>109</v>
      </c>
      <c r="F336" s="62" t="s">
        <v>115</v>
      </c>
      <c r="G336" s="64" t="s">
        <v>59</v>
      </c>
      <c r="H336" s="3" t="s">
        <v>68</v>
      </c>
      <c r="I336" s="65" t="str">
        <f>IFERROR(VLOOKUP(A336,'3. Call duration'!$A:$C,3,0),"--")</f>
        <v>--</v>
      </c>
      <c r="J336" s="65" t="str">
        <f t="array" ref="J336">XLOOKUP(H336,'2. Matching'!$A$2:$A$39,'2. Matching'!$B$2:$B$39,"--")</f>
        <v>Acquisition</v>
      </c>
      <c r="K336" s="65" t="str">
        <f t="shared" si="1"/>
        <v>In</v>
      </c>
    </row>
    <row r="337">
      <c r="A337" s="62" t="s">
        <v>474</v>
      </c>
      <c r="B337" s="63">
        <v>44230.0</v>
      </c>
      <c r="C337" s="62" t="s">
        <v>108</v>
      </c>
      <c r="D337" s="64">
        <v>0.0</v>
      </c>
      <c r="E337" s="62" t="s">
        <v>109</v>
      </c>
      <c r="F337" s="62" t="s">
        <v>115</v>
      </c>
      <c r="G337" s="64" t="s">
        <v>64</v>
      </c>
      <c r="H337" s="3" t="s">
        <v>150</v>
      </c>
      <c r="I337" s="65">
        <f>IFERROR(VLOOKUP(A337,'3. Call duration'!$A:$C,3,0),"--")</f>
        <v>21.49632365</v>
      </c>
      <c r="J337" s="65" t="str">
        <f t="array" ref="J337">XLOOKUP(H337,'2. Matching'!$A$2:$A$39,'2. Matching'!$B$2:$B$39,"--")</f>
        <v>SEO</v>
      </c>
      <c r="K337" s="65" t="str">
        <f t="shared" si="1"/>
        <v>In</v>
      </c>
    </row>
    <row r="338">
      <c r="A338" s="62" t="s">
        <v>475</v>
      </c>
      <c r="B338" s="63">
        <v>44321.0</v>
      </c>
      <c r="C338" s="62" t="s">
        <v>119</v>
      </c>
      <c r="D338" s="64">
        <v>47.5</v>
      </c>
      <c r="E338" s="62" t="s">
        <v>109</v>
      </c>
      <c r="F338" s="62" t="s">
        <v>110</v>
      </c>
      <c r="G338" s="64" t="s">
        <v>64</v>
      </c>
      <c r="H338" s="3" t="s">
        <v>145</v>
      </c>
      <c r="I338" s="65">
        <f>IFERROR(VLOOKUP(A338,'3. Call duration'!$A:$C,3,0),"--")</f>
        <v>13.9752877</v>
      </c>
      <c r="J338" s="65" t="str">
        <f t="array" ref="J338">XLOOKUP(H338,'2. Matching'!$A$2:$A$39,'2. Matching'!$B$2:$B$39,"--")</f>
        <v>SEO</v>
      </c>
      <c r="K338" s="65" t="str">
        <f t="shared" si="1"/>
        <v>In</v>
      </c>
    </row>
    <row r="339">
      <c r="A339" s="62" t="s">
        <v>476</v>
      </c>
      <c r="B339" s="63">
        <v>44118.0</v>
      </c>
      <c r="C339" s="62" t="s">
        <v>112</v>
      </c>
      <c r="D339" s="64">
        <v>0.0</v>
      </c>
      <c r="E339" s="62" t="s">
        <v>109</v>
      </c>
      <c r="F339" s="62" t="s">
        <v>110</v>
      </c>
      <c r="G339" s="64" t="s">
        <v>64</v>
      </c>
      <c r="H339" s="3" t="s">
        <v>175</v>
      </c>
      <c r="I339" s="65" t="str">
        <f>IFERROR(VLOOKUP(A339,'3. Call duration'!$A:$C,3,0),"--")</f>
        <v>--</v>
      </c>
      <c r="J339" s="65" t="str">
        <f t="array" ref="J339">XLOOKUP(H339,'2. Matching'!$A$2:$A$39,'2. Matching'!$B$2:$B$39,"--")</f>
        <v>SEO</v>
      </c>
      <c r="K339" s="65" t="str">
        <f t="shared" si="1"/>
        <v>In</v>
      </c>
    </row>
    <row r="340">
      <c r="A340" s="62" t="s">
        <v>477</v>
      </c>
      <c r="B340" s="63">
        <v>44348.0</v>
      </c>
      <c r="C340" s="62" t="s">
        <v>108</v>
      </c>
      <c r="D340" s="64">
        <v>0.0</v>
      </c>
      <c r="E340" s="62" t="s">
        <v>109</v>
      </c>
      <c r="F340" s="62" t="s">
        <v>115</v>
      </c>
      <c r="G340" s="64" t="s">
        <v>63</v>
      </c>
      <c r="H340" s="3" t="s">
        <v>183</v>
      </c>
      <c r="I340" s="65">
        <f>IFERROR(VLOOKUP(A340,'3. Call duration'!$A:$C,3,0),"--")</f>
        <v>23.13295646</v>
      </c>
      <c r="J340" s="65" t="str">
        <f t="array" ref="J340">XLOOKUP(H340,'2. Matching'!$A$2:$A$39,'2. Matching'!$B$2:$B$39,"--")</f>
        <v>SEO</v>
      </c>
      <c r="K340" s="65" t="str">
        <f t="shared" si="1"/>
        <v>In</v>
      </c>
    </row>
    <row r="341">
      <c r="A341" s="62" t="s">
        <v>478</v>
      </c>
      <c r="B341" s="63">
        <v>44345.0</v>
      </c>
      <c r="C341" s="62" t="s">
        <v>119</v>
      </c>
      <c r="D341" s="64">
        <v>47.5</v>
      </c>
      <c r="E341" s="62" t="s">
        <v>109</v>
      </c>
      <c r="F341" s="62" t="s">
        <v>115</v>
      </c>
      <c r="G341" s="64" t="s">
        <v>64</v>
      </c>
      <c r="H341" s="3" t="s">
        <v>139</v>
      </c>
      <c r="I341" s="65">
        <f>IFERROR(VLOOKUP(A341,'3. Call duration'!$A:$C,3,0),"--")</f>
        <v>14.1572659</v>
      </c>
      <c r="J341" s="65" t="str">
        <f t="array" ref="J341">XLOOKUP(H341,'2. Matching'!$A$2:$A$39,'2. Matching'!$B$2:$B$39,"--")</f>
        <v>Acquisition</v>
      </c>
      <c r="K341" s="65" t="str">
        <f t="shared" si="1"/>
        <v>In</v>
      </c>
    </row>
    <row r="342">
      <c r="A342" s="62" t="s">
        <v>479</v>
      </c>
      <c r="B342" s="63">
        <v>44281.0</v>
      </c>
      <c r="C342" s="62" t="s">
        <v>112</v>
      </c>
      <c r="D342" s="64">
        <v>0.0</v>
      </c>
      <c r="E342" s="62" t="s">
        <v>109</v>
      </c>
      <c r="F342" s="62" t="s">
        <v>110</v>
      </c>
      <c r="G342" s="64" t="s">
        <v>64</v>
      </c>
      <c r="H342" s="3" t="s">
        <v>297</v>
      </c>
      <c r="I342" s="65" t="str">
        <f>IFERROR(VLOOKUP(A342,'3. Call duration'!$A:$C,3,0),"--")</f>
        <v>--</v>
      </c>
      <c r="J342" s="65" t="str">
        <f t="array" ref="J342">XLOOKUP(H342,'2. Matching'!$A$2:$A$39,'2. Matching'!$B$2:$B$39,"--")</f>
        <v>Farming</v>
      </c>
      <c r="K342" s="65" t="str">
        <f t="shared" si="1"/>
        <v>In</v>
      </c>
    </row>
    <row r="343">
      <c r="A343" s="62" t="s">
        <v>480</v>
      </c>
      <c r="B343" s="63">
        <v>44351.0</v>
      </c>
      <c r="C343" s="62" t="s">
        <v>112</v>
      </c>
      <c r="D343" s="64">
        <v>0.0</v>
      </c>
      <c r="E343" s="62" t="s">
        <v>109</v>
      </c>
      <c r="F343" s="62" t="s">
        <v>110</v>
      </c>
      <c r="G343" s="64" t="s">
        <v>64</v>
      </c>
      <c r="H343" s="3" t="s">
        <v>54</v>
      </c>
      <c r="I343" s="65" t="str">
        <f>IFERROR(VLOOKUP(A343,'3. Call duration'!$A:$C,3,0),"--")</f>
        <v>--</v>
      </c>
      <c r="J343" s="65" t="str">
        <f t="array" ref="J343">XLOOKUP(H343,'2. Matching'!$A$2:$A$39,'2. Matching'!$B$2:$B$39,"--")</f>
        <v>Partnerships</v>
      </c>
      <c r="K343" s="65" t="str">
        <f t="shared" si="1"/>
        <v>In</v>
      </c>
    </row>
    <row r="344">
      <c r="A344" s="62" t="s">
        <v>481</v>
      </c>
      <c r="B344" s="63">
        <v>44212.0</v>
      </c>
      <c r="C344" s="62" t="s">
        <v>112</v>
      </c>
      <c r="D344" s="64">
        <v>0.0</v>
      </c>
      <c r="E344" s="62" t="s">
        <v>114</v>
      </c>
      <c r="F344" s="62" t="s">
        <v>110</v>
      </c>
      <c r="G344" s="64" t="s">
        <v>64</v>
      </c>
      <c r="H344" s="3" t="s">
        <v>150</v>
      </c>
      <c r="I344" s="65" t="str">
        <f>IFERROR(VLOOKUP(A344,'3. Call duration'!$A:$C,3,0),"--")</f>
        <v>--</v>
      </c>
      <c r="J344" s="65" t="str">
        <f t="array" ref="J344">XLOOKUP(H344,'2. Matching'!$A$2:$A$39,'2. Matching'!$B$2:$B$39,"--")</f>
        <v>SEO</v>
      </c>
      <c r="K344" s="65" t="str">
        <f t="shared" si="1"/>
        <v>In</v>
      </c>
    </row>
    <row r="345">
      <c r="A345" s="62" t="s">
        <v>482</v>
      </c>
      <c r="B345" s="63">
        <v>44082.0</v>
      </c>
      <c r="C345" s="62" t="s">
        <v>108</v>
      </c>
      <c r="D345" s="64">
        <v>0.0</v>
      </c>
      <c r="E345" s="62" t="s">
        <v>114</v>
      </c>
      <c r="F345" s="62" t="s">
        <v>115</v>
      </c>
      <c r="G345" s="64" t="s">
        <v>64</v>
      </c>
      <c r="H345" s="3" t="s">
        <v>175</v>
      </c>
      <c r="I345" s="65">
        <f>IFERROR(VLOOKUP(A345,'3. Call duration'!$A:$C,3,0),"--")</f>
        <v>30.53296937</v>
      </c>
      <c r="J345" s="65" t="str">
        <f t="array" ref="J345">XLOOKUP(H345,'2. Matching'!$A$2:$A$39,'2. Matching'!$B$2:$B$39,"--")</f>
        <v>SEO</v>
      </c>
      <c r="K345" s="65" t="str">
        <f t="shared" si="1"/>
        <v>In</v>
      </c>
    </row>
    <row r="346">
      <c r="A346" s="62" t="s">
        <v>483</v>
      </c>
      <c r="B346" s="63">
        <v>44350.0</v>
      </c>
      <c r="C346" s="62" t="s">
        <v>112</v>
      </c>
      <c r="D346" s="64">
        <v>0.0</v>
      </c>
      <c r="E346" s="62" t="s">
        <v>114</v>
      </c>
      <c r="F346" s="62" t="s">
        <v>110</v>
      </c>
      <c r="G346" s="64" t="s">
        <v>60</v>
      </c>
      <c r="H346" s="3" t="s">
        <v>68</v>
      </c>
      <c r="I346" s="65" t="str">
        <f>IFERROR(VLOOKUP(A346,'3. Call duration'!$A:$C,3,0),"--")</f>
        <v>--</v>
      </c>
      <c r="J346" s="65" t="str">
        <f t="array" ref="J346">XLOOKUP(H346,'2. Matching'!$A$2:$A$39,'2. Matching'!$B$2:$B$39,"--")</f>
        <v>Acquisition</v>
      </c>
      <c r="K346" s="65" t="str">
        <f t="shared" si="1"/>
        <v>In</v>
      </c>
    </row>
    <row r="347">
      <c r="A347" s="62" t="s">
        <v>484</v>
      </c>
      <c r="B347" s="63">
        <v>44209.0</v>
      </c>
      <c r="C347" s="62" t="s">
        <v>108</v>
      </c>
      <c r="D347" s="64">
        <v>0.0</v>
      </c>
      <c r="E347" s="62" t="s">
        <v>114</v>
      </c>
      <c r="F347" s="62" t="s">
        <v>110</v>
      </c>
      <c r="G347" s="64" t="s">
        <v>64</v>
      </c>
      <c r="H347" s="3" t="s">
        <v>131</v>
      </c>
      <c r="I347" s="65">
        <f>IFERROR(VLOOKUP(A347,'3. Call duration'!$A:$C,3,0),"--")</f>
        <v>25.3873604</v>
      </c>
      <c r="J347" s="65" t="str">
        <f t="array" ref="J347">XLOOKUP(H347,'2. Matching'!$A$2:$A$39,'2. Matching'!$B$2:$B$39,"--")</f>
        <v>Acquisition</v>
      </c>
      <c r="K347" s="65" t="str">
        <f t="shared" si="1"/>
        <v>In</v>
      </c>
    </row>
    <row r="348">
      <c r="A348" s="62" t="s">
        <v>485</v>
      </c>
      <c r="B348" s="63">
        <v>44267.0</v>
      </c>
      <c r="C348" s="62" t="s">
        <v>112</v>
      </c>
      <c r="D348" s="64">
        <v>0.0</v>
      </c>
      <c r="E348" s="62" t="s">
        <v>109</v>
      </c>
      <c r="F348" s="62" t="s">
        <v>110</v>
      </c>
      <c r="G348" s="64" t="s">
        <v>63</v>
      </c>
      <c r="H348" s="3" t="s">
        <v>128</v>
      </c>
      <c r="I348" s="65" t="str">
        <f>IFERROR(VLOOKUP(A348,'3. Call duration'!$A:$C,3,0),"--")</f>
        <v>--</v>
      </c>
      <c r="J348" s="65" t="str">
        <f t="array" ref="J348">XLOOKUP(H348,'2. Matching'!$A$2:$A$39,'2. Matching'!$B$2:$B$39,"--")</f>
        <v>Acquisition</v>
      </c>
      <c r="K348" s="65" t="str">
        <f t="shared" si="1"/>
        <v>In</v>
      </c>
    </row>
    <row r="349">
      <c r="A349" s="62" t="s">
        <v>486</v>
      </c>
      <c r="B349" s="63">
        <v>44313.0</v>
      </c>
      <c r="C349" s="62" t="s">
        <v>108</v>
      </c>
      <c r="D349" s="64">
        <v>0.0</v>
      </c>
      <c r="E349" s="62" t="s">
        <v>114</v>
      </c>
      <c r="F349" s="62" t="s">
        <v>110</v>
      </c>
      <c r="G349" s="64" t="s">
        <v>64</v>
      </c>
      <c r="H349" s="3" t="s">
        <v>185</v>
      </c>
      <c r="I349" s="65">
        <f>IFERROR(VLOOKUP(A349,'3. Call duration'!$A:$C,3,0),"--")</f>
        <v>21.16976526</v>
      </c>
      <c r="J349" s="65" t="str">
        <f t="array" ref="J349">XLOOKUP(H349,'2. Matching'!$A$2:$A$39,'2. Matching'!$B$2:$B$39,"--")</f>
        <v>SEO</v>
      </c>
      <c r="K349" s="65" t="str">
        <f t="shared" si="1"/>
        <v>In</v>
      </c>
    </row>
    <row r="350">
      <c r="A350" s="62" t="s">
        <v>487</v>
      </c>
      <c r="B350" s="63">
        <v>44230.0</v>
      </c>
      <c r="C350" s="62" t="s">
        <v>108</v>
      </c>
      <c r="D350" s="64">
        <v>0.0</v>
      </c>
      <c r="E350" s="62" t="s">
        <v>114</v>
      </c>
      <c r="F350" s="62" t="s">
        <v>115</v>
      </c>
      <c r="G350" s="64" t="s">
        <v>64</v>
      </c>
      <c r="H350" s="3" t="s">
        <v>150</v>
      </c>
      <c r="I350" s="65">
        <f>IFERROR(VLOOKUP(A350,'3. Call duration'!$A:$C,3,0),"--")</f>
        <v>32.39389709</v>
      </c>
      <c r="J350" s="65" t="str">
        <f t="array" ref="J350">XLOOKUP(H350,'2. Matching'!$A$2:$A$39,'2. Matching'!$B$2:$B$39,"--")</f>
        <v>SEO</v>
      </c>
      <c r="K350" s="65" t="str">
        <f t="shared" si="1"/>
        <v>In</v>
      </c>
    </row>
    <row r="351">
      <c r="A351" s="62" t="s">
        <v>488</v>
      </c>
      <c r="B351" s="63">
        <v>44354.0</v>
      </c>
      <c r="C351" s="62" t="s">
        <v>108</v>
      </c>
      <c r="D351" s="64">
        <v>0.0</v>
      </c>
      <c r="E351" s="62" t="s">
        <v>109</v>
      </c>
      <c r="F351" s="62" t="s">
        <v>115</v>
      </c>
      <c r="G351" s="64" t="s">
        <v>59</v>
      </c>
      <c r="H351" s="3" t="s">
        <v>68</v>
      </c>
      <c r="I351" s="65">
        <f>IFERROR(VLOOKUP(A351,'3. Call duration'!$A:$C,3,0),"--")</f>
        <v>30.65666523</v>
      </c>
      <c r="J351" s="65" t="str">
        <f t="array" ref="J351">XLOOKUP(H351,'2. Matching'!$A$2:$A$39,'2. Matching'!$B$2:$B$39,"--")</f>
        <v>Acquisition</v>
      </c>
      <c r="K351" s="65" t="str">
        <f t="shared" si="1"/>
        <v>In</v>
      </c>
    </row>
    <row r="352">
      <c r="A352" s="62" t="s">
        <v>489</v>
      </c>
      <c r="B352" s="63">
        <v>44390.0</v>
      </c>
      <c r="C352" s="62" t="s">
        <v>108</v>
      </c>
      <c r="D352" s="64">
        <v>0.0</v>
      </c>
      <c r="E352" s="62" t="s">
        <v>109</v>
      </c>
      <c r="F352" s="62" t="s">
        <v>115</v>
      </c>
      <c r="G352" s="64" t="s">
        <v>59</v>
      </c>
      <c r="H352" s="3" t="s">
        <v>68</v>
      </c>
      <c r="I352" s="65">
        <f>IFERROR(VLOOKUP(A352,'3. Call duration'!$A:$C,3,0),"--")</f>
        <v>27.17272078</v>
      </c>
      <c r="J352" s="65" t="str">
        <f t="array" ref="J352">XLOOKUP(H352,'2. Matching'!$A$2:$A$39,'2. Matching'!$B$2:$B$39,"--")</f>
        <v>Acquisition</v>
      </c>
      <c r="K352" s="65" t="str">
        <f t="shared" si="1"/>
        <v>In</v>
      </c>
    </row>
    <row r="353">
      <c r="A353" s="62" t="s">
        <v>490</v>
      </c>
      <c r="B353" s="63">
        <v>44258.0</v>
      </c>
      <c r="C353" s="62" t="s">
        <v>112</v>
      </c>
      <c r="D353" s="64">
        <v>0.0</v>
      </c>
      <c r="E353" s="62" t="s">
        <v>114</v>
      </c>
      <c r="F353" s="62" t="s">
        <v>110</v>
      </c>
      <c r="G353" s="64" t="s">
        <v>64</v>
      </c>
      <c r="H353" s="3" t="s">
        <v>297</v>
      </c>
      <c r="I353" s="65" t="str">
        <f>IFERROR(VLOOKUP(A353,'3. Call duration'!$A:$C,3,0),"--")</f>
        <v>--</v>
      </c>
      <c r="J353" s="65" t="str">
        <f t="array" ref="J353">XLOOKUP(H353,'2. Matching'!$A$2:$A$39,'2. Matching'!$B$2:$B$39,"--")</f>
        <v>Farming</v>
      </c>
      <c r="K353" s="65" t="str">
        <f t="shared" si="1"/>
        <v>In</v>
      </c>
    </row>
    <row r="354">
      <c r="A354" s="62" t="s">
        <v>491</v>
      </c>
      <c r="B354" s="63">
        <v>44341.0</v>
      </c>
      <c r="C354" s="62" t="s">
        <v>119</v>
      </c>
      <c r="D354" s="64">
        <v>47.5</v>
      </c>
      <c r="E354" s="62" t="s">
        <v>109</v>
      </c>
      <c r="F354" s="62" t="s">
        <v>110</v>
      </c>
      <c r="G354" s="64" t="s">
        <v>61</v>
      </c>
      <c r="H354" s="3" t="s">
        <v>69</v>
      </c>
      <c r="I354" s="65">
        <f>IFERROR(VLOOKUP(A354,'3. Call duration'!$A:$C,3,0),"--")</f>
        <v>14.20365429</v>
      </c>
      <c r="J354" s="65" t="str">
        <f t="array" ref="J354">XLOOKUP(H354,'2. Matching'!$A$2:$A$39,'2. Matching'!$B$2:$B$39,"--")</f>
        <v>Acquisition</v>
      </c>
      <c r="K354" s="65" t="str">
        <f t="shared" si="1"/>
        <v>In</v>
      </c>
    </row>
    <row r="355">
      <c r="A355" s="62" t="s">
        <v>492</v>
      </c>
      <c r="B355" s="63">
        <v>44265.0</v>
      </c>
      <c r="C355" s="62" t="s">
        <v>112</v>
      </c>
      <c r="D355" s="64">
        <v>0.0</v>
      </c>
      <c r="E355" s="62" t="s">
        <v>109</v>
      </c>
      <c r="F355" s="62" t="s">
        <v>115</v>
      </c>
      <c r="G355" s="64" t="s">
        <v>64</v>
      </c>
      <c r="H355" s="3" t="s">
        <v>141</v>
      </c>
      <c r="I355" s="65" t="str">
        <f>IFERROR(VLOOKUP(A355,'3. Call duration'!$A:$C,3,0),"--")</f>
        <v>--</v>
      </c>
      <c r="J355" s="65" t="str">
        <f t="array" ref="J355">XLOOKUP(H355,'2. Matching'!$A$2:$A$39,'2. Matching'!$B$2:$B$39,"--")</f>
        <v>Acquisition</v>
      </c>
      <c r="K355" s="65" t="str">
        <f t="shared" si="1"/>
        <v>In</v>
      </c>
    </row>
    <row r="356">
      <c r="A356" s="62" t="s">
        <v>493</v>
      </c>
      <c r="B356" s="63">
        <v>44298.0</v>
      </c>
      <c r="C356" s="62" t="s">
        <v>112</v>
      </c>
      <c r="D356" s="64">
        <v>0.0</v>
      </c>
      <c r="E356" s="62" t="s">
        <v>109</v>
      </c>
      <c r="F356" s="62" t="s">
        <v>110</v>
      </c>
      <c r="G356" s="64" t="s">
        <v>64</v>
      </c>
      <c r="H356" s="3" t="s">
        <v>52</v>
      </c>
      <c r="I356" s="65" t="str">
        <f>IFERROR(VLOOKUP(A356,'3. Call duration'!$A:$C,3,0),"--")</f>
        <v>--</v>
      </c>
      <c r="J356" s="65" t="str">
        <f t="array" ref="J356">XLOOKUP(H356,'2. Matching'!$A$2:$A$39,'2. Matching'!$B$2:$B$39,"--")</f>
        <v>Partnerships</v>
      </c>
      <c r="K356" s="65" t="str">
        <f t="shared" si="1"/>
        <v>In</v>
      </c>
    </row>
    <row r="357">
      <c r="A357" s="62" t="s">
        <v>494</v>
      </c>
      <c r="B357" s="63">
        <v>44214.0</v>
      </c>
      <c r="C357" s="62" t="s">
        <v>108</v>
      </c>
      <c r="D357" s="64">
        <v>0.0</v>
      </c>
      <c r="E357" s="62" t="s">
        <v>109</v>
      </c>
      <c r="F357" s="62" t="s">
        <v>115</v>
      </c>
      <c r="G357" s="64" t="s">
        <v>64</v>
      </c>
      <c r="H357" s="3" t="s">
        <v>139</v>
      </c>
      <c r="I357" s="65">
        <f>IFERROR(VLOOKUP(A357,'3. Call duration'!$A:$C,3,0),"--")</f>
        <v>24.23442608</v>
      </c>
      <c r="J357" s="65" t="str">
        <f t="array" ref="J357">XLOOKUP(H357,'2. Matching'!$A$2:$A$39,'2. Matching'!$B$2:$B$39,"--")</f>
        <v>Acquisition</v>
      </c>
      <c r="K357" s="65" t="str">
        <f t="shared" si="1"/>
        <v>In</v>
      </c>
    </row>
    <row r="358">
      <c r="A358" s="62" t="s">
        <v>495</v>
      </c>
      <c r="B358" s="63">
        <v>44345.0</v>
      </c>
      <c r="C358" s="62" t="s">
        <v>119</v>
      </c>
      <c r="D358" s="64">
        <v>47.5</v>
      </c>
      <c r="E358" s="62" t="s">
        <v>109</v>
      </c>
      <c r="F358" s="62" t="s">
        <v>115</v>
      </c>
      <c r="G358" s="64" t="s">
        <v>64</v>
      </c>
      <c r="H358" s="3" t="s">
        <v>139</v>
      </c>
      <c r="I358" s="65">
        <f>IFERROR(VLOOKUP(A358,'3. Call duration'!$A:$C,3,0),"--")</f>
        <v>14.20546706</v>
      </c>
      <c r="J358" s="65" t="str">
        <f t="array" ref="J358">XLOOKUP(H358,'2. Matching'!$A$2:$A$39,'2. Matching'!$B$2:$B$39,"--")</f>
        <v>Acquisition</v>
      </c>
      <c r="K358" s="65" t="str">
        <f t="shared" si="1"/>
        <v>In</v>
      </c>
    </row>
    <row r="359">
      <c r="A359" s="62" t="s">
        <v>496</v>
      </c>
      <c r="B359" s="63">
        <v>44165.0</v>
      </c>
      <c r="C359" s="62" t="s">
        <v>112</v>
      </c>
      <c r="D359" s="64">
        <v>0.0</v>
      </c>
      <c r="E359" s="62" t="s">
        <v>109</v>
      </c>
      <c r="F359" s="62" t="s">
        <v>110</v>
      </c>
      <c r="G359" s="64" t="s">
        <v>64</v>
      </c>
      <c r="H359" s="3" t="s">
        <v>155</v>
      </c>
      <c r="I359" s="65" t="str">
        <f>IFERROR(VLOOKUP(A359,'3. Call duration'!$A:$C,3,0),"--")</f>
        <v>--</v>
      </c>
      <c r="J359" s="65" t="str">
        <f t="array" ref="J359">XLOOKUP(H359,'2. Matching'!$A$2:$A$39,'2. Matching'!$B$2:$B$39,"--")</f>
        <v>SEO</v>
      </c>
      <c r="K359" s="65" t="str">
        <f t="shared" si="1"/>
        <v>In</v>
      </c>
    </row>
    <row r="360">
      <c r="A360" s="62" t="s">
        <v>497</v>
      </c>
      <c r="B360" s="63">
        <v>44284.0</v>
      </c>
      <c r="C360" s="62" t="s">
        <v>108</v>
      </c>
      <c r="D360" s="64">
        <v>0.0</v>
      </c>
      <c r="E360" s="62" t="s">
        <v>109</v>
      </c>
      <c r="F360" s="62" t="s">
        <v>110</v>
      </c>
      <c r="G360" s="64" t="s">
        <v>64</v>
      </c>
      <c r="H360" s="3" t="s">
        <v>131</v>
      </c>
      <c r="I360" s="65">
        <f>IFERROR(VLOOKUP(A360,'3. Call duration'!$A:$C,3,0),"--")</f>
        <v>23.44604989</v>
      </c>
      <c r="J360" s="65" t="str">
        <f t="array" ref="J360">XLOOKUP(H360,'2. Matching'!$A$2:$A$39,'2. Matching'!$B$2:$B$39,"--")</f>
        <v>Acquisition</v>
      </c>
      <c r="K360" s="65" t="str">
        <f t="shared" si="1"/>
        <v>In</v>
      </c>
    </row>
    <row r="361">
      <c r="A361" s="62" t="s">
        <v>498</v>
      </c>
      <c r="B361" s="63">
        <v>44277.0</v>
      </c>
      <c r="C361" s="62" t="s">
        <v>112</v>
      </c>
      <c r="D361" s="64">
        <v>0.0</v>
      </c>
      <c r="E361" s="62" t="s">
        <v>109</v>
      </c>
      <c r="F361" s="62" t="s">
        <v>115</v>
      </c>
      <c r="G361" s="64" t="s">
        <v>64</v>
      </c>
      <c r="H361" s="3" t="s">
        <v>297</v>
      </c>
      <c r="I361" s="65" t="str">
        <f>IFERROR(VLOOKUP(A361,'3. Call duration'!$A:$C,3,0),"--")</f>
        <v>--</v>
      </c>
      <c r="J361" s="65" t="str">
        <f t="array" ref="J361">XLOOKUP(H361,'2. Matching'!$A$2:$A$39,'2. Matching'!$B$2:$B$39,"--")</f>
        <v>Farming</v>
      </c>
      <c r="K361" s="65" t="str">
        <f t="shared" si="1"/>
        <v>In</v>
      </c>
    </row>
    <row r="362">
      <c r="A362" s="62" t="s">
        <v>499</v>
      </c>
      <c r="B362" s="63">
        <v>44392.0</v>
      </c>
      <c r="C362" s="62" t="s">
        <v>112</v>
      </c>
      <c r="D362" s="64">
        <v>0.0</v>
      </c>
      <c r="E362" s="62" t="s">
        <v>109</v>
      </c>
      <c r="F362" s="62" t="s">
        <v>110</v>
      </c>
      <c r="G362" s="64" t="s">
        <v>61</v>
      </c>
      <c r="H362" s="3" t="s">
        <v>67</v>
      </c>
      <c r="I362" s="65" t="str">
        <f>IFERROR(VLOOKUP(A362,'3. Call duration'!$A:$C,3,0),"--")</f>
        <v>--</v>
      </c>
      <c r="J362" s="65" t="str">
        <f t="array" ref="J362">XLOOKUP(H362,'2. Matching'!$A$2:$A$39,'2. Matching'!$B$2:$B$39,"--")</f>
        <v>Acquisition</v>
      </c>
      <c r="K362" s="65" t="str">
        <f t="shared" si="1"/>
        <v>In</v>
      </c>
    </row>
    <row r="363">
      <c r="A363" s="62" t="s">
        <v>500</v>
      </c>
      <c r="B363" s="63">
        <v>44210.0</v>
      </c>
      <c r="C363" s="62" t="s">
        <v>112</v>
      </c>
      <c r="D363" s="64">
        <v>0.0</v>
      </c>
      <c r="E363" s="62" t="s">
        <v>109</v>
      </c>
      <c r="F363" s="62" t="s">
        <v>115</v>
      </c>
      <c r="G363" s="64" t="s">
        <v>64</v>
      </c>
      <c r="H363" s="3" t="s">
        <v>185</v>
      </c>
      <c r="I363" s="65" t="str">
        <f>IFERROR(VLOOKUP(A363,'3. Call duration'!$A:$C,3,0),"--")</f>
        <v>--</v>
      </c>
      <c r="J363" s="65" t="str">
        <f t="array" ref="J363">XLOOKUP(H363,'2. Matching'!$A$2:$A$39,'2. Matching'!$B$2:$B$39,"--")</f>
        <v>SEO</v>
      </c>
      <c r="K363" s="65" t="str">
        <f t="shared" si="1"/>
        <v>In</v>
      </c>
    </row>
    <row r="364">
      <c r="A364" s="62" t="s">
        <v>501</v>
      </c>
      <c r="B364" s="63">
        <v>44315.0</v>
      </c>
      <c r="C364" s="62" t="s">
        <v>108</v>
      </c>
      <c r="D364" s="64">
        <v>0.0</v>
      </c>
      <c r="E364" s="62" t="s">
        <v>109</v>
      </c>
      <c r="F364" s="62" t="s">
        <v>110</v>
      </c>
      <c r="G364" s="64" t="s">
        <v>63</v>
      </c>
      <c r="H364" s="3" t="s">
        <v>128</v>
      </c>
      <c r="I364" s="65">
        <f>IFERROR(VLOOKUP(A364,'3. Call duration'!$A:$C,3,0),"--")</f>
        <v>14.40429066</v>
      </c>
      <c r="J364" s="65" t="str">
        <f t="array" ref="J364">XLOOKUP(H364,'2. Matching'!$A$2:$A$39,'2. Matching'!$B$2:$B$39,"--")</f>
        <v>Acquisition</v>
      </c>
      <c r="K364" s="65" t="str">
        <f t="shared" si="1"/>
        <v>In</v>
      </c>
    </row>
    <row r="365">
      <c r="A365" s="62" t="s">
        <v>502</v>
      </c>
      <c r="B365" s="63">
        <v>44361.0</v>
      </c>
      <c r="C365" s="62" t="s">
        <v>108</v>
      </c>
      <c r="D365" s="64">
        <v>0.0</v>
      </c>
      <c r="E365" s="62" t="s">
        <v>109</v>
      </c>
      <c r="F365" s="62" t="s">
        <v>115</v>
      </c>
      <c r="G365" s="64" t="s">
        <v>59</v>
      </c>
      <c r="H365" s="3" t="s">
        <v>68</v>
      </c>
      <c r="I365" s="65">
        <f>IFERROR(VLOOKUP(A365,'3. Call duration'!$A:$C,3,0),"--")</f>
        <v>32.25777945</v>
      </c>
      <c r="J365" s="65" t="str">
        <f t="array" ref="J365">XLOOKUP(H365,'2. Matching'!$A$2:$A$39,'2. Matching'!$B$2:$B$39,"--")</f>
        <v>Acquisition</v>
      </c>
      <c r="K365" s="65" t="str">
        <f t="shared" si="1"/>
        <v>In</v>
      </c>
    </row>
    <row r="366">
      <c r="A366" s="62" t="s">
        <v>503</v>
      </c>
      <c r="B366" s="63">
        <v>44372.0</v>
      </c>
      <c r="C366" s="62" t="s">
        <v>112</v>
      </c>
      <c r="D366" s="64">
        <v>0.0</v>
      </c>
      <c r="E366" s="62" t="s">
        <v>114</v>
      </c>
      <c r="F366" s="62" t="s">
        <v>110</v>
      </c>
      <c r="G366" s="64" t="s">
        <v>60</v>
      </c>
      <c r="H366" s="3" t="s">
        <v>67</v>
      </c>
      <c r="I366" s="65" t="str">
        <f>IFERROR(VLOOKUP(A366,'3. Call duration'!$A:$C,3,0),"--")</f>
        <v>--</v>
      </c>
      <c r="J366" s="65" t="str">
        <f t="array" ref="J366">XLOOKUP(H366,'2. Matching'!$A$2:$A$39,'2. Matching'!$B$2:$B$39,"--")</f>
        <v>Acquisition</v>
      </c>
      <c r="K366" s="65" t="str">
        <f t="shared" si="1"/>
        <v>In</v>
      </c>
    </row>
    <row r="367">
      <c r="A367" s="62" t="s">
        <v>504</v>
      </c>
      <c r="B367" s="63">
        <v>44384.0</v>
      </c>
      <c r="C367" s="62" t="s">
        <v>112</v>
      </c>
      <c r="D367" s="64">
        <v>0.0</v>
      </c>
      <c r="E367" s="62" t="s">
        <v>114</v>
      </c>
      <c r="F367" s="62" t="s">
        <v>110</v>
      </c>
      <c r="G367" s="64" t="s">
        <v>60</v>
      </c>
      <c r="H367" s="3" t="s">
        <v>67</v>
      </c>
      <c r="I367" s="65" t="str">
        <f>IFERROR(VLOOKUP(A367,'3. Call duration'!$A:$C,3,0),"--")</f>
        <v>--</v>
      </c>
      <c r="J367" s="65" t="str">
        <f t="array" ref="J367">XLOOKUP(H367,'2. Matching'!$A$2:$A$39,'2. Matching'!$B$2:$B$39,"--")</f>
        <v>Acquisition</v>
      </c>
      <c r="K367" s="65" t="str">
        <f t="shared" si="1"/>
        <v>In</v>
      </c>
    </row>
    <row r="368">
      <c r="A368" s="62" t="s">
        <v>505</v>
      </c>
      <c r="B368" s="63">
        <v>44279.0</v>
      </c>
      <c r="C368" s="62" t="s">
        <v>112</v>
      </c>
      <c r="D368" s="64">
        <v>0.0</v>
      </c>
      <c r="E368" s="62" t="s">
        <v>109</v>
      </c>
      <c r="F368" s="62" t="s">
        <v>110</v>
      </c>
      <c r="G368" s="64" t="s">
        <v>64</v>
      </c>
      <c r="H368" s="3" t="s">
        <v>169</v>
      </c>
      <c r="I368" s="65" t="str">
        <f>IFERROR(VLOOKUP(A368,'3. Call duration'!$A:$C,3,0),"--")</f>
        <v>--</v>
      </c>
      <c r="J368" s="65" t="str">
        <f t="array" ref="J368">XLOOKUP(H368,'2. Matching'!$A$2:$A$39,'2. Matching'!$B$2:$B$39,"--")</f>
        <v>SEO</v>
      </c>
      <c r="K368" s="65" t="str">
        <f t="shared" si="1"/>
        <v>In</v>
      </c>
    </row>
    <row r="369">
      <c r="A369" s="62" t="s">
        <v>506</v>
      </c>
      <c r="B369" s="63">
        <v>44274.0</v>
      </c>
      <c r="C369" s="62" t="s">
        <v>112</v>
      </c>
      <c r="D369" s="64">
        <v>0.0</v>
      </c>
      <c r="E369" s="62" t="s">
        <v>109</v>
      </c>
      <c r="F369" s="62" t="s">
        <v>110</v>
      </c>
      <c r="G369" s="64" t="s">
        <v>64</v>
      </c>
      <c r="H369" s="3" t="s">
        <v>164</v>
      </c>
      <c r="I369" s="65" t="str">
        <f>IFERROR(VLOOKUP(A369,'3. Call duration'!$A:$C,3,0),"--")</f>
        <v>--</v>
      </c>
      <c r="J369" s="65" t="str">
        <f t="array" ref="J369">XLOOKUP(H369,'2. Matching'!$A$2:$A$39,'2. Matching'!$B$2:$B$39,"--")</f>
        <v>SEO</v>
      </c>
      <c r="K369" s="65" t="str">
        <f t="shared" si="1"/>
        <v>In</v>
      </c>
    </row>
    <row r="370">
      <c r="A370" s="62" t="s">
        <v>507</v>
      </c>
      <c r="B370" s="63">
        <v>44355.0</v>
      </c>
      <c r="C370" s="62" t="s">
        <v>108</v>
      </c>
      <c r="D370" s="64">
        <v>0.0</v>
      </c>
      <c r="E370" s="62" t="s">
        <v>109</v>
      </c>
      <c r="F370" s="62" t="s">
        <v>115</v>
      </c>
      <c r="G370" s="64" t="s">
        <v>64</v>
      </c>
      <c r="H370" s="3" t="s">
        <v>52</v>
      </c>
      <c r="I370" s="65">
        <f>IFERROR(VLOOKUP(A370,'3. Call duration'!$A:$C,3,0),"--")</f>
        <v>18.84965801</v>
      </c>
      <c r="J370" s="65" t="str">
        <f t="array" ref="J370">XLOOKUP(H370,'2. Matching'!$A$2:$A$39,'2. Matching'!$B$2:$B$39,"--")</f>
        <v>Partnerships</v>
      </c>
      <c r="K370" s="65" t="str">
        <f t="shared" si="1"/>
        <v>In</v>
      </c>
    </row>
    <row r="371">
      <c r="A371" s="62" t="s">
        <v>508</v>
      </c>
      <c r="B371" s="63">
        <v>44379.0</v>
      </c>
      <c r="C371" s="62" t="s">
        <v>108</v>
      </c>
      <c r="D371" s="64">
        <v>0.0</v>
      </c>
      <c r="E371" s="62" t="s">
        <v>114</v>
      </c>
      <c r="F371" s="62" t="s">
        <v>110</v>
      </c>
      <c r="G371" s="64" t="s">
        <v>61</v>
      </c>
      <c r="H371" s="3" t="s">
        <v>67</v>
      </c>
      <c r="I371" s="65">
        <f>IFERROR(VLOOKUP(A371,'3. Call duration'!$A:$C,3,0),"--")</f>
        <v>39.61995692</v>
      </c>
      <c r="J371" s="65" t="str">
        <f t="array" ref="J371">XLOOKUP(H371,'2. Matching'!$A$2:$A$39,'2. Matching'!$B$2:$B$39,"--")</f>
        <v>Acquisition</v>
      </c>
      <c r="K371" s="65" t="str">
        <f t="shared" si="1"/>
        <v>In</v>
      </c>
    </row>
    <row r="372">
      <c r="A372" s="62" t="s">
        <v>509</v>
      </c>
      <c r="B372" s="63">
        <v>44372.0</v>
      </c>
      <c r="C372" s="62" t="s">
        <v>112</v>
      </c>
      <c r="D372" s="64">
        <v>0.0</v>
      </c>
      <c r="E372" s="62" t="s">
        <v>109</v>
      </c>
      <c r="F372" s="62" t="s">
        <v>115</v>
      </c>
      <c r="G372" s="64" t="s">
        <v>64</v>
      </c>
      <c r="H372" s="3" t="s">
        <v>185</v>
      </c>
      <c r="I372" s="65" t="str">
        <f>IFERROR(VLOOKUP(A372,'3. Call duration'!$A:$C,3,0),"--")</f>
        <v>--</v>
      </c>
      <c r="J372" s="65" t="str">
        <f t="array" ref="J372">XLOOKUP(H372,'2. Matching'!$A$2:$A$39,'2. Matching'!$B$2:$B$39,"--")</f>
        <v>SEO</v>
      </c>
      <c r="K372" s="65" t="str">
        <f t="shared" si="1"/>
        <v>In</v>
      </c>
    </row>
    <row r="373">
      <c r="A373" s="62" t="s">
        <v>510</v>
      </c>
      <c r="B373" s="63">
        <v>44376.0</v>
      </c>
      <c r="C373" s="62" t="s">
        <v>112</v>
      </c>
      <c r="D373" s="64">
        <v>0.0</v>
      </c>
      <c r="E373" s="62" t="s">
        <v>109</v>
      </c>
      <c r="F373" s="62" t="s">
        <v>110</v>
      </c>
      <c r="G373" s="64" t="s">
        <v>60</v>
      </c>
      <c r="H373" s="3" t="s">
        <v>68</v>
      </c>
      <c r="I373" s="65" t="str">
        <f>IFERROR(VLOOKUP(A373,'3. Call duration'!$A:$C,3,0),"--")</f>
        <v>--</v>
      </c>
      <c r="J373" s="65" t="str">
        <f t="array" ref="J373">XLOOKUP(H373,'2. Matching'!$A$2:$A$39,'2. Matching'!$B$2:$B$39,"--")</f>
        <v>Acquisition</v>
      </c>
      <c r="K373" s="65" t="str">
        <f t="shared" si="1"/>
        <v>In</v>
      </c>
    </row>
    <row r="374">
      <c r="A374" s="62" t="s">
        <v>511</v>
      </c>
      <c r="B374" s="63">
        <v>44347.0</v>
      </c>
      <c r="C374" s="62" t="s">
        <v>119</v>
      </c>
      <c r="D374" s="64">
        <v>47.5</v>
      </c>
      <c r="E374" s="62" t="s">
        <v>109</v>
      </c>
      <c r="F374" s="62" t="s">
        <v>110</v>
      </c>
      <c r="G374" s="64" t="s">
        <v>63</v>
      </c>
      <c r="H374" s="3" t="s">
        <v>183</v>
      </c>
      <c r="I374" s="65">
        <f>IFERROR(VLOOKUP(A374,'3. Call duration'!$A:$C,3,0),"--")</f>
        <v>14.312556</v>
      </c>
      <c r="J374" s="65" t="str">
        <f t="array" ref="J374">XLOOKUP(H374,'2. Matching'!$A$2:$A$39,'2. Matching'!$B$2:$B$39,"--")</f>
        <v>SEO</v>
      </c>
      <c r="K374" s="65" t="str">
        <f t="shared" si="1"/>
        <v>In</v>
      </c>
    </row>
    <row r="375">
      <c r="A375" s="62" t="s">
        <v>512</v>
      </c>
      <c r="B375" s="63">
        <v>44359.0</v>
      </c>
      <c r="C375" s="62" t="s">
        <v>112</v>
      </c>
      <c r="D375" s="64">
        <v>0.0</v>
      </c>
      <c r="E375" s="62" t="s">
        <v>109</v>
      </c>
      <c r="F375" s="62" t="s">
        <v>115</v>
      </c>
      <c r="G375" s="64" t="s">
        <v>64</v>
      </c>
      <c r="H375" s="3" t="s">
        <v>52</v>
      </c>
      <c r="I375" s="65" t="str">
        <f>IFERROR(VLOOKUP(A375,'3. Call duration'!$A:$C,3,0),"--")</f>
        <v>--</v>
      </c>
      <c r="J375" s="65" t="str">
        <f t="array" ref="J375">XLOOKUP(H375,'2. Matching'!$A$2:$A$39,'2. Matching'!$B$2:$B$39,"--")</f>
        <v>Partnerships</v>
      </c>
      <c r="K375" s="65" t="str">
        <f t="shared" si="1"/>
        <v>In</v>
      </c>
    </row>
    <row r="376">
      <c r="A376" s="62" t="s">
        <v>513</v>
      </c>
      <c r="B376" s="63">
        <v>44238.0</v>
      </c>
      <c r="C376" s="62" t="s">
        <v>112</v>
      </c>
      <c r="D376" s="64">
        <v>0.0</v>
      </c>
      <c r="E376" s="62" t="s">
        <v>109</v>
      </c>
      <c r="F376" s="62" t="s">
        <v>110</v>
      </c>
      <c r="G376" s="64" t="s">
        <v>64</v>
      </c>
      <c r="H376" s="3" t="s">
        <v>139</v>
      </c>
      <c r="I376" s="65" t="str">
        <f>IFERROR(VLOOKUP(A376,'3. Call duration'!$A:$C,3,0),"--")</f>
        <v>--</v>
      </c>
      <c r="J376" s="65" t="str">
        <f t="array" ref="J376">XLOOKUP(H376,'2. Matching'!$A$2:$A$39,'2. Matching'!$B$2:$B$39,"--")</f>
        <v>Acquisition</v>
      </c>
      <c r="K376" s="65" t="str">
        <f t="shared" si="1"/>
        <v>In</v>
      </c>
    </row>
    <row r="377">
      <c r="A377" s="62" t="s">
        <v>514</v>
      </c>
      <c r="B377" s="63">
        <v>44102.0</v>
      </c>
      <c r="C377" s="62" t="s">
        <v>112</v>
      </c>
      <c r="D377" s="64">
        <v>0.0</v>
      </c>
      <c r="E377" s="62" t="s">
        <v>114</v>
      </c>
      <c r="F377" s="62" t="s">
        <v>115</v>
      </c>
      <c r="G377" s="64" t="s">
        <v>64</v>
      </c>
      <c r="H377" s="3" t="s">
        <v>169</v>
      </c>
      <c r="I377" s="65" t="str">
        <f>IFERROR(VLOOKUP(A377,'3. Call duration'!$A:$C,3,0),"--")</f>
        <v>--</v>
      </c>
      <c r="J377" s="65" t="str">
        <f t="array" ref="J377">XLOOKUP(H377,'2. Matching'!$A$2:$A$39,'2. Matching'!$B$2:$B$39,"--")</f>
        <v>SEO</v>
      </c>
      <c r="K377" s="65" t="str">
        <f t="shared" si="1"/>
        <v>In</v>
      </c>
    </row>
    <row r="378">
      <c r="A378" s="62" t="s">
        <v>515</v>
      </c>
      <c r="B378" s="63">
        <v>44375.0</v>
      </c>
      <c r="C378" s="62" t="s">
        <v>112</v>
      </c>
      <c r="D378" s="64">
        <v>0.0</v>
      </c>
      <c r="E378" s="62" t="s">
        <v>109</v>
      </c>
      <c r="F378" s="62" t="s">
        <v>115</v>
      </c>
      <c r="G378" s="64" t="s">
        <v>60</v>
      </c>
      <c r="H378" s="3" t="s">
        <v>68</v>
      </c>
      <c r="I378" s="65" t="str">
        <f>IFERROR(VLOOKUP(A378,'3. Call duration'!$A:$C,3,0),"--")</f>
        <v>--</v>
      </c>
      <c r="J378" s="65" t="str">
        <f t="array" ref="J378">XLOOKUP(H378,'2. Matching'!$A$2:$A$39,'2. Matching'!$B$2:$B$39,"--")</f>
        <v>Acquisition</v>
      </c>
      <c r="K378" s="65" t="str">
        <f t="shared" si="1"/>
        <v>In</v>
      </c>
    </row>
    <row r="379">
      <c r="A379" s="62" t="s">
        <v>516</v>
      </c>
      <c r="B379" s="63">
        <v>44363.0</v>
      </c>
      <c r="C379" s="62" t="s">
        <v>112</v>
      </c>
      <c r="D379" s="64">
        <v>0.0</v>
      </c>
      <c r="E379" s="62" t="s">
        <v>114</v>
      </c>
      <c r="F379" s="62" t="s">
        <v>110</v>
      </c>
      <c r="G379" s="64" t="s">
        <v>60</v>
      </c>
      <c r="H379" s="3" t="s">
        <v>67</v>
      </c>
      <c r="I379" s="65" t="str">
        <f>IFERROR(VLOOKUP(A379,'3. Call duration'!$A:$C,3,0),"--")</f>
        <v>--</v>
      </c>
      <c r="J379" s="65" t="str">
        <f t="array" ref="J379">XLOOKUP(H379,'2. Matching'!$A$2:$A$39,'2. Matching'!$B$2:$B$39,"--")</f>
        <v>Acquisition</v>
      </c>
      <c r="K379" s="65" t="str">
        <f t="shared" si="1"/>
        <v>In</v>
      </c>
    </row>
    <row r="380">
      <c r="A380" s="62" t="s">
        <v>517</v>
      </c>
      <c r="B380" s="63">
        <v>44223.0</v>
      </c>
      <c r="C380" s="62" t="s">
        <v>112</v>
      </c>
      <c r="D380" s="64">
        <v>0.0</v>
      </c>
      <c r="E380" s="62" t="s">
        <v>114</v>
      </c>
      <c r="F380" s="62" t="s">
        <v>110</v>
      </c>
      <c r="G380" s="64" t="s">
        <v>64</v>
      </c>
      <c r="H380" s="3" t="s">
        <v>131</v>
      </c>
      <c r="I380" s="65" t="str">
        <f>IFERROR(VLOOKUP(A380,'3. Call duration'!$A:$C,3,0),"--")</f>
        <v>--</v>
      </c>
      <c r="J380" s="65" t="str">
        <f t="array" ref="J380">XLOOKUP(H380,'2. Matching'!$A$2:$A$39,'2. Matching'!$B$2:$B$39,"--")</f>
        <v>Acquisition</v>
      </c>
      <c r="K380" s="65" t="str">
        <f t="shared" si="1"/>
        <v>In</v>
      </c>
    </row>
    <row r="381">
      <c r="A381" s="62" t="s">
        <v>518</v>
      </c>
      <c r="B381" s="63">
        <v>44292.0</v>
      </c>
      <c r="C381" s="62" t="s">
        <v>112</v>
      </c>
      <c r="D381" s="64">
        <v>0.0</v>
      </c>
      <c r="E381" s="62" t="s">
        <v>109</v>
      </c>
      <c r="F381" s="62" t="s">
        <v>110</v>
      </c>
      <c r="G381" s="64" t="s">
        <v>64</v>
      </c>
      <c r="H381" s="3" t="s">
        <v>52</v>
      </c>
      <c r="I381" s="65" t="str">
        <f>IFERROR(VLOOKUP(A381,'3. Call duration'!$A:$C,3,0),"--")</f>
        <v>--</v>
      </c>
      <c r="J381" s="65" t="str">
        <f t="array" ref="J381">XLOOKUP(H381,'2. Matching'!$A$2:$A$39,'2. Matching'!$B$2:$B$39,"--")</f>
        <v>Partnerships</v>
      </c>
      <c r="K381" s="65" t="str">
        <f t="shared" si="1"/>
        <v>In</v>
      </c>
    </row>
    <row r="382">
      <c r="A382" s="62" t="s">
        <v>519</v>
      </c>
      <c r="B382" s="63">
        <v>44081.0</v>
      </c>
      <c r="C382" s="62" t="s">
        <v>108</v>
      </c>
      <c r="D382" s="64">
        <v>0.0</v>
      </c>
      <c r="E382" s="62" t="s">
        <v>109</v>
      </c>
      <c r="F382" s="62" t="s">
        <v>115</v>
      </c>
      <c r="G382" s="64" t="s">
        <v>64</v>
      </c>
      <c r="H382" s="3" t="s">
        <v>175</v>
      </c>
      <c r="I382" s="65">
        <f>IFERROR(VLOOKUP(A382,'3. Call duration'!$A:$C,3,0),"--")</f>
        <v>13.55644567</v>
      </c>
      <c r="J382" s="65" t="str">
        <f t="array" ref="J382">XLOOKUP(H382,'2. Matching'!$A$2:$A$39,'2. Matching'!$B$2:$B$39,"--")</f>
        <v>SEO</v>
      </c>
      <c r="K382" s="65" t="str">
        <f t="shared" si="1"/>
        <v>In</v>
      </c>
    </row>
    <row r="383">
      <c r="A383" s="62" t="s">
        <v>520</v>
      </c>
      <c r="B383" s="63">
        <v>44237.0</v>
      </c>
      <c r="C383" s="62" t="s">
        <v>112</v>
      </c>
      <c r="D383" s="64">
        <v>0.0</v>
      </c>
      <c r="E383" s="62" t="s">
        <v>109</v>
      </c>
      <c r="F383" s="62" t="s">
        <v>115</v>
      </c>
      <c r="G383" s="64" t="s">
        <v>64</v>
      </c>
      <c r="H383" s="3" t="s">
        <v>155</v>
      </c>
      <c r="I383" s="65" t="str">
        <f>IFERROR(VLOOKUP(A383,'3. Call duration'!$A:$C,3,0),"--")</f>
        <v>--</v>
      </c>
      <c r="J383" s="65" t="str">
        <f t="array" ref="J383">XLOOKUP(H383,'2. Matching'!$A$2:$A$39,'2. Matching'!$B$2:$B$39,"--")</f>
        <v>SEO</v>
      </c>
      <c r="K383" s="65" t="str">
        <f t="shared" si="1"/>
        <v>In</v>
      </c>
    </row>
    <row r="384">
      <c r="A384" s="62" t="s">
        <v>521</v>
      </c>
      <c r="B384" s="63">
        <v>44278.0</v>
      </c>
      <c r="C384" s="62" t="s">
        <v>112</v>
      </c>
      <c r="D384" s="64">
        <v>0.0</v>
      </c>
      <c r="E384" s="62" t="s">
        <v>109</v>
      </c>
      <c r="F384" s="62" t="s">
        <v>115</v>
      </c>
      <c r="G384" s="64" t="s">
        <v>64</v>
      </c>
      <c r="H384" s="3" t="s">
        <v>175</v>
      </c>
      <c r="I384" s="65" t="str">
        <f>IFERROR(VLOOKUP(A384,'3. Call duration'!$A:$C,3,0),"--")</f>
        <v>--</v>
      </c>
      <c r="J384" s="65" t="str">
        <f t="array" ref="J384">XLOOKUP(H384,'2. Matching'!$A$2:$A$39,'2. Matching'!$B$2:$B$39,"--")</f>
        <v>SEO</v>
      </c>
      <c r="K384" s="65" t="str">
        <f t="shared" si="1"/>
        <v>In</v>
      </c>
    </row>
    <row r="385">
      <c r="A385" s="62" t="s">
        <v>522</v>
      </c>
      <c r="B385" s="63">
        <v>44273.0</v>
      </c>
      <c r="C385" s="62" t="s">
        <v>112</v>
      </c>
      <c r="D385" s="64">
        <v>0.0</v>
      </c>
      <c r="E385" s="62" t="s">
        <v>109</v>
      </c>
      <c r="F385" s="62" t="s">
        <v>115</v>
      </c>
      <c r="G385" s="64" t="s">
        <v>64</v>
      </c>
      <c r="H385" s="3" t="s">
        <v>164</v>
      </c>
      <c r="I385" s="65" t="str">
        <f>IFERROR(VLOOKUP(A385,'3. Call duration'!$A:$C,3,0),"--")</f>
        <v>--</v>
      </c>
      <c r="J385" s="65" t="str">
        <f t="array" ref="J385">XLOOKUP(H385,'2. Matching'!$A$2:$A$39,'2. Matching'!$B$2:$B$39,"--")</f>
        <v>SEO</v>
      </c>
      <c r="K385" s="65" t="str">
        <f t="shared" si="1"/>
        <v>In</v>
      </c>
    </row>
    <row r="386">
      <c r="A386" s="62" t="s">
        <v>523</v>
      </c>
      <c r="B386" s="63">
        <v>44158.0</v>
      </c>
      <c r="C386" s="62" t="s">
        <v>112</v>
      </c>
      <c r="D386" s="64">
        <v>0.0</v>
      </c>
      <c r="E386" s="62" t="s">
        <v>109</v>
      </c>
      <c r="F386" s="62" t="s">
        <v>115</v>
      </c>
      <c r="G386" s="64" t="s">
        <v>64</v>
      </c>
      <c r="H386" s="3" t="s">
        <v>175</v>
      </c>
      <c r="I386" s="65" t="str">
        <f>IFERROR(VLOOKUP(A386,'3. Call duration'!$A:$C,3,0),"--")</f>
        <v>--</v>
      </c>
      <c r="J386" s="65" t="str">
        <f t="array" ref="J386">XLOOKUP(H386,'2. Matching'!$A$2:$A$39,'2. Matching'!$B$2:$B$39,"--")</f>
        <v>SEO</v>
      </c>
      <c r="K386" s="65" t="str">
        <f t="shared" si="1"/>
        <v>In</v>
      </c>
    </row>
    <row r="387">
      <c r="A387" s="62" t="s">
        <v>524</v>
      </c>
      <c r="B387" s="63">
        <v>44370.0</v>
      </c>
      <c r="C387" s="62" t="s">
        <v>112</v>
      </c>
      <c r="D387" s="64">
        <v>0.0</v>
      </c>
      <c r="E387" s="62" t="s">
        <v>109</v>
      </c>
      <c r="F387" s="62" t="s">
        <v>115</v>
      </c>
      <c r="G387" s="64" t="s">
        <v>64</v>
      </c>
      <c r="H387" s="3" t="s">
        <v>131</v>
      </c>
      <c r="I387" s="65" t="str">
        <f>IFERROR(VLOOKUP(A387,'3. Call duration'!$A:$C,3,0),"--")</f>
        <v>--</v>
      </c>
      <c r="J387" s="65" t="str">
        <f t="array" ref="J387">XLOOKUP(H387,'2. Matching'!$A$2:$A$39,'2. Matching'!$B$2:$B$39,"--")</f>
        <v>Acquisition</v>
      </c>
      <c r="K387" s="65" t="str">
        <f t="shared" si="1"/>
        <v>In</v>
      </c>
    </row>
    <row r="388">
      <c r="A388" s="62" t="s">
        <v>525</v>
      </c>
      <c r="B388" s="63">
        <v>44394.0</v>
      </c>
      <c r="C388" s="62" t="s">
        <v>112</v>
      </c>
      <c r="D388" s="64">
        <v>0.0</v>
      </c>
      <c r="E388" s="62" t="s">
        <v>109</v>
      </c>
      <c r="F388" s="62" t="s">
        <v>110</v>
      </c>
      <c r="G388" s="64" t="s">
        <v>60</v>
      </c>
      <c r="H388" s="3" t="s">
        <v>67</v>
      </c>
      <c r="I388" s="65" t="str">
        <f>IFERROR(VLOOKUP(A388,'3. Call duration'!$A:$C,3,0),"--")</f>
        <v>--</v>
      </c>
      <c r="J388" s="65" t="str">
        <f t="array" ref="J388">XLOOKUP(H388,'2. Matching'!$A$2:$A$39,'2. Matching'!$B$2:$B$39,"--")</f>
        <v>Acquisition</v>
      </c>
      <c r="K388" s="65" t="str">
        <f t="shared" si="1"/>
        <v>In</v>
      </c>
    </row>
    <row r="389">
      <c r="A389" s="62" t="s">
        <v>526</v>
      </c>
      <c r="B389" s="63">
        <v>44370.0</v>
      </c>
      <c r="C389" s="62" t="s">
        <v>108</v>
      </c>
      <c r="D389" s="64">
        <v>0.0</v>
      </c>
      <c r="E389" s="62" t="s">
        <v>114</v>
      </c>
      <c r="F389" s="62" t="s">
        <v>115</v>
      </c>
      <c r="G389" s="64" t="s">
        <v>64</v>
      </c>
      <c r="H389" s="3" t="s">
        <v>221</v>
      </c>
      <c r="I389" s="65">
        <f>IFERROR(VLOOKUP(A389,'3. Call duration'!$A:$C,3,0),"--")</f>
        <v>37.11442563</v>
      </c>
      <c r="J389" s="65" t="str">
        <f t="array" ref="J389">XLOOKUP(H389,'2. Matching'!$A$2:$A$39,'2. Matching'!$B$2:$B$39,"--")</f>
        <v>Farming</v>
      </c>
      <c r="K389" s="65" t="str">
        <f t="shared" si="1"/>
        <v>In</v>
      </c>
    </row>
    <row r="390">
      <c r="A390" s="62" t="s">
        <v>527</v>
      </c>
      <c r="B390" s="63">
        <v>44350.0</v>
      </c>
      <c r="C390" s="62" t="s">
        <v>112</v>
      </c>
      <c r="D390" s="64">
        <v>0.0</v>
      </c>
      <c r="E390" s="62" t="s">
        <v>109</v>
      </c>
      <c r="F390" s="62" t="s">
        <v>110</v>
      </c>
      <c r="G390" s="64" t="s">
        <v>60</v>
      </c>
      <c r="H390" s="3" t="s">
        <v>68</v>
      </c>
      <c r="I390" s="65" t="str">
        <f>IFERROR(VLOOKUP(A390,'3. Call duration'!$A:$C,3,0),"--")</f>
        <v>--</v>
      </c>
      <c r="J390" s="65" t="str">
        <f t="array" ref="J390">XLOOKUP(H390,'2. Matching'!$A$2:$A$39,'2. Matching'!$B$2:$B$39,"--")</f>
        <v>Acquisition</v>
      </c>
      <c r="K390" s="65" t="str">
        <f t="shared" si="1"/>
        <v>In</v>
      </c>
    </row>
    <row r="391">
      <c r="A391" s="62" t="s">
        <v>528</v>
      </c>
      <c r="B391" s="63">
        <v>44392.0</v>
      </c>
      <c r="C391" s="62" t="s">
        <v>112</v>
      </c>
      <c r="D391" s="64">
        <v>0.0</v>
      </c>
      <c r="E391" s="62" t="s">
        <v>109</v>
      </c>
      <c r="F391" s="62" t="s">
        <v>110</v>
      </c>
      <c r="G391" s="64" t="s">
        <v>60</v>
      </c>
      <c r="H391" s="3" t="s">
        <v>67</v>
      </c>
      <c r="I391" s="65" t="str">
        <f>IFERROR(VLOOKUP(A391,'3. Call duration'!$A:$C,3,0),"--")</f>
        <v>--</v>
      </c>
      <c r="J391" s="65" t="str">
        <f t="array" ref="J391">XLOOKUP(H391,'2. Matching'!$A$2:$A$39,'2. Matching'!$B$2:$B$39,"--")</f>
        <v>Acquisition</v>
      </c>
      <c r="K391" s="65" t="str">
        <f t="shared" si="1"/>
        <v>In</v>
      </c>
    </row>
    <row r="392">
      <c r="A392" s="62" t="s">
        <v>529</v>
      </c>
      <c r="B392" s="63">
        <v>44076.0</v>
      </c>
      <c r="C392" s="62" t="s">
        <v>112</v>
      </c>
      <c r="D392" s="64">
        <v>0.0</v>
      </c>
      <c r="E392" s="62" t="s">
        <v>109</v>
      </c>
      <c r="F392" s="62" t="s">
        <v>115</v>
      </c>
      <c r="G392" s="64" t="s">
        <v>62</v>
      </c>
      <c r="H392" s="3" t="s">
        <v>294</v>
      </c>
      <c r="I392" s="65" t="str">
        <f>IFERROR(VLOOKUP(A392,'3. Call duration'!$A:$C,3,0),"--")</f>
        <v>--</v>
      </c>
      <c r="J392" s="65" t="str">
        <f t="array" ref="J392">XLOOKUP(H392,'2. Matching'!$A$2:$A$39,'2. Matching'!$B$2:$B$39,"--")</f>
        <v>Farming</v>
      </c>
      <c r="K392" s="65" t="str">
        <f t="shared" si="1"/>
        <v>In</v>
      </c>
    </row>
    <row r="393">
      <c r="A393" s="62" t="s">
        <v>530</v>
      </c>
      <c r="B393" s="63">
        <v>44391.0</v>
      </c>
      <c r="C393" s="62" t="s">
        <v>112</v>
      </c>
      <c r="D393" s="64">
        <v>0.0</v>
      </c>
      <c r="E393" s="62" t="s">
        <v>109</v>
      </c>
      <c r="F393" s="62" t="s">
        <v>110</v>
      </c>
      <c r="G393" s="64" t="s">
        <v>64</v>
      </c>
      <c r="H393" s="3" t="s">
        <v>297</v>
      </c>
      <c r="I393" s="65" t="str">
        <f>IFERROR(VLOOKUP(A393,'3. Call duration'!$A:$C,3,0),"--")</f>
        <v>--</v>
      </c>
      <c r="J393" s="65" t="str">
        <f t="array" ref="J393">XLOOKUP(H393,'2. Matching'!$A$2:$A$39,'2. Matching'!$B$2:$B$39,"--")</f>
        <v>Farming</v>
      </c>
      <c r="K393" s="65" t="str">
        <f t="shared" si="1"/>
        <v>In</v>
      </c>
    </row>
    <row r="394">
      <c r="A394" s="62" t="s">
        <v>531</v>
      </c>
      <c r="B394" s="63">
        <v>44344.0</v>
      </c>
      <c r="C394" s="62" t="s">
        <v>119</v>
      </c>
      <c r="D394" s="64">
        <v>47.5</v>
      </c>
      <c r="E394" s="62" t="s">
        <v>109</v>
      </c>
      <c r="F394" s="62" t="s">
        <v>110</v>
      </c>
      <c r="G394" s="64" t="s">
        <v>64</v>
      </c>
      <c r="H394" s="3" t="s">
        <v>145</v>
      </c>
      <c r="I394" s="65">
        <f>IFERROR(VLOOKUP(A394,'3. Call duration'!$A:$C,3,0),"--")</f>
        <v>14.34154206</v>
      </c>
      <c r="J394" s="65" t="str">
        <f t="array" ref="J394">XLOOKUP(H394,'2. Matching'!$A$2:$A$39,'2. Matching'!$B$2:$B$39,"--")</f>
        <v>SEO</v>
      </c>
      <c r="K394" s="65" t="str">
        <f t="shared" si="1"/>
        <v>In</v>
      </c>
    </row>
    <row r="395">
      <c r="A395" s="62" t="s">
        <v>532</v>
      </c>
      <c r="B395" s="63">
        <v>44231.0</v>
      </c>
      <c r="C395" s="62" t="s">
        <v>108</v>
      </c>
      <c r="D395" s="64">
        <v>0.0</v>
      </c>
      <c r="E395" s="62" t="s">
        <v>109</v>
      </c>
      <c r="F395" s="62" t="s">
        <v>115</v>
      </c>
      <c r="G395" s="64" t="s">
        <v>64</v>
      </c>
      <c r="H395" s="3" t="s">
        <v>164</v>
      </c>
      <c r="I395" s="65">
        <f>IFERROR(VLOOKUP(A395,'3. Call duration'!$A:$C,3,0),"--")</f>
        <v>32.00466486</v>
      </c>
      <c r="J395" s="65" t="str">
        <f t="array" ref="J395">XLOOKUP(H395,'2. Matching'!$A$2:$A$39,'2. Matching'!$B$2:$B$39,"--")</f>
        <v>SEO</v>
      </c>
      <c r="K395" s="65" t="str">
        <f t="shared" si="1"/>
        <v>In</v>
      </c>
    </row>
    <row r="396">
      <c r="A396" s="62" t="s">
        <v>533</v>
      </c>
      <c r="B396" s="63">
        <v>44272.0</v>
      </c>
      <c r="C396" s="62" t="s">
        <v>112</v>
      </c>
      <c r="D396" s="64">
        <v>0.0</v>
      </c>
      <c r="E396" s="62" t="s">
        <v>109</v>
      </c>
      <c r="F396" s="62" t="s">
        <v>110</v>
      </c>
      <c r="G396" s="64" t="s">
        <v>64</v>
      </c>
      <c r="H396" s="3" t="s">
        <v>185</v>
      </c>
      <c r="I396" s="65" t="str">
        <f>IFERROR(VLOOKUP(A396,'3. Call duration'!$A:$C,3,0),"--")</f>
        <v>--</v>
      </c>
      <c r="J396" s="65" t="str">
        <f t="array" ref="J396">XLOOKUP(H396,'2. Matching'!$A$2:$A$39,'2. Matching'!$B$2:$B$39,"--")</f>
        <v>SEO</v>
      </c>
      <c r="K396" s="65" t="str">
        <f t="shared" si="1"/>
        <v>In</v>
      </c>
    </row>
    <row r="397">
      <c r="A397" s="62" t="s">
        <v>534</v>
      </c>
      <c r="B397" s="63">
        <v>44364.0</v>
      </c>
      <c r="C397" s="62" t="s">
        <v>112</v>
      </c>
      <c r="D397" s="64">
        <v>0.0</v>
      </c>
      <c r="E397" s="62" t="s">
        <v>109</v>
      </c>
      <c r="F397" s="62" t="s">
        <v>110</v>
      </c>
      <c r="G397" s="64" t="s">
        <v>60</v>
      </c>
      <c r="H397" s="3" t="s">
        <v>68</v>
      </c>
      <c r="I397" s="65" t="str">
        <f>IFERROR(VLOOKUP(A397,'3. Call duration'!$A:$C,3,0),"--")</f>
        <v>--</v>
      </c>
      <c r="J397" s="65" t="str">
        <f t="array" ref="J397">XLOOKUP(H397,'2. Matching'!$A$2:$A$39,'2. Matching'!$B$2:$B$39,"--")</f>
        <v>Acquisition</v>
      </c>
      <c r="K397" s="65" t="str">
        <f t="shared" si="1"/>
        <v>In</v>
      </c>
    </row>
    <row r="398">
      <c r="A398" s="62" t="s">
        <v>535</v>
      </c>
      <c r="B398" s="63">
        <v>44231.0</v>
      </c>
      <c r="C398" s="62" t="s">
        <v>108</v>
      </c>
      <c r="D398" s="64">
        <v>0.0</v>
      </c>
      <c r="E398" s="62" t="s">
        <v>109</v>
      </c>
      <c r="F398" s="62" t="s">
        <v>115</v>
      </c>
      <c r="G398" s="64" t="s">
        <v>64</v>
      </c>
      <c r="H398" s="3" t="s">
        <v>139</v>
      </c>
      <c r="I398" s="65">
        <f>IFERROR(VLOOKUP(A398,'3. Call duration'!$A:$C,3,0),"--")</f>
        <v>23.03154478</v>
      </c>
      <c r="J398" s="65" t="str">
        <f t="array" ref="J398">XLOOKUP(H398,'2. Matching'!$A$2:$A$39,'2. Matching'!$B$2:$B$39,"--")</f>
        <v>Acquisition</v>
      </c>
      <c r="K398" s="65" t="str">
        <f t="shared" si="1"/>
        <v>In</v>
      </c>
    </row>
    <row r="399">
      <c r="A399" s="62" t="s">
        <v>536</v>
      </c>
      <c r="B399" s="63">
        <v>44293.0</v>
      </c>
      <c r="C399" s="62" t="s">
        <v>112</v>
      </c>
      <c r="D399" s="64">
        <v>0.0</v>
      </c>
      <c r="E399" s="62" t="s">
        <v>109</v>
      </c>
      <c r="F399" s="62" t="s">
        <v>110</v>
      </c>
      <c r="G399" s="64" t="s">
        <v>64</v>
      </c>
      <c r="H399" s="3" t="s">
        <v>54</v>
      </c>
      <c r="I399" s="65" t="str">
        <f>IFERROR(VLOOKUP(A399,'3. Call duration'!$A:$C,3,0),"--")</f>
        <v>--</v>
      </c>
      <c r="J399" s="65" t="str">
        <f t="array" ref="J399">XLOOKUP(H399,'2. Matching'!$A$2:$A$39,'2. Matching'!$B$2:$B$39,"--")</f>
        <v>Partnerships</v>
      </c>
      <c r="K399" s="65" t="str">
        <f t="shared" si="1"/>
        <v>In</v>
      </c>
    </row>
    <row r="400">
      <c r="A400" s="62" t="s">
        <v>537</v>
      </c>
      <c r="B400" s="63">
        <v>44306.0</v>
      </c>
      <c r="C400" s="62" t="s">
        <v>112</v>
      </c>
      <c r="D400" s="64">
        <v>0.0</v>
      </c>
      <c r="E400" s="62" t="s">
        <v>109</v>
      </c>
      <c r="F400" s="62" t="s">
        <v>110</v>
      </c>
      <c r="G400" s="64" t="s">
        <v>63</v>
      </c>
      <c r="H400" s="3" t="s">
        <v>183</v>
      </c>
      <c r="I400" s="65" t="str">
        <f>IFERROR(VLOOKUP(A400,'3. Call duration'!$A:$C,3,0),"--")</f>
        <v>--</v>
      </c>
      <c r="J400" s="65" t="str">
        <f t="array" ref="J400">XLOOKUP(H400,'2. Matching'!$A$2:$A$39,'2. Matching'!$B$2:$B$39,"--")</f>
        <v>SEO</v>
      </c>
      <c r="K400" s="65" t="str">
        <f t="shared" si="1"/>
        <v>In</v>
      </c>
    </row>
    <row r="401">
      <c r="A401" s="62" t="s">
        <v>538</v>
      </c>
      <c r="B401" s="63">
        <v>44382.0</v>
      </c>
      <c r="C401" s="62" t="s">
        <v>112</v>
      </c>
      <c r="D401" s="64">
        <v>0.0</v>
      </c>
      <c r="E401" s="62" t="s">
        <v>109</v>
      </c>
      <c r="F401" s="62" t="s">
        <v>110</v>
      </c>
      <c r="G401" s="64" t="s">
        <v>61</v>
      </c>
      <c r="H401" s="3" t="s">
        <v>67</v>
      </c>
      <c r="I401" s="65" t="str">
        <f>IFERROR(VLOOKUP(A401,'3. Call duration'!$A:$C,3,0),"--")</f>
        <v>--</v>
      </c>
      <c r="J401" s="65" t="str">
        <f t="array" ref="J401">XLOOKUP(H401,'2. Matching'!$A$2:$A$39,'2. Matching'!$B$2:$B$39,"--")</f>
        <v>Acquisition</v>
      </c>
      <c r="K401" s="65" t="str">
        <f t="shared" si="1"/>
        <v>In</v>
      </c>
    </row>
    <row r="402">
      <c r="A402" s="62" t="s">
        <v>539</v>
      </c>
      <c r="B402" s="63">
        <v>44217.0</v>
      </c>
      <c r="C402" s="62" t="s">
        <v>108</v>
      </c>
      <c r="D402" s="64">
        <v>0.0</v>
      </c>
      <c r="E402" s="62" t="s">
        <v>109</v>
      </c>
      <c r="F402" s="62" t="s">
        <v>115</v>
      </c>
      <c r="G402" s="64" t="s">
        <v>64</v>
      </c>
      <c r="H402" s="3" t="s">
        <v>145</v>
      </c>
      <c r="I402" s="65">
        <f>IFERROR(VLOOKUP(A402,'3. Call duration'!$A:$C,3,0),"--")</f>
        <v>29.91357974</v>
      </c>
      <c r="J402" s="65" t="str">
        <f t="array" ref="J402">XLOOKUP(H402,'2. Matching'!$A$2:$A$39,'2. Matching'!$B$2:$B$39,"--")</f>
        <v>SEO</v>
      </c>
      <c r="K402" s="65" t="str">
        <f t="shared" si="1"/>
        <v>In</v>
      </c>
    </row>
    <row r="403">
      <c r="A403" s="62" t="s">
        <v>540</v>
      </c>
      <c r="B403" s="63">
        <v>44340.0</v>
      </c>
      <c r="C403" s="62" t="s">
        <v>119</v>
      </c>
      <c r="D403" s="64">
        <v>47.5</v>
      </c>
      <c r="E403" s="62" t="s">
        <v>109</v>
      </c>
      <c r="F403" s="62" t="s">
        <v>115</v>
      </c>
      <c r="G403" s="64" t="s">
        <v>64</v>
      </c>
      <c r="H403" s="3" t="s">
        <v>116</v>
      </c>
      <c r="I403" s="65">
        <f>IFERROR(VLOOKUP(A403,'3. Call duration'!$A:$C,3,0),"--")</f>
        <v>14.50315071</v>
      </c>
      <c r="J403" s="65" t="str">
        <f t="array" ref="J403">XLOOKUP(H403,'2. Matching'!$A$2:$A$39,'2. Matching'!$B$2:$B$39,"--")</f>
        <v>Acquisition</v>
      </c>
      <c r="K403" s="65" t="str">
        <f t="shared" si="1"/>
        <v>In</v>
      </c>
    </row>
    <row r="404">
      <c r="A404" s="62" t="s">
        <v>541</v>
      </c>
      <c r="B404" s="63">
        <v>44085.0</v>
      </c>
      <c r="C404" s="62" t="s">
        <v>112</v>
      </c>
      <c r="D404" s="64">
        <v>0.0</v>
      </c>
      <c r="E404" s="62" t="s">
        <v>109</v>
      </c>
      <c r="F404" s="62" t="s">
        <v>110</v>
      </c>
      <c r="G404" s="64" t="s">
        <v>64</v>
      </c>
      <c r="H404" s="3" t="s">
        <v>175</v>
      </c>
      <c r="I404" s="65" t="str">
        <f>IFERROR(VLOOKUP(A404,'3. Call duration'!$A:$C,3,0),"--")</f>
        <v>--</v>
      </c>
      <c r="J404" s="65" t="str">
        <f t="array" ref="J404">XLOOKUP(H404,'2. Matching'!$A$2:$A$39,'2. Matching'!$B$2:$B$39,"--")</f>
        <v>SEO</v>
      </c>
      <c r="K404" s="65" t="str">
        <f t="shared" si="1"/>
        <v>In</v>
      </c>
    </row>
    <row r="405">
      <c r="A405" s="62" t="s">
        <v>542</v>
      </c>
      <c r="B405" s="63">
        <v>44335.0</v>
      </c>
      <c r="C405" s="62" t="s">
        <v>108</v>
      </c>
      <c r="D405" s="64">
        <v>0.0</v>
      </c>
      <c r="E405" s="62" t="s">
        <v>109</v>
      </c>
      <c r="F405" s="62" t="s">
        <v>115</v>
      </c>
      <c r="G405" s="64" t="s">
        <v>64</v>
      </c>
      <c r="H405" s="3" t="s">
        <v>171</v>
      </c>
      <c r="I405" s="65">
        <f>IFERROR(VLOOKUP(A405,'3. Call duration'!$A:$C,3,0),"--")</f>
        <v>14.50628597</v>
      </c>
      <c r="J405" s="65" t="str">
        <f t="array" ref="J405">XLOOKUP(H405,'2. Matching'!$A$2:$A$39,'2. Matching'!$B$2:$B$39,"--")</f>
        <v>SEO</v>
      </c>
      <c r="K405" s="65" t="str">
        <f t="shared" si="1"/>
        <v>In</v>
      </c>
    </row>
    <row r="406">
      <c r="A406" s="62" t="s">
        <v>543</v>
      </c>
      <c r="B406" s="63">
        <v>44383.0</v>
      </c>
      <c r="C406" s="62" t="s">
        <v>112</v>
      </c>
      <c r="D406" s="64">
        <v>0.0</v>
      </c>
      <c r="E406" s="62" t="s">
        <v>114</v>
      </c>
      <c r="F406" s="62" t="s">
        <v>110</v>
      </c>
      <c r="G406" s="64" t="s">
        <v>61</v>
      </c>
      <c r="H406" s="3" t="s">
        <v>69</v>
      </c>
      <c r="I406" s="65" t="str">
        <f>IFERROR(VLOOKUP(A406,'3. Call duration'!$A:$C,3,0),"--")</f>
        <v>--</v>
      </c>
      <c r="J406" s="65" t="str">
        <f t="array" ref="J406">XLOOKUP(H406,'2. Matching'!$A$2:$A$39,'2. Matching'!$B$2:$B$39,"--")</f>
        <v>Acquisition</v>
      </c>
      <c r="K406" s="65" t="str">
        <f t="shared" si="1"/>
        <v>In</v>
      </c>
    </row>
    <row r="407">
      <c r="A407" s="62" t="s">
        <v>544</v>
      </c>
      <c r="B407" s="63">
        <v>44341.0</v>
      </c>
      <c r="C407" s="62" t="s">
        <v>119</v>
      </c>
      <c r="D407" s="64">
        <v>47.5</v>
      </c>
      <c r="E407" s="62" t="s">
        <v>109</v>
      </c>
      <c r="F407" s="62" t="s">
        <v>110</v>
      </c>
      <c r="G407" s="64" t="s">
        <v>64</v>
      </c>
      <c r="H407" s="3" t="s">
        <v>175</v>
      </c>
      <c r="I407" s="65">
        <f>IFERROR(VLOOKUP(A407,'3. Call duration'!$A:$C,3,0),"--")</f>
        <v>14.51993531</v>
      </c>
      <c r="J407" s="65" t="str">
        <f t="array" ref="J407">XLOOKUP(H407,'2. Matching'!$A$2:$A$39,'2. Matching'!$B$2:$B$39,"--")</f>
        <v>SEO</v>
      </c>
      <c r="K407" s="65" t="str">
        <f t="shared" si="1"/>
        <v>In</v>
      </c>
    </row>
    <row r="408">
      <c r="A408" s="62" t="s">
        <v>545</v>
      </c>
      <c r="B408" s="63">
        <v>44365.0</v>
      </c>
      <c r="C408" s="62" t="s">
        <v>112</v>
      </c>
      <c r="D408" s="64">
        <v>0.0</v>
      </c>
      <c r="E408" s="62" t="s">
        <v>114</v>
      </c>
      <c r="F408" s="62" t="s">
        <v>110</v>
      </c>
      <c r="G408" s="64" t="s">
        <v>60</v>
      </c>
      <c r="H408" s="3" t="s">
        <v>68</v>
      </c>
      <c r="I408" s="65" t="str">
        <f>IFERROR(VLOOKUP(A408,'3. Call duration'!$A:$C,3,0),"--")</f>
        <v>--</v>
      </c>
      <c r="J408" s="65" t="str">
        <f t="array" ref="J408">XLOOKUP(H408,'2. Matching'!$A$2:$A$39,'2. Matching'!$B$2:$B$39,"--")</f>
        <v>Acquisition</v>
      </c>
      <c r="K408" s="65" t="str">
        <f t="shared" si="1"/>
        <v>In</v>
      </c>
    </row>
    <row r="409">
      <c r="A409" s="62" t="s">
        <v>546</v>
      </c>
      <c r="B409" s="63">
        <v>44134.0</v>
      </c>
      <c r="C409" s="62" t="s">
        <v>112</v>
      </c>
      <c r="D409" s="64">
        <v>0.0</v>
      </c>
      <c r="E409" s="62" t="s">
        <v>114</v>
      </c>
      <c r="F409" s="62" t="s">
        <v>115</v>
      </c>
      <c r="G409" s="64" t="s">
        <v>64</v>
      </c>
      <c r="H409" s="3" t="s">
        <v>155</v>
      </c>
      <c r="I409" s="65" t="str">
        <f>IFERROR(VLOOKUP(A409,'3. Call duration'!$A:$C,3,0),"--")</f>
        <v>--</v>
      </c>
      <c r="J409" s="65" t="str">
        <f t="array" ref="J409">XLOOKUP(H409,'2. Matching'!$A$2:$A$39,'2. Matching'!$B$2:$B$39,"--")</f>
        <v>SEO</v>
      </c>
      <c r="K409" s="65" t="str">
        <f t="shared" si="1"/>
        <v>In</v>
      </c>
    </row>
    <row r="410">
      <c r="A410" s="62" t="s">
        <v>547</v>
      </c>
      <c r="B410" s="63">
        <v>44237.0</v>
      </c>
      <c r="C410" s="62" t="s">
        <v>108</v>
      </c>
      <c r="D410" s="64">
        <v>0.0</v>
      </c>
      <c r="E410" s="62" t="s">
        <v>109</v>
      </c>
      <c r="F410" s="62" t="s">
        <v>115</v>
      </c>
      <c r="G410" s="64" t="s">
        <v>64</v>
      </c>
      <c r="H410" s="3" t="s">
        <v>185</v>
      </c>
      <c r="I410" s="65">
        <f>IFERROR(VLOOKUP(A410,'3. Call duration'!$A:$C,3,0),"--")</f>
        <v>47.2691399</v>
      </c>
      <c r="J410" s="65" t="str">
        <f t="array" ref="J410">XLOOKUP(H410,'2. Matching'!$A$2:$A$39,'2. Matching'!$B$2:$B$39,"--")</f>
        <v>SEO</v>
      </c>
      <c r="K410" s="65" t="str">
        <f t="shared" si="1"/>
        <v>In</v>
      </c>
    </row>
    <row r="411">
      <c r="A411" s="62" t="s">
        <v>548</v>
      </c>
      <c r="B411" s="63">
        <v>44354.0</v>
      </c>
      <c r="C411" s="62" t="s">
        <v>108</v>
      </c>
      <c r="D411" s="64">
        <v>0.0</v>
      </c>
      <c r="E411" s="62" t="s">
        <v>109</v>
      </c>
      <c r="F411" s="62" t="s">
        <v>110</v>
      </c>
      <c r="G411" s="64" t="s">
        <v>60</v>
      </c>
      <c r="H411" s="3" t="s">
        <v>68</v>
      </c>
      <c r="I411" s="65" t="str">
        <f>IFERROR(VLOOKUP(A411,'3. Call duration'!$A:$C,3,0),"--")</f>
        <v>--</v>
      </c>
      <c r="J411" s="65" t="str">
        <f t="array" ref="J411">XLOOKUP(H411,'2. Matching'!$A$2:$A$39,'2. Matching'!$B$2:$B$39,"--")</f>
        <v>Acquisition</v>
      </c>
      <c r="K411" s="65" t="str">
        <f t="shared" si="1"/>
        <v>In</v>
      </c>
    </row>
    <row r="412">
      <c r="A412" s="62" t="s">
        <v>549</v>
      </c>
      <c r="B412" s="63">
        <v>44167.0</v>
      </c>
      <c r="C412" s="62" t="s">
        <v>112</v>
      </c>
      <c r="D412" s="64">
        <v>0.0</v>
      </c>
      <c r="E412" s="62" t="s">
        <v>109</v>
      </c>
      <c r="F412" s="62" t="s">
        <v>110</v>
      </c>
      <c r="G412" s="64" t="s">
        <v>64</v>
      </c>
      <c r="H412" s="3" t="s">
        <v>139</v>
      </c>
      <c r="I412" s="65" t="str">
        <f>IFERROR(VLOOKUP(A412,'3. Call duration'!$A:$C,3,0),"--")</f>
        <v>--</v>
      </c>
      <c r="J412" s="65" t="str">
        <f t="array" ref="J412">XLOOKUP(H412,'2. Matching'!$A$2:$A$39,'2. Matching'!$B$2:$B$39,"--")</f>
        <v>Acquisition</v>
      </c>
      <c r="K412" s="65" t="str">
        <f t="shared" si="1"/>
        <v>In</v>
      </c>
    </row>
    <row r="413">
      <c r="A413" s="62" t="s">
        <v>550</v>
      </c>
      <c r="B413" s="63">
        <v>44274.0</v>
      </c>
      <c r="C413" s="62" t="s">
        <v>108</v>
      </c>
      <c r="D413" s="64">
        <v>0.0</v>
      </c>
      <c r="E413" s="62" t="s">
        <v>109</v>
      </c>
      <c r="F413" s="62" t="s">
        <v>110</v>
      </c>
      <c r="G413" s="64" t="s">
        <v>64</v>
      </c>
      <c r="H413" s="3" t="s">
        <v>52</v>
      </c>
      <c r="I413" s="65">
        <f>IFERROR(VLOOKUP(A413,'3. Call duration'!$A:$C,3,0),"--")</f>
        <v>10.1744515</v>
      </c>
      <c r="J413" s="65" t="str">
        <f t="array" ref="J413">XLOOKUP(H413,'2. Matching'!$A$2:$A$39,'2. Matching'!$B$2:$B$39,"--")</f>
        <v>Partnerships</v>
      </c>
      <c r="K413" s="65" t="str">
        <f t="shared" si="1"/>
        <v>In</v>
      </c>
    </row>
    <row r="414">
      <c r="A414" s="62" t="s">
        <v>551</v>
      </c>
      <c r="B414" s="63">
        <v>44364.0</v>
      </c>
      <c r="C414" s="62" t="s">
        <v>112</v>
      </c>
      <c r="D414" s="64">
        <v>0.0</v>
      </c>
      <c r="E414" s="62" t="s">
        <v>109</v>
      </c>
      <c r="F414" s="62" t="s">
        <v>110</v>
      </c>
      <c r="G414" s="64" t="s">
        <v>63</v>
      </c>
      <c r="H414" s="3" t="s">
        <v>183</v>
      </c>
      <c r="I414" s="65" t="str">
        <f>IFERROR(VLOOKUP(A414,'3. Call duration'!$A:$C,3,0),"--")</f>
        <v>--</v>
      </c>
      <c r="J414" s="65" t="str">
        <f t="array" ref="J414">XLOOKUP(H414,'2. Matching'!$A$2:$A$39,'2. Matching'!$B$2:$B$39,"--")</f>
        <v>SEO</v>
      </c>
      <c r="K414" s="65" t="str">
        <f t="shared" si="1"/>
        <v>In</v>
      </c>
    </row>
    <row r="415">
      <c r="A415" s="62" t="s">
        <v>552</v>
      </c>
      <c r="B415" s="63">
        <v>44357.0</v>
      </c>
      <c r="C415" s="62" t="s">
        <v>108</v>
      </c>
      <c r="D415" s="64">
        <v>0.0</v>
      </c>
      <c r="E415" s="62" t="s">
        <v>109</v>
      </c>
      <c r="F415" s="62" t="s">
        <v>110</v>
      </c>
      <c r="G415" s="64" t="s">
        <v>64</v>
      </c>
      <c r="H415" s="3" t="s">
        <v>171</v>
      </c>
      <c r="I415" s="65">
        <f>IFERROR(VLOOKUP(A415,'3. Call duration'!$A:$C,3,0),"--")</f>
        <v>26.13507115</v>
      </c>
      <c r="J415" s="65" t="str">
        <f t="array" ref="J415">XLOOKUP(H415,'2. Matching'!$A$2:$A$39,'2. Matching'!$B$2:$B$39,"--")</f>
        <v>SEO</v>
      </c>
      <c r="K415" s="65" t="str">
        <f t="shared" si="1"/>
        <v>In</v>
      </c>
    </row>
    <row r="416">
      <c r="A416" s="62" t="s">
        <v>553</v>
      </c>
      <c r="B416" s="63">
        <v>44362.0</v>
      </c>
      <c r="C416" s="62" t="s">
        <v>108</v>
      </c>
      <c r="D416" s="64">
        <v>0.0</v>
      </c>
      <c r="E416" s="62" t="s">
        <v>109</v>
      </c>
      <c r="F416" s="62" t="s">
        <v>110</v>
      </c>
      <c r="G416" s="64" t="s">
        <v>60</v>
      </c>
      <c r="H416" s="3" t="s">
        <v>68</v>
      </c>
      <c r="I416" s="65">
        <f>IFERROR(VLOOKUP(A416,'3. Call duration'!$A:$C,3,0),"--")</f>
        <v>27.71229747</v>
      </c>
      <c r="J416" s="65" t="str">
        <f t="array" ref="J416">XLOOKUP(H416,'2. Matching'!$A$2:$A$39,'2. Matching'!$B$2:$B$39,"--")</f>
        <v>Acquisition</v>
      </c>
      <c r="K416" s="65" t="str">
        <f t="shared" si="1"/>
        <v>In</v>
      </c>
    </row>
    <row r="417">
      <c r="A417" s="62" t="s">
        <v>554</v>
      </c>
      <c r="B417" s="63">
        <v>44358.0</v>
      </c>
      <c r="C417" s="62" t="s">
        <v>112</v>
      </c>
      <c r="D417" s="64">
        <v>0.0</v>
      </c>
      <c r="E417" s="62" t="s">
        <v>109</v>
      </c>
      <c r="F417" s="62" t="s">
        <v>110</v>
      </c>
      <c r="G417" s="64" t="s">
        <v>64</v>
      </c>
      <c r="H417" s="3" t="s">
        <v>55</v>
      </c>
      <c r="I417" s="65" t="str">
        <f>IFERROR(VLOOKUP(A417,'3. Call duration'!$A:$C,3,0),"--")</f>
        <v>--</v>
      </c>
      <c r="J417" s="65" t="str">
        <f t="array" ref="J417">XLOOKUP(H417,'2. Matching'!$A$2:$A$39,'2. Matching'!$B$2:$B$39,"--")</f>
        <v>Partnerships</v>
      </c>
      <c r="K417" s="65" t="str">
        <f t="shared" si="1"/>
        <v>In</v>
      </c>
    </row>
    <row r="418">
      <c r="A418" s="62" t="s">
        <v>555</v>
      </c>
      <c r="B418" s="63">
        <v>44129.0</v>
      </c>
      <c r="C418" s="62" t="s">
        <v>112</v>
      </c>
      <c r="D418" s="64">
        <v>0.0</v>
      </c>
      <c r="E418" s="62" t="s">
        <v>109</v>
      </c>
      <c r="F418" s="62" t="s">
        <v>115</v>
      </c>
      <c r="G418" s="64" t="s">
        <v>64</v>
      </c>
      <c r="H418" s="3" t="s">
        <v>150</v>
      </c>
      <c r="I418" s="65" t="str">
        <f>IFERROR(VLOOKUP(A418,'3. Call duration'!$A:$C,3,0),"--")</f>
        <v>--</v>
      </c>
      <c r="J418" s="65" t="str">
        <f t="array" ref="J418">XLOOKUP(H418,'2. Matching'!$A$2:$A$39,'2. Matching'!$B$2:$B$39,"--")</f>
        <v>SEO</v>
      </c>
      <c r="K418" s="65" t="str">
        <f t="shared" si="1"/>
        <v>In</v>
      </c>
    </row>
    <row r="419">
      <c r="A419" s="62" t="s">
        <v>556</v>
      </c>
      <c r="B419" s="63">
        <v>44364.0</v>
      </c>
      <c r="C419" s="62" t="s">
        <v>108</v>
      </c>
      <c r="D419" s="64">
        <v>0.0</v>
      </c>
      <c r="E419" s="62" t="s">
        <v>114</v>
      </c>
      <c r="F419" s="62" t="s">
        <v>115</v>
      </c>
      <c r="G419" s="64" t="s">
        <v>59</v>
      </c>
      <c r="H419" s="3" t="s">
        <v>68</v>
      </c>
      <c r="I419" s="65">
        <f>IFERROR(VLOOKUP(A419,'3. Call duration'!$A:$C,3,0),"--")</f>
        <v>31.33842449</v>
      </c>
      <c r="J419" s="65" t="str">
        <f t="array" ref="J419">XLOOKUP(H419,'2. Matching'!$A$2:$A$39,'2. Matching'!$B$2:$B$39,"--")</f>
        <v>Acquisition</v>
      </c>
      <c r="K419" s="65" t="str">
        <f t="shared" si="1"/>
        <v>In</v>
      </c>
    </row>
    <row r="420">
      <c r="A420" s="62" t="s">
        <v>557</v>
      </c>
      <c r="B420" s="63">
        <v>44234.0</v>
      </c>
      <c r="C420" s="62" t="s">
        <v>112</v>
      </c>
      <c r="D420" s="64">
        <v>0.0</v>
      </c>
      <c r="E420" s="62" t="s">
        <v>114</v>
      </c>
      <c r="F420" s="62" t="s">
        <v>110</v>
      </c>
      <c r="G420" s="64" t="s">
        <v>64</v>
      </c>
      <c r="H420" s="3" t="s">
        <v>139</v>
      </c>
      <c r="I420" s="65" t="str">
        <f>IFERROR(VLOOKUP(A420,'3. Call duration'!$A:$C,3,0),"--")</f>
        <v>--</v>
      </c>
      <c r="J420" s="65" t="str">
        <f t="array" ref="J420">XLOOKUP(H420,'2. Matching'!$A$2:$A$39,'2. Matching'!$B$2:$B$39,"--")</f>
        <v>Acquisition</v>
      </c>
      <c r="K420" s="65" t="str">
        <f t="shared" si="1"/>
        <v>In</v>
      </c>
    </row>
    <row r="421">
      <c r="A421" s="62" t="s">
        <v>558</v>
      </c>
      <c r="B421" s="63">
        <v>44321.0</v>
      </c>
      <c r="C421" s="62" t="s">
        <v>119</v>
      </c>
      <c r="D421" s="64">
        <v>47.5</v>
      </c>
      <c r="E421" s="62" t="s">
        <v>109</v>
      </c>
      <c r="F421" s="62" t="s">
        <v>115</v>
      </c>
      <c r="G421" s="64" t="s">
        <v>64</v>
      </c>
      <c r="H421" s="3" t="s">
        <v>55</v>
      </c>
      <c r="I421" s="65">
        <f>IFERROR(VLOOKUP(A421,'3. Call duration'!$A:$C,3,0),"--")</f>
        <v>14.76129644</v>
      </c>
      <c r="J421" s="65" t="str">
        <f t="array" ref="J421">XLOOKUP(H421,'2. Matching'!$A$2:$A$39,'2. Matching'!$B$2:$B$39,"--")</f>
        <v>Partnerships</v>
      </c>
      <c r="K421" s="65" t="str">
        <f t="shared" si="1"/>
        <v>In</v>
      </c>
    </row>
    <row r="422">
      <c r="A422" s="62" t="s">
        <v>559</v>
      </c>
      <c r="B422" s="63">
        <v>44165.0</v>
      </c>
      <c r="C422" s="62" t="s">
        <v>112</v>
      </c>
      <c r="D422" s="64">
        <v>0.0</v>
      </c>
      <c r="E422" s="62" t="s">
        <v>109</v>
      </c>
      <c r="F422" s="62" t="s">
        <v>115</v>
      </c>
      <c r="G422" s="64" t="s">
        <v>64</v>
      </c>
      <c r="H422" s="3" t="s">
        <v>169</v>
      </c>
      <c r="I422" s="65" t="str">
        <f>IFERROR(VLOOKUP(A422,'3. Call duration'!$A:$C,3,0),"--")</f>
        <v>--</v>
      </c>
      <c r="J422" s="65" t="str">
        <f t="array" ref="J422">XLOOKUP(H422,'2. Matching'!$A$2:$A$39,'2. Matching'!$B$2:$B$39,"--")</f>
        <v>SEO</v>
      </c>
      <c r="K422" s="65" t="str">
        <f t="shared" si="1"/>
        <v>In</v>
      </c>
    </row>
    <row r="423">
      <c r="A423" s="62" t="s">
        <v>560</v>
      </c>
      <c r="B423" s="63">
        <v>44090.0</v>
      </c>
      <c r="C423" s="62" t="s">
        <v>108</v>
      </c>
      <c r="D423" s="64">
        <v>0.0</v>
      </c>
      <c r="E423" s="62" t="s">
        <v>114</v>
      </c>
      <c r="F423" s="62" t="s">
        <v>115</v>
      </c>
      <c r="G423" s="64" t="s">
        <v>62</v>
      </c>
      <c r="H423" s="3" t="s">
        <v>203</v>
      </c>
      <c r="I423" s="65">
        <f>IFERROR(VLOOKUP(A423,'3. Call duration'!$A:$C,3,0),"--")</f>
        <v>40.35385253</v>
      </c>
      <c r="J423" s="65" t="str">
        <f t="array" ref="J423">XLOOKUP(H423,'2. Matching'!$A$2:$A$39,'2. Matching'!$B$2:$B$39,"--")</f>
        <v>Farming</v>
      </c>
      <c r="K423" s="65" t="str">
        <f t="shared" si="1"/>
        <v>In</v>
      </c>
    </row>
    <row r="424">
      <c r="A424" s="62" t="s">
        <v>561</v>
      </c>
      <c r="B424" s="63">
        <v>44251.0</v>
      </c>
      <c r="C424" s="62" t="s">
        <v>112</v>
      </c>
      <c r="D424" s="64">
        <v>0.0</v>
      </c>
      <c r="E424" s="62" t="s">
        <v>109</v>
      </c>
      <c r="F424" s="62" t="s">
        <v>110</v>
      </c>
      <c r="G424" s="64" t="s">
        <v>64</v>
      </c>
      <c r="H424" s="3" t="s">
        <v>70</v>
      </c>
      <c r="I424" s="65" t="str">
        <f>IFERROR(VLOOKUP(A424,'3. Call duration'!$A:$C,3,0),"--")</f>
        <v>--</v>
      </c>
      <c r="J424" s="65" t="str">
        <f t="array" ref="J424">XLOOKUP(H424,'2. Matching'!$A$2:$A$39,'2. Matching'!$B$2:$B$39,"--")</f>
        <v>Farming</v>
      </c>
      <c r="K424" s="65" t="str">
        <f t="shared" si="1"/>
        <v>In</v>
      </c>
    </row>
    <row r="425">
      <c r="A425" s="62" t="s">
        <v>562</v>
      </c>
      <c r="B425" s="63">
        <v>44223.0</v>
      </c>
      <c r="C425" s="62" t="s">
        <v>112</v>
      </c>
      <c r="D425" s="64">
        <v>0.0</v>
      </c>
      <c r="E425" s="62" t="s">
        <v>114</v>
      </c>
      <c r="F425" s="62" t="s">
        <v>110</v>
      </c>
      <c r="G425" s="64" t="s">
        <v>64</v>
      </c>
      <c r="H425" s="3" t="s">
        <v>135</v>
      </c>
      <c r="I425" s="65" t="str">
        <f>IFERROR(VLOOKUP(A425,'3. Call duration'!$A:$C,3,0),"--")</f>
        <v>--</v>
      </c>
      <c r="J425" s="65" t="str">
        <f t="array" ref="J425">XLOOKUP(H425,'2. Matching'!$A$2:$A$39,'2. Matching'!$B$2:$B$39,"--")</f>
        <v>Acquisition</v>
      </c>
      <c r="K425" s="65" t="str">
        <f t="shared" si="1"/>
        <v>In</v>
      </c>
    </row>
    <row r="426">
      <c r="A426" s="62" t="s">
        <v>563</v>
      </c>
      <c r="B426" s="63">
        <v>44376.0</v>
      </c>
      <c r="C426" s="62" t="s">
        <v>112</v>
      </c>
      <c r="D426" s="64">
        <v>0.0</v>
      </c>
      <c r="E426" s="62" t="s">
        <v>109</v>
      </c>
      <c r="F426" s="62" t="s">
        <v>110</v>
      </c>
      <c r="G426" s="64" t="s">
        <v>60</v>
      </c>
      <c r="H426" s="3" t="s">
        <v>67</v>
      </c>
      <c r="I426" s="65" t="str">
        <f>IFERROR(VLOOKUP(A426,'3. Call duration'!$A:$C,3,0),"--")</f>
        <v>--</v>
      </c>
      <c r="J426" s="65" t="str">
        <f t="array" ref="J426">XLOOKUP(H426,'2. Matching'!$A$2:$A$39,'2. Matching'!$B$2:$B$39,"--")</f>
        <v>Acquisition</v>
      </c>
      <c r="K426" s="65" t="str">
        <f t="shared" si="1"/>
        <v>In</v>
      </c>
    </row>
    <row r="427">
      <c r="A427" s="62" t="s">
        <v>564</v>
      </c>
      <c r="B427" s="63">
        <v>44354.0</v>
      </c>
      <c r="C427" s="62" t="s">
        <v>112</v>
      </c>
      <c r="D427" s="64">
        <v>0.0</v>
      </c>
      <c r="E427" s="62" t="s">
        <v>109</v>
      </c>
      <c r="F427" s="62" t="s">
        <v>110</v>
      </c>
      <c r="G427" s="64" t="s">
        <v>59</v>
      </c>
      <c r="H427" s="3" t="s">
        <v>68</v>
      </c>
      <c r="I427" s="65" t="str">
        <f>IFERROR(VLOOKUP(A427,'3. Call duration'!$A:$C,3,0),"--")</f>
        <v>--</v>
      </c>
      <c r="J427" s="65" t="str">
        <f t="array" ref="J427">XLOOKUP(H427,'2. Matching'!$A$2:$A$39,'2. Matching'!$B$2:$B$39,"--")</f>
        <v>Acquisition</v>
      </c>
      <c r="K427" s="65" t="str">
        <f t="shared" si="1"/>
        <v>In</v>
      </c>
    </row>
    <row r="428">
      <c r="A428" s="62" t="s">
        <v>565</v>
      </c>
      <c r="B428" s="63">
        <v>44340.0</v>
      </c>
      <c r="C428" s="62" t="s">
        <v>119</v>
      </c>
      <c r="D428" s="64">
        <v>95.0</v>
      </c>
      <c r="E428" s="62" t="s">
        <v>114</v>
      </c>
      <c r="F428" s="62" t="s">
        <v>110</v>
      </c>
      <c r="G428" s="64" t="s">
        <v>64</v>
      </c>
      <c r="H428" s="3" t="s">
        <v>55</v>
      </c>
      <c r="I428" s="65">
        <f>IFERROR(VLOOKUP(A428,'3. Call duration'!$A:$C,3,0),"--")</f>
        <v>14.76324255</v>
      </c>
      <c r="J428" s="65" t="str">
        <f t="array" ref="J428">XLOOKUP(H428,'2. Matching'!$A$2:$A$39,'2. Matching'!$B$2:$B$39,"--")</f>
        <v>Partnerships</v>
      </c>
      <c r="K428" s="65" t="str">
        <f t="shared" si="1"/>
        <v>In</v>
      </c>
    </row>
    <row r="429">
      <c r="A429" s="62" t="s">
        <v>566</v>
      </c>
      <c r="B429" s="63">
        <v>44277.0</v>
      </c>
      <c r="C429" s="62" t="s">
        <v>112</v>
      </c>
      <c r="D429" s="64">
        <v>0.0</v>
      </c>
      <c r="E429" s="62" t="s">
        <v>109</v>
      </c>
      <c r="F429" s="62" t="s">
        <v>115</v>
      </c>
      <c r="G429" s="64" t="s">
        <v>64</v>
      </c>
      <c r="H429" s="3" t="s">
        <v>116</v>
      </c>
      <c r="I429" s="65" t="str">
        <f>IFERROR(VLOOKUP(A429,'3. Call duration'!$A:$C,3,0),"--")</f>
        <v>--</v>
      </c>
      <c r="J429" s="65" t="str">
        <f t="array" ref="J429">XLOOKUP(H429,'2. Matching'!$A$2:$A$39,'2. Matching'!$B$2:$B$39,"--")</f>
        <v>Acquisition</v>
      </c>
      <c r="K429" s="65" t="str">
        <f t="shared" si="1"/>
        <v>In</v>
      </c>
    </row>
    <row r="430">
      <c r="A430" s="62" t="s">
        <v>567</v>
      </c>
      <c r="B430" s="63">
        <v>44223.0</v>
      </c>
      <c r="C430" s="62" t="s">
        <v>112</v>
      </c>
      <c r="D430" s="64">
        <v>0.0</v>
      </c>
      <c r="E430" s="62" t="s">
        <v>114</v>
      </c>
      <c r="F430" s="62" t="s">
        <v>110</v>
      </c>
      <c r="G430" s="64" t="s">
        <v>62</v>
      </c>
      <c r="H430" s="3" t="s">
        <v>203</v>
      </c>
      <c r="I430" s="65" t="str">
        <f>IFERROR(VLOOKUP(A430,'3. Call duration'!$A:$C,3,0),"--")</f>
        <v>--</v>
      </c>
      <c r="J430" s="65" t="str">
        <f t="array" ref="J430">XLOOKUP(H430,'2. Matching'!$A$2:$A$39,'2. Matching'!$B$2:$B$39,"--")</f>
        <v>Farming</v>
      </c>
      <c r="K430" s="65" t="str">
        <f t="shared" si="1"/>
        <v>In</v>
      </c>
    </row>
    <row r="431">
      <c r="A431" s="62" t="s">
        <v>568</v>
      </c>
      <c r="B431" s="63">
        <v>44215.0</v>
      </c>
      <c r="C431" s="62" t="s">
        <v>108</v>
      </c>
      <c r="D431" s="64">
        <v>0.0</v>
      </c>
      <c r="E431" s="62" t="s">
        <v>109</v>
      </c>
      <c r="F431" s="62" t="s">
        <v>110</v>
      </c>
      <c r="G431" s="64" t="s">
        <v>64</v>
      </c>
      <c r="H431" s="3" t="s">
        <v>139</v>
      </c>
      <c r="I431" s="65">
        <f>IFERROR(VLOOKUP(A431,'3. Call duration'!$A:$C,3,0),"--")</f>
        <v>20.01573326</v>
      </c>
      <c r="J431" s="65" t="str">
        <f t="array" ref="J431">XLOOKUP(H431,'2. Matching'!$A$2:$A$39,'2. Matching'!$B$2:$B$39,"--")</f>
        <v>Acquisition</v>
      </c>
      <c r="K431" s="65" t="str">
        <f t="shared" si="1"/>
        <v>In</v>
      </c>
    </row>
    <row r="432">
      <c r="A432" s="62" t="s">
        <v>569</v>
      </c>
      <c r="B432" s="63">
        <v>44078.0</v>
      </c>
      <c r="C432" s="62" t="s">
        <v>112</v>
      </c>
      <c r="D432" s="64">
        <v>0.0</v>
      </c>
      <c r="E432" s="62" t="s">
        <v>109</v>
      </c>
      <c r="F432" s="62" t="s">
        <v>115</v>
      </c>
      <c r="G432" s="64" t="s">
        <v>64</v>
      </c>
      <c r="H432" s="3" t="s">
        <v>164</v>
      </c>
      <c r="I432" s="65" t="str">
        <f>IFERROR(VLOOKUP(A432,'3. Call duration'!$A:$C,3,0),"--")</f>
        <v>--</v>
      </c>
      <c r="J432" s="65" t="str">
        <f t="array" ref="J432">XLOOKUP(H432,'2. Matching'!$A$2:$A$39,'2. Matching'!$B$2:$B$39,"--")</f>
        <v>SEO</v>
      </c>
      <c r="K432" s="65" t="str">
        <f t="shared" si="1"/>
        <v>In</v>
      </c>
    </row>
    <row r="433">
      <c r="A433" s="62" t="s">
        <v>570</v>
      </c>
      <c r="B433" s="63">
        <v>44372.0</v>
      </c>
      <c r="C433" s="62" t="s">
        <v>112</v>
      </c>
      <c r="D433" s="64">
        <v>0.0</v>
      </c>
      <c r="E433" s="62" t="s">
        <v>109</v>
      </c>
      <c r="F433" s="62" t="s">
        <v>110</v>
      </c>
      <c r="G433" s="64" t="s">
        <v>60</v>
      </c>
      <c r="H433" s="3" t="s">
        <v>68</v>
      </c>
      <c r="I433" s="65" t="str">
        <f>IFERROR(VLOOKUP(A433,'3. Call duration'!$A:$C,3,0),"--")</f>
        <v>--</v>
      </c>
      <c r="J433" s="65" t="str">
        <f t="array" ref="J433">XLOOKUP(H433,'2. Matching'!$A$2:$A$39,'2. Matching'!$B$2:$B$39,"--")</f>
        <v>Acquisition</v>
      </c>
      <c r="K433" s="65" t="str">
        <f t="shared" si="1"/>
        <v>In</v>
      </c>
    </row>
    <row r="434">
      <c r="A434" s="62" t="s">
        <v>571</v>
      </c>
      <c r="B434" s="63">
        <v>44358.0</v>
      </c>
      <c r="C434" s="62" t="s">
        <v>112</v>
      </c>
      <c r="D434" s="64">
        <v>0.0</v>
      </c>
      <c r="E434" s="62" t="s">
        <v>114</v>
      </c>
      <c r="F434" s="62" t="s">
        <v>115</v>
      </c>
      <c r="G434" s="64" t="s">
        <v>64</v>
      </c>
      <c r="H434" s="3" t="s">
        <v>171</v>
      </c>
      <c r="I434" s="65" t="str">
        <f>IFERROR(VLOOKUP(A434,'3. Call duration'!$A:$C,3,0),"--")</f>
        <v>--</v>
      </c>
      <c r="J434" s="65" t="str">
        <f t="array" ref="J434">XLOOKUP(H434,'2. Matching'!$A$2:$A$39,'2. Matching'!$B$2:$B$39,"--")</f>
        <v>SEO</v>
      </c>
      <c r="K434" s="65" t="str">
        <f t="shared" si="1"/>
        <v>In</v>
      </c>
    </row>
    <row r="435">
      <c r="A435" s="62" t="s">
        <v>572</v>
      </c>
      <c r="B435" s="63">
        <v>44273.0</v>
      </c>
      <c r="C435" s="62" t="s">
        <v>112</v>
      </c>
      <c r="D435" s="64">
        <v>0.0</v>
      </c>
      <c r="E435" s="62" t="s">
        <v>109</v>
      </c>
      <c r="F435" s="62" t="s">
        <v>110</v>
      </c>
      <c r="G435" s="64" t="s">
        <v>64</v>
      </c>
      <c r="H435" s="3" t="s">
        <v>49</v>
      </c>
      <c r="I435" s="65" t="str">
        <f>IFERROR(VLOOKUP(A435,'3. Call duration'!$A:$C,3,0),"--")</f>
        <v>--</v>
      </c>
      <c r="J435" s="65" t="str">
        <f t="array" ref="J435">XLOOKUP(H435,'2. Matching'!$A$2:$A$39,'2. Matching'!$B$2:$B$39,"--")</f>
        <v>Partnerships</v>
      </c>
      <c r="K435" s="65" t="str">
        <f t="shared" si="1"/>
        <v>In</v>
      </c>
    </row>
    <row r="436">
      <c r="A436" s="62" t="s">
        <v>573</v>
      </c>
      <c r="B436" s="63">
        <v>44363.0</v>
      </c>
      <c r="C436" s="62" t="s">
        <v>112</v>
      </c>
      <c r="D436" s="64">
        <v>0.0</v>
      </c>
      <c r="E436" s="62" t="s">
        <v>109</v>
      </c>
      <c r="F436" s="62" t="s">
        <v>115</v>
      </c>
      <c r="G436" s="64" t="s">
        <v>60</v>
      </c>
      <c r="H436" s="3" t="s">
        <v>67</v>
      </c>
      <c r="I436" s="65" t="str">
        <f>IFERROR(VLOOKUP(A436,'3. Call duration'!$A:$C,3,0),"--")</f>
        <v>--</v>
      </c>
      <c r="J436" s="65" t="str">
        <f t="array" ref="J436">XLOOKUP(H436,'2. Matching'!$A$2:$A$39,'2. Matching'!$B$2:$B$39,"--")</f>
        <v>Acquisition</v>
      </c>
      <c r="K436" s="65" t="str">
        <f t="shared" si="1"/>
        <v>In</v>
      </c>
    </row>
    <row r="437">
      <c r="A437" s="62" t="s">
        <v>574</v>
      </c>
      <c r="B437" s="63">
        <v>44225.0</v>
      </c>
      <c r="C437" s="62" t="s">
        <v>112</v>
      </c>
      <c r="D437" s="64">
        <v>0.0</v>
      </c>
      <c r="E437" s="62" t="s">
        <v>109</v>
      </c>
      <c r="F437" s="62" t="s">
        <v>110</v>
      </c>
      <c r="G437" s="64" t="s">
        <v>62</v>
      </c>
      <c r="H437" s="3" t="s">
        <v>203</v>
      </c>
      <c r="I437" s="65" t="str">
        <f>IFERROR(VLOOKUP(A437,'3. Call duration'!$A:$C,3,0),"--")</f>
        <v>--</v>
      </c>
      <c r="J437" s="65" t="str">
        <f t="array" ref="J437">XLOOKUP(H437,'2. Matching'!$A$2:$A$39,'2. Matching'!$B$2:$B$39,"--")</f>
        <v>Farming</v>
      </c>
      <c r="K437" s="65" t="str">
        <f t="shared" si="1"/>
        <v>In</v>
      </c>
    </row>
    <row r="438">
      <c r="A438" s="62" t="s">
        <v>575</v>
      </c>
      <c r="B438" s="63">
        <v>44375.0</v>
      </c>
      <c r="C438" s="62" t="s">
        <v>108</v>
      </c>
      <c r="D438" s="64">
        <v>0.0</v>
      </c>
      <c r="E438" s="62" t="s">
        <v>114</v>
      </c>
      <c r="F438" s="62" t="s">
        <v>110</v>
      </c>
      <c r="G438" s="64" t="s">
        <v>61</v>
      </c>
      <c r="H438" s="3" t="s">
        <v>67</v>
      </c>
      <c r="I438" s="65">
        <f>IFERROR(VLOOKUP(A438,'3. Call duration'!$A:$C,3,0),"--")</f>
        <v>44.80590712</v>
      </c>
      <c r="J438" s="65" t="str">
        <f t="array" ref="J438">XLOOKUP(H438,'2. Matching'!$A$2:$A$39,'2. Matching'!$B$2:$B$39,"--")</f>
        <v>Acquisition</v>
      </c>
      <c r="K438" s="65" t="str">
        <f t="shared" si="1"/>
        <v>In</v>
      </c>
    </row>
    <row r="439">
      <c r="A439" s="62" t="s">
        <v>576</v>
      </c>
      <c r="B439" s="63">
        <v>44375.0</v>
      </c>
      <c r="C439" s="62" t="s">
        <v>108</v>
      </c>
      <c r="D439" s="64">
        <v>0.0</v>
      </c>
      <c r="E439" s="62" t="s">
        <v>109</v>
      </c>
      <c r="F439" s="62" t="s">
        <v>110</v>
      </c>
      <c r="G439" s="64" t="s">
        <v>59</v>
      </c>
      <c r="H439" s="3" t="s">
        <v>68</v>
      </c>
      <c r="I439" s="65">
        <f>IFERROR(VLOOKUP(A439,'3. Call duration'!$A:$C,3,0),"--")</f>
        <v>23.63927895</v>
      </c>
      <c r="J439" s="65" t="str">
        <f t="array" ref="J439">XLOOKUP(H439,'2. Matching'!$A$2:$A$39,'2. Matching'!$B$2:$B$39,"--")</f>
        <v>Acquisition</v>
      </c>
      <c r="K439" s="65" t="str">
        <f t="shared" si="1"/>
        <v>In</v>
      </c>
    </row>
    <row r="440">
      <c r="A440" s="62" t="s">
        <v>577</v>
      </c>
      <c r="B440" s="63">
        <v>44281.0</v>
      </c>
      <c r="C440" s="62" t="s">
        <v>112</v>
      </c>
      <c r="D440" s="64">
        <v>0.0</v>
      </c>
      <c r="E440" s="62" t="s">
        <v>114</v>
      </c>
      <c r="F440" s="62" t="s">
        <v>110</v>
      </c>
      <c r="G440" s="64" t="s">
        <v>64</v>
      </c>
      <c r="H440" s="3" t="s">
        <v>297</v>
      </c>
      <c r="I440" s="65" t="str">
        <f>IFERROR(VLOOKUP(A440,'3. Call duration'!$A:$C,3,0),"--")</f>
        <v>--</v>
      </c>
      <c r="J440" s="65" t="str">
        <f t="array" ref="J440">XLOOKUP(H440,'2. Matching'!$A$2:$A$39,'2. Matching'!$B$2:$B$39,"--")</f>
        <v>Farming</v>
      </c>
      <c r="K440" s="65" t="str">
        <f t="shared" si="1"/>
        <v>In</v>
      </c>
    </row>
    <row r="441">
      <c r="A441" s="62" t="s">
        <v>578</v>
      </c>
      <c r="B441" s="63">
        <v>44349.0</v>
      </c>
      <c r="C441" s="62" t="s">
        <v>108</v>
      </c>
      <c r="D441" s="64">
        <v>0.0</v>
      </c>
      <c r="E441" s="62" t="s">
        <v>109</v>
      </c>
      <c r="F441" s="62" t="s">
        <v>110</v>
      </c>
      <c r="G441" s="64" t="s">
        <v>64</v>
      </c>
      <c r="H441" s="3" t="s">
        <v>175</v>
      </c>
      <c r="I441" s="65">
        <f>IFERROR(VLOOKUP(A441,'3. Call duration'!$A:$C,3,0),"--")</f>
        <v>15.21779401</v>
      </c>
      <c r="J441" s="65" t="str">
        <f t="array" ref="J441">XLOOKUP(H441,'2. Matching'!$A$2:$A$39,'2. Matching'!$B$2:$B$39,"--")</f>
        <v>SEO</v>
      </c>
      <c r="K441" s="65" t="str">
        <f t="shared" si="1"/>
        <v>In</v>
      </c>
    </row>
    <row r="442">
      <c r="A442" s="62" t="s">
        <v>579</v>
      </c>
      <c r="B442" s="63">
        <v>44315.0</v>
      </c>
      <c r="C442" s="62" t="s">
        <v>108</v>
      </c>
      <c r="D442" s="64">
        <v>0.0</v>
      </c>
      <c r="E442" s="62" t="s">
        <v>109</v>
      </c>
      <c r="F442" s="62" t="s">
        <v>115</v>
      </c>
      <c r="G442" s="64" t="s">
        <v>64</v>
      </c>
      <c r="H442" s="3" t="s">
        <v>139</v>
      </c>
      <c r="I442" s="65">
        <f>IFERROR(VLOOKUP(A442,'3. Call duration'!$A:$C,3,0),"--")</f>
        <v>25.91137714</v>
      </c>
      <c r="J442" s="65" t="str">
        <f t="array" ref="J442">XLOOKUP(H442,'2. Matching'!$A$2:$A$39,'2. Matching'!$B$2:$B$39,"--")</f>
        <v>Acquisition</v>
      </c>
      <c r="K442" s="65" t="str">
        <f t="shared" si="1"/>
        <v>In</v>
      </c>
    </row>
    <row r="443">
      <c r="A443" s="62" t="s">
        <v>580</v>
      </c>
      <c r="B443" s="63">
        <v>44355.0</v>
      </c>
      <c r="C443" s="62" t="s">
        <v>108</v>
      </c>
      <c r="D443" s="64">
        <v>0.0</v>
      </c>
      <c r="E443" s="62" t="s">
        <v>109</v>
      </c>
      <c r="F443" s="62" t="s">
        <v>110</v>
      </c>
      <c r="G443" s="64" t="s">
        <v>59</v>
      </c>
      <c r="H443" s="3" t="s">
        <v>68</v>
      </c>
      <c r="I443" s="65">
        <f>IFERROR(VLOOKUP(A443,'3. Call duration'!$A:$C,3,0),"--")</f>
        <v>12.23641577</v>
      </c>
      <c r="J443" s="65" t="str">
        <f t="array" ref="J443">XLOOKUP(H443,'2. Matching'!$A$2:$A$39,'2. Matching'!$B$2:$B$39,"--")</f>
        <v>Acquisition</v>
      </c>
      <c r="K443" s="65" t="str">
        <f t="shared" si="1"/>
        <v>In</v>
      </c>
    </row>
    <row r="444">
      <c r="A444" s="62" t="s">
        <v>581</v>
      </c>
      <c r="B444" s="63">
        <v>44378.0</v>
      </c>
      <c r="C444" s="62" t="s">
        <v>112</v>
      </c>
      <c r="D444" s="64">
        <v>0.0</v>
      </c>
      <c r="E444" s="62" t="s">
        <v>109</v>
      </c>
      <c r="F444" s="62" t="s">
        <v>110</v>
      </c>
      <c r="G444" s="64" t="s">
        <v>60</v>
      </c>
      <c r="H444" s="3" t="s">
        <v>67</v>
      </c>
      <c r="I444" s="65" t="str">
        <f>IFERROR(VLOOKUP(A444,'3. Call duration'!$A:$C,3,0),"--")</f>
        <v>--</v>
      </c>
      <c r="J444" s="65" t="str">
        <f t="array" ref="J444">XLOOKUP(H444,'2. Matching'!$A$2:$A$39,'2. Matching'!$B$2:$B$39,"--")</f>
        <v>Acquisition</v>
      </c>
      <c r="K444" s="65" t="str">
        <f t="shared" si="1"/>
        <v>In</v>
      </c>
    </row>
    <row r="445">
      <c r="A445" s="62" t="s">
        <v>582</v>
      </c>
      <c r="B445" s="63">
        <v>44118.0</v>
      </c>
      <c r="C445" s="62" t="s">
        <v>112</v>
      </c>
      <c r="D445" s="64">
        <v>0.0</v>
      </c>
      <c r="E445" s="62" t="s">
        <v>109</v>
      </c>
      <c r="F445" s="62" t="s">
        <v>110</v>
      </c>
      <c r="G445" s="64" t="s">
        <v>64</v>
      </c>
      <c r="H445" s="3" t="s">
        <v>175</v>
      </c>
      <c r="I445" s="65" t="str">
        <f>IFERROR(VLOOKUP(A445,'3. Call duration'!$A:$C,3,0),"--")</f>
        <v>--</v>
      </c>
      <c r="J445" s="65" t="str">
        <f t="array" ref="J445">XLOOKUP(H445,'2. Matching'!$A$2:$A$39,'2. Matching'!$B$2:$B$39,"--")</f>
        <v>SEO</v>
      </c>
      <c r="K445" s="65" t="str">
        <f t="shared" si="1"/>
        <v>In</v>
      </c>
    </row>
    <row r="446">
      <c r="A446" s="62" t="s">
        <v>583</v>
      </c>
      <c r="B446" s="63">
        <v>44258.0</v>
      </c>
      <c r="C446" s="62" t="s">
        <v>112</v>
      </c>
      <c r="D446" s="64">
        <v>0.0</v>
      </c>
      <c r="E446" s="62" t="s">
        <v>109</v>
      </c>
      <c r="F446" s="62" t="s">
        <v>110</v>
      </c>
      <c r="G446" s="64" t="s">
        <v>64</v>
      </c>
      <c r="H446" s="3" t="s">
        <v>131</v>
      </c>
      <c r="I446" s="65" t="str">
        <f>IFERROR(VLOOKUP(A446,'3. Call duration'!$A:$C,3,0),"--")</f>
        <v>--</v>
      </c>
      <c r="J446" s="65" t="str">
        <f t="array" ref="J446">XLOOKUP(H446,'2. Matching'!$A$2:$A$39,'2. Matching'!$B$2:$B$39,"--")</f>
        <v>Acquisition</v>
      </c>
      <c r="K446" s="65" t="str">
        <f t="shared" si="1"/>
        <v>In</v>
      </c>
    </row>
    <row r="447">
      <c r="A447" s="62" t="s">
        <v>584</v>
      </c>
      <c r="B447" s="63">
        <v>44379.0</v>
      </c>
      <c r="C447" s="62" t="s">
        <v>112</v>
      </c>
      <c r="D447" s="64">
        <v>0.0</v>
      </c>
      <c r="E447" s="62" t="s">
        <v>114</v>
      </c>
      <c r="F447" s="62" t="s">
        <v>110</v>
      </c>
      <c r="G447" s="64" t="s">
        <v>64</v>
      </c>
      <c r="H447" s="3" t="s">
        <v>169</v>
      </c>
      <c r="I447" s="65" t="str">
        <f>IFERROR(VLOOKUP(A447,'3. Call duration'!$A:$C,3,0),"--")</f>
        <v>--</v>
      </c>
      <c r="J447" s="65" t="str">
        <f t="array" ref="J447">XLOOKUP(H447,'2. Matching'!$A$2:$A$39,'2. Matching'!$B$2:$B$39,"--")</f>
        <v>SEO</v>
      </c>
      <c r="K447" s="65" t="str">
        <f t="shared" si="1"/>
        <v>In</v>
      </c>
    </row>
    <row r="448">
      <c r="A448" s="62" t="s">
        <v>585</v>
      </c>
      <c r="B448" s="63">
        <v>44230.0</v>
      </c>
      <c r="C448" s="62" t="s">
        <v>112</v>
      </c>
      <c r="D448" s="64">
        <v>0.0</v>
      </c>
      <c r="E448" s="62" t="s">
        <v>109</v>
      </c>
      <c r="F448" s="62" t="s">
        <v>110</v>
      </c>
      <c r="G448" s="64" t="s">
        <v>64</v>
      </c>
      <c r="H448" s="3" t="s">
        <v>155</v>
      </c>
      <c r="I448" s="65" t="str">
        <f>IFERROR(VLOOKUP(A448,'3. Call duration'!$A:$C,3,0),"--")</f>
        <v>--</v>
      </c>
      <c r="J448" s="65" t="str">
        <f t="array" ref="J448">XLOOKUP(H448,'2. Matching'!$A$2:$A$39,'2. Matching'!$B$2:$B$39,"--")</f>
        <v>SEO</v>
      </c>
      <c r="K448" s="65" t="str">
        <f t="shared" si="1"/>
        <v>In</v>
      </c>
    </row>
    <row r="449">
      <c r="A449" s="62" t="s">
        <v>586</v>
      </c>
      <c r="B449" s="63">
        <v>44359.0</v>
      </c>
      <c r="C449" s="62" t="s">
        <v>112</v>
      </c>
      <c r="D449" s="64">
        <v>0.0</v>
      </c>
      <c r="E449" s="62" t="s">
        <v>114</v>
      </c>
      <c r="F449" s="62" t="s">
        <v>110</v>
      </c>
      <c r="G449" s="64" t="s">
        <v>60</v>
      </c>
      <c r="H449" s="3" t="s">
        <v>67</v>
      </c>
      <c r="I449" s="65" t="str">
        <f>IFERROR(VLOOKUP(A449,'3. Call duration'!$A:$C,3,0),"--")</f>
        <v>--</v>
      </c>
      <c r="J449" s="65" t="str">
        <f t="array" ref="J449">XLOOKUP(H449,'2. Matching'!$A$2:$A$39,'2. Matching'!$B$2:$B$39,"--")</f>
        <v>Acquisition</v>
      </c>
      <c r="K449" s="65" t="str">
        <f t="shared" si="1"/>
        <v>In</v>
      </c>
    </row>
    <row r="450">
      <c r="A450" s="62" t="s">
        <v>587</v>
      </c>
      <c r="B450" s="63">
        <v>44267.0</v>
      </c>
      <c r="C450" s="62" t="s">
        <v>108</v>
      </c>
      <c r="D450" s="64">
        <v>0.0</v>
      </c>
      <c r="E450" s="62" t="s">
        <v>109</v>
      </c>
      <c r="F450" s="62" t="s">
        <v>110</v>
      </c>
      <c r="G450" s="64" t="s">
        <v>64</v>
      </c>
      <c r="H450" s="3" t="s">
        <v>131</v>
      </c>
      <c r="I450" s="65">
        <f>IFERROR(VLOOKUP(A450,'3. Call duration'!$A:$C,3,0),"--")</f>
        <v>28.60514436</v>
      </c>
      <c r="J450" s="65" t="str">
        <f t="array" ref="J450">XLOOKUP(H450,'2. Matching'!$A$2:$A$39,'2. Matching'!$B$2:$B$39,"--")</f>
        <v>Acquisition</v>
      </c>
      <c r="K450" s="65" t="str">
        <f t="shared" si="1"/>
        <v>In</v>
      </c>
    </row>
    <row r="451">
      <c r="A451" s="62" t="s">
        <v>588</v>
      </c>
      <c r="B451" s="63">
        <v>44274.0</v>
      </c>
      <c r="C451" s="62" t="s">
        <v>112</v>
      </c>
      <c r="D451" s="64">
        <v>0.0</v>
      </c>
      <c r="E451" s="62" t="s">
        <v>109</v>
      </c>
      <c r="F451" s="62" t="s">
        <v>110</v>
      </c>
      <c r="G451" s="64" t="s">
        <v>64</v>
      </c>
      <c r="H451" s="3" t="s">
        <v>297</v>
      </c>
      <c r="I451" s="65" t="str">
        <f>IFERROR(VLOOKUP(A451,'3. Call duration'!$A:$C,3,0),"--")</f>
        <v>--</v>
      </c>
      <c r="J451" s="65" t="str">
        <f t="array" ref="J451">XLOOKUP(H451,'2. Matching'!$A$2:$A$39,'2. Matching'!$B$2:$B$39,"--")</f>
        <v>Farming</v>
      </c>
      <c r="K451" s="65" t="str">
        <f t="shared" si="1"/>
        <v>In</v>
      </c>
    </row>
    <row r="452">
      <c r="A452" s="62" t="s">
        <v>589</v>
      </c>
      <c r="B452" s="63">
        <v>44072.0</v>
      </c>
      <c r="C452" s="62" t="s">
        <v>108</v>
      </c>
      <c r="D452" s="64">
        <v>0.0</v>
      </c>
      <c r="E452" s="62" t="s">
        <v>109</v>
      </c>
      <c r="F452" s="62" t="s">
        <v>115</v>
      </c>
      <c r="G452" s="64" t="s">
        <v>64</v>
      </c>
      <c r="H452" s="3" t="s">
        <v>139</v>
      </c>
      <c r="I452" s="65">
        <f>IFERROR(VLOOKUP(A452,'3. Call duration'!$A:$C,3,0),"--")</f>
        <v>25.95050214</v>
      </c>
      <c r="J452" s="65" t="str">
        <f t="array" ref="J452">XLOOKUP(H452,'2. Matching'!$A$2:$A$39,'2. Matching'!$B$2:$B$39,"--")</f>
        <v>Acquisition</v>
      </c>
      <c r="K452" s="65" t="str">
        <f t="shared" si="1"/>
        <v>In</v>
      </c>
    </row>
    <row r="453">
      <c r="A453" s="62" t="s">
        <v>590</v>
      </c>
      <c r="B453" s="63">
        <v>44312.0</v>
      </c>
      <c r="C453" s="62" t="s">
        <v>112</v>
      </c>
      <c r="D453" s="64">
        <v>0.0</v>
      </c>
      <c r="E453" s="62" t="s">
        <v>114</v>
      </c>
      <c r="F453" s="62" t="s">
        <v>110</v>
      </c>
      <c r="G453" s="64" t="s">
        <v>64</v>
      </c>
      <c r="H453" s="3" t="s">
        <v>185</v>
      </c>
      <c r="I453" s="65" t="str">
        <f>IFERROR(VLOOKUP(A453,'3. Call duration'!$A:$C,3,0),"--")</f>
        <v>--</v>
      </c>
      <c r="J453" s="65" t="str">
        <f t="array" ref="J453">XLOOKUP(H453,'2. Matching'!$A$2:$A$39,'2. Matching'!$B$2:$B$39,"--")</f>
        <v>SEO</v>
      </c>
      <c r="K453" s="65" t="str">
        <f t="shared" si="1"/>
        <v>In</v>
      </c>
    </row>
    <row r="454">
      <c r="A454" s="62" t="s">
        <v>591</v>
      </c>
      <c r="B454" s="63">
        <v>44363.0</v>
      </c>
      <c r="C454" s="62" t="s">
        <v>108</v>
      </c>
      <c r="D454" s="64">
        <v>0.0</v>
      </c>
      <c r="E454" s="62" t="s">
        <v>109</v>
      </c>
      <c r="F454" s="62" t="s">
        <v>110</v>
      </c>
      <c r="G454" s="64" t="s">
        <v>61</v>
      </c>
      <c r="H454" s="3" t="s">
        <v>67</v>
      </c>
      <c r="I454" s="65">
        <f>IFERROR(VLOOKUP(A454,'3. Call duration'!$A:$C,3,0),"--")</f>
        <v>16.01957001</v>
      </c>
      <c r="J454" s="65" t="str">
        <f t="array" ref="J454">XLOOKUP(H454,'2. Matching'!$A$2:$A$39,'2. Matching'!$B$2:$B$39,"--")</f>
        <v>Acquisition</v>
      </c>
      <c r="K454" s="65" t="str">
        <f t="shared" si="1"/>
        <v>In</v>
      </c>
    </row>
    <row r="455">
      <c r="A455" s="62" t="s">
        <v>592</v>
      </c>
      <c r="B455" s="63">
        <v>44379.0</v>
      </c>
      <c r="C455" s="62" t="s">
        <v>112</v>
      </c>
      <c r="D455" s="64">
        <v>0.0</v>
      </c>
      <c r="E455" s="62" t="s">
        <v>109</v>
      </c>
      <c r="F455" s="62" t="s">
        <v>110</v>
      </c>
      <c r="G455" s="64" t="s">
        <v>60</v>
      </c>
      <c r="H455" s="3" t="s">
        <v>68</v>
      </c>
      <c r="I455" s="65" t="str">
        <f>IFERROR(VLOOKUP(A455,'3. Call duration'!$A:$C,3,0),"--")</f>
        <v>--</v>
      </c>
      <c r="J455" s="65" t="str">
        <f t="array" ref="J455">XLOOKUP(H455,'2. Matching'!$A$2:$A$39,'2. Matching'!$B$2:$B$39,"--")</f>
        <v>Acquisition</v>
      </c>
      <c r="K455" s="65" t="str">
        <f t="shared" si="1"/>
        <v>In</v>
      </c>
    </row>
    <row r="456">
      <c r="A456" s="62" t="s">
        <v>593</v>
      </c>
      <c r="B456" s="63">
        <v>44229.0</v>
      </c>
      <c r="C456" s="62" t="s">
        <v>112</v>
      </c>
      <c r="D456" s="64">
        <v>0.0</v>
      </c>
      <c r="E456" s="62" t="s">
        <v>109</v>
      </c>
      <c r="F456" s="62" t="s">
        <v>110</v>
      </c>
      <c r="G456" s="64" t="s">
        <v>64</v>
      </c>
      <c r="H456" s="3" t="s">
        <v>145</v>
      </c>
      <c r="I456" s="65" t="str">
        <f>IFERROR(VLOOKUP(A456,'3. Call duration'!$A:$C,3,0),"--")</f>
        <v>--</v>
      </c>
      <c r="J456" s="65" t="str">
        <f t="array" ref="J456">XLOOKUP(H456,'2. Matching'!$A$2:$A$39,'2. Matching'!$B$2:$B$39,"--")</f>
        <v>SEO</v>
      </c>
      <c r="K456" s="65" t="str">
        <f t="shared" si="1"/>
        <v>In</v>
      </c>
    </row>
    <row r="457">
      <c r="A457" s="62" t="s">
        <v>594</v>
      </c>
      <c r="B457" s="63">
        <v>44382.0</v>
      </c>
      <c r="C457" s="62" t="s">
        <v>112</v>
      </c>
      <c r="D457" s="64">
        <v>0.0</v>
      </c>
      <c r="E457" s="62" t="s">
        <v>109</v>
      </c>
      <c r="F457" s="62" t="s">
        <v>115</v>
      </c>
      <c r="G457" s="64" t="s">
        <v>64</v>
      </c>
      <c r="H457" s="3" t="s">
        <v>52</v>
      </c>
      <c r="I457" s="65" t="str">
        <f>IFERROR(VLOOKUP(A457,'3. Call duration'!$A:$C,3,0),"--")</f>
        <v>--</v>
      </c>
      <c r="J457" s="65" t="str">
        <f t="array" ref="J457">XLOOKUP(H457,'2. Matching'!$A$2:$A$39,'2. Matching'!$B$2:$B$39,"--")</f>
        <v>Partnerships</v>
      </c>
      <c r="K457" s="65" t="str">
        <f t="shared" si="1"/>
        <v>In</v>
      </c>
    </row>
    <row r="458">
      <c r="A458" s="62" t="s">
        <v>595</v>
      </c>
      <c r="B458" s="63">
        <v>44389.0</v>
      </c>
      <c r="C458" s="62" t="s">
        <v>112</v>
      </c>
      <c r="D458" s="64">
        <v>0.0</v>
      </c>
      <c r="E458" s="62" t="s">
        <v>109</v>
      </c>
      <c r="F458" s="62" t="s">
        <v>110</v>
      </c>
      <c r="G458" s="64" t="s">
        <v>61</v>
      </c>
      <c r="H458" s="3" t="s">
        <v>67</v>
      </c>
      <c r="I458" s="65" t="str">
        <f>IFERROR(VLOOKUP(A458,'3. Call duration'!$A:$C,3,0),"--")</f>
        <v>--</v>
      </c>
      <c r="J458" s="65" t="str">
        <f t="array" ref="J458">XLOOKUP(H458,'2. Matching'!$A$2:$A$39,'2. Matching'!$B$2:$B$39,"--")</f>
        <v>Acquisition</v>
      </c>
      <c r="K458" s="65" t="str">
        <f t="shared" si="1"/>
        <v>In</v>
      </c>
    </row>
    <row r="459">
      <c r="A459" s="62" t="s">
        <v>596</v>
      </c>
      <c r="B459" s="63">
        <v>44287.0</v>
      </c>
      <c r="C459" s="62" t="s">
        <v>112</v>
      </c>
      <c r="D459" s="64">
        <v>0.0</v>
      </c>
      <c r="E459" s="62" t="s">
        <v>109</v>
      </c>
      <c r="F459" s="62" t="s">
        <v>110</v>
      </c>
      <c r="G459" s="64" t="s">
        <v>64</v>
      </c>
      <c r="H459" s="3" t="s">
        <v>52</v>
      </c>
      <c r="I459" s="65" t="str">
        <f>IFERROR(VLOOKUP(A459,'3. Call duration'!$A:$C,3,0),"--")</f>
        <v>--</v>
      </c>
      <c r="J459" s="65" t="str">
        <f t="array" ref="J459">XLOOKUP(H459,'2. Matching'!$A$2:$A$39,'2. Matching'!$B$2:$B$39,"--")</f>
        <v>Partnerships</v>
      </c>
      <c r="K459" s="65" t="str">
        <f t="shared" si="1"/>
        <v>In</v>
      </c>
    </row>
    <row r="460">
      <c r="A460" s="62" t="s">
        <v>597</v>
      </c>
      <c r="B460" s="63">
        <v>44365.0</v>
      </c>
      <c r="C460" s="62" t="s">
        <v>108</v>
      </c>
      <c r="D460" s="64">
        <v>0.0</v>
      </c>
      <c r="E460" s="62" t="s">
        <v>109</v>
      </c>
      <c r="F460" s="62" t="s">
        <v>110</v>
      </c>
      <c r="G460" s="64" t="s">
        <v>61</v>
      </c>
      <c r="H460" s="3" t="s">
        <v>67</v>
      </c>
      <c r="I460" s="65">
        <f>IFERROR(VLOOKUP(A460,'3. Call duration'!$A:$C,3,0),"--")</f>
        <v>27.55607398</v>
      </c>
      <c r="J460" s="65" t="str">
        <f t="array" ref="J460">XLOOKUP(H460,'2. Matching'!$A$2:$A$39,'2. Matching'!$B$2:$B$39,"--")</f>
        <v>Acquisition</v>
      </c>
      <c r="K460" s="65" t="str">
        <f t="shared" si="1"/>
        <v>In</v>
      </c>
    </row>
    <row r="461">
      <c r="A461" s="62" t="s">
        <v>598</v>
      </c>
      <c r="B461" s="63">
        <v>44371.0</v>
      </c>
      <c r="C461" s="62" t="s">
        <v>112</v>
      </c>
      <c r="D461" s="64">
        <v>0.0</v>
      </c>
      <c r="E461" s="62" t="s">
        <v>109</v>
      </c>
      <c r="F461" s="62" t="s">
        <v>110</v>
      </c>
      <c r="G461" s="64" t="s">
        <v>60</v>
      </c>
      <c r="H461" s="3" t="s">
        <v>67</v>
      </c>
      <c r="I461" s="65" t="str">
        <f>IFERROR(VLOOKUP(A461,'3. Call duration'!$A:$C,3,0),"--")</f>
        <v>--</v>
      </c>
      <c r="J461" s="65" t="str">
        <f t="array" ref="J461">XLOOKUP(H461,'2. Matching'!$A$2:$A$39,'2. Matching'!$B$2:$B$39,"--")</f>
        <v>Acquisition</v>
      </c>
      <c r="K461" s="65" t="str">
        <f t="shared" si="1"/>
        <v>In</v>
      </c>
    </row>
    <row r="462">
      <c r="A462" s="62" t="s">
        <v>599</v>
      </c>
      <c r="B462" s="63">
        <v>44130.0</v>
      </c>
      <c r="C462" s="62" t="s">
        <v>112</v>
      </c>
      <c r="D462" s="64">
        <v>0.0</v>
      </c>
      <c r="E462" s="62" t="s">
        <v>109</v>
      </c>
      <c r="F462" s="62" t="s">
        <v>115</v>
      </c>
      <c r="G462" s="64" t="s">
        <v>64</v>
      </c>
      <c r="H462" s="3" t="s">
        <v>164</v>
      </c>
      <c r="I462" s="65" t="str">
        <f>IFERROR(VLOOKUP(A462,'3. Call duration'!$A:$C,3,0),"--")</f>
        <v>--</v>
      </c>
      <c r="J462" s="65" t="str">
        <f t="array" ref="J462">XLOOKUP(H462,'2. Matching'!$A$2:$A$39,'2. Matching'!$B$2:$B$39,"--")</f>
        <v>SEO</v>
      </c>
      <c r="K462" s="65" t="str">
        <f t="shared" si="1"/>
        <v>In</v>
      </c>
    </row>
    <row r="463">
      <c r="A463" s="62" t="s">
        <v>600</v>
      </c>
      <c r="B463" s="63">
        <v>44383.0</v>
      </c>
      <c r="C463" s="62" t="s">
        <v>108</v>
      </c>
      <c r="D463" s="64">
        <v>0.0</v>
      </c>
      <c r="E463" s="62" t="s">
        <v>114</v>
      </c>
      <c r="F463" s="62" t="s">
        <v>110</v>
      </c>
      <c r="G463" s="64" t="s">
        <v>60</v>
      </c>
      <c r="H463" s="3" t="s">
        <v>68</v>
      </c>
      <c r="I463" s="65">
        <f>IFERROR(VLOOKUP(A463,'3. Call duration'!$A:$C,3,0),"--")</f>
        <v>22.11880782</v>
      </c>
      <c r="J463" s="65" t="str">
        <f t="array" ref="J463">XLOOKUP(H463,'2. Matching'!$A$2:$A$39,'2. Matching'!$B$2:$B$39,"--")</f>
        <v>Acquisition</v>
      </c>
      <c r="K463" s="65" t="str">
        <f t="shared" si="1"/>
        <v>In</v>
      </c>
    </row>
    <row r="464">
      <c r="A464" s="62" t="s">
        <v>601</v>
      </c>
      <c r="B464" s="63">
        <v>44383.0</v>
      </c>
      <c r="C464" s="62" t="s">
        <v>112</v>
      </c>
      <c r="D464" s="64">
        <v>0.0</v>
      </c>
      <c r="E464" s="62" t="s">
        <v>109</v>
      </c>
      <c r="F464" s="62" t="s">
        <v>110</v>
      </c>
      <c r="G464" s="64" t="s">
        <v>64</v>
      </c>
      <c r="H464" s="3" t="s">
        <v>116</v>
      </c>
      <c r="I464" s="65" t="str">
        <f>IFERROR(VLOOKUP(A464,'3. Call duration'!$A:$C,3,0),"--")</f>
        <v>--</v>
      </c>
      <c r="J464" s="65" t="str">
        <f t="array" ref="J464">XLOOKUP(H464,'2. Matching'!$A$2:$A$39,'2. Matching'!$B$2:$B$39,"--")</f>
        <v>Acquisition</v>
      </c>
      <c r="K464" s="65" t="str">
        <f t="shared" si="1"/>
        <v>In</v>
      </c>
    </row>
    <row r="465">
      <c r="A465" s="62" t="s">
        <v>602</v>
      </c>
      <c r="B465" s="63">
        <v>44328.0</v>
      </c>
      <c r="C465" s="62" t="s">
        <v>119</v>
      </c>
      <c r="D465" s="64">
        <v>47.5</v>
      </c>
      <c r="E465" s="62" t="s">
        <v>109</v>
      </c>
      <c r="F465" s="62" t="s">
        <v>115</v>
      </c>
      <c r="G465" s="64" t="s">
        <v>64</v>
      </c>
      <c r="H465" s="3" t="s">
        <v>141</v>
      </c>
      <c r="I465" s="65">
        <f>IFERROR(VLOOKUP(A465,'3. Call duration'!$A:$C,3,0),"--")</f>
        <v>14.76559989</v>
      </c>
      <c r="J465" s="65" t="str">
        <f t="array" ref="J465">XLOOKUP(H465,'2. Matching'!$A$2:$A$39,'2. Matching'!$B$2:$B$39,"--")</f>
        <v>Acquisition</v>
      </c>
      <c r="K465" s="65" t="str">
        <f t="shared" si="1"/>
        <v>In</v>
      </c>
    </row>
    <row r="466">
      <c r="A466" s="62" t="s">
        <v>603</v>
      </c>
      <c r="B466" s="63">
        <v>44356.0</v>
      </c>
      <c r="C466" s="62" t="s">
        <v>108</v>
      </c>
      <c r="D466" s="64">
        <v>0.0</v>
      </c>
      <c r="E466" s="62" t="s">
        <v>109</v>
      </c>
      <c r="F466" s="62" t="s">
        <v>115</v>
      </c>
      <c r="G466" s="64" t="s">
        <v>59</v>
      </c>
      <c r="H466" s="3" t="s">
        <v>68</v>
      </c>
      <c r="I466" s="65">
        <f>IFERROR(VLOOKUP(A466,'3. Call duration'!$A:$C,3,0),"--")</f>
        <v>31.26233583</v>
      </c>
      <c r="J466" s="65" t="str">
        <f t="array" ref="J466">XLOOKUP(H466,'2. Matching'!$A$2:$A$39,'2. Matching'!$B$2:$B$39,"--")</f>
        <v>Acquisition</v>
      </c>
      <c r="K466" s="65" t="str">
        <f t="shared" si="1"/>
        <v>In</v>
      </c>
    </row>
    <row r="467">
      <c r="A467" s="62" t="s">
        <v>604</v>
      </c>
      <c r="B467" s="63">
        <v>44139.0</v>
      </c>
      <c r="C467" s="62" t="s">
        <v>112</v>
      </c>
      <c r="D467" s="64">
        <v>0.0</v>
      </c>
      <c r="E467" s="62" t="s">
        <v>109</v>
      </c>
      <c r="F467" s="62" t="s">
        <v>110</v>
      </c>
      <c r="G467" s="64" t="s">
        <v>112</v>
      </c>
      <c r="H467" s="3"/>
      <c r="I467" s="65" t="str">
        <f>IFERROR(VLOOKUP(A467,'3. Call duration'!$A:$C,3,0),"--")</f>
        <v>--</v>
      </c>
      <c r="J467" s="65" t="str">
        <f t="array" ref="J467">XLOOKUP(H467,'2. Matching'!$A$2:$A$39,'2. Matching'!$B$2:$B$39,"--")</f>
        <v>--</v>
      </c>
      <c r="K467" s="65" t="str">
        <f t="shared" si="1"/>
        <v>In</v>
      </c>
    </row>
    <row r="468">
      <c r="A468" s="62" t="s">
        <v>605</v>
      </c>
      <c r="B468" s="63">
        <v>44256.0</v>
      </c>
      <c r="C468" s="62" t="s">
        <v>112</v>
      </c>
      <c r="D468" s="64">
        <v>0.0</v>
      </c>
      <c r="E468" s="62" t="s">
        <v>114</v>
      </c>
      <c r="F468" s="62" t="s">
        <v>115</v>
      </c>
      <c r="G468" s="64" t="s">
        <v>64</v>
      </c>
      <c r="H468" s="3" t="s">
        <v>175</v>
      </c>
      <c r="I468" s="65" t="str">
        <f>IFERROR(VLOOKUP(A468,'3. Call duration'!$A:$C,3,0),"--")</f>
        <v>--</v>
      </c>
      <c r="J468" s="65" t="str">
        <f t="array" ref="J468">XLOOKUP(H468,'2. Matching'!$A$2:$A$39,'2. Matching'!$B$2:$B$39,"--")</f>
        <v>SEO</v>
      </c>
      <c r="K468" s="65" t="str">
        <f t="shared" si="1"/>
        <v>In</v>
      </c>
    </row>
    <row r="469">
      <c r="A469" s="62" t="s">
        <v>606</v>
      </c>
      <c r="B469" s="63">
        <v>44310.0</v>
      </c>
      <c r="C469" s="62" t="s">
        <v>112</v>
      </c>
      <c r="D469" s="64">
        <v>0.0</v>
      </c>
      <c r="E469" s="62" t="s">
        <v>114</v>
      </c>
      <c r="F469" s="62" t="s">
        <v>110</v>
      </c>
      <c r="G469" s="64" t="s">
        <v>64</v>
      </c>
      <c r="H469" s="3" t="s">
        <v>49</v>
      </c>
      <c r="I469" s="65" t="str">
        <f>IFERROR(VLOOKUP(A469,'3. Call duration'!$A:$C,3,0),"--")</f>
        <v>--</v>
      </c>
      <c r="J469" s="65" t="str">
        <f t="array" ref="J469">XLOOKUP(H469,'2. Matching'!$A$2:$A$39,'2. Matching'!$B$2:$B$39,"--")</f>
        <v>Partnerships</v>
      </c>
      <c r="K469" s="65" t="str">
        <f t="shared" si="1"/>
        <v>In</v>
      </c>
    </row>
    <row r="470">
      <c r="A470" s="62" t="s">
        <v>607</v>
      </c>
      <c r="B470" s="63">
        <v>44349.0</v>
      </c>
      <c r="C470" s="62" t="s">
        <v>112</v>
      </c>
      <c r="D470" s="64">
        <v>0.0</v>
      </c>
      <c r="E470" s="62" t="s">
        <v>109</v>
      </c>
      <c r="F470" s="62" t="s">
        <v>115</v>
      </c>
      <c r="G470" s="64" t="s">
        <v>63</v>
      </c>
      <c r="H470" s="3" t="s">
        <v>228</v>
      </c>
      <c r="I470" s="65" t="str">
        <f>IFERROR(VLOOKUP(A470,'3. Call duration'!$A:$C,3,0),"--")</f>
        <v>--</v>
      </c>
      <c r="J470" s="65" t="str">
        <f t="array" ref="J470">XLOOKUP(H470,'2. Matching'!$A$2:$A$39,'2. Matching'!$B$2:$B$39,"--")</f>
        <v>Farming</v>
      </c>
      <c r="K470" s="65" t="str">
        <f t="shared" si="1"/>
        <v>In</v>
      </c>
    </row>
    <row r="471">
      <c r="A471" s="62" t="s">
        <v>608</v>
      </c>
      <c r="B471" s="63">
        <v>44275.0</v>
      </c>
      <c r="C471" s="62" t="s">
        <v>112</v>
      </c>
      <c r="D471" s="64">
        <v>0.0</v>
      </c>
      <c r="E471" s="62" t="s">
        <v>109</v>
      </c>
      <c r="F471" s="62" t="s">
        <v>110</v>
      </c>
      <c r="G471" s="64" t="s">
        <v>64</v>
      </c>
      <c r="H471" s="3" t="s">
        <v>297</v>
      </c>
      <c r="I471" s="65" t="str">
        <f>IFERROR(VLOOKUP(A471,'3. Call duration'!$A:$C,3,0),"--")</f>
        <v>--</v>
      </c>
      <c r="J471" s="65" t="str">
        <f t="array" ref="J471">XLOOKUP(H471,'2. Matching'!$A$2:$A$39,'2. Matching'!$B$2:$B$39,"--")</f>
        <v>Farming</v>
      </c>
      <c r="K471" s="65" t="str">
        <f t="shared" si="1"/>
        <v>In</v>
      </c>
    </row>
    <row r="472">
      <c r="A472" s="62" t="s">
        <v>609</v>
      </c>
      <c r="B472" s="63">
        <v>44358.0</v>
      </c>
      <c r="C472" s="62" t="s">
        <v>108</v>
      </c>
      <c r="D472" s="64">
        <v>0.0</v>
      </c>
      <c r="E472" s="62" t="s">
        <v>109</v>
      </c>
      <c r="F472" s="62" t="s">
        <v>110</v>
      </c>
      <c r="G472" s="64" t="s">
        <v>59</v>
      </c>
      <c r="H472" s="3" t="s">
        <v>68</v>
      </c>
      <c r="I472" s="65">
        <f>IFERROR(VLOOKUP(A472,'3. Call duration'!$A:$C,3,0),"--")</f>
        <v>32.12390588</v>
      </c>
      <c r="J472" s="65" t="str">
        <f t="array" ref="J472">XLOOKUP(H472,'2. Matching'!$A$2:$A$39,'2. Matching'!$B$2:$B$39,"--")</f>
        <v>Acquisition</v>
      </c>
      <c r="K472" s="65" t="str">
        <f t="shared" si="1"/>
        <v>In</v>
      </c>
    </row>
    <row r="473">
      <c r="A473" s="62" t="s">
        <v>610</v>
      </c>
      <c r="B473" s="63">
        <v>44356.0</v>
      </c>
      <c r="C473" s="62" t="s">
        <v>112</v>
      </c>
      <c r="D473" s="64">
        <v>0.0</v>
      </c>
      <c r="E473" s="62" t="s">
        <v>114</v>
      </c>
      <c r="F473" s="62" t="s">
        <v>110</v>
      </c>
      <c r="G473" s="64" t="s">
        <v>60</v>
      </c>
      <c r="H473" s="3" t="s">
        <v>67</v>
      </c>
      <c r="I473" s="65" t="str">
        <f>IFERROR(VLOOKUP(A473,'3. Call duration'!$A:$C,3,0),"--")</f>
        <v>--</v>
      </c>
      <c r="J473" s="65" t="str">
        <f t="array" ref="J473">XLOOKUP(H473,'2. Matching'!$A$2:$A$39,'2. Matching'!$B$2:$B$39,"--")</f>
        <v>Acquisition</v>
      </c>
      <c r="K473" s="65" t="str">
        <f t="shared" si="1"/>
        <v>In</v>
      </c>
    </row>
    <row r="474">
      <c r="A474" s="62" t="s">
        <v>611</v>
      </c>
      <c r="B474" s="63">
        <v>44295.0</v>
      </c>
      <c r="C474" s="62" t="s">
        <v>112</v>
      </c>
      <c r="D474" s="64">
        <v>0.0</v>
      </c>
      <c r="E474" s="62" t="s">
        <v>114</v>
      </c>
      <c r="F474" s="62" t="s">
        <v>110</v>
      </c>
      <c r="G474" s="64" t="s">
        <v>64</v>
      </c>
      <c r="H474" s="3" t="s">
        <v>297</v>
      </c>
      <c r="I474" s="65" t="str">
        <f>IFERROR(VLOOKUP(A474,'3. Call duration'!$A:$C,3,0),"--")</f>
        <v>--</v>
      </c>
      <c r="J474" s="65" t="str">
        <f t="array" ref="J474">XLOOKUP(H474,'2. Matching'!$A$2:$A$39,'2. Matching'!$B$2:$B$39,"--")</f>
        <v>Farming</v>
      </c>
      <c r="K474" s="65" t="str">
        <f t="shared" si="1"/>
        <v>In</v>
      </c>
    </row>
    <row r="475">
      <c r="A475" s="62" t="s">
        <v>612</v>
      </c>
      <c r="B475" s="63">
        <v>44181.0</v>
      </c>
      <c r="C475" s="62" t="s">
        <v>112</v>
      </c>
      <c r="D475" s="64">
        <v>0.0</v>
      </c>
      <c r="E475" s="62" t="s">
        <v>109</v>
      </c>
      <c r="F475" s="62" t="s">
        <v>115</v>
      </c>
      <c r="G475" s="64" t="s">
        <v>62</v>
      </c>
      <c r="H475" s="3" t="s">
        <v>286</v>
      </c>
      <c r="I475" s="65" t="str">
        <f>IFERROR(VLOOKUP(A475,'3. Call duration'!$A:$C,3,0),"--")</f>
        <v>--</v>
      </c>
      <c r="J475" s="65" t="str">
        <f t="array" ref="J475">XLOOKUP(H475,'2. Matching'!$A$2:$A$39,'2. Matching'!$B$2:$B$39,"--")</f>
        <v>Farming</v>
      </c>
      <c r="K475" s="65" t="str">
        <f t="shared" si="1"/>
        <v>In</v>
      </c>
    </row>
    <row r="476">
      <c r="A476" s="62" t="s">
        <v>613</v>
      </c>
      <c r="B476" s="63">
        <v>44364.0</v>
      </c>
      <c r="C476" s="62" t="s">
        <v>112</v>
      </c>
      <c r="D476" s="64">
        <v>0.0</v>
      </c>
      <c r="E476" s="62" t="s">
        <v>109</v>
      </c>
      <c r="F476" s="62" t="s">
        <v>110</v>
      </c>
      <c r="G476" s="64" t="s">
        <v>64</v>
      </c>
      <c r="H476" s="3" t="s">
        <v>297</v>
      </c>
      <c r="I476" s="65" t="str">
        <f>IFERROR(VLOOKUP(A476,'3. Call duration'!$A:$C,3,0),"--")</f>
        <v>--</v>
      </c>
      <c r="J476" s="65" t="str">
        <f t="array" ref="J476">XLOOKUP(H476,'2. Matching'!$A$2:$A$39,'2. Matching'!$B$2:$B$39,"--")</f>
        <v>Farming</v>
      </c>
      <c r="K476" s="65" t="str">
        <f t="shared" si="1"/>
        <v>In</v>
      </c>
    </row>
    <row r="477">
      <c r="A477" s="62" t="s">
        <v>614</v>
      </c>
      <c r="B477" s="63">
        <v>44139.0</v>
      </c>
      <c r="C477" s="62" t="s">
        <v>112</v>
      </c>
      <c r="D477" s="64">
        <v>0.0</v>
      </c>
      <c r="E477" s="62" t="s">
        <v>109</v>
      </c>
      <c r="F477" s="62" t="s">
        <v>115</v>
      </c>
      <c r="G477" s="64" t="s">
        <v>64</v>
      </c>
      <c r="H477" s="3" t="s">
        <v>145</v>
      </c>
      <c r="I477" s="65" t="str">
        <f>IFERROR(VLOOKUP(A477,'3. Call duration'!$A:$C,3,0),"--")</f>
        <v>--</v>
      </c>
      <c r="J477" s="65" t="str">
        <f t="array" ref="J477">XLOOKUP(H477,'2. Matching'!$A$2:$A$39,'2. Matching'!$B$2:$B$39,"--")</f>
        <v>SEO</v>
      </c>
      <c r="K477" s="65" t="str">
        <f t="shared" si="1"/>
        <v>In</v>
      </c>
    </row>
    <row r="478">
      <c r="A478" s="62" t="s">
        <v>615</v>
      </c>
      <c r="B478" s="63">
        <v>44183.0</v>
      </c>
      <c r="C478" s="62" t="s">
        <v>112</v>
      </c>
      <c r="D478" s="64">
        <v>0.0</v>
      </c>
      <c r="E478" s="62" t="s">
        <v>109</v>
      </c>
      <c r="F478" s="62" t="s">
        <v>115</v>
      </c>
      <c r="G478" s="64" t="s">
        <v>64</v>
      </c>
      <c r="H478" s="3" t="s">
        <v>175</v>
      </c>
      <c r="I478" s="65" t="str">
        <f>IFERROR(VLOOKUP(A478,'3. Call duration'!$A:$C,3,0),"--")</f>
        <v>--</v>
      </c>
      <c r="J478" s="65" t="str">
        <f t="array" ref="J478">XLOOKUP(H478,'2. Matching'!$A$2:$A$39,'2. Matching'!$B$2:$B$39,"--")</f>
        <v>SEO</v>
      </c>
      <c r="K478" s="65" t="str">
        <f t="shared" si="1"/>
        <v>In</v>
      </c>
    </row>
    <row r="479">
      <c r="A479" s="62" t="s">
        <v>616</v>
      </c>
      <c r="B479" s="63">
        <v>44113.0</v>
      </c>
      <c r="C479" s="62" t="s">
        <v>108</v>
      </c>
      <c r="D479" s="64">
        <v>0.0</v>
      </c>
      <c r="E479" s="62" t="s">
        <v>109</v>
      </c>
      <c r="F479" s="62" t="s">
        <v>115</v>
      </c>
      <c r="G479" s="64" t="s">
        <v>64</v>
      </c>
      <c r="H479" s="3" t="s">
        <v>139</v>
      </c>
      <c r="I479" s="65">
        <f>IFERROR(VLOOKUP(A479,'3. Call duration'!$A:$C,3,0),"--")</f>
        <v>26.02958835</v>
      </c>
      <c r="J479" s="65" t="str">
        <f t="array" ref="J479">XLOOKUP(H479,'2. Matching'!$A$2:$A$39,'2. Matching'!$B$2:$B$39,"--")</f>
        <v>Acquisition</v>
      </c>
      <c r="K479" s="65" t="str">
        <f t="shared" si="1"/>
        <v>In</v>
      </c>
    </row>
    <row r="480">
      <c r="A480" s="62" t="s">
        <v>617</v>
      </c>
      <c r="B480" s="63">
        <v>44165.0</v>
      </c>
      <c r="C480" s="62" t="s">
        <v>112</v>
      </c>
      <c r="D480" s="64">
        <v>0.0</v>
      </c>
      <c r="E480" s="62" t="s">
        <v>109</v>
      </c>
      <c r="F480" s="62" t="s">
        <v>115</v>
      </c>
      <c r="G480" s="64" t="s">
        <v>64</v>
      </c>
      <c r="H480" s="3" t="s">
        <v>49</v>
      </c>
      <c r="I480" s="65" t="str">
        <f>IFERROR(VLOOKUP(A480,'3. Call duration'!$A:$C,3,0),"--")</f>
        <v>--</v>
      </c>
      <c r="J480" s="65" t="str">
        <f t="array" ref="J480">XLOOKUP(H480,'2. Matching'!$A$2:$A$39,'2. Matching'!$B$2:$B$39,"--")</f>
        <v>Partnerships</v>
      </c>
      <c r="K480" s="65" t="str">
        <f t="shared" si="1"/>
        <v>In</v>
      </c>
    </row>
    <row r="481">
      <c r="A481" s="62" t="s">
        <v>618</v>
      </c>
      <c r="B481" s="63">
        <v>44084.0</v>
      </c>
      <c r="C481" s="62" t="s">
        <v>112</v>
      </c>
      <c r="D481" s="64">
        <v>0.0</v>
      </c>
      <c r="E481" s="62" t="s">
        <v>114</v>
      </c>
      <c r="F481" s="62" t="s">
        <v>115</v>
      </c>
      <c r="G481" s="64" t="s">
        <v>64</v>
      </c>
      <c r="H481" s="3" t="s">
        <v>175</v>
      </c>
      <c r="I481" s="65" t="str">
        <f>IFERROR(VLOOKUP(A481,'3. Call duration'!$A:$C,3,0),"--")</f>
        <v>--</v>
      </c>
      <c r="J481" s="65" t="str">
        <f t="array" ref="J481">XLOOKUP(H481,'2. Matching'!$A$2:$A$39,'2. Matching'!$B$2:$B$39,"--")</f>
        <v>SEO</v>
      </c>
      <c r="K481" s="65" t="str">
        <f t="shared" si="1"/>
        <v>In</v>
      </c>
    </row>
    <row r="482">
      <c r="A482" s="62" t="s">
        <v>619</v>
      </c>
      <c r="B482" s="63">
        <v>44264.0</v>
      </c>
      <c r="C482" s="62" t="s">
        <v>112</v>
      </c>
      <c r="D482" s="64">
        <v>0.0</v>
      </c>
      <c r="E482" s="62" t="s">
        <v>109</v>
      </c>
      <c r="F482" s="62" t="s">
        <v>115</v>
      </c>
      <c r="G482" s="64" t="s">
        <v>64</v>
      </c>
      <c r="H482" s="3" t="s">
        <v>185</v>
      </c>
      <c r="I482" s="65" t="str">
        <f>IFERROR(VLOOKUP(A482,'3. Call duration'!$A:$C,3,0),"--")</f>
        <v>--</v>
      </c>
      <c r="J482" s="65" t="str">
        <f t="array" ref="J482">XLOOKUP(H482,'2. Matching'!$A$2:$A$39,'2. Matching'!$B$2:$B$39,"--")</f>
        <v>SEO</v>
      </c>
      <c r="K482" s="65" t="str">
        <f t="shared" si="1"/>
        <v>In</v>
      </c>
    </row>
    <row r="483">
      <c r="A483" s="62" t="s">
        <v>620</v>
      </c>
      <c r="B483" s="63">
        <v>44393.0</v>
      </c>
      <c r="C483" s="62" t="s">
        <v>112</v>
      </c>
      <c r="D483" s="64">
        <v>0.0</v>
      </c>
      <c r="E483" s="62" t="s">
        <v>109</v>
      </c>
      <c r="F483" s="62" t="s">
        <v>110</v>
      </c>
      <c r="G483" s="64" t="s">
        <v>61</v>
      </c>
      <c r="H483" s="3" t="s">
        <v>67</v>
      </c>
      <c r="I483" s="65" t="str">
        <f>IFERROR(VLOOKUP(A483,'3. Call duration'!$A:$C,3,0),"--")</f>
        <v>--</v>
      </c>
      <c r="J483" s="65" t="str">
        <f t="array" ref="J483">XLOOKUP(H483,'2. Matching'!$A$2:$A$39,'2. Matching'!$B$2:$B$39,"--")</f>
        <v>Acquisition</v>
      </c>
      <c r="K483" s="65" t="str">
        <f t="shared" si="1"/>
        <v>In</v>
      </c>
    </row>
    <row r="484">
      <c r="A484" s="62" t="s">
        <v>621</v>
      </c>
      <c r="B484" s="63">
        <v>44356.0</v>
      </c>
      <c r="C484" s="62" t="s">
        <v>112</v>
      </c>
      <c r="D484" s="64">
        <v>0.0</v>
      </c>
      <c r="E484" s="62" t="s">
        <v>109</v>
      </c>
      <c r="F484" s="62" t="s">
        <v>110</v>
      </c>
      <c r="G484" s="64" t="s">
        <v>60</v>
      </c>
      <c r="H484" s="3" t="s">
        <v>68</v>
      </c>
      <c r="I484" s="65" t="str">
        <f>IFERROR(VLOOKUP(A484,'3. Call duration'!$A:$C,3,0),"--")</f>
        <v>--</v>
      </c>
      <c r="J484" s="65" t="str">
        <f t="array" ref="J484">XLOOKUP(H484,'2. Matching'!$A$2:$A$39,'2. Matching'!$B$2:$B$39,"--")</f>
        <v>Acquisition</v>
      </c>
      <c r="K484" s="65" t="str">
        <f t="shared" si="1"/>
        <v>In</v>
      </c>
    </row>
    <row r="485">
      <c r="A485" s="62" t="s">
        <v>622</v>
      </c>
      <c r="B485" s="63">
        <v>44154.0</v>
      </c>
      <c r="C485" s="62" t="s">
        <v>108</v>
      </c>
      <c r="D485" s="64">
        <v>0.0</v>
      </c>
      <c r="E485" s="62" t="s">
        <v>109</v>
      </c>
      <c r="F485" s="62" t="s">
        <v>115</v>
      </c>
      <c r="G485" s="64" t="s">
        <v>64</v>
      </c>
      <c r="H485" s="3" t="s">
        <v>135</v>
      </c>
      <c r="I485" s="65">
        <f>IFERROR(VLOOKUP(A485,'3. Call duration'!$A:$C,3,0),"--")</f>
        <v>30.90709654</v>
      </c>
      <c r="J485" s="65" t="str">
        <f t="array" ref="J485">XLOOKUP(H485,'2. Matching'!$A$2:$A$39,'2. Matching'!$B$2:$B$39,"--")</f>
        <v>Acquisition</v>
      </c>
      <c r="K485" s="65" t="str">
        <f t="shared" si="1"/>
        <v>In</v>
      </c>
    </row>
    <row r="486">
      <c r="A486" s="62" t="s">
        <v>623</v>
      </c>
      <c r="B486" s="63">
        <v>44371.0</v>
      </c>
      <c r="C486" s="62" t="s">
        <v>108</v>
      </c>
      <c r="D486" s="64">
        <v>0.0</v>
      </c>
      <c r="E486" s="62" t="s">
        <v>109</v>
      </c>
      <c r="F486" s="62" t="s">
        <v>115</v>
      </c>
      <c r="G486" s="64" t="s">
        <v>64</v>
      </c>
      <c r="H486" s="3" t="s">
        <v>175</v>
      </c>
      <c r="I486" s="65">
        <f>IFERROR(VLOOKUP(A486,'3. Call duration'!$A:$C,3,0),"--")</f>
        <v>16.29978091</v>
      </c>
      <c r="J486" s="65" t="str">
        <f t="array" ref="J486">XLOOKUP(H486,'2. Matching'!$A$2:$A$39,'2. Matching'!$B$2:$B$39,"--")</f>
        <v>SEO</v>
      </c>
      <c r="K486" s="65" t="str">
        <f t="shared" si="1"/>
        <v>In</v>
      </c>
    </row>
    <row r="487">
      <c r="A487" s="62" t="s">
        <v>624</v>
      </c>
      <c r="B487" s="63">
        <v>44153.0</v>
      </c>
      <c r="C487" s="62" t="s">
        <v>112</v>
      </c>
      <c r="D487" s="64">
        <v>0.0</v>
      </c>
      <c r="E487" s="62" t="s">
        <v>114</v>
      </c>
      <c r="F487" s="62" t="s">
        <v>110</v>
      </c>
      <c r="G487" s="64" t="s">
        <v>64</v>
      </c>
      <c r="H487" s="3" t="s">
        <v>155</v>
      </c>
      <c r="I487" s="65" t="str">
        <f>IFERROR(VLOOKUP(A487,'3. Call duration'!$A:$C,3,0),"--")</f>
        <v>--</v>
      </c>
      <c r="J487" s="65" t="str">
        <f t="array" ref="J487">XLOOKUP(H487,'2. Matching'!$A$2:$A$39,'2. Matching'!$B$2:$B$39,"--")</f>
        <v>SEO</v>
      </c>
      <c r="K487" s="65" t="str">
        <f t="shared" si="1"/>
        <v>In</v>
      </c>
    </row>
    <row r="488">
      <c r="A488" s="62" t="s">
        <v>625</v>
      </c>
      <c r="B488" s="63">
        <v>44347.0</v>
      </c>
      <c r="C488" s="62" t="s">
        <v>119</v>
      </c>
      <c r="D488" s="64">
        <v>95.0</v>
      </c>
      <c r="E488" s="62" t="s">
        <v>114</v>
      </c>
      <c r="F488" s="62" t="s">
        <v>115</v>
      </c>
      <c r="G488" s="64" t="s">
        <v>63</v>
      </c>
      <c r="H488" s="3" t="s">
        <v>183</v>
      </c>
      <c r="I488" s="65">
        <f>IFERROR(VLOOKUP(A488,'3. Call duration'!$A:$C,3,0),"--")</f>
        <v>14.77229256</v>
      </c>
      <c r="J488" s="65" t="str">
        <f t="array" ref="J488">XLOOKUP(H488,'2. Matching'!$A$2:$A$39,'2. Matching'!$B$2:$B$39,"--")</f>
        <v>SEO</v>
      </c>
      <c r="K488" s="65" t="str">
        <f t="shared" si="1"/>
        <v>In</v>
      </c>
    </row>
    <row r="489">
      <c r="A489" s="62" t="s">
        <v>626</v>
      </c>
      <c r="B489" s="63">
        <v>44119.0</v>
      </c>
      <c r="C489" s="62" t="s">
        <v>112</v>
      </c>
      <c r="D489" s="64">
        <v>0.0</v>
      </c>
      <c r="E489" s="62" t="s">
        <v>109</v>
      </c>
      <c r="F489" s="62" t="s">
        <v>110</v>
      </c>
      <c r="G489" s="64" t="s">
        <v>62</v>
      </c>
      <c r="H489" s="3" t="s">
        <v>286</v>
      </c>
      <c r="I489" s="65" t="str">
        <f>IFERROR(VLOOKUP(A489,'3. Call duration'!$A:$C,3,0),"--")</f>
        <v>--</v>
      </c>
      <c r="J489" s="65" t="str">
        <f t="array" ref="J489">XLOOKUP(H489,'2. Matching'!$A$2:$A$39,'2. Matching'!$B$2:$B$39,"--")</f>
        <v>Farming</v>
      </c>
      <c r="K489" s="65" t="str">
        <f t="shared" si="1"/>
        <v>In</v>
      </c>
    </row>
    <row r="490">
      <c r="A490" s="62" t="s">
        <v>627</v>
      </c>
      <c r="B490" s="63">
        <v>44356.0</v>
      </c>
      <c r="C490" s="62" t="s">
        <v>108</v>
      </c>
      <c r="D490" s="64">
        <v>0.0</v>
      </c>
      <c r="E490" s="62" t="s">
        <v>109</v>
      </c>
      <c r="F490" s="62" t="s">
        <v>110</v>
      </c>
      <c r="G490" s="64" t="s">
        <v>63</v>
      </c>
      <c r="H490" s="3" t="s">
        <v>228</v>
      </c>
      <c r="I490" s="65">
        <f>IFERROR(VLOOKUP(A490,'3. Call duration'!$A:$C,3,0),"--")</f>
        <v>28.8835083</v>
      </c>
      <c r="J490" s="65" t="str">
        <f t="array" ref="J490">XLOOKUP(H490,'2. Matching'!$A$2:$A$39,'2. Matching'!$B$2:$B$39,"--")</f>
        <v>Farming</v>
      </c>
      <c r="K490" s="65" t="str">
        <f t="shared" si="1"/>
        <v>In</v>
      </c>
    </row>
    <row r="491">
      <c r="A491" s="62" t="s">
        <v>628</v>
      </c>
      <c r="B491" s="63">
        <v>44224.0</v>
      </c>
      <c r="C491" s="62" t="s">
        <v>112</v>
      </c>
      <c r="D491" s="64">
        <v>0.0</v>
      </c>
      <c r="E491" s="62" t="s">
        <v>109</v>
      </c>
      <c r="F491" s="62" t="s">
        <v>115</v>
      </c>
      <c r="G491" s="64" t="s">
        <v>64</v>
      </c>
      <c r="H491" s="3" t="s">
        <v>175</v>
      </c>
      <c r="I491" s="65" t="str">
        <f>IFERROR(VLOOKUP(A491,'3. Call duration'!$A:$C,3,0),"--")</f>
        <v>--</v>
      </c>
      <c r="J491" s="65" t="str">
        <f t="array" ref="J491">XLOOKUP(H491,'2. Matching'!$A$2:$A$39,'2. Matching'!$B$2:$B$39,"--")</f>
        <v>SEO</v>
      </c>
      <c r="K491" s="65" t="str">
        <f t="shared" si="1"/>
        <v>In</v>
      </c>
    </row>
    <row r="492">
      <c r="A492" s="62" t="s">
        <v>629</v>
      </c>
      <c r="B492" s="63">
        <v>44369.0</v>
      </c>
      <c r="C492" s="62" t="s">
        <v>112</v>
      </c>
      <c r="D492" s="64">
        <v>0.0</v>
      </c>
      <c r="E492" s="62" t="s">
        <v>109</v>
      </c>
      <c r="F492" s="62" t="s">
        <v>115</v>
      </c>
      <c r="G492" s="64" t="s">
        <v>64</v>
      </c>
      <c r="H492" s="3" t="s">
        <v>171</v>
      </c>
      <c r="I492" s="65" t="str">
        <f>IFERROR(VLOOKUP(A492,'3. Call duration'!$A:$C,3,0),"--")</f>
        <v>--</v>
      </c>
      <c r="J492" s="65" t="str">
        <f t="array" ref="J492">XLOOKUP(H492,'2. Matching'!$A$2:$A$39,'2. Matching'!$B$2:$B$39,"--")</f>
        <v>SEO</v>
      </c>
      <c r="K492" s="65" t="str">
        <f t="shared" si="1"/>
        <v>In</v>
      </c>
    </row>
    <row r="493">
      <c r="A493" s="62" t="s">
        <v>630</v>
      </c>
      <c r="B493" s="63">
        <v>44223.0</v>
      </c>
      <c r="C493" s="62" t="s">
        <v>112</v>
      </c>
      <c r="D493" s="64">
        <v>0.0</v>
      </c>
      <c r="E493" s="62" t="s">
        <v>109</v>
      </c>
      <c r="F493" s="62" t="s">
        <v>115</v>
      </c>
      <c r="G493" s="64" t="s">
        <v>64</v>
      </c>
      <c r="H493" s="3" t="s">
        <v>139</v>
      </c>
      <c r="I493" s="65" t="str">
        <f>IFERROR(VLOOKUP(A493,'3. Call duration'!$A:$C,3,0),"--")</f>
        <v>--</v>
      </c>
      <c r="J493" s="65" t="str">
        <f t="array" ref="J493">XLOOKUP(H493,'2. Matching'!$A$2:$A$39,'2. Matching'!$B$2:$B$39,"--")</f>
        <v>Acquisition</v>
      </c>
      <c r="K493" s="65" t="str">
        <f t="shared" si="1"/>
        <v>In</v>
      </c>
    </row>
    <row r="494">
      <c r="A494" s="62" t="s">
        <v>631</v>
      </c>
      <c r="B494" s="63">
        <v>44078.0</v>
      </c>
      <c r="C494" s="62" t="s">
        <v>112</v>
      </c>
      <c r="D494" s="64">
        <v>0.0</v>
      </c>
      <c r="E494" s="62" t="s">
        <v>109</v>
      </c>
      <c r="F494" s="62" t="s">
        <v>115</v>
      </c>
      <c r="G494" s="64" t="s">
        <v>64</v>
      </c>
      <c r="H494" s="3" t="s">
        <v>139</v>
      </c>
      <c r="I494" s="65" t="str">
        <f>IFERROR(VLOOKUP(A494,'3. Call duration'!$A:$C,3,0),"--")</f>
        <v>--</v>
      </c>
      <c r="J494" s="65" t="str">
        <f t="array" ref="J494">XLOOKUP(H494,'2. Matching'!$A$2:$A$39,'2. Matching'!$B$2:$B$39,"--")</f>
        <v>Acquisition</v>
      </c>
      <c r="K494" s="65" t="str">
        <f t="shared" si="1"/>
        <v>In</v>
      </c>
    </row>
    <row r="495">
      <c r="A495" s="62" t="s">
        <v>632</v>
      </c>
      <c r="B495" s="63">
        <v>44330.0</v>
      </c>
      <c r="C495" s="62" t="s">
        <v>119</v>
      </c>
      <c r="D495" s="64">
        <v>47.5</v>
      </c>
      <c r="E495" s="62" t="s">
        <v>109</v>
      </c>
      <c r="F495" s="62" t="s">
        <v>115</v>
      </c>
      <c r="G495" s="64" t="s">
        <v>64</v>
      </c>
      <c r="H495" s="3" t="s">
        <v>169</v>
      </c>
      <c r="I495" s="65">
        <f>IFERROR(VLOOKUP(A495,'3. Call duration'!$A:$C,3,0),"--")</f>
        <v>14.91007535</v>
      </c>
      <c r="J495" s="65" t="str">
        <f t="array" ref="J495">XLOOKUP(H495,'2. Matching'!$A$2:$A$39,'2. Matching'!$B$2:$B$39,"--")</f>
        <v>SEO</v>
      </c>
      <c r="K495" s="65" t="str">
        <f t="shared" si="1"/>
        <v>In</v>
      </c>
    </row>
    <row r="496">
      <c r="A496" s="62" t="s">
        <v>633</v>
      </c>
      <c r="B496" s="63">
        <v>44321.0</v>
      </c>
      <c r="C496" s="62" t="s">
        <v>119</v>
      </c>
      <c r="D496" s="64">
        <v>47.5</v>
      </c>
      <c r="E496" s="62" t="s">
        <v>109</v>
      </c>
      <c r="F496" s="62" t="s">
        <v>115</v>
      </c>
      <c r="G496" s="64" t="s">
        <v>64</v>
      </c>
      <c r="H496" s="3" t="s">
        <v>49</v>
      </c>
      <c r="I496" s="65">
        <f>IFERROR(VLOOKUP(A496,'3. Call duration'!$A:$C,3,0),"--")</f>
        <v>14.91842012</v>
      </c>
      <c r="J496" s="65" t="str">
        <f t="array" ref="J496">XLOOKUP(H496,'2. Matching'!$A$2:$A$39,'2. Matching'!$B$2:$B$39,"--")</f>
        <v>Partnerships</v>
      </c>
      <c r="K496" s="65" t="str">
        <f t="shared" si="1"/>
        <v>In</v>
      </c>
    </row>
    <row r="497">
      <c r="A497" s="62" t="s">
        <v>634</v>
      </c>
      <c r="B497" s="63">
        <v>44270.0</v>
      </c>
      <c r="C497" s="62" t="s">
        <v>112</v>
      </c>
      <c r="D497" s="64">
        <v>0.0</v>
      </c>
      <c r="E497" s="62" t="s">
        <v>109</v>
      </c>
      <c r="F497" s="62" t="s">
        <v>110</v>
      </c>
      <c r="G497" s="64" t="s">
        <v>64</v>
      </c>
      <c r="H497" s="3" t="s">
        <v>169</v>
      </c>
      <c r="I497" s="65" t="str">
        <f>IFERROR(VLOOKUP(A497,'3. Call duration'!$A:$C,3,0),"--")</f>
        <v>--</v>
      </c>
      <c r="J497" s="65" t="str">
        <f t="array" ref="J497">XLOOKUP(H497,'2. Matching'!$A$2:$A$39,'2. Matching'!$B$2:$B$39,"--")</f>
        <v>SEO</v>
      </c>
      <c r="K497" s="65" t="str">
        <f t="shared" si="1"/>
        <v>In</v>
      </c>
    </row>
    <row r="498">
      <c r="A498" s="62" t="s">
        <v>635</v>
      </c>
      <c r="B498" s="63">
        <v>44363.0</v>
      </c>
      <c r="C498" s="62" t="s">
        <v>112</v>
      </c>
      <c r="D498" s="64">
        <v>0.0</v>
      </c>
      <c r="E498" s="62" t="s">
        <v>109</v>
      </c>
      <c r="F498" s="62" t="s">
        <v>110</v>
      </c>
      <c r="G498" s="64" t="s">
        <v>60</v>
      </c>
      <c r="H498" s="3" t="s">
        <v>68</v>
      </c>
      <c r="I498" s="65" t="str">
        <f>IFERROR(VLOOKUP(A498,'3. Call duration'!$A:$C,3,0),"--")</f>
        <v>--</v>
      </c>
      <c r="J498" s="65" t="str">
        <f t="array" ref="J498">XLOOKUP(H498,'2. Matching'!$A$2:$A$39,'2. Matching'!$B$2:$B$39,"--")</f>
        <v>Acquisition</v>
      </c>
      <c r="K498" s="65" t="str">
        <f t="shared" si="1"/>
        <v>In</v>
      </c>
    </row>
    <row r="499">
      <c r="A499" s="62" t="s">
        <v>636</v>
      </c>
      <c r="B499" s="63">
        <v>44144.0</v>
      </c>
      <c r="C499" s="62" t="s">
        <v>108</v>
      </c>
      <c r="D499" s="64">
        <v>0.0</v>
      </c>
      <c r="E499" s="62" t="s">
        <v>109</v>
      </c>
      <c r="F499" s="62" t="s">
        <v>110</v>
      </c>
      <c r="G499" s="64" t="s">
        <v>64</v>
      </c>
      <c r="H499" s="3" t="s">
        <v>164</v>
      </c>
      <c r="I499" s="65">
        <f>IFERROR(VLOOKUP(A499,'3. Call duration'!$A:$C,3,0),"--")</f>
        <v>42.25396791</v>
      </c>
      <c r="J499" s="65" t="str">
        <f t="array" ref="J499">XLOOKUP(H499,'2. Matching'!$A$2:$A$39,'2. Matching'!$B$2:$B$39,"--")</f>
        <v>SEO</v>
      </c>
      <c r="K499" s="65" t="str">
        <f t="shared" si="1"/>
        <v>In</v>
      </c>
    </row>
    <row r="500">
      <c r="A500" s="62" t="s">
        <v>637</v>
      </c>
      <c r="B500" s="63">
        <v>44384.0</v>
      </c>
      <c r="C500" s="62" t="s">
        <v>108</v>
      </c>
      <c r="D500" s="64">
        <v>0.0</v>
      </c>
      <c r="E500" s="62" t="s">
        <v>109</v>
      </c>
      <c r="F500" s="62" t="s">
        <v>110</v>
      </c>
      <c r="G500" s="64" t="s">
        <v>64</v>
      </c>
      <c r="H500" s="3" t="s">
        <v>52</v>
      </c>
      <c r="I500" s="65">
        <f>IFERROR(VLOOKUP(A500,'3. Call duration'!$A:$C,3,0),"--")</f>
        <v>14.47197127</v>
      </c>
      <c r="J500" s="65" t="str">
        <f t="array" ref="J500">XLOOKUP(H500,'2. Matching'!$A$2:$A$39,'2. Matching'!$B$2:$B$39,"--")</f>
        <v>Partnerships</v>
      </c>
      <c r="K500" s="65" t="str">
        <f t="shared" si="1"/>
        <v>In</v>
      </c>
    </row>
    <row r="501">
      <c r="A501" s="62" t="s">
        <v>638</v>
      </c>
      <c r="B501" s="63">
        <v>44147.0</v>
      </c>
      <c r="C501" s="62" t="s">
        <v>112</v>
      </c>
      <c r="D501" s="64">
        <v>0.0</v>
      </c>
      <c r="E501" s="62" t="s">
        <v>109</v>
      </c>
      <c r="F501" s="62" t="s">
        <v>110</v>
      </c>
      <c r="G501" s="64" t="s">
        <v>62</v>
      </c>
      <c r="H501" s="3" t="s">
        <v>294</v>
      </c>
      <c r="I501" s="65" t="str">
        <f>IFERROR(VLOOKUP(A501,'3. Call duration'!$A:$C,3,0),"--")</f>
        <v>--</v>
      </c>
      <c r="J501" s="65" t="str">
        <f t="array" ref="J501">XLOOKUP(H501,'2. Matching'!$A$2:$A$39,'2. Matching'!$B$2:$B$39,"--")</f>
        <v>Farming</v>
      </c>
      <c r="K501" s="65" t="str">
        <f t="shared" si="1"/>
        <v>In</v>
      </c>
    </row>
    <row r="502">
      <c r="A502" s="62" t="s">
        <v>639</v>
      </c>
      <c r="B502" s="63">
        <v>44265.0</v>
      </c>
      <c r="C502" s="62" t="s">
        <v>112</v>
      </c>
      <c r="D502" s="64">
        <v>0.0</v>
      </c>
      <c r="E502" s="62" t="s">
        <v>109</v>
      </c>
      <c r="F502" s="62" t="s">
        <v>110</v>
      </c>
      <c r="G502" s="64" t="s">
        <v>64</v>
      </c>
      <c r="H502" s="3" t="s">
        <v>116</v>
      </c>
      <c r="I502" s="65" t="str">
        <f>IFERROR(VLOOKUP(A502,'3. Call duration'!$A:$C,3,0),"--")</f>
        <v>--</v>
      </c>
      <c r="J502" s="65" t="str">
        <f t="array" ref="J502">XLOOKUP(H502,'2. Matching'!$A$2:$A$39,'2. Matching'!$B$2:$B$39,"--")</f>
        <v>Acquisition</v>
      </c>
      <c r="K502" s="65" t="str">
        <f t="shared" si="1"/>
        <v>In</v>
      </c>
    </row>
    <row r="503">
      <c r="A503" s="62" t="s">
        <v>640</v>
      </c>
      <c r="B503" s="63">
        <v>44362.0</v>
      </c>
      <c r="C503" s="62" t="s">
        <v>112</v>
      </c>
      <c r="D503" s="64">
        <v>0.0</v>
      </c>
      <c r="E503" s="62" t="s">
        <v>114</v>
      </c>
      <c r="F503" s="62" t="s">
        <v>110</v>
      </c>
      <c r="G503" s="64" t="s">
        <v>64</v>
      </c>
      <c r="H503" s="3" t="s">
        <v>116</v>
      </c>
      <c r="I503" s="65" t="str">
        <f>IFERROR(VLOOKUP(A503,'3. Call duration'!$A:$C,3,0),"--")</f>
        <v>--</v>
      </c>
      <c r="J503" s="65" t="str">
        <f t="array" ref="J503">XLOOKUP(H503,'2. Matching'!$A$2:$A$39,'2. Matching'!$B$2:$B$39,"--")</f>
        <v>Acquisition</v>
      </c>
      <c r="K503" s="65" t="str">
        <f t="shared" si="1"/>
        <v>In</v>
      </c>
    </row>
    <row r="504">
      <c r="A504" s="62" t="s">
        <v>641</v>
      </c>
      <c r="B504" s="63">
        <v>44356.0</v>
      </c>
      <c r="C504" s="62" t="s">
        <v>108</v>
      </c>
      <c r="D504" s="64">
        <v>0.0</v>
      </c>
      <c r="E504" s="62" t="s">
        <v>109</v>
      </c>
      <c r="F504" s="62" t="s">
        <v>115</v>
      </c>
      <c r="G504" s="64" t="s">
        <v>64</v>
      </c>
      <c r="H504" s="3" t="s">
        <v>145</v>
      </c>
      <c r="I504" s="65">
        <f>IFERROR(VLOOKUP(A504,'3. Call duration'!$A:$C,3,0),"--")</f>
        <v>40.5230227</v>
      </c>
      <c r="J504" s="65" t="str">
        <f t="array" ref="J504">XLOOKUP(H504,'2. Matching'!$A$2:$A$39,'2. Matching'!$B$2:$B$39,"--")</f>
        <v>SEO</v>
      </c>
      <c r="K504" s="65" t="str">
        <f t="shared" si="1"/>
        <v>In</v>
      </c>
    </row>
    <row r="505">
      <c r="A505" s="62" t="s">
        <v>642</v>
      </c>
      <c r="B505" s="63">
        <v>44231.0</v>
      </c>
      <c r="C505" s="62" t="s">
        <v>112</v>
      </c>
      <c r="D505" s="64">
        <v>0.0</v>
      </c>
      <c r="E505" s="62" t="s">
        <v>109</v>
      </c>
      <c r="F505" s="62" t="s">
        <v>110</v>
      </c>
      <c r="G505" s="64" t="s">
        <v>64</v>
      </c>
      <c r="H505" s="3" t="s">
        <v>297</v>
      </c>
      <c r="I505" s="65" t="str">
        <f>IFERROR(VLOOKUP(A505,'3. Call duration'!$A:$C,3,0),"--")</f>
        <v>--</v>
      </c>
      <c r="J505" s="65" t="str">
        <f t="array" ref="J505">XLOOKUP(H505,'2. Matching'!$A$2:$A$39,'2. Matching'!$B$2:$B$39,"--")</f>
        <v>Farming</v>
      </c>
      <c r="K505" s="65" t="str">
        <f t="shared" si="1"/>
        <v>In</v>
      </c>
    </row>
    <row r="506">
      <c r="A506" s="62" t="s">
        <v>643</v>
      </c>
      <c r="B506" s="63">
        <v>44092.0</v>
      </c>
      <c r="C506" s="62" t="s">
        <v>108</v>
      </c>
      <c r="D506" s="64">
        <v>0.0</v>
      </c>
      <c r="E506" s="62" t="s">
        <v>109</v>
      </c>
      <c r="F506" s="62" t="s">
        <v>115</v>
      </c>
      <c r="G506" s="64" t="s">
        <v>64</v>
      </c>
      <c r="H506" s="3" t="s">
        <v>139</v>
      </c>
      <c r="I506" s="65">
        <f>IFERROR(VLOOKUP(A506,'3. Call duration'!$A:$C,3,0),"--")</f>
        <v>24.58182255</v>
      </c>
      <c r="J506" s="65" t="str">
        <f t="array" ref="J506">XLOOKUP(H506,'2. Matching'!$A$2:$A$39,'2. Matching'!$B$2:$B$39,"--")</f>
        <v>Acquisition</v>
      </c>
      <c r="K506" s="65" t="str">
        <f t="shared" si="1"/>
        <v>In</v>
      </c>
    </row>
    <row r="507">
      <c r="A507" s="62" t="s">
        <v>644</v>
      </c>
      <c r="B507" s="63">
        <v>44203.0</v>
      </c>
      <c r="C507" s="62" t="s">
        <v>112</v>
      </c>
      <c r="D507" s="64">
        <v>0.0</v>
      </c>
      <c r="E507" s="62" t="s">
        <v>109</v>
      </c>
      <c r="F507" s="62" t="s">
        <v>115</v>
      </c>
      <c r="G507" s="64" t="s">
        <v>64</v>
      </c>
      <c r="H507" s="3" t="s">
        <v>49</v>
      </c>
      <c r="I507" s="65" t="str">
        <f>IFERROR(VLOOKUP(A507,'3. Call duration'!$A:$C,3,0),"--")</f>
        <v>--</v>
      </c>
      <c r="J507" s="65" t="str">
        <f t="array" ref="J507">XLOOKUP(H507,'2. Matching'!$A$2:$A$39,'2. Matching'!$B$2:$B$39,"--")</f>
        <v>Partnerships</v>
      </c>
      <c r="K507" s="65" t="str">
        <f t="shared" si="1"/>
        <v>In</v>
      </c>
    </row>
    <row r="508">
      <c r="A508" s="62" t="s">
        <v>645</v>
      </c>
      <c r="B508" s="63">
        <v>44393.0</v>
      </c>
      <c r="C508" s="62" t="s">
        <v>112</v>
      </c>
      <c r="D508" s="64">
        <v>0.0</v>
      </c>
      <c r="E508" s="62" t="s">
        <v>114</v>
      </c>
      <c r="F508" s="62" t="s">
        <v>110</v>
      </c>
      <c r="G508" s="64" t="s">
        <v>60</v>
      </c>
      <c r="H508" s="3" t="s">
        <v>67</v>
      </c>
      <c r="I508" s="65" t="str">
        <f>IFERROR(VLOOKUP(A508,'3. Call duration'!$A:$C,3,0),"--")</f>
        <v>--</v>
      </c>
      <c r="J508" s="65" t="str">
        <f t="array" ref="J508">XLOOKUP(H508,'2. Matching'!$A$2:$A$39,'2. Matching'!$B$2:$B$39,"--")</f>
        <v>Acquisition</v>
      </c>
      <c r="K508" s="65" t="str">
        <f t="shared" si="1"/>
        <v>In</v>
      </c>
    </row>
    <row r="509">
      <c r="A509" s="62" t="s">
        <v>646</v>
      </c>
      <c r="B509" s="63">
        <v>44281.0</v>
      </c>
      <c r="C509" s="62" t="s">
        <v>108</v>
      </c>
      <c r="D509" s="64">
        <v>0.0</v>
      </c>
      <c r="E509" s="62" t="s">
        <v>109</v>
      </c>
      <c r="F509" s="62" t="s">
        <v>115</v>
      </c>
      <c r="G509" s="64" t="s">
        <v>64</v>
      </c>
      <c r="H509" s="3" t="s">
        <v>116</v>
      </c>
      <c r="I509" s="65">
        <f>IFERROR(VLOOKUP(A509,'3. Call duration'!$A:$C,3,0),"--")</f>
        <v>31.82753345</v>
      </c>
      <c r="J509" s="65" t="str">
        <f t="array" ref="J509">XLOOKUP(H509,'2. Matching'!$A$2:$A$39,'2. Matching'!$B$2:$B$39,"--")</f>
        <v>Acquisition</v>
      </c>
      <c r="K509" s="65" t="str">
        <f t="shared" si="1"/>
        <v>In</v>
      </c>
    </row>
    <row r="510">
      <c r="A510" s="62" t="s">
        <v>647</v>
      </c>
      <c r="B510" s="63">
        <v>44361.0</v>
      </c>
      <c r="C510" s="62" t="s">
        <v>112</v>
      </c>
      <c r="D510" s="64">
        <v>0.0</v>
      </c>
      <c r="E510" s="62" t="s">
        <v>109</v>
      </c>
      <c r="F510" s="62" t="s">
        <v>115</v>
      </c>
      <c r="G510" s="64" t="s">
        <v>64</v>
      </c>
      <c r="H510" s="3" t="s">
        <v>145</v>
      </c>
      <c r="I510" s="65" t="str">
        <f>IFERROR(VLOOKUP(A510,'3. Call duration'!$A:$C,3,0),"--")</f>
        <v>--</v>
      </c>
      <c r="J510" s="65" t="str">
        <f t="array" ref="J510">XLOOKUP(H510,'2. Matching'!$A$2:$A$39,'2. Matching'!$B$2:$B$39,"--")</f>
        <v>SEO</v>
      </c>
      <c r="K510" s="65" t="str">
        <f t="shared" si="1"/>
        <v>In</v>
      </c>
    </row>
    <row r="511">
      <c r="A511" s="62" t="s">
        <v>648</v>
      </c>
      <c r="B511" s="63">
        <v>44375.0</v>
      </c>
      <c r="C511" s="62" t="s">
        <v>112</v>
      </c>
      <c r="D511" s="64">
        <v>0.0</v>
      </c>
      <c r="E511" s="62" t="s">
        <v>109</v>
      </c>
      <c r="F511" s="62" t="s">
        <v>110</v>
      </c>
      <c r="G511" s="64" t="s">
        <v>63</v>
      </c>
      <c r="H511" s="3" t="s">
        <v>189</v>
      </c>
      <c r="I511" s="65" t="str">
        <f>IFERROR(VLOOKUP(A511,'3. Call duration'!$A:$C,3,0),"--")</f>
        <v>--</v>
      </c>
      <c r="J511" s="65" t="str">
        <f t="array" ref="J511">XLOOKUP(H511,'2. Matching'!$A$2:$A$39,'2. Matching'!$B$2:$B$39,"--")</f>
        <v>SEO</v>
      </c>
      <c r="K511" s="65" t="str">
        <f t="shared" si="1"/>
        <v>Out</v>
      </c>
    </row>
    <row r="512">
      <c r="A512" s="62" t="s">
        <v>649</v>
      </c>
      <c r="B512" s="63">
        <v>44165.0</v>
      </c>
      <c r="C512" s="62" t="s">
        <v>108</v>
      </c>
      <c r="D512" s="64">
        <v>0.0</v>
      </c>
      <c r="E512" s="62" t="s">
        <v>109</v>
      </c>
      <c r="F512" s="62" t="s">
        <v>110</v>
      </c>
      <c r="G512" s="64" t="s">
        <v>64</v>
      </c>
      <c r="H512" s="3" t="s">
        <v>155</v>
      </c>
      <c r="I512" s="65">
        <f>IFERROR(VLOOKUP(A512,'3. Call duration'!$A:$C,3,0),"--")</f>
        <v>14.97148604</v>
      </c>
      <c r="J512" s="65" t="str">
        <f t="array" ref="J512">XLOOKUP(H512,'2. Matching'!$A$2:$A$39,'2. Matching'!$B$2:$B$39,"--")</f>
        <v>SEO</v>
      </c>
      <c r="K512" s="65" t="str">
        <f t="shared" si="1"/>
        <v>In</v>
      </c>
    </row>
    <row r="513">
      <c r="A513" s="62" t="s">
        <v>650</v>
      </c>
      <c r="B513" s="63">
        <v>44218.0</v>
      </c>
      <c r="C513" s="62" t="s">
        <v>112</v>
      </c>
      <c r="D513" s="64">
        <v>0.0</v>
      </c>
      <c r="E513" s="62" t="s">
        <v>109</v>
      </c>
      <c r="F513" s="62" t="s">
        <v>110</v>
      </c>
      <c r="G513" s="64" t="s">
        <v>60</v>
      </c>
      <c r="H513" s="3" t="s">
        <v>68</v>
      </c>
      <c r="I513" s="65" t="str">
        <f>IFERROR(VLOOKUP(A513,'3. Call duration'!$A:$C,3,0),"--")</f>
        <v>--</v>
      </c>
      <c r="J513" s="65" t="str">
        <f t="array" ref="J513">XLOOKUP(H513,'2. Matching'!$A$2:$A$39,'2. Matching'!$B$2:$B$39,"--")</f>
        <v>Acquisition</v>
      </c>
      <c r="K513" s="65" t="str">
        <f t="shared" si="1"/>
        <v>In</v>
      </c>
    </row>
    <row r="514">
      <c r="A514" s="62" t="s">
        <v>651</v>
      </c>
      <c r="B514" s="63">
        <v>44294.0</v>
      </c>
      <c r="C514" s="62" t="s">
        <v>112</v>
      </c>
      <c r="D514" s="64">
        <v>0.0</v>
      </c>
      <c r="E514" s="62" t="s">
        <v>109</v>
      </c>
      <c r="F514" s="62" t="s">
        <v>110</v>
      </c>
      <c r="G514" s="64" t="s">
        <v>64</v>
      </c>
      <c r="H514" s="3" t="s">
        <v>145</v>
      </c>
      <c r="I514" s="65" t="str">
        <f>IFERROR(VLOOKUP(A514,'3. Call duration'!$A:$C,3,0),"--")</f>
        <v>--</v>
      </c>
      <c r="J514" s="65" t="str">
        <f t="array" ref="J514">XLOOKUP(H514,'2. Matching'!$A$2:$A$39,'2. Matching'!$B$2:$B$39,"--")</f>
        <v>SEO</v>
      </c>
      <c r="K514" s="65" t="str">
        <f t="shared" si="1"/>
        <v>In</v>
      </c>
    </row>
    <row r="515">
      <c r="A515" s="62" t="s">
        <v>652</v>
      </c>
      <c r="B515" s="63">
        <v>44069.0</v>
      </c>
      <c r="C515" s="62" t="s">
        <v>112</v>
      </c>
      <c r="D515" s="64">
        <v>0.0</v>
      </c>
      <c r="E515" s="62" t="s">
        <v>114</v>
      </c>
      <c r="F515" s="62" t="s">
        <v>115</v>
      </c>
      <c r="G515" s="64" t="s">
        <v>64</v>
      </c>
      <c r="H515" s="3" t="s">
        <v>169</v>
      </c>
      <c r="I515" s="65" t="str">
        <f>IFERROR(VLOOKUP(A515,'3. Call duration'!$A:$C,3,0),"--")</f>
        <v>--</v>
      </c>
      <c r="J515" s="65" t="str">
        <f t="array" ref="J515">XLOOKUP(H515,'2. Matching'!$A$2:$A$39,'2. Matching'!$B$2:$B$39,"--")</f>
        <v>SEO</v>
      </c>
      <c r="K515" s="65" t="str">
        <f t="shared" si="1"/>
        <v>In</v>
      </c>
    </row>
    <row r="516">
      <c r="A516" s="62" t="s">
        <v>653</v>
      </c>
      <c r="B516" s="63">
        <v>44153.0</v>
      </c>
      <c r="C516" s="62" t="s">
        <v>112</v>
      </c>
      <c r="D516" s="64">
        <v>0.0</v>
      </c>
      <c r="E516" s="62" t="s">
        <v>109</v>
      </c>
      <c r="F516" s="62" t="s">
        <v>110</v>
      </c>
      <c r="G516" s="64" t="s">
        <v>62</v>
      </c>
      <c r="H516" s="3" t="s">
        <v>286</v>
      </c>
      <c r="I516" s="65" t="str">
        <f>IFERROR(VLOOKUP(A516,'3. Call duration'!$A:$C,3,0),"--")</f>
        <v>--</v>
      </c>
      <c r="J516" s="65" t="str">
        <f t="array" ref="J516">XLOOKUP(H516,'2. Matching'!$A$2:$A$39,'2. Matching'!$B$2:$B$39,"--")</f>
        <v>Farming</v>
      </c>
      <c r="K516" s="65" t="str">
        <f t="shared" si="1"/>
        <v>In</v>
      </c>
    </row>
    <row r="517">
      <c r="A517" s="62" t="s">
        <v>654</v>
      </c>
      <c r="B517" s="63">
        <v>44378.0</v>
      </c>
      <c r="C517" s="62" t="s">
        <v>108</v>
      </c>
      <c r="D517" s="64">
        <v>0.0</v>
      </c>
      <c r="E517" s="62" t="s">
        <v>109</v>
      </c>
      <c r="F517" s="62" t="s">
        <v>110</v>
      </c>
      <c r="G517" s="64" t="s">
        <v>59</v>
      </c>
      <c r="H517" s="3" t="s">
        <v>68</v>
      </c>
      <c r="I517" s="65">
        <f>IFERROR(VLOOKUP(A517,'3. Call duration'!$A:$C,3,0),"--")</f>
        <v>30.21557218</v>
      </c>
      <c r="J517" s="65" t="str">
        <f t="array" ref="J517">XLOOKUP(H517,'2. Matching'!$A$2:$A$39,'2. Matching'!$B$2:$B$39,"--")</f>
        <v>Acquisition</v>
      </c>
      <c r="K517" s="65" t="str">
        <f t="shared" si="1"/>
        <v>In</v>
      </c>
    </row>
    <row r="518">
      <c r="A518" s="62" t="s">
        <v>655</v>
      </c>
      <c r="B518" s="63">
        <v>44294.0</v>
      </c>
      <c r="C518" s="62" t="s">
        <v>112</v>
      </c>
      <c r="D518" s="64">
        <v>0.0</v>
      </c>
      <c r="E518" s="62" t="s">
        <v>109</v>
      </c>
      <c r="F518" s="62" t="s">
        <v>110</v>
      </c>
      <c r="G518" s="64" t="s">
        <v>64</v>
      </c>
      <c r="H518" s="3" t="s">
        <v>164</v>
      </c>
      <c r="I518" s="65" t="str">
        <f>IFERROR(VLOOKUP(A518,'3. Call duration'!$A:$C,3,0),"--")</f>
        <v>--</v>
      </c>
      <c r="J518" s="65" t="str">
        <f t="array" ref="J518">XLOOKUP(H518,'2. Matching'!$A$2:$A$39,'2. Matching'!$B$2:$B$39,"--")</f>
        <v>SEO</v>
      </c>
      <c r="K518" s="65" t="str">
        <f t="shared" si="1"/>
        <v>In</v>
      </c>
    </row>
    <row r="519">
      <c r="A519" s="62" t="s">
        <v>656</v>
      </c>
      <c r="B519" s="63">
        <v>44063.0</v>
      </c>
      <c r="C519" s="62" t="s">
        <v>112</v>
      </c>
      <c r="D519" s="64">
        <v>0.0</v>
      </c>
      <c r="E519" s="62" t="s">
        <v>109</v>
      </c>
      <c r="F519" s="62" t="s">
        <v>110</v>
      </c>
      <c r="G519" s="64" t="s">
        <v>60</v>
      </c>
      <c r="H519" s="3" t="s">
        <v>69</v>
      </c>
      <c r="I519" s="65" t="str">
        <f>IFERROR(VLOOKUP(A519,'3. Call duration'!$A:$C,3,0),"--")</f>
        <v>--</v>
      </c>
      <c r="J519" s="65" t="str">
        <f t="array" ref="J519">XLOOKUP(H519,'2. Matching'!$A$2:$A$39,'2. Matching'!$B$2:$B$39,"--")</f>
        <v>Acquisition</v>
      </c>
      <c r="K519" s="65" t="str">
        <f t="shared" si="1"/>
        <v>In</v>
      </c>
    </row>
    <row r="520">
      <c r="A520" s="62" t="s">
        <v>657</v>
      </c>
      <c r="B520" s="63">
        <v>44069.0</v>
      </c>
      <c r="C520" s="62" t="s">
        <v>112</v>
      </c>
      <c r="D520" s="64">
        <v>0.0</v>
      </c>
      <c r="E520" s="62" t="s">
        <v>114</v>
      </c>
      <c r="F520" s="62" t="s">
        <v>115</v>
      </c>
      <c r="G520" s="64" t="s">
        <v>64</v>
      </c>
      <c r="H520" s="3" t="s">
        <v>139</v>
      </c>
      <c r="I520" s="65" t="str">
        <f>IFERROR(VLOOKUP(A520,'3. Call duration'!$A:$C,3,0),"--")</f>
        <v>--</v>
      </c>
      <c r="J520" s="65" t="str">
        <f t="array" ref="J520">XLOOKUP(H520,'2. Matching'!$A$2:$A$39,'2. Matching'!$B$2:$B$39,"--")</f>
        <v>Acquisition</v>
      </c>
      <c r="K520" s="65" t="str">
        <f t="shared" si="1"/>
        <v>In</v>
      </c>
    </row>
    <row r="521">
      <c r="A521" s="62" t="s">
        <v>658</v>
      </c>
      <c r="B521" s="63">
        <v>44229.0</v>
      </c>
      <c r="C521" s="62" t="s">
        <v>108</v>
      </c>
      <c r="D521" s="64">
        <v>0.0</v>
      </c>
      <c r="E521" s="62" t="s">
        <v>109</v>
      </c>
      <c r="F521" s="62" t="s">
        <v>110</v>
      </c>
      <c r="G521" s="64" t="s">
        <v>62</v>
      </c>
      <c r="H521" s="3" t="s">
        <v>286</v>
      </c>
      <c r="I521" s="65">
        <f>IFERROR(VLOOKUP(A521,'3. Call duration'!$A:$C,3,0),"--")</f>
        <v>25.7118891</v>
      </c>
      <c r="J521" s="65" t="str">
        <f t="array" ref="J521">XLOOKUP(H521,'2. Matching'!$A$2:$A$39,'2. Matching'!$B$2:$B$39,"--")</f>
        <v>Farming</v>
      </c>
      <c r="K521" s="65" t="str">
        <f t="shared" si="1"/>
        <v>In</v>
      </c>
    </row>
    <row r="522">
      <c r="A522" s="62" t="s">
        <v>659</v>
      </c>
      <c r="B522" s="63">
        <v>44258.0</v>
      </c>
      <c r="C522" s="62" t="s">
        <v>112</v>
      </c>
      <c r="D522" s="64">
        <v>0.0</v>
      </c>
      <c r="E522" s="62" t="s">
        <v>114</v>
      </c>
      <c r="F522" s="62" t="s">
        <v>110</v>
      </c>
      <c r="G522" s="64" t="s">
        <v>64</v>
      </c>
      <c r="H522" s="3" t="s">
        <v>139</v>
      </c>
      <c r="I522" s="65" t="str">
        <f>IFERROR(VLOOKUP(A522,'3. Call duration'!$A:$C,3,0),"--")</f>
        <v>--</v>
      </c>
      <c r="J522" s="65" t="str">
        <f t="array" ref="J522">XLOOKUP(H522,'2. Matching'!$A$2:$A$39,'2. Matching'!$B$2:$B$39,"--")</f>
        <v>Acquisition</v>
      </c>
      <c r="K522" s="65" t="str">
        <f t="shared" si="1"/>
        <v>In</v>
      </c>
    </row>
    <row r="523">
      <c r="A523" s="62" t="s">
        <v>660</v>
      </c>
      <c r="B523" s="63">
        <v>44238.0</v>
      </c>
      <c r="C523" s="62" t="s">
        <v>112</v>
      </c>
      <c r="D523" s="64">
        <v>0.0</v>
      </c>
      <c r="E523" s="62" t="s">
        <v>109</v>
      </c>
      <c r="F523" s="62" t="s">
        <v>115</v>
      </c>
      <c r="G523" s="64" t="s">
        <v>64</v>
      </c>
      <c r="H523" s="3" t="s">
        <v>297</v>
      </c>
      <c r="I523" s="65" t="str">
        <f>IFERROR(VLOOKUP(A523,'3. Call duration'!$A:$C,3,0),"--")</f>
        <v>--</v>
      </c>
      <c r="J523" s="65" t="str">
        <f t="array" ref="J523">XLOOKUP(H523,'2. Matching'!$A$2:$A$39,'2. Matching'!$B$2:$B$39,"--")</f>
        <v>Farming</v>
      </c>
      <c r="K523" s="65" t="str">
        <f t="shared" si="1"/>
        <v>In</v>
      </c>
    </row>
    <row r="524">
      <c r="A524" s="62" t="s">
        <v>661</v>
      </c>
      <c r="B524" s="63">
        <v>44370.0</v>
      </c>
      <c r="C524" s="62" t="s">
        <v>108</v>
      </c>
      <c r="D524" s="64">
        <v>0.0</v>
      </c>
      <c r="E524" s="62" t="s">
        <v>114</v>
      </c>
      <c r="F524" s="62" t="s">
        <v>110</v>
      </c>
      <c r="G524" s="64" t="s">
        <v>60</v>
      </c>
      <c r="H524" s="3" t="s">
        <v>67</v>
      </c>
      <c r="I524" s="65">
        <f>IFERROR(VLOOKUP(A524,'3. Call duration'!$A:$C,3,0),"--")</f>
        <v>33.62406937</v>
      </c>
      <c r="J524" s="65" t="str">
        <f t="array" ref="J524">XLOOKUP(H524,'2. Matching'!$A$2:$A$39,'2. Matching'!$B$2:$B$39,"--")</f>
        <v>Acquisition</v>
      </c>
      <c r="K524" s="65" t="str">
        <f t="shared" si="1"/>
        <v>In</v>
      </c>
    </row>
    <row r="525">
      <c r="A525" s="62" t="s">
        <v>662</v>
      </c>
      <c r="B525" s="63">
        <v>44305.0</v>
      </c>
      <c r="C525" s="62" t="s">
        <v>112</v>
      </c>
      <c r="D525" s="64">
        <v>0.0</v>
      </c>
      <c r="E525" s="62" t="s">
        <v>114</v>
      </c>
      <c r="F525" s="62" t="s">
        <v>110</v>
      </c>
      <c r="G525" s="64" t="s">
        <v>64</v>
      </c>
      <c r="H525" s="3" t="s">
        <v>297</v>
      </c>
      <c r="I525" s="65" t="str">
        <f>IFERROR(VLOOKUP(A525,'3. Call duration'!$A:$C,3,0),"--")</f>
        <v>--</v>
      </c>
      <c r="J525" s="65" t="str">
        <f t="array" ref="J525">XLOOKUP(H525,'2. Matching'!$A$2:$A$39,'2. Matching'!$B$2:$B$39,"--")</f>
        <v>Farming</v>
      </c>
      <c r="K525" s="65" t="str">
        <f t="shared" si="1"/>
        <v>In</v>
      </c>
    </row>
    <row r="526">
      <c r="A526" s="62" t="s">
        <v>663</v>
      </c>
      <c r="B526" s="63">
        <v>44385.0</v>
      </c>
      <c r="C526" s="62" t="s">
        <v>112</v>
      </c>
      <c r="D526" s="64">
        <v>0.0</v>
      </c>
      <c r="E526" s="62" t="s">
        <v>114</v>
      </c>
      <c r="F526" s="62" t="s">
        <v>110</v>
      </c>
      <c r="G526" s="64" t="s">
        <v>61</v>
      </c>
      <c r="H526" s="3" t="s">
        <v>67</v>
      </c>
      <c r="I526" s="65" t="str">
        <f>IFERROR(VLOOKUP(A526,'3. Call duration'!$A:$C,3,0),"--")</f>
        <v>--</v>
      </c>
      <c r="J526" s="65" t="str">
        <f t="array" ref="J526">XLOOKUP(H526,'2. Matching'!$A$2:$A$39,'2. Matching'!$B$2:$B$39,"--")</f>
        <v>Acquisition</v>
      </c>
      <c r="K526" s="65" t="str">
        <f t="shared" si="1"/>
        <v>In</v>
      </c>
    </row>
    <row r="527">
      <c r="A527" s="62" t="s">
        <v>664</v>
      </c>
      <c r="B527" s="63">
        <v>44343.0</v>
      </c>
      <c r="C527" s="62" t="s">
        <v>119</v>
      </c>
      <c r="D527" s="64">
        <v>47.5</v>
      </c>
      <c r="E527" s="62" t="s">
        <v>109</v>
      </c>
      <c r="F527" s="62" t="s">
        <v>115</v>
      </c>
      <c r="G527" s="64" t="s">
        <v>64</v>
      </c>
      <c r="H527" s="3" t="s">
        <v>49</v>
      </c>
      <c r="I527" s="65">
        <f>IFERROR(VLOOKUP(A527,'3. Call duration'!$A:$C,3,0),"--")</f>
        <v>14.93338797</v>
      </c>
      <c r="J527" s="65" t="str">
        <f t="array" ref="J527">XLOOKUP(H527,'2. Matching'!$A$2:$A$39,'2. Matching'!$B$2:$B$39,"--")</f>
        <v>Partnerships</v>
      </c>
      <c r="K527" s="65" t="str">
        <f t="shared" si="1"/>
        <v>In</v>
      </c>
    </row>
    <row r="528">
      <c r="A528" s="62" t="s">
        <v>665</v>
      </c>
      <c r="B528" s="63">
        <v>44209.0</v>
      </c>
      <c r="C528" s="62" t="s">
        <v>108</v>
      </c>
      <c r="D528" s="64">
        <v>0.0</v>
      </c>
      <c r="E528" s="62" t="s">
        <v>109</v>
      </c>
      <c r="F528" s="62" t="s">
        <v>115</v>
      </c>
      <c r="G528" s="64" t="s">
        <v>64</v>
      </c>
      <c r="H528" s="3" t="s">
        <v>169</v>
      </c>
      <c r="I528" s="65">
        <f>IFERROR(VLOOKUP(A528,'3. Call duration'!$A:$C,3,0),"--")</f>
        <v>33.12102377</v>
      </c>
      <c r="J528" s="65" t="str">
        <f t="array" ref="J528">XLOOKUP(H528,'2. Matching'!$A$2:$A$39,'2. Matching'!$B$2:$B$39,"--")</f>
        <v>SEO</v>
      </c>
      <c r="K528" s="65" t="str">
        <f t="shared" si="1"/>
        <v>In</v>
      </c>
    </row>
    <row r="529">
      <c r="A529" s="62" t="s">
        <v>666</v>
      </c>
      <c r="B529" s="63">
        <v>44362.0</v>
      </c>
      <c r="C529" s="62" t="s">
        <v>108</v>
      </c>
      <c r="D529" s="64">
        <v>0.0</v>
      </c>
      <c r="E529" s="62" t="s">
        <v>109</v>
      </c>
      <c r="F529" s="62" t="s">
        <v>110</v>
      </c>
      <c r="G529" s="64" t="s">
        <v>60</v>
      </c>
      <c r="H529" s="3" t="s">
        <v>68</v>
      </c>
      <c r="I529" s="65">
        <f>IFERROR(VLOOKUP(A529,'3. Call duration'!$A:$C,3,0),"--")</f>
        <v>27.89559992</v>
      </c>
      <c r="J529" s="65" t="str">
        <f t="array" ref="J529">XLOOKUP(H529,'2. Matching'!$A$2:$A$39,'2. Matching'!$B$2:$B$39,"--")</f>
        <v>Acquisition</v>
      </c>
      <c r="K529" s="65" t="str">
        <f t="shared" si="1"/>
        <v>In</v>
      </c>
    </row>
    <row r="530">
      <c r="A530" s="62" t="s">
        <v>667</v>
      </c>
      <c r="B530" s="63">
        <v>44348.0</v>
      </c>
      <c r="C530" s="62" t="s">
        <v>112</v>
      </c>
      <c r="D530" s="64">
        <v>0.0</v>
      </c>
      <c r="E530" s="62" t="s">
        <v>109</v>
      </c>
      <c r="F530" s="62" t="s">
        <v>110</v>
      </c>
      <c r="G530" s="64" t="s">
        <v>60</v>
      </c>
      <c r="H530" s="3" t="s">
        <v>68</v>
      </c>
      <c r="I530" s="65" t="str">
        <f>IFERROR(VLOOKUP(A530,'3. Call duration'!$A:$C,3,0),"--")</f>
        <v>--</v>
      </c>
      <c r="J530" s="65" t="str">
        <f t="array" ref="J530">XLOOKUP(H530,'2. Matching'!$A$2:$A$39,'2. Matching'!$B$2:$B$39,"--")</f>
        <v>Acquisition</v>
      </c>
      <c r="K530" s="65" t="str">
        <f t="shared" si="1"/>
        <v>In</v>
      </c>
    </row>
    <row r="531">
      <c r="A531" s="62" t="s">
        <v>668</v>
      </c>
      <c r="B531" s="63">
        <v>44330.0</v>
      </c>
      <c r="C531" s="62" t="s">
        <v>119</v>
      </c>
      <c r="D531" s="64">
        <v>95.0</v>
      </c>
      <c r="E531" s="62" t="s">
        <v>114</v>
      </c>
      <c r="F531" s="62" t="s">
        <v>115</v>
      </c>
      <c r="G531" s="64" t="s">
        <v>59</v>
      </c>
      <c r="H531" s="3" t="s">
        <v>53</v>
      </c>
      <c r="I531" s="65">
        <f>IFERROR(VLOOKUP(A531,'3. Call duration'!$A:$C,3,0),"--")</f>
        <v>14.95177945</v>
      </c>
      <c r="J531" s="65" t="str">
        <f t="array" ref="J531">XLOOKUP(H531,'2. Matching'!$A$2:$A$39,'2. Matching'!$B$2:$B$39,"--")</f>
        <v>Partnerships</v>
      </c>
      <c r="K531" s="65" t="str">
        <f t="shared" si="1"/>
        <v>In</v>
      </c>
    </row>
    <row r="532">
      <c r="A532" s="62" t="s">
        <v>669</v>
      </c>
      <c r="B532" s="63">
        <v>44378.0</v>
      </c>
      <c r="C532" s="62" t="s">
        <v>108</v>
      </c>
      <c r="D532" s="64">
        <v>0.0</v>
      </c>
      <c r="E532" s="62" t="s">
        <v>109</v>
      </c>
      <c r="F532" s="62" t="s">
        <v>115</v>
      </c>
      <c r="G532" s="64" t="s">
        <v>63</v>
      </c>
      <c r="H532" s="3" t="s">
        <v>124</v>
      </c>
      <c r="I532" s="65">
        <f>IFERROR(VLOOKUP(A532,'3. Call duration'!$A:$C,3,0),"--")</f>
        <v>31.76824547</v>
      </c>
      <c r="J532" s="65" t="str">
        <f t="array" ref="J532">XLOOKUP(H532,'2. Matching'!$A$2:$A$39,'2. Matching'!$B$2:$B$39,"--")</f>
        <v>Acquisition</v>
      </c>
      <c r="K532" s="65" t="str">
        <f t="shared" si="1"/>
        <v>In</v>
      </c>
    </row>
    <row r="533">
      <c r="A533" s="62" t="s">
        <v>670</v>
      </c>
      <c r="B533" s="63">
        <v>44327.0</v>
      </c>
      <c r="C533" s="62" t="s">
        <v>119</v>
      </c>
      <c r="D533" s="64">
        <v>47.5</v>
      </c>
      <c r="E533" s="62" t="s">
        <v>109</v>
      </c>
      <c r="F533" s="62" t="s">
        <v>110</v>
      </c>
      <c r="G533" s="64" t="s">
        <v>64</v>
      </c>
      <c r="H533" s="3" t="s">
        <v>52</v>
      </c>
      <c r="I533" s="65">
        <f>IFERROR(VLOOKUP(A533,'3. Call duration'!$A:$C,3,0),"--")</f>
        <v>14.96879288</v>
      </c>
      <c r="J533" s="65" t="str">
        <f t="array" ref="J533">XLOOKUP(H533,'2. Matching'!$A$2:$A$39,'2. Matching'!$B$2:$B$39,"--")</f>
        <v>Partnerships</v>
      </c>
      <c r="K533" s="65" t="str">
        <f t="shared" si="1"/>
        <v>In</v>
      </c>
    </row>
    <row r="534">
      <c r="A534" s="62" t="s">
        <v>671</v>
      </c>
      <c r="B534" s="63">
        <v>44342.0</v>
      </c>
      <c r="C534" s="62" t="s">
        <v>119</v>
      </c>
      <c r="D534" s="64">
        <v>47.5</v>
      </c>
      <c r="E534" s="62" t="s">
        <v>109</v>
      </c>
      <c r="F534" s="62" t="s">
        <v>110</v>
      </c>
      <c r="G534" s="64" t="s">
        <v>64</v>
      </c>
      <c r="H534" s="3" t="s">
        <v>54</v>
      </c>
      <c r="I534" s="65">
        <f>IFERROR(VLOOKUP(A534,'3. Call duration'!$A:$C,3,0),"--")</f>
        <v>14.9887934</v>
      </c>
      <c r="J534" s="65" t="str">
        <f t="array" ref="J534">XLOOKUP(H534,'2. Matching'!$A$2:$A$39,'2. Matching'!$B$2:$B$39,"--")</f>
        <v>Partnerships</v>
      </c>
      <c r="K534" s="65" t="str">
        <f t="shared" si="1"/>
        <v>In</v>
      </c>
    </row>
    <row r="535">
      <c r="A535" s="62" t="s">
        <v>672</v>
      </c>
      <c r="B535" s="63">
        <v>44344.0</v>
      </c>
      <c r="C535" s="62" t="s">
        <v>119</v>
      </c>
      <c r="D535" s="64">
        <v>47.5</v>
      </c>
      <c r="E535" s="62" t="s">
        <v>109</v>
      </c>
      <c r="F535" s="62" t="s">
        <v>115</v>
      </c>
      <c r="G535" s="64" t="s">
        <v>64</v>
      </c>
      <c r="H535" s="3" t="s">
        <v>49</v>
      </c>
      <c r="I535" s="65">
        <f>IFERROR(VLOOKUP(A535,'3. Call duration'!$A:$C,3,0),"--")</f>
        <v>15.02775182</v>
      </c>
      <c r="J535" s="65" t="str">
        <f t="array" ref="J535">XLOOKUP(H535,'2. Matching'!$A$2:$A$39,'2. Matching'!$B$2:$B$39,"--")</f>
        <v>Partnerships</v>
      </c>
      <c r="K535" s="65" t="str">
        <f t="shared" si="1"/>
        <v>In</v>
      </c>
    </row>
    <row r="536">
      <c r="A536" s="62" t="s">
        <v>673</v>
      </c>
      <c r="B536" s="63">
        <v>44349.0</v>
      </c>
      <c r="C536" s="62" t="s">
        <v>112</v>
      </c>
      <c r="D536" s="64">
        <v>0.0</v>
      </c>
      <c r="E536" s="62" t="s">
        <v>114</v>
      </c>
      <c r="F536" s="62" t="s">
        <v>110</v>
      </c>
      <c r="G536" s="64" t="s">
        <v>64</v>
      </c>
      <c r="H536" s="3" t="s">
        <v>145</v>
      </c>
      <c r="I536" s="65" t="str">
        <f>IFERROR(VLOOKUP(A536,'3. Call duration'!$A:$C,3,0),"--")</f>
        <v>--</v>
      </c>
      <c r="J536" s="65" t="str">
        <f t="array" ref="J536">XLOOKUP(H536,'2. Matching'!$A$2:$A$39,'2. Matching'!$B$2:$B$39,"--")</f>
        <v>SEO</v>
      </c>
      <c r="K536" s="65" t="str">
        <f t="shared" si="1"/>
        <v>In</v>
      </c>
    </row>
    <row r="537">
      <c r="A537" s="62" t="s">
        <v>674</v>
      </c>
      <c r="B537" s="63">
        <v>44370.0</v>
      </c>
      <c r="C537" s="62" t="s">
        <v>108</v>
      </c>
      <c r="D537" s="64">
        <v>0.0</v>
      </c>
      <c r="E537" s="62" t="s">
        <v>109</v>
      </c>
      <c r="F537" s="62" t="s">
        <v>115</v>
      </c>
      <c r="G537" s="64" t="s">
        <v>64</v>
      </c>
      <c r="H537" s="3" t="s">
        <v>55</v>
      </c>
      <c r="I537" s="65">
        <f>IFERROR(VLOOKUP(A537,'3. Call duration'!$A:$C,3,0),"--")</f>
        <v>14.76719188</v>
      </c>
      <c r="J537" s="65" t="str">
        <f t="array" ref="J537">XLOOKUP(H537,'2. Matching'!$A$2:$A$39,'2. Matching'!$B$2:$B$39,"--")</f>
        <v>Partnerships</v>
      </c>
      <c r="K537" s="65" t="str">
        <f t="shared" si="1"/>
        <v>In</v>
      </c>
    </row>
    <row r="538">
      <c r="A538" s="62" t="s">
        <v>675</v>
      </c>
      <c r="B538" s="63">
        <v>44365.0</v>
      </c>
      <c r="C538" s="62" t="s">
        <v>108</v>
      </c>
      <c r="D538" s="64">
        <v>0.0</v>
      </c>
      <c r="E538" s="62" t="s">
        <v>109</v>
      </c>
      <c r="F538" s="62" t="s">
        <v>115</v>
      </c>
      <c r="G538" s="64" t="s">
        <v>63</v>
      </c>
      <c r="H538" s="3" t="s">
        <v>128</v>
      </c>
      <c r="I538" s="65">
        <f>IFERROR(VLOOKUP(A538,'3. Call duration'!$A:$C,3,0),"--")</f>
        <v>33.34291061</v>
      </c>
      <c r="J538" s="65" t="str">
        <f t="array" ref="J538">XLOOKUP(H538,'2. Matching'!$A$2:$A$39,'2. Matching'!$B$2:$B$39,"--")</f>
        <v>Acquisition</v>
      </c>
      <c r="K538" s="65" t="str">
        <f t="shared" si="1"/>
        <v>In</v>
      </c>
    </row>
    <row r="539">
      <c r="A539" s="62" t="s">
        <v>676</v>
      </c>
      <c r="B539" s="63">
        <v>44375.0</v>
      </c>
      <c r="C539" s="62" t="s">
        <v>108</v>
      </c>
      <c r="D539" s="64">
        <v>0.0</v>
      </c>
      <c r="E539" s="62" t="s">
        <v>109</v>
      </c>
      <c r="F539" s="62" t="s">
        <v>110</v>
      </c>
      <c r="G539" s="64" t="s">
        <v>63</v>
      </c>
      <c r="H539" s="3" t="s">
        <v>124</v>
      </c>
      <c r="I539" s="65">
        <f>IFERROR(VLOOKUP(A539,'3. Call duration'!$A:$C,3,0),"--")</f>
        <v>15.64047077</v>
      </c>
      <c r="J539" s="65" t="str">
        <f t="array" ref="J539">XLOOKUP(H539,'2. Matching'!$A$2:$A$39,'2. Matching'!$B$2:$B$39,"--")</f>
        <v>Acquisition</v>
      </c>
      <c r="K539" s="65" t="str">
        <f t="shared" si="1"/>
        <v>In</v>
      </c>
    </row>
    <row r="540">
      <c r="A540" s="62" t="s">
        <v>677</v>
      </c>
      <c r="B540" s="63">
        <v>44155.0</v>
      </c>
      <c r="C540" s="62" t="s">
        <v>108</v>
      </c>
      <c r="D540" s="64">
        <v>0.0</v>
      </c>
      <c r="E540" s="62" t="s">
        <v>109</v>
      </c>
      <c r="F540" s="62" t="s">
        <v>115</v>
      </c>
      <c r="G540" s="64" t="s">
        <v>62</v>
      </c>
      <c r="H540" s="3" t="s">
        <v>294</v>
      </c>
      <c r="I540" s="65">
        <f>IFERROR(VLOOKUP(A540,'3. Call duration'!$A:$C,3,0),"--")</f>
        <v>32.94885687</v>
      </c>
      <c r="J540" s="65" t="str">
        <f t="array" ref="J540">XLOOKUP(H540,'2. Matching'!$A$2:$A$39,'2. Matching'!$B$2:$B$39,"--")</f>
        <v>Farming</v>
      </c>
      <c r="K540" s="65" t="str">
        <f t="shared" si="1"/>
        <v>In</v>
      </c>
    </row>
    <row r="541">
      <c r="A541" s="62" t="s">
        <v>678</v>
      </c>
      <c r="B541" s="63">
        <v>44370.0</v>
      </c>
      <c r="C541" s="62" t="s">
        <v>112</v>
      </c>
      <c r="D541" s="64">
        <v>0.0</v>
      </c>
      <c r="E541" s="62" t="s">
        <v>109</v>
      </c>
      <c r="F541" s="62" t="s">
        <v>115</v>
      </c>
      <c r="G541" s="64" t="s">
        <v>60</v>
      </c>
      <c r="H541" s="3" t="s">
        <v>68</v>
      </c>
      <c r="I541" s="65" t="str">
        <f>IFERROR(VLOOKUP(A541,'3. Call duration'!$A:$C,3,0),"--")</f>
        <v>--</v>
      </c>
      <c r="J541" s="65" t="str">
        <f t="array" ref="J541">XLOOKUP(H541,'2. Matching'!$A$2:$A$39,'2. Matching'!$B$2:$B$39,"--")</f>
        <v>Acquisition</v>
      </c>
      <c r="K541" s="65" t="str">
        <f t="shared" si="1"/>
        <v>In</v>
      </c>
    </row>
    <row r="542">
      <c r="A542" s="62" t="s">
        <v>679</v>
      </c>
      <c r="B542" s="63">
        <v>44223.0</v>
      </c>
      <c r="C542" s="62" t="s">
        <v>112</v>
      </c>
      <c r="D542" s="64">
        <v>0.0</v>
      </c>
      <c r="E542" s="62" t="s">
        <v>109</v>
      </c>
      <c r="F542" s="62" t="s">
        <v>115</v>
      </c>
      <c r="G542" s="64" t="s">
        <v>64</v>
      </c>
      <c r="H542" s="3" t="s">
        <v>221</v>
      </c>
      <c r="I542" s="65" t="str">
        <f>IFERROR(VLOOKUP(A542,'3. Call duration'!$A:$C,3,0),"--")</f>
        <v>--</v>
      </c>
      <c r="J542" s="65" t="str">
        <f t="array" ref="J542">XLOOKUP(H542,'2. Matching'!$A$2:$A$39,'2. Matching'!$B$2:$B$39,"--")</f>
        <v>Farming</v>
      </c>
      <c r="K542" s="65" t="str">
        <f t="shared" si="1"/>
        <v>In</v>
      </c>
    </row>
    <row r="543">
      <c r="A543" s="62" t="s">
        <v>680</v>
      </c>
      <c r="B543" s="63">
        <v>44280.0</v>
      </c>
      <c r="C543" s="62" t="s">
        <v>112</v>
      </c>
      <c r="D543" s="64">
        <v>0.0</v>
      </c>
      <c r="E543" s="62" t="s">
        <v>109</v>
      </c>
      <c r="F543" s="62" t="s">
        <v>110</v>
      </c>
      <c r="G543" s="64" t="s">
        <v>64</v>
      </c>
      <c r="H543" s="3" t="s">
        <v>297</v>
      </c>
      <c r="I543" s="65" t="str">
        <f>IFERROR(VLOOKUP(A543,'3. Call duration'!$A:$C,3,0),"--")</f>
        <v>--</v>
      </c>
      <c r="J543" s="65" t="str">
        <f t="array" ref="J543">XLOOKUP(H543,'2. Matching'!$A$2:$A$39,'2. Matching'!$B$2:$B$39,"--")</f>
        <v>Farming</v>
      </c>
      <c r="K543" s="65" t="str">
        <f t="shared" si="1"/>
        <v>In</v>
      </c>
    </row>
    <row r="544">
      <c r="A544" s="62" t="s">
        <v>681</v>
      </c>
      <c r="B544" s="63">
        <v>44299.0</v>
      </c>
      <c r="C544" s="62" t="s">
        <v>112</v>
      </c>
      <c r="D544" s="64">
        <v>0.0</v>
      </c>
      <c r="E544" s="62" t="s">
        <v>109</v>
      </c>
      <c r="F544" s="62" t="s">
        <v>115</v>
      </c>
      <c r="G544" s="64" t="s">
        <v>64</v>
      </c>
      <c r="H544" s="3" t="s">
        <v>155</v>
      </c>
      <c r="I544" s="65" t="str">
        <f>IFERROR(VLOOKUP(A544,'3. Call duration'!$A:$C,3,0),"--")</f>
        <v>--</v>
      </c>
      <c r="J544" s="65" t="str">
        <f t="array" ref="J544">XLOOKUP(H544,'2. Matching'!$A$2:$A$39,'2. Matching'!$B$2:$B$39,"--")</f>
        <v>SEO</v>
      </c>
      <c r="K544" s="65" t="str">
        <f t="shared" si="1"/>
        <v>In</v>
      </c>
    </row>
    <row r="545">
      <c r="A545" s="62" t="s">
        <v>682</v>
      </c>
      <c r="B545" s="63">
        <v>44250.0</v>
      </c>
      <c r="C545" s="62" t="s">
        <v>112</v>
      </c>
      <c r="D545" s="64">
        <v>0.0</v>
      </c>
      <c r="E545" s="62" t="s">
        <v>109</v>
      </c>
      <c r="F545" s="62" t="s">
        <v>115</v>
      </c>
      <c r="G545" s="64" t="s">
        <v>112</v>
      </c>
      <c r="H545" s="3"/>
      <c r="I545" s="65" t="str">
        <f>IFERROR(VLOOKUP(A545,'3. Call duration'!$A:$C,3,0),"--")</f>
        <v>--</v>
      </c>
      <c r="J545" s="65" t="str">
        <f t="array" ref="J545">XLOOKUP(H545,'2. Matching'!$A$2:$A$39,'2. Matching'!$B$2:$B$39,"--")</f>
        <v>--</v>
      </c>
      <c r="K545" s="65" t="str">
        <f t="shared" si="1"/>
        <v>In</v>
      </c>
    </row>
    <row r="546">
      <c r="A546" s="62" t="s">
        <v>683</v>
      </c>
      <c r="B546" s="63">
        <v>44334.0</v>
      </c>
      <c r="C546" s="62" t="s">
        <v>119</v>
      </c>
      <c r="D546" s="64">
        <v>47.5</v>
      </c>
      <c r="E546" s="62" t="s">
        <v>109</v>
      </c>
      <c r="F546" s="62" t="s">
        <v>115</v>
      </c>
      <c r="G546" s="64" t="s">
        <v>64</v>
      </c>
      <c r="H546" s="3" t="s">
        <v>116</v>
      </c>
      <c r="I546" s="65">
        <f>IFERROR(VLOOKUP(A546,'3. Call duration'!$A:$C,3,0),"--")</f>
        <v>15.05828736</v>
      </c>
      <c r="J546" s="65" t="str">
        <f t="array" ref="J546">XLOOKUP(H546,'2. Matching'!$A$2:$A$39,'2. Matching'!$B$2:$B$39,"--")</f>
        <v>Acquisition</v>
      </c>
      <c r="K546" s="65" t="str">
        <f t="shared" si="1"/>
        <v>In</v>
      </c>
    </row>
    <row r="547">
      <c r="A547" s="62" t="s">
        <v>684</v>
      </c>
      <c r="B547" s="63">
        <v>44328.0</v>
      </c>
      <c r="C547" s="62" t="s">
        <v>119</v>
      </c>
      <c r="D547" s="64">
        <v>47.5</v>
      </c>
      <c r="E547" s="62" t="s">
        <v>109</v>
      </c>
      <c r="F547" s="62" t="s">
        <v>115</v>
      </c>
      <c r="G547" s="64" t="s">
        <v>64</v>
      </c>
      <c r="H547" s="3" t="s">
        <v>175</v>
      </c>
      <c r="I547" s="65">
        <f>IFERROR(VLOOKUP(A547,'3. Call duration'!$A:$C,3,0),"--")</f>
        <v>15.17463818</v>
      </c>
      <c r="J547" s="65" t="str">
        <f t="array" ref="J547">XLOOKUP(H547,'2. Matching'!$A$2:$A$39,'2. Matching'!$B$2:$B$39,"--")</f>
        <v>SEO</v>
      </c>
      <c r="K547" s="65" t="str">
        <f t="shared" si="1"/>
        <v>In</v>
      </c>
    </row>
    <row r="548">
      <c r="A548" s="62" t="s">
        <v>685</v>
      </c>
      <c r="B548" s="63">
        <v>44336.0</v>
      </c>
      <c r="C548" s="62" t="s">
        <v>119</v>
      </c>
      <c r="D548" s="64">
        <v>47.5</v>
      </c>
      <c r="E548" s="62" t="s">
        <v>109</v>
      </c>
      <c r="F548" s="62" t="s">
        <v>115</v>
      </c>
      <c r="G548" s="64" t="s">
        <v>64</v>
      </c>
      <c r="H548" s="3" t="s">
        <v>55</v>
      </c>
      <c r="I548" s="65">
        <f>IFERROR(VLOOKUP(A548,'3. Call duration'!$A:$C,3,0),"--")</f>
        <v>15.19895723</v>
      </c>
      <c r="J548" s="65" t="str">
        <f t="array" ref="J548">XLOOKUP(H548,'2. Matching'!$A$2:$A$39,'2. Matching'!$B$2:$B$39,"--")</f>
        <v>Partnerships</v>
      </c>
      <c r="K548" s="65" t="str">
        <f t="shared" si="1"/>
        <v>In</v>
      </c>
    </row>
    <row r="549">
      <c r="A549" s="62" t="s">
        <v>686</v>
      </c>
      <c r="B549" s="63">
        <v>44316.0</v>
      </c>
      <c r="C549" s="62" t="s">
        <v>112</v>
      </c>
      <c r="D549" s="64">
        <v>0.0</v>
      </c>
      <c r="E549" s="62" t="s">
        <v>114</v>
      </c>
      <c r="F549" s="62" t="s">
        <v>110</v>
      </c>
      <c r="G549" s="64" t="s">
        <v>64</v>
      </c>
      <c r="H549" s="3" t="s">
        <v>54</v>
      </c>
      <c r="I549" s="65" t="str">
        <f>IFERROR(VLOOKUP(A549,'3. Call duration'!$A:$C,3,0),"--")</f>
        <v>--</v>
      </c>
      <c r="J549" s="65" t="str">
        <f t="array" ref="J549">XLOOKUP(H549,'2. Matching'!$A$2:$A$39,'2. Matching'!$B$2:$B$39,"--")</f>
        <v>Partnerships</v>
      </c>
      <c r="K549" s="65" t="str">
        <f t="shared" si="1"/>
        <v>In</v>
      </c>
    </row>
    <row r="550">
      <c r="A550" s="62" t="s">
        <v>687</v>
      </c>
      <c r="B550" s="63">
        <v>44328.0</v>
      </c>
      <c r="C550" s="62" t="s">
        <v>119</v>
      </c>
      <c r="D550" s="64">
        <v>95.0</v>
      </c>
      <c r="E550" s="62" t="s">
        <v>114</v>
      </c>
      <c r="F550" s="62" t="s">
        <v>110</v>
      </c>
      <c r="G550" s="64" t="s">
        <v>59</v>
      </c>
      <c r="H550" s="3" t="s">
        <v>53</v>
      </c>
      <c r="I550" s="65">
        <f>IFERROR(VLOOKUP(A550,'3. Call duration'!$A:$C,3,0),"--")</f>
        <v>15.20445654</v>
      </c>
      <c r="J550" s="65" t="str">
        <f t="array" ref="J550">XLOOKUP(H550,'2. Matching'!$A$2:$A$39,'2. Matching'!$B$2:$B$39,"--")</f>
        <v>Partnerships</v>
      </c>
      <c r="K550" s="65" t="str">
        <f t="shared" si="1"/>
        <v>In</v>
      </c>
    </row>
    <row r="551">
      <c r="A551" s="62" t="s">
        <v>688</v>
      </c>
      <c r="B551" s="63">
        <v>44386.0</v>
      </c>
      <c r="C551" s="62" t="s">
        <v>112</v>
      </c>
      <c r="D551" s="64">
        <v>0.0</v>
      </c>
      <c r="E551" s="62" t="s">
        <v>109</v>
      </c>
      <c r="F551" s="62" t="s">
        <v>110</v>
      </c>
      <c r="G551" s="64" t="s">
        <v>60</v>
      </c>
      <c r="H551" s="3" t="s">
        <v>67</v>
      </c>
      <c r="I551" s="65" t="str">
        <f>IFERROR(VLOOKUP(A551,'3. Call duration'!$A:$C,3,0),"--")</f>
        <v>--</v>
      </c>
      <c r="J551" s="65" t="str">
        <f t="array" ref="J551">XLOOKUP(H551,'2. Matching'!$A$2:$A$39,'2. Matching'!$B$2:$B$39,"--")</f>
        <v>Acquisition</v>
      </c>
      <c r="K551" s="65" t="str">
        <f t="shared" si="1"/>
        <v>In</v>
      </c>
    </row>
    <row r="552">
      <c r="A552" s="62" t="s">
        <v>689</v>
      </c>
      <c r="B552" s="63">
        <v>44372.0</v>
      </c>
      <c r="C552" s="62" t="s">
        <v>112</v>
      </c>
      <c r="D552" s="64">
        <v>0.0</v>
      </c>
      <c r="E552" s="62" t="s">
        <v>114</v>
      </c>
      <c r="F552" s="62" t="s">
        <v>110</v>
      </c>
      <c r="G552" s="64" t="s">
        <v>60</v>
      </c>
      <c r="H552" s="3" t="s">
        <v>67</v>
      </c>
      <c r="I552" s="65" t="str">
        <f>IFERROR(VLOOKUP(A552,'3. Call duration'!$A:$C,3,0),"--")</f>
        <v>--</v>
      </c>
      <c r="J552" s="65" t="str">
        <f t="array" ref="J552">XLOOKUP(H552,'2. Matching'!$A$2:$A$39,'2. Matching'!$B$2:$B$39,"--")</f>
        <v>Acquisition</v>
      </c>
      <c r="K552" s="65" t="str">
        <f t="shared" si="1"/>
        <v>In</v>
      </c>
    </row>
    <row r="553">
      <c r="A553" s="62" t="s">
        <v>690</v>
      </c>
      <c r="B553" s="63">
        <v>44147.0</v>
      </c>
      <c r="C553" s="62" t="s">
        <v>112</v>
      </c>
      <c r="D553" s="64">
        <v>0.0</v>
      </c>
      <c r="E553" s="62" t="s">
        <v>109</v>
      </c>
      <c r="F553" s="62" t="s">
        <v>110</v>
      </c>
      <c r="G553" s="64" t="s">
        <v>62</v>
      </c>
      <c r="H553" s="3" t="s">
        <v>286</v>
      </c>
      <c r="I553" s="65" t="str">
        <f>IFERROR(VLOOKUP(A553,'3. Call duration'!$A:$C,3,0),"--")</f>
        <v>--</v>
      </c>
      <c r="J553" s="65" t="str">
        <f t="array" ref="J553">XLOOKUP(H553,'2. Matching'!$A$2:$A$39,'2. Matching'!$B$2:$B$39,"--")</f>
        <v>Farming</v>
      </c>
      <c r="K553" s="65" t="str">
        <f t="shared" si="1"/>
        <v>In</v>
      </c>
    </row>
    <row r="554">
      <c r="A554" s="62" t="s">
        <v>691</v>
      </c>
      <c r="B554" s="63">
        <v>44371.0</v>
      </c>
      <c r="C554" s="62" t="s">
        <v>108</v>
      </c>
      <c r="D554" s="64">
        <v>0.0</v>
      </c>
      <c r="E554" s="62" t="s">
        <v>109</v>
      </c>
      <c r="F554" s="62" t="s">
        <v>110</v>
      </c>
      <c r="G554" s="64" t="s">
        <v>64</v>
      </c>
      <c r="H554" s="3" t="s">
        <v>131</v>
      </c>
      <c r="I554" s="65">
        <f>IFERROR(VLOOKUP(A554,'3. Call duration'!$A:$C,3,0),"--")</f>
        <v>21.66954754</v>
      </c>
      <c r="J554" s="65" t="str">
        <f t="array" ref="J554">XLOOKUP(H554,'2. Matching'!$A$2:$A$39,'2. Matching'!$B$2:$B$39,"--")</f>
        <v>Acquisition</v>
      </c>
      <c r="K554" s="65" t="str">
        <f t="shared" si="1"/>
        <v>In</v>
      </c>
    </row>
    <row r="555">
      <c r="A555" s="62" t="s">
        <v>692</v>
      </c>
      <c r="B555" s="63">
        <v>44377.0</v>
      </c>
      <c r="C555" s="62" t="s">
        <v>112</v>
      </c>
      <c r="D555" s="64">
        <v>0.0</v>
      </c>
      <c r="E555" s="62" t="s">
        <v>109</v>
      </c>
      <c r="F555" s="62" t="s">
        <v>110</v>
      </c>
      <c r="G555" s="64" t="s">
        <v>64</v>
      </c>
      <c r="H555" s="3" t="s">
        <v>49</v>
      </c>
      <c r="I555" s="65" t="str">
        <f>IFERROR(VLOOKUP(A555,'3. Call duration'!$A:$C,3,0),"--")</f>
        <v>--</v>
      </c>
      <c r="J555" s="65" t="str">
        <f t="array" ref="J555">XLOOKUP(H555,'2. Matching'!$A$2:$A$39,'2. Matching'!$B$2:$B$39,"--")</f>
        <v>Partnerships</v>
      </c>
      <c r="K555" s="65" t="str">
        <f t="shared" si="1"/>
        <v>In</v>
      </c>
    </row>
    <row r="556">
      <c r="A556" s="62" t="s">
        <v>693</v>
      </c>
      <c r="B556" s="63">
        <v>44379.0</v>
      </c>
      <c r="C556" s="62" t="s">
        <v>112</v>
      </c>
      <c r="D556" s="64">
        <v>0.0</v>
      </c>
      <c r="E556" s="62" t="s">
        <v>114</v>
      </c>
      <c r="F556" s="62" t="s">
        <v>115</v>
      </c>
      <c r="G556" s="64" t="s">
        <v>63</v>
      </c>
      <c r="H556" s="3" t="s">
        <v>228</v>
      </c>
      <c r="I556" s="65" t="str">
        <f>IFERROR(VLOOKUP(A556,'3. Call duration'!$A:$C,3,0),"--")</f>
        <v>--</v>
      </c>
      <c r="J556" s="65" t="str">
        <f t="array" ref="J556">XLOOKUP(H556,'2. Matching'!$A$2:$A$39,'2. Matching'!$B$2:$B$39,"--")</f>
        <v>Farming</v>
      </c>
      <c r="K556" s="65" t="str">
        <f t="shared" si="1"/>
        <v>In</v>
      </c>
    </row>
    <row r="557">
      <c r="A557" s="62" t="s">
        <v>694</v>
      </c>
      <c r="B557" s="63">
        <v>44249.0</v>
      </c>
      <c r="C557" s="62" t="s">
        <v>112</v>
      </c>
      <c r="D557" s="64">
        <v>0.0</v>
      </c>
      <c r="E557" s="62" t="s">
        <v>114</v>
      </c>
      <c r="F557" s="62" t="s">
        <v>110</v>
      </c>
      <c r="G557" s="64" t="s">
        <v>64</v>
      </c>
      <c r="H557" s="3" t="s">
        <v>297</v>
      </c>
      <c r="I557" s="65" t="str">
        <f>IFERROR(VLOOKUP(A557,'3. Call duration'!$A:$C,3,0),"--")</f>
        <v>--</v>
      </c>
      <c r="J557" s="65" t="str">
        <f t="array" ref="J557">XLOOKUP(H557,'2. Matching'!$A$2:$A$39,'2. Matching'!$B$2:$B$39,"--")</f>
        <v>Farming</v>
      </c>
      <c r="K557" s="65" t="str">
        <f t="shared" si="1"/>
        <v>In</v>
      </c>
    </row>
    <row r="558">
      <c r="A558" s="62" t="s">
        <v>695</v>
      </c>
      <c r="B558" s="63">
        <v>44376.0</v>
      </c>
      <c r="C558" s="62" t="s">
        <v>112</v>
      </c>
      <c r="D558" s="64">
        <v>0.0</v>
      </c>
      <c r="E558" s="62" t="s">
        <v>109</v>
      </c>
      <c r="F558" s="62" t="s">
        <v>110</v>
      </c>
      <c r="G558" s="64" t="s">
        <v>60</v>
      </c>
      <c r="H558" s="3" t="s">
        <v>68</v>
      </c>
      <c r="I558" s="65" t="str">
        <f>IFERROR(VLOOKUP(A558,'3. Call duration'!$A:$C,3,0),"--")</f>
        <v>--</v>
      </c>
      <c r="J558" s="65" t="str">
        <f t="array" ref="J558">XLOOKUP(H558,'2. Matching'!$A$2:$A$39,'2. Matching'!$B$2:$B$39,"--")</f>
        <v>Acquisition</v>
      </c>
      <c r="K558" s="65" t="str">
        <f t="shared" si="1"/>
        <v>In</v>
      </c>
    </row>
    <row r="559">
      <c r="A559" s="62" t="s">
        <v>696</v>
      </c>
      <c r="B559" s="63">
        <v>44123.0</v>
      </c>
      <c r="C559" s="62" t="s">
        <v>112</v>
      </c>
      <c r="D559" s="64">
        <v>0.0</v>
      </c>
      <c r="E559" s="62" t="s">
        <v>109</v>
      </c>
      <c r="F559" s="62" t="s">
        <v>115</v>
      </c>
      <c r="G559" s="64" t="s">
        <v>62</v>
      </c>
      <c r="H559" s="3" t="s">
        <v>203</v>
      </c>
      <c r="I559" s="65" t="str">
        <f>IFERROR(VLOOKUP(A559,'3. Call duration'!$A:$C,3,0),"--")</f>
        <v>--</v>
      </c>
      <c r="J559" s="65" t="str">
        <f t="array" ref="J559">XLOOKUP(H559,'2. Matching'!$A$2:$A$39,'2. Matching'!$B$2:$B$39,"--")</f>
        <v>Farming</v>
      </c>
      <c r="K559" s="65" t="str">
        <f t="shared" si="1"/>
        <v>In</v>
      </c>
    </row>
    <row r="560">
      <c r="A560" s="62" t="s">
        <v>697</v>
      </c>
      <c r="B560" s="63">
        <v>44064.0</v>
      </c>
      <c r="C560" s="62" t="s">
        <v>112</v>
      </c>
      <c r="D560" s="64">
        <v>0.0</v>
      </c>
      <c r="E560" s="62" t="s">
        <v>109</v>
      </c>
      <c r="F560" s="62" t="s">
        <v>115</v>
      </c>
      <c r="G560" s="64" t="s">
        <v>64</v>
      </c>
      <c r="H560" s="3" t="s">
        <v>155</v>
      </c>
      <c r="I560" s="65" t="str">
        <f>IFERROR(VLOOKUP(A560,'3. Call duration'!$A:$C,3,0),"--")</f>
        <v>--</v>
      </c>
      <c r="J560" s="65" t="str">
        <f t="array" ref="J560">XLOOKUP(H560,'2. Matching'!$A$2:$A$39,'2. Matching'!$B$2:$B$39,"--")</f>
        <v>SEO</v>
      </c>
      <c r="K560" s="65" t="str">
        <f t="shared" si="1"/>
        <v>In</v>
      </c>
    </row>
    <row r="561">
      <c r="A561" s="62" t="s">
        <v>698</v>
      </c>
      <c r="B561" s="63">
        <v>44356.0</v>
      </c>
      <c r="C561" s="62" t="s">
        <v>112</v>
      </c>
      <c r="D561" s="64">
        <v>0.0</v>
      </c>
      <c r="E561" s="62" t="s">
        <v>114</v>
      </c>
      <c r="F561" s="62" t="s">
        <v>110</v>
      </c>
      <c r="G561" s="64" t="s">
        <v>64</v>
      </c>
      <c r="H561" s="3" t="s">
        <v>297</v>
      </c>
      <c r="I561" s="65" t="str">
        <f>IFERROR(VLOOKUP(A561,'3. Call duration'!$A:$C,3,0),"--")</f>
        <v>--</v>
      </c>
      <c r="J561" s="65" t="str">
        <f t="array" ref="J561">XLOOKUP(H561,'2. Matching'!$A$2:$A$39,'2. Matching'!$B$2:$B$39,"--")</f>
        <v>Farming</v>
      </c>
      <c r="K561" s="65" t="str">
        <f t="shared" si="1"/>
        <v>In</v>
      </c>
    </row>
    <row r="562">
      <c r="A562" s="62" t="s">
        <v>699</v>
      </c>
      <c r="B562" s="63">
        <v>44350.0</v>
      </c>
      <c r="C562" s="62" t="s">
        <v>108</v>
      </c>
      <c r="D562" s="64">
        <v>0.0</v>
      </c>
      <c r="E562" s="62" t="s">
        <v>109</v>
      </c>
      <c r="F562" s="62" t="s">
        <v>110</v>
      </c>
      <c r="G562" s="64" t="s">
        <v>60</v>
      </c>
      <c r="H562" s="3" t="s">
        <v>67</v>
      </c>
      <c r="I562" s="65">
        <f>IFERROR(VLOOKUP(A562,'3. Call duration'!$A:$C,3,0),"--")</f>
        <v>29.19922029</v>
      </c>
      <c r="J562" s="65" t="str">
        <f t="array" ref="J562">XLOOKUP(H562,'2. Matching'!$A$2:$A$39,'2. Matching'!$B$2:$B$39,"--")</f>
        <v>Acquisition</v>
      </c>
      <c r="K562" s="65" t="str">
        <f t="shared" si="1"/>
        <v>In</v>
      </c>
    </row>
    <row r="563">
      <c r="A563" s="62" t="s">
        <v>700</v>
      </c>
      <c r="B563" s="63">
        <v>44123.0</v>
      </c>
      <c r="C563" s="62" t="s">
        <v>112</v>
      </c>
      <c r="D563" s="64">
        <v>0.0</v>
      </c>
      <c r="E563" s="62" t="s">
        <v>114</v>
      </c>
      <c r="F563" s="62" t="s">
        <v>115</v>
      </c>
      <c r="G563" s="64" t="s">
        <v>64</v>
      </c>
      <c r="H563" s="3" t="s">
        <v>155</v>
      </c>
      <c r="I563" s="65" t="str">
        <f>IFERROR(VLOOKUP(A563,'3. Call duration'!$A:$C,3,0),"--")</f>
        <v>--</v>
      </c>
      <c r="J563" s="65" t="str">
        <f t="array" ref="J563">XLOOKUP(H563,'2. Matching'!$A$2:$A$39,'2. Matching'!$B$2:$B$39,"--")</f>
        <v>SEO</v>
      </c>
      <c r="K563" s="65" t="str">
        <f t="shared" si="1"/>
        <v>In</v>
      </c>
    </row>
    <row r="564">
      <c r="A564" s="62" t="s">
        <v>701</v>
      </c>
      <c r="B564" s="63">
        <v>44372.0</v>
      </c>
      <c r="C564" s="62" t="s">
        <v>112</v>
      </c>
      <c r="D564" s="64">
        <v>0.0</v>
      </c>
      <c r="E564" s="62" t="s">
        <v>109</v>
      </c>
      <c r="F564" s="62" t="s">
        <v>115</v>
      </c>
      <c r="G564" s="64" t="s">
        <v>59</v>
      </c>
      <c r="H564" s="3" t="s">
        <v>68</v>
      </c>
      <c r="I564" s="65" t="str">
        <f>IFERROR(VLOOKUP(A564,'3. Call duration'!$A:$C,3,0),"--")</f>
        <v>--</v>
      </c>
      <c r="J564" s="65" t="str">
        <f t="array" ref="J564">XLOOKUP(H564,'2. Matching'!$A$2:$A$39,'2. Matching'!$B$2:$B$39,"--")</f>
        <v>Acquisition</v>
      </c>
      <c r="K564" s="65" t="str">
        <f t="shared" si="1"/>
        <v>In</v>
      </c>
    </row>
    <row r="565">
      <c r="A565" s="62" t="s">
        <v>702</v>
      </c>
      <c r="B565" s="63">
        <v>44363.0</v>
      </c>
      <c r="C565" s="62" t="s">
        <v>112</v>
      </c>
      <c r="D565" s="64">
        <v>0.0</v>
      </c>
      <c r="E565" s="62" t="s">
        <v>109</v>
      </c>
      <c r="F565" s="62" t="s">
        <v>110</v>
      </c>
      <c r="G565" s="64" t="s">
        <v>60</v>
      </c>
      <c r="H565" s="3" t="s">
        <v>68</v>
      </c>
      <c r="I565" s="65" t="str">
        <f>IFERROR(VLOOKUP(A565,'3. Call duration'!$A:$C,3,0),"--")</f>
        <v>--</v>
      </c>
      <c r="J565" s="65" t="str">
        <f t="array" ref="J565">XLOOKUP(H565,'2. Matching'!$A$2:$A$39,'2. Matching'!$B$2:$B$39,"--")</f>
        <v>Acquisition</v>
      </c>
      <c r="K565" s="65" t="str">
        <f t="shared" si="1"/>
        <v>In</v>
      </c>
    </row>
    <row r="566">
      <c r="A566" s="62" t="s">
        <v>703</v>
      </c>
      <c r="B566" s="63">
        <v>44337.0</v>
      </c>
      <c r="C566" s="62" t="s">
        <v>119</v>
      </c>
      <c r="D566" s="64">
        <v>47.5</v>
      </c>
      <c r="E566" s="62" t="s">
        <v>109</v>
      </c>
      <c r="F566" s="62" t="s">
        <v>115</v>
      </c>
      <c r="G566" s="64" t="s">
        <v>64</v>
      </c>
      <c r="H566" s="3" t="s">
        <v>135</v>
      </c>
      <c r="I566" s="65">
        <f>IFERROR(VLOOKUP(A566,'3. Call duration'!$A:$C,3,0),"--")</f>
        <v>15.37156661</v>
      </c>
      <c r="J566" s="65" t="str">
        <f t="array" ref="J566">XLOOKUP(H566,'2. Matching'!$A$2:$A$39,'2. Matching'!$B$2:$B$39,"--")</f>
        <v>Acquisition</v>
      </c>
      <c r="K566" s="65" t="str">
        <f t="shared" si="1"/>
        <v>In</v>
      </c>
    </row>
    <row r="567">
      <c r="A567" s="62" t="s">
        <v>704</v>
      </c>
      <c r="B567" s="63">
        <v>44119.0</v>
      </c>
      <c r="C567" s="62" t="s">
        <v>112</v>
      </c>
      <c r="D567" s="64">
        <v>0.0</v>
      </c>
      <c r="E567" s="62" t="s">
        <v>109</v>
      </c>
      <c r="F567" s="62" t="s">
        <v>115</v>
      </c>
      <c r="G567" s="64" t="s">
        <v>64</v>
      </c>
      <c r="H567" s="3" t="s">
        <v>155</v>
      </c>
      <c r="I567" s="65" t="str">
        <f>IFERROR(VLOOKUP(A567,'3. Call duration'!$A:$C,3,0),"--")</f>
        <v>--</v>
      </c>
      <c r="J567" s="65" t="str">
        <f t="array" ref="J567">XLOOKUP(H567,'2. Matching'!$A$2:$A$39,'2. Matching'!$B$2:$B$39,"--")</f>
        <v>SEO</v>
      </c>
      <c r="K567" s="65" t="str">
        <f t="shared" si="1"/>
        <v>In</v>
      </c>
    </row>
    <row r="568">
      <c r="A568" s="62" t="s">
        <v>705</v>
      </c>
      <c r="B568" s="63">
        <v>44237.0</v>
      </c>
      <c r="C568" s="62" t="s">
        <v>108</v>
      </c>
      <c r="D568" s="64">
        <v>0.0</v>
      </c>
      <c r="E568" s="62" t="s">
        <v>109</v>
      </c>
      <c r="F568" s="62" t="s">
        <v>110</v>
      </c>
      <c r="G568" s="64" t="s">
        <v>64</v>
      </c>
      <c r="H568" s="3" t="s">
        <v>175</v>
      </c>
      <c r="I568" s="65">
        <f>IFERROR(VLOOKUP(A568,'3. Call duration'!$A:$C,3,0),"--")</f>
        <v>30.72158732</v>
      </c>
      <c r="J568" s="65" t="str">
        <f t="array" ref="J568">XLOOKUP(H568,'2. Matching'!$A$2:$A$39,'2. Matching'!$B$2:$B$39,"--")</f>
        <v>SEO</v>
      </c>
      <c r="K568" s="65" t="str">
        <f t="shared" si="1"/>
        <v>In</v>
      </c>
    </row>
    <row r="569">
      <c r="A569" s="62" t="s">
        <v>706</v>
      </c>
      <c r="B569" s="63">
        <v>44109.0</v>
      </c>
      <c r="C569" s="62" t="s">
        <v>108</v>
      </c>
      <c r="D569" s="64">
        <v>0.0</v>
      </c>
      <c r="E569" s="62" t="s">
        <v>109</v>
      </c>
      <c r="F569" s="62" t="s">
        <v>115</v>
      </c>
      <c r="G569" s="64" t="s">
        <v>64</v>
      </c>
      <c r="H569" s="3" t="s">
        <v>139</v>
      </c>
      <c r="I569" s="65">
        <f>IFERROR(VLOOKUP(A569,'3. Call duration'!$A:$C,3,0),"--")</f>
        <v>11.50428121</v>
      </c>
      <c r="J569" s="65" t="str">
        <f t="array" ref="J569">XLOOKUP(H569,'2. Matching'!$A$2:$A$39,'2. Matching'!$B$2:$B$39,"--")</f>
        <v>Acquisition</v>
      </c>
      <c r="K569" s="65" t="str">
        <f t="shared" si="1"/>
        <v>In</v>
      </c>
    </row>
    <row r="570">
      <c r="A570" s="62" t="s">
        <v>707</v>
      </c>
      <c r="B570" s="63">
        <v>44392.0</v>
      </c>
      <c r="C570" s="62" t="s">
        <v>112</v>
      </c>
      <c r="D570" s="64">
        <v>0.0</v>
      </c>
      <c r="E570" s="62" t="s">
        <v>109</v>
      </c>
      <c r="F570" s="62" t="s">
        <v>110</v>
      </c>
      <c r="G570" s="64" t="s">
        <v>61</v>
      </c>
      <c r="H570" s="3" t="s">
        <v>67</v>
      </c>
      <c r="I570" s="65" t="str">
        <f>IFERROR(VLOOKUP(A570,'3. Call duration'!$A:$C,3,0),"--")</f>
        <v>--</v>
      </c>
      <c r="J570" s="65" t="str">
        <f t="array" ref="J570">XLOOKUP(H570,'2. Matching'!$A$2:$A$39,'2. Matching'!$B$2:$B$39,"--")</f>
        <v>Acquisition</v>
      </c>
      <c r="K570" s="65" t="str">
        <f t="shared" si="1"/>
        <v>In</v>
      </c>
    </row>
    <row r="571">
      <c r="A571" s="62" t="s">
        <v>708</v>
      </c>
      <c r="B571" s="63">
        <v>44326.0</v>
      </c>
      <c r="C571" s="62" t="s">
        <v>119</v>
      </c>
      <c r="D571" s="64">
        <v>47.5</v>
      </c>
      <c r="E571" s="62" t="s">
        <v>109</v>
      </c>
      <c r="F571" s="62" t="s">
        <v>110</v>
      </c>
      <c r="G571" s="64" t="s">
        <v>64</v>
      </c>
      <c r="H571" s="3" t="s">
        <v>52</v>
      </c>
      <c r="I571" s="65">
        <f>IFERROR(VLOOKUP(A571,'3. Call duration'!$A:$C,3,0),"--")</f>
        <v>15.40264819</v>
      </c>
      <c r="J571" s="65" t="str">
        <f t="array" ref="J571">XLOOKUP(H571,'2. Matching'!$A$2:$A$39,'2. Matching'!$B$2:$B$39,"--")</f>
        <v>Partnerships</v>
      </c>
      <c r="K571" s="65" t="str">
        <f t="shared" si="1"/>
        <v>In</v>
      </c>
    </row>
    <row r="572">
      <c r="A572" s="62" t="s">
        <v>709</v>
      </c>
      <c r="B572" s="63">
        <v>44235.0</v>
      </c>
      <c r="C572" s="62" t="s">
        <v>112</v>
      </c>
      <c r="D572" s="64">
        <v>0.0</v>
      </c>
      <c r="E572" s="62" t="s">
        <v>109</v>
      </c>
      <c r="F572" s="62" t="s">
        <v>110</v>
      </c>
      <c r="G572" s="64" t="s">
        <v>62</v>
      </c>
      <c r="H572" s="3" t="s">
        <v>203</v>
      </c>
      <c r="I572" s="65" t="str">
        <f>IFERROR(VLOOKUP(A572,'3. Call duration'!$A:$C,3,0),"--")</f>
        <v>--</v>
      </c>
      <c r="J572" s="65" t="str">
        <f t="array" ref="J572">XLOOKUP(H572,'2. Matching'!$A$2:$A$39,'2. Matching'!$B$2:$B$39,"--")</f>
        <v>Farming</v>
      </c>
      <c r="K572" s="65" t="str">
        <f t="shared" si="1"/>
        <v>In</v>
      </c>
    </row>
    <row r="573">
      <c r="A573" s="62" t="s">
        <v>710</v>
      </c>
      <c r="B573" s="63">
        <v>44320.0</v>
      </c>
      <c r="C573" s="62" t="s">
        <v>119</v>
      </c>
      <c r="D573" s="64">
        <v>47.5</v>
      </c>
      <c r="E573" s="62" t="s">
        <v>109</v>
      </c>
      <c r="F573" s="62" t="s">
        <v>115</v>
      </c>
      <c r="G573" s="64" t="s">
        <v>64</v>
      </c>
      <c r="H573" s="3" t="s">
        <v>185</v>
      </c>
      <c r="I573" s="65">
        <f>IFERROR(VLOOKUP(A573,'3. Call duration'!$A:$C,3,0),"--")</f>
        <v>15.4125214</v>
      </c>
      <c r="J573" s="65" t="str">
        <f t="array" ref="J573">XLOOKUP(H573,'2. Matching'!$A$2:$A$39,'2. Matching'!$B$2:$B$39,"--")</f>
        <v>SEO</v>
      </c>
      <c r="K573" s="65" t="str">
        <f t="shared" si="1"/>
        <v>In</v>
      </c>
    </row>
    <row r="574">
      <c r="A574" s="62" t="s">
        <v>711</v>
      </c>
      <c r="B574" s="63">
        <v>44118.0</v>
      </c>
      <c r="C574" s="62" t="s">
        <v>112</v>
      </c>
      <c r="D574" s="64">
        <v>0.0</v>
      </c>
      <c r="E574" s="62" t="s">
        <v>109</v>
      </c>
      <c r="F574" s="62" t="s">
        <v>115</v>
      </c>
      <c r="G574" s="64" t="s">
        <v>64</v>
      </c>
      <c r="H574" s="3" t="s">
        <v>164</v>
      </c>
      <c r="I574" s="65" t="str">
        <f>IFERROR(VLOOKUP(A574,'3. Call duration'!$A:$C,3,0),"--")</f>
        <v>--</v>
      </c>
      <c r="J574" s="65" t="str">
        <f t="array" ref="J574">XLOOKUP(H574,'2. Matching'!$A$2:$A$39,'2. Matching'!$B$2:$B$39,"--")</f>
        <v>SEO</v>
      </c>
      <c r="K574" s="65" t="str">
        <f t="shared" si="1"/>
        <v>In</v>
      </c>
    </row>
    <row r="575">
      <c r="A575" s="62" t="s">
        <v>712</v>
      </c>
      <c r="B575" s="63">
        <v>44267.0</v>
      </c>
      <c r="C575" s="62" t="s">
        <v>112</v>
      </c>
      <c r="D575" s="64">
        <v>0.0</v>
      </c>
      <c r="E575" s="62" t="s">
        <v>109</v>
      </c>
      <c r="F575" s="62" t="s">
        <v>110</v>
      </c>
      <c r="G575" s="64" t="s">
        <v>62</v>
      </c>
      <c r="H575" s="3" t="s">
        <v>203</v>
      </c>
      <c r="I575" s="65" t="str">
        <f>IFERROR(VLOOKUP(A575,'3. Call duration'!$A:$C,3,0),"--")</f>
        <v>--</v>
      </c>
      <c r="J575" s="65" t="str">
        <f t="array" ref="J575">XLOOKUP(H575,'2. Matching'!$A$2:$A$39,'2. Matching'!$B$2:$B$39,"--")</f>
        <v>Farming</v>
      </c>
      <c r="K575" s="65" t="str">
        <f t="shared" si="1"/>
        <v>In</v>
      </c>
    </row>
    <row r="576">
      <c r="A576" s="62" t="s">
        <v>713</v>
      </c>
      <c r="B576" s="63">
        <v>44135.0</v>
      </c>
      <c r="C576" s="62" t="s">
        <v>112</v>
      </c>
      <c r="D576" s="64">
        <v>0.0</v>
      </c>
      <c r="E576" s="62" t="s">
        <v>114</v>
      </c>
      <c r="F576" s="62" t="s">
        <v>115</v>
      </c>
      <c r="G576" s="64" t="s">
        <v>64</v>
      </c>
      <c r="H576" s="3" t="s">
        <v>139</v>
      </c>
      <c r="I576" s="65" t="str">
        <f>IFERROR(VLOOKUP(A576,'3. Call duration'!$A:$C,3,0),"--")</f>
        <v>--</v>
      </c>
      <c r="J576" s="65" t="str">
        <f t="array" ref="J576">XLOOKUP(H576,'2. Matching'!$A$2:$A$39,'2. Matching'!$B$2:$B$39,"--")</f>
        <v>Acquisition</v>
      </c>
      <c r="K576" s="65" t="str">
        <f t="shared" si="1"/>
        <v>In</v>
      </c>
    </row>
    <row r="577">
      <c r="A577" s="62" t="s">
        <v>714</v>
      </c>
      <c r="B577" s="63">
        <v>44313.0</v>
      </c>
      <c r="C577" s="62" t="s">
        <v>112</v>
      </c>
      <c r="D577" s="64">
        <v>0.0</v>
      </c>
      <c r="E577" s="62" t="s">
        <v>114</v>
      </c>
      <c r="F577" s="62" t="s">
        <v>110</v>
      </c>
      <c r="G577" s="64" t="s">
        <v>64</v>
      </c>
      <c r="H577" s="3" t="s">
        <v>49</v>
      </c>
      <c r="I577" s="65" t="str">
        <f>IFERROR(VLOOKUP(A577,'3. Call duration'!$A:$C,3,0),"--")</f>
        <v>--</v>
      </c>
      <c r="J577" s="65" t="str">
        <f t="array" ref="J577">XLOOKUP(H577,'2. Matching'!$A$2:$A$39,'2. Matching'!$B$2:$B$39,"--")</f>
        <v>Partnerships</v>
      </c>
      <c r="K577" s="65" t="str">
        <f t="shared" si="1"/>
        <v>In</v>
      </c>
    </row>
    <row r="578">
      <c r="A578" s="62" t="s">
        <v>715</v>
      </c>
      <c r="B578" s="63">
        <v>44305.0</v>
      </c>
      <c r="C578" s="62" t="s">
        <v>112</v>
      </c>
      <c r="D578" s="64">
        <v>0.0</v>
      </c>
      <c r="E578" s="62" t="s">
        <v>109</v>
      </c>
      <c r="F578" s="62" t="s">
        <v>110</v>
      </c>
      <c r="G578" s="64" t="s">
        <v>64</v>
      </c>
      <c r="H578" s="3" t="s">
        <v>54</v>
      </c>
      <c r="I578" s="65" t="str">
        <f>IFERROR(VLOOKUP(A578,'3. Call duration'!$A:$C,3,0),"--")</f>
        <v>--</v>
      </c>
      <c r="J578" s="65" t="str">
        <f t="array" ref="J578">XLOOKUP(H578,'2. Matching'!$A$2:$A$39,'2. Matching'!$B$2:$B$39,"--")</f>
        <v>Partnerships</v>
      </c>
      <c r="K578" s="65" t="str">
        <f t="shared" si="1"/>
        <v>In</v>
      </c>
    </row>
    <row r="579">
      <c r="A579" s="62" t="s">
        <v>716</v>
      </c>
      <c r="B579" s="63">
        <v>44348.0</v>
      </c>
      <c r="C579" s="62" t="s">
        <v>112</v>
      </c>
      <c r="D579" s="64">
        <v>0.0</v>
      </c>
      <c r="E579" s="62" t="s">
        <v>109</v>
      </c>
      <c r="F579" s="62" t="s">
        <v>110</v>
      </c>
      <c r="G579" s="64" t="s">
        <v>64</v>
      </c>
      <c r="H579" s="3" t="s">
        <v>54</v>
      </c>
      <c r="I579" s="65" t="str">
        <f>IFERROR(VLOOKUP(A579,'3. Call duration'!$A:$C,3,0),"--")</f>
        <v>--</v>
      </c>
      <c r="J579" s="65" t="str">
        <f t="array" ref="J579">XLOOKUP(H579,'2. Matching'!$A$2:$A$39,'2. Matching'!$B$2:$B$39,"--")</f>
        <v>Partnerships</v>
      </c>
      <c r="K579" s="65" t="str">
        <f t="shared" si="1"/>
        <v>In</v>
      </c>
    </row>
    <row r="580">
      <c r="A580" s="62" t="s">
        <v>717</v>
      </c>
      <c r="B580" s="63">
        <v>44330.0</v>
      </c>
      <c r="C580" s="62" t="s">
        <v>119</v>
      </c>
      <c r="D580" s="64">
        <v>47.5</v>
      </c>
      <c r="E580" s="62" t="s">
        <v>109</v>
      </c>
      <c r="F580" s="62" t="s">
        <v>110</v>
      </c>
      <c r="G580" s="64" t="s">
        <v>64</v>
      </c>
      <c r="H580" s="3" t="s">
        <v>116</v>
      </c>
      <c r="I580" s="65">
        <f>IFERROR(VLOOKUP(A580,'3. Call duration'!$A:$C,3,0),"--")</f>
        <v>15.42596479</v>
      </c>
      <c r="J580" s="65" t="str">
        <f t="array" ref="J580">XLOOKUP(H580,'2. Matching'!$A$2:$A$39,'2. Matching'!$B$2:$B$39,"--")</f>
        <v>Acquisition</v>
      </c>
      <c r="K580" s="65" t="str">
        <f t="shared" si="1"/>
        <v>In</v>
      </c>
    </row>
    <row r="581">
      <c r="A581" s="62" t="s">
        <v>718</v>
      </c>
      <c r="B581" s="63">
        <v>44313.0</v>
      </c>
      <c r="C581" s="62" t="s">
        <v>112</v>
      </c>
      <c r="D581" s="64">
        <v>0.0</v>
      </c>
      <c r="E581" s="62" t="s">
        <v>109</v>
      </c>
      <c r="F581" s="62" t="s">
        <v>110</v>
      </c>
      <c r="G581" s="64" t="s">
        <v>64</v>
      </c>
      <c r="H581" s="3" t="s">
        <v>175</v>
      </c>
      <c r="I581" s="65" t="str">
        <f>IFERROR(VLOOKUP(A581,'3. Call duration'!$A:$C,3,0),"--")</f>
        <v>--</v>
      </c>
      <c r="J581" s="65" t="str">
        <f t="array" ref="J581">XLOOKUP(H581,'2. Matching'!$A$2:$A$39,'2. Matching'!$B$2:$B$39,"--")</f>
        <v>SEO</v>
      </c>
      <c r="K581" s="65" t="str">
        <f t="shared" si="1"/>
        <v>In</v>
      </c>
    </row>
    <row r="582">
      <c r="A582" s="62" t="s">
        <v>719</v>
      </c>
      <c r="B582" s="63">
        <v>44277.0</v>
      </c>
      <c r="C582" s="62" t="s">
        <v>112</v>
      </c>
      <c r="D582" s="64">
        <v>0.0</v>
      </c>
      <c r="E582" s="62" t="s">
        <v>109</v>
      </c>
      <c r="F582" s="62" t="s">
        <v>110</v>
      </c>
      <c r="G582" s="64" t="s">
        <v>64</v>
      </c>
      <c r="H582" s="3" t="s">
        <v>164</v>
      </c>
      <c r="I582" s="65" t="str">
        <f>IFERROR(VLOOKUP(A582,'3. Call duration'!$A:$C,3,0),"--")</f>
        <v>--</v>
      </c>
      <c r="J582" s="65" t="str">
        <f t="array" ref="J582">XLOOKUP(H582,'2. Matching'!$A$2:$A$39,'2. Matching'!$B$2:$B$39,"--")</f>
        <v>SEO</v>
      </c>
      <c r="K582" s="65" t="str">
        <f t="shared" si="1"/>
        <v>In</v>
      </c>
    </row>
    <row r="583">
      <c r="A583" s="62" t="s">
        <v>720</v>
      </c>
      <c r="B583" s="63">
        <v>44313.0</v>
      </c>
      <c r="C583" s="62" t="s">
        <v>112</v>
      </c>
      <c r="D583" s="64">
        <v>0.0</v>
      </c>
      <c r="E583" s="62" t="s">
        <v>114</v>
      </c>
      <c r="F583" s="62" t="s">
        <v>110</v>
      </c>
      <c r="G583" s="64" t="s">
        <v>64</v>
      </c>
      <c r="H583" s="3" t="s">
        <v>145</v>
      </c>
      <c r="I583" s="65" t="str">
        <f>IFERROR(VLOOKUP(A583,'3. Call duration'!$A:$C,3,0),"--")</f>
        <v>--</v>
      </c>
      <c r="J583" s="65" t="str">
        <f t="array" ref="J583">XLOOKUP(H583,'2. Matching'!$A$2:$A$39,'2. Matching'!$B$2:$B$39,"--")</f>
        <v>SEO</v>
      </c>
      <c r="K583" s="65" t="str">
        <f t="shared" si="1"/>
        <v>In</v>
      </c>
    </row>
    <row r="584">
      <c r="A584" s="62" t="s">
        <v>721</v>
      </c>
      <c r="B584" s="63">
        <v>44392.0</v>
      </c>
      <c r="C584" s="62" t="s">
        <v>112</v>
      </c>
      <c r="D584" s="64">
        <v>0.0</v>
      </c>
      <c r="E584" s="62" t="s">
        <v>109</v>
      </c>
      <c r="F584" s="62" t="s">
        <v>115</v>
      </c>
      <c r="G584" s="64" t="s">
        <v>60</v>
      </c>
      <c r="H584" s="3" t="s">
        <v>68</v>
      </c>
      <c r="I584" s="65" t="str">
        <f>IFERROR(VLOOKUP(A584,'3. Call duration'!$A:$C,3,0),"--")</f>
        <v>--</v>
      </c>
      <c r="J584" s="65" t="str">
        <f t="array" ref="J584">XLOOKUP(H584,'2. Matching'!$A$2:$A$39,'2. Matching'!$B$2:$B$39,"--")</f>
        <v>Acquisition</v>
      </c>
      <c r="K584" s="65" t="str">
        <f t="shared" si="1"/>
        <v>In</v>
      </c>
    </row>
    <row r="585">
      <c r="A585" s="62" t="s">
        <v>722</v>
      </c>
      <c r="B585" s="63">
        <v>44349.0</v>
      </c>
      <c r="C585" s="62" t="s">
        <v>112</v>
      </c>
      <c r="D585" s="64">
        <v>0.0</v>
      </c>
      <c r="E585" s="62" t="s">
        <v>109</v>
      </c>
      <c r="F585" s="62" t="s">
        <v>110</v>
      </c>
      <c r="G585" s="64" t="s">
        <v>59</v>
      </c>
      <c r="H585" s="3" t="s">
        <v>68</v>
      </c>
      <c r="I585" s="65" t="str">
        <f>IFERROR(VLOOKUP(A585,'3. Call duration'!$A:$C,3,0),"--")</f>
        <v>--</v>
      </c>
      <c r="J585" s="65" t="str">
        <f t="array" ref="J585">XLOOKUP(H585,'2. Matching'!$A$2:$A$39,'2. Matching'!$B$2:$B$39,"--")</f>
        <v>Acquisition</v>
      </c>
      <c r="K585" s="65" t="str">
        <f t="shared" si="1"/>
        <v>In</v>
      </c>
    </row>
    <row r="586">
      <c r="A586" s="62" t="s">
        <v>723</v>
      </c>
      <c r="B586" s="63">
        <v>44327.0</v>
      </c>
      <c r="C586" s="62" t="s">
        <v>108</v>
      </c>
      <c r="D586" s="64">
        <v>0.0</v>
      </c>
      <c r="E586" s="62" t="s">
        <v>109</v>
      </c>
      <c r="F586" s="62" t="s">
        <v>110</v>
      </c>
      <c r="G586" s="64" t="s">
        <v>64</v>
      </c>
      <c r="H586" s="3" t="s">
        <v>116</v>
      </c>
      <c r="I586" s="65">
        <f>IFERROR(VLOOKUP(A586,'3. Call duration'!$A:$C,3,0),"--")</f>
        <v>15.48548135</v>
      </c>
      <c r="J586" s="65" t="str">
        <f t="array" ref="J586">XLOOKUP(H586,'2. Matching'!$A$2:$A$39,'2. Matching'!$B$2:$B$39,"--")</f>
        <v>Acquisition</v>
      </c>
      <c r="K586" s="65" t="str">
        <f t="shared" si="1"/>
        <v>In</v>
      </c>
    </row>
    <row r="587">
      <c r="A587" s="62" t="s">
        <v>724</v>
      </c>
      <c r="B587" s="63">
        <v>44310.0</v>
      </c>
      <c r="C587" s="62" t="s">
        <v>112</v>
      </c>
      <c r="D587" s="64">
        <v>0.0</v>
      </c>
      <c r="E587" s="62" t="s">
        <v>109</v>
      </c>
      <c r="F587" s="62" t="s">
        <v>110</v>
      </c>
      <c r="G587" s="64" t="s">
        <v>64</v>
      </c>
      <c r="H587" s="3" t="s">
        <v>49</v>
      </c>
      <c r="I587" s="65" t="str">
        <f>IFERROR(VLOOKUP(A587,'3. Call duration'!$A:$C,3,0),"--")</f>
        <v>--</v>
      </c>
      <c r="J587" s="65" t="str">
        <f t="array" ref="J587">XLOOKUP(H587,'2. Matching'!$A$2:$A$39,'2. Matching'!$B$2:$B$39,"--")</f>
        <v>Partnerships</v>
      </c>
      <c r="K587" s="65" t="str">
        <f t="shared" si="1"/>
        <v>In</v>
      </c>
    </row>
    <row r="588">
      <c r="A588" s="62" t="s">
        <v>725</v>
      </c>
      <c r="B588" s="63">
        <v>44222.0</v>
      </c>
      <c r="C588" s="62" t="s">
        <v>112</v>
      </c>
      <c r="D588" s="64">
        <v>0.0</v>
      </c>
      <c r="E588" s="62" t="s">
        <v>109</v>
      </c>
      <c r="F588" s="62" t="s">
        <v>115</v>
      </c>
      <c r="G588" s="64" t="s">
        <v>64</v>
      </c>
      <c r="H588" s="3" t="s">
        <v>139</v>
      </c>
      <c r="I588" s="65" t="str">
        <f>IFERROR(VLOOKUP(A588,'3. Call duration'!$A:$C,3,0),"--")</f>
        <v>--</v>
      </c>
      <c r="J588" s="65" t="str">
        <f t="array" ref="J588">XLOOKUP(H588,'2. Matching'!$A$2:$A$39,'2. Matching'!$B$2:$B$39,"--")</f>
        <v>Acquisition</v>
      </c>
      <c r="K588" s="65" t="str">
        <f t="shared" si="1"/>
        <v>In</v>
      </c>
    </row>
    <row r="589">
      <c r="A589" s="62" t="s">
        <v>726</v>
      </c>
      <c r="B589" s="63">
        <v>44174.0</v>
      </c>
      <c r="C589" s="62" t="s">
        <v>112</v>
      </c>
      <c r="D589" s="64">
        <v>0.0</v>
      </c>
      <c r="E589" s="62" t="s">
        <v>114</v>
      </c>
      <c r="F589" s="62" t="s">
        <v>115</v>
      </c>
      <c r="G589" s="64" t="s">
        <v>64</v>
      </c>
      <c r="H589" s="3" t="s">
        <v>175</v>
      </c>
      <c r="I589" s="65" t="str">
        <f>IFERROR(VLOOKUP(A589,'3. Call duration'!$A:$C,3,0),"--")</f>
        <v>--</v>
      </c>
      <c r="J589" s="65" t="str">
        <f t="array" ref="J589">XLOOKUP(H589,'2. Matching'!$A$2:$A$39,'2. Matching'!$B$2:$B$39,"--")</f>
        <v>SEO</v>
      </c>
      <c r="K589" s="65" t="str">
        <f t="shared" si="1"/>
        <v>In</v>
      </c>
    </row>
    <row r="590">
      <c r="A590" s="62" t="s">
        <v>727</v>
      </c>
      <c r="B590" s="63">
        <v>44104.0</v>
      </c>
      <c r="C590" s="62" t="s">
        <v>112</v>
      </c>
      <c r="D590" s="64">
        <v>0.0</v>
      </c>
      <c r="E590" s="62" t="s">
        <v>109</v>
      </c>
      <c r="F590" s="62" t="s">
        <v>115</v>
      </c>
      <c r="G590" s="64" t="s">
        <v>62</v>
      </c>
      <c r="H590" s="3" t="s">
        <v>286</v>
      </c>
      <c r="I590" s="65" t="str">
        <f>IFERROR(VLOOKUP(A590,'3. Call duration'!$A:$C,3,0),"--")</f>
        <v>--</v>
      </c>
      <c r="J590" s="65" t="str">
        <f t="array" ref="J590">XLOOKUP(H590,'2. Matching'!$A$2:$A$39,'2. Matching'!$B$2:$B$39,"--")</f>
        <v>Farming</v>
      </c>
      <c r="K590" s="65" t="str">
        <f t="shared" si="1"/>
        <v>In</v>
      </c>
    </row>
    <row r="591">
      <c r="A591" s="62" t="s">
        <v>728</v>
      </c>
      <c r="B591" s="63">
        <v>44321.0</v>
      </c>
      <c r="C591" s="62" t="s">
        <v>119</v>
      </c>
      <c r="D591" s="64">
        <v>47.5</v>
      </c>
      <c r="E591" s="62" t="s">
        <v>109</v>
      </c>
      <c r="F591" s="62" t="s">
        <v>115</v>
      </c>
      <c r="G591" s="64" t="s">
        <v>64</v>
      </c>
      <c r="H591" s="3" t="s">
        <v>131</v>
      </c>
      <c r="I591" s="65">
        <f>IFERROR(VLOOKUP(A591,'3. Call duration'!$A:$C,3,0),"--")</f>
        <v>15.49489521</v>
      </c>
      <c r="J591" s="65" t="str">
        <f t="array" ref="J591">XLOOKUP(H591,'2. Matching'!$A$2:$A$39,'2. Matching'!$B$2:$B$39,"--")</f>
        <v>Acquisition</v>
      </c>
      <c r="K591" s="65" t="str">
        <f t="shared" si="1"/>
        <v>In</v>
      </c>
    </row>
    <row r="592">
      <c r="A592" s="62" t="s">
        <v>729</v>
      </c>
      <c r="B592" s="63">
        <v>44223.0</v>
      </c>
      <c r="C592" s="62" t="s">
        <v>108</v>
      </c>
      <c r="D592" s="64">
        <v>0.0</v>
      </c>
      <c r="E592" s="62" t="s">
        <v>109</v>
      </c>
      <c r="F592" s="62" t="s">
        <v>115</v>
      </c>
      <c r="G592" s="64" t="s">
        <v>64</v>
      </c>
      <c r="H592" s="3" t="s">
        <v>185</v>
      </c>
      <c r="I592" s="65">
        <f>IFERROR(VLOOKUP(A592,'3. Call duration'!$A:$C,3,0),"--")</f>
        <v>35.60276497</v>
      </c>
      <c r="J592" s="65" t="str">
        <f t="array" ref="J592">XLOOKUP(H592,'2. Matching'!$A$2:$A$39,'2. Matching'!$B$2:$B$39,"--")</f>
        <v>SEO</v>
      </c>
      <c r="K592" s="65" t="str">
        <f t="shared" si="1"/>
        <v>In</v>
      </c>
    </row>
    <row r="593">
      <c r="A593" s="62" t="s">
        <v>730</v>
      </c>
      <c r="B593" s="63">
        <v>44284.0</v>
      </c>
      <c r="C593" s="62" t="s">
        <v>112</v>
      </c>
      <c r="D593" s="64">
        <v>0.0</v>
      </c>
      <c r="E593" s="62" t="s">
        <v>109</v>
      </c>
      <c r="F593" s="62" t="s">
        <v>110</v>
      </c>
      <c r="G593" s="64" t="s">
        <v>64</v>
      </c>
      <c r="H593" s="3" t="s">
        <v>141</v>
      </c>
      <c r="I593" s="65" t="str">
        <f>IFERROR(VLOOKUP(A593,'3. Call duration'!$A:$C,3,0),"--")</f>
        <v>--</v>
      </c>
      <c r="J593" s="65" t="str">
        <f t="array" ref="J593">XLOOKUP(H593,'2. Matching'!$A$2:$A$39,'2. Matching'!$B$2:$B$39,"--")</f>
        <v>Acquisition</v>
      </c>
      <c r="K593" s="65" t="str">
        <f t="shared" si="1"/>
        <v>In</v>
      </c>
    </row>
    <row r="594">
      <c r="A594" s="62" t="s">
        <v>731</v>
      </c>
      <c r="B594" s="63">
        <v>44072.0</v>
      </c>
      <c r="C594" s="62" t="s">
        <v>108</v>
      </c>
      <c r="D594" s="64">
        <v>0.0</v>
      </c>
      <c r="E594" s="62" t="s">
        <v>109</v>
      </c>
      <c r="F594" s="62" t="s">
        <v>115</v>
      </c>
      <c r="G594" s="64" t="s">
        <v>64</v>
      </c>
      <c r="H594" s="3" t="s">
        <v>139</v>
      </c>
      <c r="I594" s="65" t="str">
        <f>IFERROR(VLOOKUP(A594,'3. Call duration'!$A:$C,3,0),"--")</f>
        <v>--</v>
      </c>
      <c r="J594" s="65" t="str">
        <f t="array" ref="J594">XLOOKUP(H594,'2. Matching'!$A$2:$A$39,'2. Matching'!$B$2:$B$39,"--")</f>
        <v>Acquisition</v>
      </c>
      <c r="K594" s="65" t="str">
        <f t="shared" si="1"/>
        <v>In</v>
      </c>
    </row>
    <row r="595">
      <c r="A595" s="62" t="s">
        <v>732</v>
      </c>
      <c r="B595" s="63">
        <v>44347.0</v>
      </c>
      <c r="C595" s="62" t="s">
        <v>119</v>
      </c>
      <c r="D595" s="64">
        <v>47.5</v>
      </c>
      <c r="E595" s="62" t="s">
        <v>109</v>
      </c>
      <c r="F595" s="62" t="s">
        <v>115</v>
      </c>
      <c r="G595" s="64" t="s">
        <v>64</v>
      </c>
      <c r="H595" s="3" t="s">
        <v>54</v>
      </c>
      <c r="I595" s="65">
        <f>IFERROR(VLOOKUP(A595,'3. Call duration'!$A:$C,3,0),"--")</f>
        <v>15.5116152</v>
      </c>
      <c r="J595" s="65" t="str">
        <f t="array" ref="J595">XLOOKUP(H595,'2. Matching'!$A$2:$A$39,'2. Matching'!$B$2:$B$39,"--")</f>
        <v>Partnerships</v>
      </c>
      <c r="K595" s="65" t="str">
        <f t="shared" si="1"/>
        <v>In</v>
      </c>
    </row>
    <row r="596">
      <c r="A596" s="62" t="s">
        <v>733</v>
      </c>
      <c r="B596" s="63">
        <v>44119.0</v>
      </c>
      <c r="C596" s="62" t="s">
        <v>108</v>
      </c>
      <c r="D596" s="64">
        <v>0.0</v>
      </c>
      <c r="E596" s="62" t="s">
        <v>109</v>
      </c>
      <c r="F596" s="62" t="s">
        <v>110</v>
      </c>
      <c r="G596" s="64" t="s">
        <v>62</v>
      </c>
      <c r="H596" s="3" t="s">
        <v>286</v>
      </c>
      <c r="I596" s="65">
        <f>IFERROR(VLOOKUP(A596,'3. Call duration'!$A:$C,3,0),"--")</f>
        <v>26.96318852</v>
      </c>
      <c r="J596" s="65" t="str">
        <f t="array" ref="J596">XLOOKUP(H596,'2. Matching'!$A$2:$A$39,'2. Matching'!$B$2:$B$39,"--")</f>
        <v>Farming</v>
      </c>
      <c r="K596" s="65" t="str">
        <f t="shared" si="1"/>
        <v>In</v>
      </c>
    </row>
    <row r="597">
      <c r="A597" s="62" t="s">
        <v>734</v>
      </c>
      <c r="B597" s="63">
        <v>44309.0</v>
      </c>
      <c r="C597" s="62" t="s">
        <v>108</v>
      </c>
      <c r="D597" s="64">
        <v>0.0</v>
      </c>
      <c r="E597" s="62" t="s">
        <v>109</v>
      </c>
      <c r="F597" s="62" t="s">
        <v>110</v>
      </c>
      <c r="G597" s="64" t="s">
        <v>64</v>
      </c>
      <c r="H597" s="3" t="s">
        <v>54</v>
      </c>
      <c r="I597" s="65">
        <f>IFERROR(VLOOKUP(A597,'3. Call duration'!$A:$C,3,0),"--")</f>
        <v>11.43253963</v>
      </c>
      <c r="J597" s="65" t="str">
        <f t="array" ref="J597">XLOOKUP(H597,'2. Matching'!$A$2:$A$39,'2. Matching'!$B$2:$B$39,"--")</f>
        <v>Partnerships</v>
      </c>
      <c r="K597" s="65" t="str">
        <f t="shared" si="1"/>
        <v>In</v>
      </c>
    </row>
    <row r="598">
      <c r="A598" s="62" t="s">
        <v>735</v>
      </c>
      <c r="B598" s="63">
        <v>44312.0</v>
      </c>
      <c r="C598" s="62" t="s">
        <v>112</v>
      </c>
      <c r="D598" s="64">
        <v>0.0</v>
      </c>
      <c r="E598" s="62" t="s">
        <v>114</v>
      </c>
      <c r="F598" s="62" t="s">
        <v>115</v>
      </c>
      <c r="G598" s="64" t="s">
        <v>60</v>
      </c>
      <c r="H598" s="3" t="s">
        <v>67</v>
      </c>
      <c r="I598" s="65" t="str">
        <f>IFERROR(VLOOKUP(A598,'3. Call duration'!$A:$C,3,0),"--")</f>
        <v>--</v>
      </c>
      <c r="J598" s="65" t="str">
        <f t="array" ref="J598">XLOOKUP(H598,'2. Matching'!$A$2:$A$39,'2. Matching'!$B$2:$B$39,"--")</f>
        <v>Acquisition</v>
      </c>
      <c r="K598" s="65" t="str">
        <f t="shared" si="1"/>
        <v>In</v>
      </c>
    </row>
    <row r="599">
      <c r="A599" s="62" t="s">
        <v>736</v>
      </c>
      <c r="B599" s="63">
        <v>44331.0</v>
      </c>
      <c r="C599" s="62" t="s">
        <v>119</v>
      </c>
      <c r="D599" s="64">
        <v>95.0</v>
      </c>
      <c r="E599" s="62" t="s">
        <v>114</v>
      </c>
      <c r="F599" s="62" t="s">
        <v>115</v>
      </c>
      <c r="G599" s="64" t="s">
        <v>64</v>
      </c>
      <c r="H599" s="3" t="s">
        <v>55</v>
      </c>
      <c r="I599" s="65">
        <f>IFERROR(VLOOKUP(A599,'3. Call duration'!$A:$C,3,0),"--")</f>
        <v>15.66332138</v>
      </c>
      <c r="J599" s="65" t="str">
        <f t="array" ref="J599">XLOOKUP(H599,'2. Matching'!$A$2:$A$39,'2. Matching'!$B$2:$B$39,"--")</f>
        <v>Partnerships</v>
      </c>
      <c r="K599" s="65" t="str">
        <f t="shared" si="1"/>
        <v>In</v>
      </c>
    </row>
    <row r="600">
      <c r="A600" s="62" t="s">
        <v>737</v>
      </c>
      <c r="B600" s="63">
        <v>44329.0</v>
      </c>
      <c r="C600" s="62" t="s">
        <v>119</v>
      </c>
      <c r="D600" s="64">
        <v>47.5</v>
      </c>
      <c r="E600" s="62" t="s">
        <v>109</v>
      </c>
      <c r="F600" s="62" t="s">
        <v>115</v>
      </c>
      <c r="G600" s="64" t="s">
        <v>64</v>
      </c>
      <c r="H600" s="3" t="s">
        <v>169</v>
      </c>
      <c r="I600" s="65">
        <f>IFERROR(VLOOKUP(A600,'3. Call duration'!$A:$C,3,0),"--")</f>
        <v>15.71071814</v>
      </c>
      <c r="J600" s="65" t="str">
        <f t="array" ref="J600">XLOOKUP(H600,'2. Matching'!$A$2:$A$39,'2. Matching'!$B$2:$B$39,"--")</f>
        <v>SEO</v>
      </c>
      <c r="K600" s="65" t="str">
        <f t="shared" si="1"/>
        <v>In</v>
      </c>
    </row>
    <row r="601">
      <c r="A601" s="62" t="s">
        <v>738</v>
      </c>
      <c r="B601" s="63">
        <v>44377.0</v>
      </c>
      <c r="C601" s="62" t="s">
        <v>112</v>
      </c>
      <c r="D601" s="64">
        <v>0.0</v>
      </c>
      <c r="E601" s="62" t="s">
        <v>109</v>
      </c>
      <c r="F601" s="62" t="s">
        <v>115</v>
      </c>
      <c r="G601" s="64" t="s">
        <v>60</v>
      </c>
      <c r="H601" s="3" t="s">
        <v>68</v>
      </c>
      <c r="I601" s="65" t="str">
        <f>IFERROR(VLOOKUP(A601,'3. Call duration'!$A:$C,3,0),"--")</f>
        <v>--</v>
      </c>
      <c r="J601" s="65" t="str">
        <f t="array" ref="J601">XLOOKUP(H601,'2. Matching'!$A$2:$A$39,'2. Matching'!$B$2:$B$39,"--")</f>
        <v>Acquisition</v>
      </c>
      <c r="K601" s="65" t="str">
        <f t="shared" si="1"/>
        <v>In</v>
      </c>
    </row>
    <row r="602">
      <c r="A602" s="62" t="s">
        <v>739</v>
      </c>
      <c r="B602" s="63">
        <v>44124.0</v>
      </c>
      <c r="C602" s="62" t="s">
        <v>108</v>
      </c>
      <c r="D602" s="64">
        <v>0.0</v>
      </c>
      <c r="E602" s="62" t="s">
        <v>109</v>
      </c>
      <c r="F602" s="62" t="s">
        <v>115</v>
      </c>
      <c r="G602" s="64" t="s">
        <v>64</v>
      </c>
      <c r="H602" s="3" t="s">
        <v>164</v>
      </c>
      <c r="I602" s="65" t="str">
        <f>IFERROR(VLOOKUP(A602,'3. Call duration'!$A:$C,3,0),"--")</f>
        <v>--</v>
      </c>
      <c r="J602" s="65" t="str">
        <f t="array" ref="J602">XLOOKUP(H602,'2. Matching'!$A$2:$A$39,'2. Matching'!$B$2:$B$39,"--")</f>
        <v>SEO</v>
      </c>
      <c r="K602" s="65" t="str">
        <f t="shared" si="1"/>
        <v>In</v>
      </c>
    </row>
    <row r="603">
      <c r="A603" s="62" t="s">
        <v>740</v>
      </c>
      <c r="B603" s="63">
        <v>44126.0</v>
      </c>
      <c r="C603" s="62" t="s">
        <v>112</v>
      </c>
      <c r="D603" s="64">
        <v>0.0</v>
      </c>
      <c r="E603" s="62" t="s">
        <v>109</v>
      </c>
      <c r="F603" s="62" t="s">
        <v>115</v>
      </c>
      <c r="G603" s="64" t="s">
        <v>62</v>
      </c>
      <c r="H603" s="3" t="s">
        <v>286</v>
      </c>
      <c r="I603" s="65" t="str">
        <f>IFERROR(VLOOKUP(A603,'3. Call duration'!$A:$C,3,0),"--")</f>
        <v>--</v>
      </c>
      <c r="J603" s="65" t="str">
        <f t="array" ref="J603">XLOOKUP(H603,'2. Matching'!$A$2:$A$39,'2. Matching'!$B$2:$B$39,"--")</f>
        <v>Farming</v>
      </c>
      <c r="K603" s="65" t="str">
        <f t="shared" si="1"/>
        <v>In</v>
      </c>
    </row>
    <row r="604">
      <c r="A604" s="62" t="s">
        <v>741</v>
      </c>
      <c r="B604" s="63">
        <v>44330.0</v>
      </c>
      <c r="C604" s="62" t="s">
        <v>119</v>
      </c>
      <c r="D604" s="64">
        <v>47.5</v>
      </c>
      <c r="E604" s="62" t="s">
        <v>109</v>
      </c>
      <c r="F604" s="62" t="s">
        <v>110</v>
      </c>
      <c r="G604" s="64" t="s">
        <v>64</v>
      </c>
      <c r="H604" s="3" t="s">
        <v>52</v>
      </c>
      <c r="I604" s="65">
        <f>IFERROR(VLOOKUP(A604,'3. Call duration'!$A:$C,3,0),"--")</f>
        <v>15.73539169</v>
      </c>
      <c r="J604" s="65" t="str">
        <f t="array" ref="J604">XLOOKUP(H604,'2. Matching'!$A$2:$A$39,'2. Matching'!$B$2:$B$39,"--")</f>
        <v>Partnerships</v>
      </c>
      <c r="K604" s="65" t="str">
        <f t="shared" si="1"/>
        <v>In</v>
      </c>
    </row>
    <row r="605">
      <c r="A605" s="62" t="s">
        <v>742</v>
      </c>
      <c r="B605" s="63">
        <v>44376.0</v>
      </c>
      <c r="C605" s="62" t="s">
        <v>108</v>
      </c>
      <c r="D605" s="64">
        <v>0.0</v>
      </c>
      <c r="E605" s="62" t="s">
        <v>109</v>
      </c>
      <c r="F605" s="62" t="s">
        <v>110</v>
      </c>
      <c r="G605" s="64" t="s">
        <v>60</v>
      </c>
      <c r="H605" s="3" t="s">
        <v>68</v>
      </c>
      <c r="I605" s="65">
        <f>IFERROR(VLOOKUP(A605,'3. Call duration'!$A:$C,3,0),"--")</f>
        <v>30.54369168</v>
      </c>
      <c r="J605" s="65" t="str">
        <f t="array" ref="J605">XLOOKUP(H605,'2. Matching'!$A$2:$A$39,'2. Matching'!$B$2:$B$39,"--")</f>
        <v>Acquisition</v>
      </c>
      <c r="K605" s="65" t="str">
        <f t="shared" si="1"/>
        <v>In</v>
      </c>
    </row>
    <row r="606">
      <c r="A606" s="62" t="s">
        <v>743</v>
      </c>
      <c r="B606" s="63">
        <v>44223.0</v>
      </c>
      <c r="C606" s="62" t="s">
        <v>112</v>
      </c>
      <c r="D606" s="64">
        <v>0.0</v>
      </c>
      <c r="E606" s="62" t="s">
        <v>109</v>
      </c>
      <c r="F606" s="62" t="s">
        <v>110</v>
      </c>
      <c r="G606" s="64" t="s">
        <v>62</v>
      </c>
      <c r="H606" s="3" t="s">
        <v>294</v>
      </c>
      <c r="I606" s="65" t="str">
        <f>IFERROR(VLOOKUP(A606,'3. Call duration'!$A:$C,3,0),"--")</f>
        <v>--</v>
      </c>
      <c r="J606" s="65" t="str">
        <f t="array" ref="J606">XLOOKUP(H606,'2. Matching'!$A$2:$A$39,'2. Matching'!$B$2:$B$39,"--")</f>
        <v>Farming</v>
      </c>
      <c r="K606" s="65" t="str">
        <f t="shared" si="1"/>
        <v>In</v>
      </c>
    </row>
    <row r="607">
      <c r="A607" s="62" t="s">
        <v>744</v>
      </c>
      <c r="B607" s="63">
        <v>44138.0</v>
      </c>
      <c r="C607" s="62" t="s">
        <v>112</v>
      </c>
      <c r="D607" s="64">
        <v>0.0</v>
      </c>
      <c r="E607" s="62" t="s">
        <v>114</v>
      </c>
      <c r="F607" s="62" t="s">
        <v>115</v>
      </c>
      <c r="G607" s="64" t="s">
        <v>64</v>
      </c>
      <c r="H607" s="3" t="s">
        <v>164</v>
      </c>
      <c r="I607" s="65" t="str">
        <f>IFERROR(VLOOKUP(A607,'3. Call duration'!$A:$C,3,0),"--")</f>
        <v>--</v>
      </c>
      <c r="J607" s="65" t="str">
        <f t="array" ref="J607">XLOOKUP(H607,'2. Matching'!$A$2:$A$39,'2. Matching'!$B$2:$B$39,"--")</f>
        <v>SEO</v>
      </c>
      <c r="K607" s="65" t="str">
        <f t="shared" si="1"/>
        <v>In</v>
      </c>
    </row>
    <row r="608">
      <c r="A608" s="62" t="s">
        <v>745</v>
      </c>
      <c r="B608" s="63">
        <v>44292.0</v>
      </c>
      <c r="C608" s="62" t="s">
        <v>112</v>
      </c>
      <c r="D608" s="64">
        <v>0.0</v>
      </c>
      <c r="E608" s="62" t="s">
        <v>109</v>
      </c>
      <c r="F608" s="62" t="s">
        <v>115</v>
      </c>
      <c r="G608" s="64" t="s">
        <v>63</v>
      </c>
      <c r="H608" s="3" t="s">
        <v>189</v>
      </c>
      <c r="I608" s="65" t="str">
        <f>IFERROR(VLOOKUP(A608,'3. Call duration'!$A:$C,3,0),"--")</f>
        <v>--</v>
      </c>
      <c r="J608" s="65" t="str">
        <f t="array" ref="J608">XLOOKUP(H608,'2. Matching'!$A$2:$A$39,'2. Matching'!$B$2:$B$39,"--")</f>
        <v>SEO</v>
      </c>
      <c r="K608" s="65" t="str">
        <f t="shared" si="1"/>
        <v>Out</v>
      </c>
    </row>
    <row r="609">
      <c r="A609" s="62" t="s">
        <v>746</v>
      </c>
      <c r="B609" s="63">
        <v>44390.0</v>
      </c>
      <c r="C609" s="62" t="s">
        <v>112</v>
      </c>
      <c r="D609" s="64">
        <v>0.0</v>
      </c>
      <c r="E609" s="62" t="s">
        <v>114</v>
      </c>
      <c r="F609" s="62" t="s">
        <v>115</v>
      </c>
      <c r="G609" s="64" t="s">
        <v>60</v>
      </c>
      <c r="H609" s="3" t="s">
        <v>67</v>
      </c>
      <c r="I609" s="65" t="str">
        <f>IFERROR(VLOOKUP(A609,'3. Call duration'!$A:$C,3,0),"--")</f>
        <v>--</v>
      </c>
      <c r="J609" s="65" t="str">
        <f t="array" ref="J609">XLOOKUP(H609,'2. Matching'!$A$2:$A$39,'2. Matching'!$B$2:$B$39,"--")</f>
        <v>Acquisition</v>
      </c>
      <c r="K609" s="65" t="str">
        <f t="shared" si="1"/>
        <v>In</v>
      </c>
    </row>
    <row r="610">
      <c r="A610" s="62" t="s">
        <v>747</v>
      </c>
      <c r="B610" s="63">
        <v>44313.0</v>
      </c>
      <c r="C610" s="62" t="s">
        <v>108</v>
      </c>
      <c r="D610" s="64">
        <v>0.0</v>
      </c>
      <c r="E610" s="62" t="s">
        <v>109</v>
      </c>
      <c r="F610" s="62" t="s">
        <v>110</v>
      </c>
      <c r="G610" s="64" t="s">
        <v>62</v>
      </c>
      <c r="H610" s="3" t="s">
        <v>203</v>
      </c>
      <c r="I610" s="65">
        <f>IFERROR(VLOOKUP(A610,'3. Call duration'!$A:$C,3,0),"--")</f>
        <v>28.12618524</v>
      </c>
      <c r="J610" s="65" t="str">
        <f t="array" ref="J610">XLOOKUP(H610,'2. Matching'!$A$2:$A$39,'2. Matching'!$B$2:$B$39,"--")</f>
        <v>Farming</v>
      </c>
      <c r="K610" s="65" t="str">
        <f t="shared" si="1"/>
        <v>In</v>
      </c>
    </row>
    <row r="611">
      <c r="A611" s="62" t="s">
        <v>748</v>
      </c>
      <c r="B611" s="63">
        <v>44235.0</v>
      </c>
      <c r="C611" s="62" t="s">
        <v>112</v>
      </c>
      <c r="D611" s="64">
        <v>0.0</v>
      </c>
      <c r="E611" s="62" t="s">
        <v>109</v>
      </c>
      <c r="F611" s="62" t="s">
        <v>110</v>
      </c>
      <c r="G611" s="64" t="s">
        <v>64</v>
      </c>
      <c r="H611" s="3" t="s">
        <v>155</v>
      </c>
      <c r="I611" s="65" t="str">
        <f>IFERROR(VLOOKUP(A611,'3. Call duration'!$A:$C,3,0),"--")</f>
        <v>--</v>
      </c>
      <c r="J611" s="65" t="str">
        <f t="array" ref="J611">XLOOKUP(H611,'2. Matching'!$A$2:$A$39,'2. Matching'!$B$2:$B$39,"--")</f>
        <v>SEO</v>
      </c>
      <c r="K611" s="65" t="str">
        <f t="shared" si="1"/>
        <v>In</v>
      </c>
    </row>
    <row r="612">
      <c r="A612" s="62" t="s">
        <v>749</v>
      </c>
      <c r="B612" s="63">
        <v>44287.0</v>
      </c>
      <c r="C612" s="62" t="s">
        <v>112</v>
      </c>
      <c r="D612" s="64">
        <v>0.0</v>
      </c>
      <c r="E612" s="62" t="s">
        <v>109</v>
      </c>
      <c r="F612" s="62" t="s">
        <v>110</v>
      </c>
      <c r="G612" s="64" t="s">
        <v>64</v>
      </c>
      <c r="H612" s="3" t="s">
        <v>185</v>
      </c>
      <c r="I612" s="65" t="str">
        <f>IFERROR(VLOOKUP(A612,'3. Call duration'!$A:$C,3,0),"--")</f>
        <v>--</v>
      </c>
      <c r="J612" s="65" t="str">
        <f t="array" ref="J612">XLOOKUP(H612,'2. Matching'!$A$2:$A$39,'2. Matching'!$B$2:$B$39,"--")</f>
        <v>SEO</v>
      </c>
      <c r="K612" s="65" t="str">
        <f t="shared" si="1"/>
        <v>In</v>
      </c>
    </row>
    <row r="613">
      <c r="A613" s="62" t="s">
        <v>750</v>
      </c>
      <c r="B613" s="63">
        <v>44251.0</v>
      </c>
      <c r="C613" s="62" t="s">
        <v>112</v>
      </c>
      <c r="D613" s="64">
        <v>0.0</v>
      </c>
      <c r="E613" s="62" t="s">
        <v>114</v>
      </c>
      <c r="F613" s="62" t="s">
        <v>115</v>
      </c>
      <c r="G613" s="64" t="s">
        <v>64</v>
      </c>
      <c r="H613" s="3" t="s">
        <v>155</v>
      </c>
      <c r="I613" s="65" t="str">
        <f>IFERROR(VLOOKUP(A613,'3. Call duration'!$A:$C,3,0),"--")</f>
        <v>--</v>
      </c>
      <c r="J613" s="65" t="str">
        <f t="array" ref="J613">XLOOKUP(H613,'2. Matching'!$A$2:$A$39,'2. Matching'!$B$2:$B$39,"--")</f>
        <v>SEO</v>
      </c>
      <c r="K613" s="65" t="str">
        <f t="shared" si="1"/>
        <v>In</v>
      </c>
    </row>
    <row r="614">
      <c r="A614" s="62" t="s">
        <v>751</v>
      </c>
      <c r="B614" s="63">
        <v>44349.0</v>
      </c>
      <c r="C614" s="62" t="s">
        <v>112</v>
      </c>
      <c r="D614" s="64">
        <v>0.0</v>
      </c>
      <c r="E614" s="62" t="s">
        <v>109</v>
      </c>
      <c r="F614" s="62" t="s">
        <v>110</v>
      </c>
      <c r="G614" s="64" t="s">
        <v>64</v>
      </c>
      <c r="H614" s="3" t="s">
        <v>49</v>
      </c>
      <c r="I614" s="65" t="str">
        <f>IFERROR(VLOOKUP(A614,'3. Call duration'!$A:$C,3,0),"--")</f>
        <v>--</v>
      </c>
      <c r="J614" s="65" t="str">
        <f t="array" ref="J614">XLOOKUP(H614,'2. Matching'!$A$2:$A$39,'2. Matching'!$B$2:$B$39,"--")</f>
        <v>Partnerships</v>
      </c>
      <c r="K614" s="65" t="str">
        <f t="shared" si="1"/>
        <v>In</v>
      </c>
    </row>
    <row r="615">
      <c r="A615" s="62" t="s">
        <v>752</v>
      </c>
      <c r="B615" s="63">
        <v>44236.0</v>
      </c>
      <c r="C615" s="62" t="s">
        <v>112</v>
      </c>
      <c r="D615" s="64">
        <v>0.0</v>
      </c>
      <c r="E615" s="62" t="s">
        <v>109</v>
      </c>
      <c r="F615" s="62" t="s">
        <v>115</v>
      </c>
      <c r="G615" s="64" t="s">
        <v>64</v>
      </c>
      <c r="H615" s="3" t="s">
        <v>49</v>
      </c>
      <c r="I615" s="65" t="str">
        <f>IFERROR(VLOOKUP(A615,'3. Call duration'!$A:$C,3,0),"--")</f>
        <v>--</v>
      </c>
      <c r="J615" s="65" t="str">
        <f t="array" ref="J615">XLOOKUP(H615,'2. Matching'!$A$2:$A$39,'2. Matching'!$B$2:$B$39,"--")</f>
        <v>Partnerships</v>
      </c>
      <c r="K615" s="65" t="str">
        <f t="shared" si="1"/>
        <v>In</v>
      </c>
    </row>
    <row r="616">
      <c r="A616" s="62" t="s">
        <v>753</v>
      </c>
      <c r="B616" s="63">
        <v>44363.0</v>
      </c>
      <c r="C616" s="62" t="s">
        <v>112</v>
      </c>
      <c r="D616" s="64">
        <v>0.0</v>
      </c>
      <c r="E616" s="62" t="s">
        <v>109</v>
      </c>
      <c r="F616" s="62" t="s">
        <v>115</v>
      </c>
      <c r="G616" s="64" t="s">
        <v>64</v>
      </c>
      <c r="H616" s="3" t="s">
        <v>169</v>
      </c>
      <c r="I616" s="65" t="str">
        <f>IFERROR(VLOOKUP(A616,'3. Call duration'!$A:$C,3,0),"--")</f>
        <v>--</v>
      </c>
      <c r="J616" s="65" t="str">
        <f t="array" ref="J616">XLOOKUP(H616,'2. Matching'!$A$2:$A$39,'2. Matching'!$B$2:$B$39,"--")</f>
        <v>SEO</v>
      </c>
      <c r="K616" s="65" t="str">
        <f t="shared" si="1"/>
        <v>In</v>
      </c>
    </row>
    <row r="617">
      <c r="A617" s="62" t="s">
        <v>754</v>
      </c>
      <c r="B617" s="63">
        <v>44267.0</v>
      </c>
      <c r="C617" s="62" t="s">
        <v>108</v>
      </c>
      <c r="D617" s="64">
        <v>0.0</v>
      </c>
      <c r="E617" s="62" t="s">
        <v>109</v>
      </c>
      <c r="F617" s="62" t="s">
        <v>115</v>
      </c>
      <c r="G617" s="64" t="s">
        <v>64</v>
      </c>
      <c r="H617" s="3" t="s">
        <v>155</v>
      </c>
      <c r="I617" s="65">
        <f>IFERROR(VLOOKUP(A617,'3. Call duration'!$A:$C,3,0),"--")</f>
        <v>26.42273619</v>
      </c>
      <c r="J617" s="65" t="str">
        <f t="array" ref="J617">XLOOKUP(H617,'2. Matching'!$A$2:$A$39,'2. Matching'!$B$2:$B$39,"--")</f>
        <v>SEO</v>
      </c>
      <c r="K617" s="65" t="str">
        <f t="shared" si="1"/>
        <v>In</v>
      </c>
    </row>
    <row r="618">
      <c r="A618" s="62" t="s">
        <v>755</v>
      </c>
      <c r="B618" s="63">
        <v>44385.0</v>
      </c>
      <c r="C618" s="62" t="s">
        <v>112</v>
      </c>
      <c r="D618" s="64">
        <v>0.0</v>
      </c>
      <c r="E618" s="62" t="s">
        <v>109</v>
      </c>
      <c r="F618" s="62" t="s">
        <v>115</v>
      </c>
      <c r="G618" s="64" t="s">
        <v>64</v>
      </c>
      <c r="H618" s="3" t="s">
        <v>164</v>
      </c>
      <c r="I618" s="65" t="str">
        <f>IFERROR(VLOOKUP(A618,'3. Call duration'!$A:$C,3,0),"--")</f>
        <v>--</v>
      </c>
      <c r="J618" s="65" t="str">
        <f t="array" ref="J618">XLOOKUP(H618,'2. Matching'!$A$2:$A$39,'2. Matching'!$B$2:$B$39,"--")</f>
        <v>SEO</v>
      </c>
      <c r="K618" s="65" t="str">
        <f t="shared" si="1"/>
        <v>In</v>
      </c>
    </row>
    <row r="619">
      <c r="A619" s="62" t="s">
        <v>756</v>
      </c>
      <c r="B619" s="63">
        <v>44271.0</v>
      </c>
      <c r="C619" s="62" t="s">
        <v>112</v>
      </c>
      <c r="D619" s="64">
        <v>0.0</v>
      </c>
      <c r="E619" s="62" t="s">
        <v>109</v>
      </c>
      <c r="F619" s="62" t="s">
        <v>110</v>
      </c>
      <c r="G619" s="64" t="s">
        <v>64</v>
      </c>
      <c r="H619" s="3" t="s">
        <v>185</v>
      </c>
      <c r="I619" s="65" t="str">
        <f>IFERROR(VLOOKUP(A619,'3. Call duration'!$A:$C,3,0),"--")</f>
        <v>--</v>
      </c>
      <c r="J619" s="65" t="str">
        <f t="array" ref="J619">XLOOKUP(H619,'2. Matching'!$A$2:$A$39,'2. Matching'!$B$2:$B$39,"--")</f>
        <v>SEO</v>
      </c>
      <c r="K619" s="65" t="str">
        <f t="shared" si="1"/>
        <v>In</v>
      </c>
    </row>
    <row r="620">
      <c r="A620" s="62" t="s">
        <v>757</v>
      </c>
      <c r="B620" s="63">
        <v>44237.0</v>
      </c>
      <c r="C620" s="62" t="s">
        <v>108</v>
      </c>
      <c r="D620" s="64">
        <v>0.0</v>
      </c>
      <c r="E620" s="62" t="s">
        <v>109</v>
      </c>
      <c r="F620" s="62" t="s">
        <v>115</v>
      </c>
      <c r="G620" s="64" t="s">
        <v>64</v>
      </c>
      <c r="H620" s="3" t="s">
        <v>135</v>
      </c>
      <c r="I620" s="65">
        <f>IFERROR(VLOOKUP(A620,'3. Call duration'!$A:$C,3,0),"--")</f>
        <v>25.5073993</v>
      </c>
      <c r="J620" s="65" t="str">
        <f t="array" ref="J620">XLOOKUP(H620,'2. Matching'!$A$2:$A$39,'2. Matching'!$B$2:$B$39,"--")</f>
        <v>Acquisition</v>
      </c>
      <c r="K620" s="65" t="str">
        <f t="shared" si="1"/>
        <v>In</v>
      </c>
    </row>
    <row r="621">
      <c r="A621" s="62" t="s">
        <v>758</v>
      </c>
      <c r="B621" s="63">
        <v>44365.0</v>
      </c>
      <c r="C621" s="62" t="s">
        <v>112</v>
      </c>
      <c r="D621" s="64">
        <v>0.0</v>
      </c>
      <c r="E621" s="62" t="s">
        <v>109</v>
      </c>
      <c r="F621" s="62" t="s">
        <v>110</v>
      </c>
      <c r="G621" s="64" t="s">
        <v>60</v>
      </c>
      <c r="H621" s="3" t="s">
        <v>68</v>
      </c>
      <c r="I621" s="65" t="str">
        <f>IFERROR(VLOOKUP(A621,'3. Call duration'!$A:$C,3,0),"--")</f>
        <v>--</v>
      </c>
      <c r="J621" s="65" t="str">
        <f t="array" ref="J621">XLOOKUP(H621,'2. Matching'!$A$2:$A$39,'2. Matching'!$B$2:$B$39,"--")</f>
        <v>Acquisition</v>
      </c>
      <c r="K621" s="65" t="str">
        <f t="shared" si="1"/>
        <v>In</v>
      </c>
    </row>
    <row r="622">
      <c r="A622" s="62" t="s">
        <v>759</v>
      </c>
      <c r="B622" s="63">
        <v>44357.0</v>
      </c>
      <c r="C622" s="62" t="s">
        <v>112</v>
      </c>
      <c r="D622" s="64">
        <v>0.0</v>
      </c>
      <c r="E622" s="62" t="s">
        <v>109</v>
      </c>
      <c r="F622" s="62" t="s">
        <v>110</v>
      </c>
      <c r="G622" s="64" t="s">
        <v>60</v>
      </c>
      <c r="H622" s="3" t="s">
        <v>68</v>
      </c>
      <c r="I622" s="65" t="str">
        <f>IFERROR(VLOOKUP(A622,'3. Call duration'!$A:$C,3,0),"--")</f>
        <v>--</v>
      </c>
      <c r="J622" s="65" t="str">
        <f t="array" ref="J622">XLOOKUP(H622,'2. Matching'!$A$2:$A$39,'2. Matching'!$B$2:$B$39,"--")</f>
        <v>Acquisition</v>
      </c>
      <c r="K622" s="65" t="str">
        <f t="shared" si="1"/>
        <v>In</v>
      </c>
    </row>
    <row r="623">
      <c r="A623" s="62" t="s">
        <v>760</v>
      </c>
      <c r="B623" s="63">
        <v>44313.0</v>
      </c>
      <c r="C623" s="62" t="s">
        <v>112</v>
      </c>
      <c r="D623" s="64">
        <v>0.0</v>
      </c>
      <c r="E623" s="62" t="s">
        <v>109</v>
      </c>
      <c r="F623" s="62" t="s">
        <v>110</v>
      </c>
      <c r="G623" s="64" t="s">
        <v>64</v>
      </c>
      <c r="H623" s="3" t="s">
        <v>145</v>
      </c>
      <c r="I623" s="65" t="str">
        <f>IFERROR(VLOOKUP(A623,'3. Call duration'!$A:$C,3,0),"--")</f>
        <v>--</v>
      </c>
      <c r="J623" s="65" t="str">
        <f t="array" ref="J623">XLOOKUP(H623,'2. Matching'!$A$2:$A$39,'2. Matching'!$B$2:$B$39,"--")</f>
        <v>SEO</v>
      </c>
      <c r="K623" s="65" t="str">
        <f t="shared" si="1"/>
        <v>In</v>
      </c>
    </row>
    <row r="624">
      <c r="A624" s="62" t="s">
        <v>761</v>
      </c>
      <c r="B624" s="63">
        <v>44347.0</v>
      </c>
      <c r="C624" s="62" t="s">
        <v>108</v>
      </c>
      <c r="D624" s="64">
        <v>0.0</v>
      </c>
      <c r="E624" s="62" t="s">
        <v>109</v>
      </c>
      <c r="F624" s="62" t="s">
        <v>115</v>
      </c>
      <c r="G624" s="64" t="s">
        <v>64</v>
      </c>
      <c r="H624" s="3" t="s">
        <v>116</v>
      </c>
      <c r="I624" s="65">
        <f>IFERROR(VLOOKUP(A624,'3. Call duration'!$A:$C,3,0),"--")</f>
        <v>15.76435373</v>
      </c>
      <c r="J624" s="65" t="str">
        <f t="array" ref="J624">XLOOKUP(H624,'2. Matching'!$A$2:$A$39,'2. Matching'!$B$2:$B$39,"--")</f>
        <v>Acquisition</v>
      </c>
      <c r="K624" s="65" t="str">
        <f t="shared" si="1"/>
        <v>In</v>
      </c>
    </row>
    <row r="625">
      <c r="A625" s="62" t="s">
        <v>762</v>
      </c>
      <c r="B625" s="63">
        <v>44250.0</v>
      </c>
      <c r="C625" s="62" t="s">
        <v>108</v>
      </c>
      <c r="D625" s="64">
        <v>0.0</v>
      </c>
      <c r="E625" s="62" t="s">
        <v>109</v>
      </c>
      <c r="F625" s="62" t="s">
        <v>115</v>
      </c>
      <c r="G625" s="64" t="s">
        <v>112</v>
      </c>
      <c r="H625" s="3" t="s">
        <v>51</v>
      </c>
      <c r="I625" s="65">
        <f>IFERROR(VLOOKUP(A625,'3. Call duration'!$A:$C,3,0),"--")</f>
        <v>15.87955647</v>
      </c>
      <c r="J625" s="65" t="str">
        <f t="array" ref="J625">XLOOKUP(H625,'2. Matching'!$A$2:$A$39,'2. Matching'!$B$2:$B$39,"--")</f>
        <v>Partnerships</v>
      </c>
      <c r="K625" s="65" t="str">
        <f t="shared" si="1"/>
        <v>In</v>
      </c>
    </row>
    <row r="626">
      <c r="A626" s="62" t="s">
        <v>763</v>
      </c>
      <c r="B626" s="63">
        <v>44264.0</v>
      </c>
      <c r="C626" s="62" t="s">
        <v>112</v>
      </c>
      <c r="D626" s="64">
        <v>0.0</v>
      </c>
      <c r="E626" s="62" t="s">
        <v>114</v>
      </c>
      <c r="F626" s="62" t="s">
        <v>115</v>
      </c>
      <c r="G626" s="64" t="s">
        <v>64</v>
      </c>
      <c r="H626" s="3" t="s">
        <v>54</v>
      </c>
      <c r="I626" s="65" t="str">
        <f>IFERROR(VLOOKUP(A626,'3. Call duration'!$A:$C,3,0),"--")</f>
        <v>--</v>
      </c>
      <c r="J626" s="65" t="str">
        <f t="array" ref="J626">XLOOKUP(H626,'2. Matching'!$A$2:$A$39,'2. Matching'!$B$2:$B$39,"--")</f>
        <v>Partnerships</v>
      </c>
      <c r="K626" s="65" t="str">
        <f t="shared" si="1"/>
        <v>In</v>
      </c>
    </row>
    <row r="627">
      <c r="A627" s="62" t="s">
        <v>764</v>
      </c>
      <c r="B627" s="63">
        <v>44375.0</v>
      </c>
      <c r="C627" s="62" t="s">
        <v>112</v>
      </c>
      <c r="D627" s="64">
        <v>0.0</v>
      </c>
      <c r="E627" s="62" t="s">
        <v>109</v>
      </c>
      <c r="F627" s="62" t="s">
        <v>110</v>
      </c>
      <c r="G627" s="64" t="s">
        <v>60</v>
      </c>
      <c r="H627" s="3" t="s">
        <v>67</v>
      </c>
      <c r="I627" s="65" t="str">
        <f>IFERROR(VLOOKUP(A627,'3. Call duration'!$A:$C,3,0),"--")</f>
        <v>--</v>
      </c>
      <c r="J627" s="65" t="str">
        <f t="array" ref="J627">XLOOKUP(H627,'2. Matching'!$A$2:$A$39,'2. Matching'!$B$2:$B$39,"--")</f>
        <v>Acquisition</v>
      </c>
      <c r="K627" s="65" t="str">
        <f t="shared" si="1"/>
        <v>In</v>
      </c>
    </row>
    <row r="628">
      <c r="A628" s="62" t="s">
        <v>765</v>
      </c>
      <c r="B628" s="63">
        <v>44239.0</v>
      </c>
      <c r="C628" s="62" t="s">
        <v>112</v>
      </c>
      <c r="D628" s="64">
        <v>0.0</v>
      </c>
      <c r="E628" s="62" t="s">
        <v>109</v>
      </c>
      <c r="F628" s="62" t="s">
        <v>110</v>
      </c>
      <c r="G628" s="64" t="s">
        <v>64</v>
      </c>
      <c r="H628" s="3" t="s">
        <v>171</v>
      </c>
      <c r="I628" s="65" t="str">
        <f>IFERROR(VLOOKUP(A628,'3. Call duration'!$A:$C,3,0),"--")</f>
        <v>--</v>
      </c>
      <c r="J628" s="65" t="str">
        <f t="array" ref="J628">XLOOKUP(H628,'2. Matching'!$A$2:$A$39,'2. Matching'!$B$2:$B$39,"--")</f>
        <v>SEO</v>
      </c>
      <c r="K628" s="65" t="str">
        <f t="shared" si="1"/>
        <v>In</v>
      </c>
    </row>
    <row r="629">
      <c r="A629" s="62" t="s">
        <v>766</v>
      </c>
      <c r="B629" s="63">
        <v>44368.0</v>
      </c>
      <c r="C629" s="62" t="s">
        <v>108</v>
      </c>
      <c r="D629" s="64">
        <v>0.0</v>
      </c>
      <c r="E629" s="62" t="s">
        <v>109</v>
      </c>
      <c r="F629" s="62" t="s">
        <v>110</v>
      </c>
      <c r="G629" s="64" t="s">
        <v>59</v>
      </c>
      <c r="H629" s="3" t="s">
        <v>68</v>
      </c>
      <c r="I629" s="65">
        <f>IFERROR(VLOOKUP(A629,'3. Call duration'!$A:$C,3,0),"--")</f>
        <v>30.06080863</v>
      </c>
      <c r="J629" s="65" t="str">
        <f t="array" ref="J629">XLOOKUP(H629,'2. Matching'!$A$2:$A$39,'2. Matching'!$B$2:$B$39,"--")</f>
        <v>Acquisition</v>
      </c>
      <c r="K629" s="65" t="str">
        <f t="shared" si="1"/>
        <v>In</v>
      </c>
    </row>
    <row r="630">
      <c r="A630" s="62" t="s">
        <v>767</v>
      </c>
      <c r="B630" s="63">
        <v>44393.0</v>
      </c>
      <c r="C630" s="62" t="s">
        <v>112</v>
      </c>
      <c r="D630" s="64">
        <v>0.0</v>
      </c>
      <c r="E630" s="62" t="s">
        <v>114</v>
      </c>
      <c r="F630" s="62" t="s">
        <v>110</v>
      </c>
      <c r="G630" s="64" t="s">
        <v>61</v>
      </c>
      <c r="H630" s="3" t="s">
        <v>67</v>
      </c>
      <c r="I630" s="65" t="str">
        <f>IFERROR(VLOOKUP(A630,'3. Call duration'!$A:$C,3,0),"--")</f>
        <v>--</v>
      </c>
      <c r="J630" s="65" t="str">
        <f t="array" ref="J630">XLOOKUP(H630,'2. Matching'!$A$2:$A$39,'2. Matching'!$B$2:$B$39,"--")</f>
        <v>Acquisition</v>
      </c>
      <c r="K630" s="65" t="str">
        <f t="shared" si="1"/>
        <v>In</v>
      </c>
    </row>
    <row r="631">
      <c r="A631" s="62" t="s">
        <v>768</v>
      </c>
      <c r="B631" s="63">
        <v>44383.0</v>
      </c>
      <c r="C631" s="62" t="s">
        <v>112</v>
      </c>
      <c r="D631" s="64">
        <v>0.0</v>
      </c>
      <c r="E631" s="62" t="s">
        <v>109</v>
      </c>
      <c r="F631" s="62" t="s">
        <v>115</v>
      </c>
      <c r="G631" s="64" t="s">
        <v>64</v>
      </c>
      <c r="H631" s="3" t="s">
        <v>171</v>
      </c>
      <c r="I631" s="65" t="str">
        <f>IFERROR(VLOOKUP(A631,'3. Call duration'!$A:$C,3,0),"--")</f>
        <v>--</v>
      </c>
      <c r="J631" s="65" t="str">
        <f t="array" ref="J631">XLOOKUP(H631,'2. Matching'!$A$2:$A$39,'2. Matching'!$B$2:$B$39,"--")</f>
        <v>SEO</v>
      </c>
      <c r="K631" s="65" t="str">
        <f t="shared" si="1"/>
        <v>In</v>
      </c>
    </row>
    <row r="632">
      <c r="A632" s="62" t="s">
        <v>769</v>
      </c>
      <c r="B632" s="63">
        <v>44208.0</v>
      </c>
      <c r="C632" s="62" t="s">
        <v>108</v>
      </c>
      <c r="D632" s="64">
        <v>0.0</v>
      </c>
      <c r="E632" s="62" t="s">
        <v>109</v>
      </c>
      <c r="F632" s="62" t="s">
        <v>115</v>
      </c>
      <c r="G632" s="64" t="s">
        <v>64</v>
      </c>
      <c r="H632" s="3" t="s">
        <v>139</v>
      </c>
      <c r="I632" s="65">
        <f>IFERROR(VLOOKUP(A632,'3. Call duration'!$A:$C,3,0),"--")</f>
        <v>26.86455776</v>
      </c>
      <c r="J632" s="65" t="str">
        <f t="array" ref="J632">XLOOKUP(H632,'2. Matching'!$A$2:$A$39,'2. Matching'!$B$2:$B$39,"--")</f>
        <v>Acquisition</v>
      </c>
      <c r="K632" s="65" t="str">
        <f t="shared" si="1"/>
        <v>In</v>
      </c>
    </row>
    <row r="633">
      <c r="A633" s="62" t="s">
        <v>770</v>
      </c>
      <c r="B633" s="63">
        <v>44358.0</v>
      </c>
      <c r="C633" s="62" t="s">
        <v>108</v>
      </c>
      <c r="D633" s="64">
        <v>0.0</v>
      </c>
      <c r="E633" s="62" t="s">
        <v>109</v>
      </c>
      <c r="F633" s="62" t="s">
        <v>110</v>
      </c>
      <c r="G633" s="64" t="s">
        <v>60</v>
      </c>
      <c r="H633" s="3" t="s">
        <v>68</v>
      </c>
      <c r="I633" s="65">
        <f>IFERROR(VLOOKUP(A633,'3. Call duration'!$A:$C,3,0),"--")</f>
        <v>24.5723727</v>
      </c>
      <c r="J633" s="65" t="str">
        <f t="array" ref="J633">XLOOKUP(H633,'2. Matching'!$A$2:$A$39,'2. Matching'!$B$2:$B$39,"--")</f>
        <v>Acquisition</v>
      </c>
      <c r="K633" s="65" t="str">
        <f t="shared" si="1"/>
        <v>In</v>
      </c>
    </row>
    <row r="634">
      <c r="A634" s="62" t="s">
        <v>771</v>
      </c>
      <c r="B634" s="63">
        <v>44384.0</v>
      </c>
      <c r="C634" s="62" t="s">
        <v>112</v>
      </c>
      <c r="D634" s="64">
        <v>0.0</v>
      </c>
      <c r="E634" s="62" t="s">
        <v>109</v>
      </c>
      <c r="F634" s="62" t="s">
        <v>110</v>
      </c>
      <c r="G634" s="64" t="s">
        <v>63</v>
      </c>
      <c r="H634" s="3" t="s">
        <v>228</v>
      </c>
      <c r="I634" s="65" t="str">
        <f>IFERROR(VLOOKUP(A634,'3. Call duration'!$A:$C,3,0),"--")</f>
        <v>--</v>
      </c>
      <c r="J634" s="65" t="str">
        <f t="array" ref="J634">XLOOKUP(H634,'2. Matching'!$A$2:$A$39,'2. Matching'!$B$2:$B$39,"--")</f>
        <v>Farming</v>
      </c>
      <c r="K634" s="65" t="str">
        <f t="shared" si="1"/>
        <v>In</v>
      </c>
    </row>
    <row r="635">
      <c r="A635" s="62" t="s">
        <v>772</v>
      </c>
      <c r="B635" s="63">
        <v>44343.0</v>
      </c>
      <c r="C635" s="62" t="s">
        <v>119</v>
      </c>
      <c r="D635" s="64">
        <v>47.5</v>
      </c>
      <c r="E635" s="62" t="s">
        <v>109</v>
      </c>
      <c r="F635" s="62" t="s">
        <v>110</v>
      </c>
      <c r="G635" s="64" t="s">
        <v>64</v>
      </c>
      <c r="H635" s="3" t="s">
        <v>54</v>
      </c>
      <c r="I635" s="65">
        <f>IFERROR(VLOOKUP(A635,'3. Call duration'!$A:$C,3,0),"--")</f>
        <v>15.81702453</v>
      </c>
      <c r="J635" s="65" t="str">
        <f t="array" ref="J635">XLOOKUP(H635,'2. Matching'!$A$2:$A$39,'2. Matching'!$B$2:$B$39,"--")</f>
        <v>Partnerships</v>
      </c>
      <c r="K635" s="65" t="str">
        <f t="shared" si="1"/>
        <v>In</v>
      </c>
    </row>
    <row r="636">
      <c r="A636" s="62" t="s">
        <v>773</v>
      </c>
      <c r="B636" s="63">
        <v>44347.0</v>
      </c>
      <c r="C636" s="62" t="s">
        <v>119</v>
      </c>
      <c r="D636" s="64">
        <v>47.5</v>
      </c>
      <c r="E636" s="62" t="s">
        <v>109</v>
      </c>
      <c r="F636" s="62" t="s">
        <v>115</v>
      </c>
      <c r="G636" s="64" t="s">
        <v>64</v>
      </c>
      <c r="H636" s="3" t="s">
        <v>145</v>
      </c>
      <c r="I636" s="65">
        <f>IFERROR(VLOOKUP(A636,'3. Call duration'!$A:$C,3,0),"--")</f>
        <v>15.85139556</v>
      </c>
      <c r="J636" s="65" t="str">
        <f t="array" ref="J636">XLOOKUP(H636,'2. Matching'!$A$2:$A$39,'2. Matching'!$B$2:$B$39,"--")</f>
        <v>SEO</v>
      </c>
      <c r="K636" s="65" t="str">
        <f t="shared" si="1"/>
        <v>In</v>
      </c>
    </row>
    <row r="637">
      <c r="A637" s="62" t="s">
        <v>774</v>
      </c>
      <c r="B637" s="63">
        <v>44358.0</v>
      </c>
      <c r="C637" s="62" t="s">
        <v>108</v>
      </c>
      <c r="D637" s="64">
        <v>0.0</v>
      </c>
      <c r="E637" s="62" t="s">
        <v>109</v>
      </c>
      <c r="F637" s="62" t="s">
        <v>110</v>
      </c>
      <c r="G637" s="64" t="s">
        <v>63</v>
      </c>
      <c r="H637" s="3" t="s">
        <v>228</v>
      </c>
      <c r="I637" s="65">
        <f>IFERROR(VLOOKUP(A637,'3. Call duration'!$A:$C,3,0),"--")</f>
        <v>32.44276604</v>
      </c>
      <c r="J637" s="65" t="str">
        <f t="array" ref="J637">XLOOKUP(H637,'2. Matching'!$A$2:$A$39,'2. Matching'!$B$2:$B$39,"--")</f>
        <v>Farming</v>
      </c>
      <c r="K637" s="65" t="str">
        <f t="shared" si="1"/>
        <v>In</v>
      </c>
    </row>
    <row r="638">
      <c r="A638" s="62" t="s">
        <v>775</v>
      </c>
      <c r="B638" s="63">
        <v>44368.0</v>
      </c>
      <c r="C638" s="62" t="s">
        <v>108</v>
      </c>
      <c r="D638" s="64">
        <v>0.0</v>
      </c>
      <c r="E638" s="62" t="s">
        <v>109</v>
      </c>
      <c r="F638" s="62" t="s">
        <v>110</v>
      </c>
      <c r="G638" s="64" t="s">
        <v>59</v>
      </c>
      <c r="H638" s="3" t="s">
        <v>68</v>
      </c>
      <c r="I638" s="65">
        <f>IFERROR(VLOOKUP(A638,'3. Call duration'!$A:$C,3,0),"--")</f>
        <v>33.40735313</v>
      </c>
      <c r="J638" s="65" t="str">
        <f t="array" ref="J638">XLOOKUP(H638,'2. Matching'!$A$2:$A$39,'2. Matching'!$B$2:$B$39,"--")</f>
        <v>Acquisition</v>
      </c>
      <c r="K638" s="65" t="str">
        <f t="shared" si="1"/>
        <v>In</v>
      </c>
    </row>
    <row r="639">
      <c r="A639" s="62" t="s">
        <v>776</v>
      </c>
      <c r="B639" s="63">
        <v>44117.0</v>
      </c>
      <c r="C639" s="62" t="s">
        <v>112</v>
      </c>
      <c r="D639" s="64">
        <v>0.0</v>
      </c>
      <c r="E639" s="62" t="s">
        <v>114</v>
      </c>
      <c r="F639" s="62" t="s">
        <v>110</v>
      </c>
      <c r="G639" s="64" t="s">
        <v>64</v>
      </c>
      <c r="H639" s="3" t="s">
        <v>139</v>
      </c>
      <c r="I639" s="65" t="str">
        <f>IFERROR(VLOOKUP(A639,'3. Call duration'!$A:$C,3,0),"--")</f>
        <v>--</v>
      </c>
      <c r="J639" s="65" t="str">
        <f t="array" ref="J639">XLOOKUP(H639,'2. Matching'!$A$2:$A$39,'2. Matching'!$B$2:$B$39,"--")</f>
        <v>Acquisition</v>
      </c>
      <c r="K639" s="65" t="str">
        <f t="shared" si="1"/>
        <v>In</v>
      </c>
    </row>
    <row r="640">
      <c r="A640" s="62" t="s">
        <v>777</v>
      </c>
      <c r="B640" s="63">
        <v>44246.0</v>
      </c>
      <c r="C640" s="62" t="s">
        <v>112</v>
      </c>
      <c r="D640" s="64">
        <v>0.0</v>
      </c>
      <c r="E640" s="62" t="s">
        <v>109</v>
      </c>
      <c r="F640" s="62" t="s">
        <v>110</v>
      </c>
      <c r="G640" s="64" t="s">
        <v>64</v>
      </c>
      <c r="H640" s="3" t="s">
        <v>169</v>
      </c>
      <c r="I640" s="65" t="str">
        <f>IFERROR(VLOOKUP(A640,'3. Call duration'!$A:$C,3,0),"--")</f>
        <v>--</v>
      </c>
      <c r="J640" s="65" t="str">
        <f t="array" ref="J640">XLOOKUP(H640,'2. Matching'!$A$2:$A$39,'2. Matching'!$B$2:$B$39,"--")</f>
        <v>SEO</v>
      </c>
      <c r="K640" s="65" t="str">
        <f t="shared" si="1"/>
        <v>In</v>
      </c>
    </row>
    <row r="641">
      <c r="A641" s="62" t="s">
        <v>778</v>
      </c>
      <c r="B641" s="63">
        <v>44145.0</v>
      </c>
      <c r="C641" s="62" t="s">
        <v>108</v>
      </c>
      <c r="D641" s="64">
        <v>0.0</v>
      </c>
      <c r="E641" s="62" t="s">
        <v>109</v>
      </c>
      <c r="F641" s="62" t="s">
        <v>110</v>
      </c>
      <c r="G641" s="64" t="s">
        <v>64</v>
      </c>
      <c r="H641" s="3" t="s">
        <v>139</v>
      </c>
      <c r="I641" s="65">
        <f>IFERROR(VLOOKUP(A641,'3. Call duration'!$A:$C,3,0),"--")</f>
        <v>37.56139184</v>
      </c>
      <c r="J641" s="65" t="str">
        <f t="array" ref="J641">XLOOKUP(H641,'2. Matching'!$A$2:$A$39,'2. Matching'!$B$2:$B$39,"--")</f>
        <v>Acquisition</v>
      </c>
      <c r="K641" s="65" t="str">
        <f t="shared" si="1"/>
        <v>In</v>
      </c>
    </row>
    <row r="642">
      <c r="A642" s="62" t="s">
        <v>779</v>
      </c>
      <c r="B642" s="63">
        <v>44136.0</v>
      </c>
      <c r="C642" s="62" t="s">
        <v>112</v>
      </c>
      <c r="D642" s="64">
        <v>0.0</v>
      </c>
      <c r="E642" s="62" t="s">
        <v>109</v>
      </c>
      <c r="F642" s="62" t="s">
        <v>115</v>
      </c>
      <c r="G642" s="64" t="s">
        <v>64</v>
      </c>
      <c r="H642" s="3" t="s">
        <v>139</v>
      </c>
      <c r="I642" s="65" t="str">
        <f>IFERROR(VLOOKUP(A642,'3. Call duration'!$A:$C,3,0),"--")</f>
        <v>--</v>
      </c>
      <c r="J642" s="65" t="str">
        <f t="array" ref="J642">XLOOKUP(H642,'2. Matching'!$A$2:$A$39,'2. Matching'!$B$2:$B$39,"--")</f>
        <v>Acquisition</v>
      </c>
      <c r="K642" s="65" t="str">
        <f t="shared" si="1"/>
        <v>In</v>
      </c>
    </row>
    <row r="643">
      <c r="A643" s="62" t="s">
        <v>780</v>
      </c>
      <c r="B643" s="63">
        <v>44351.0</v>
      </c>
      <c r="C643" s="62" t="s">
        <v>112</v>
      </c>
      <c r="D643" s="64">
        <v>0.0</v>
      </c>
      <c r="E643" s="62" t="s">
        <v>109</v>
      </c>
      <c r="F643" s="62" t="s">
        <v>110</v>
      </c>
      <c r="G643" s="64" t="s">
        <v>60</v>
      </c>
      <c r="H643" s="3" t="s">
        <v>67</v>
      </c>
      <c r="I643" s="65" t="str">
        <f>IFERROR(VLOOKUP(A643,'3. Call duration'!$A:$C,3,0),"--")</f>
        <v>--</v>
      </c>
      <c r="J643" s="65" t="str">
        <f t="array" ref="J643">XLOOKUP(H643,'2. Matching'!$A$2:$A$39,'2. Matching'!$B$2:$B$39,"--")</f>
        <v>Acquisition</v>
      </c>
      <c r="K643" s="65" t="str">
        <f t="shared" si="1"/>
        <v>In</v>
      </c>
    </row>
    <row r="644">
      <c r="A644" s="62" t="s">
        <v>781</v>
      </c>
      <c r="B644" s="63">
        <v>44270.0</v>
      </c>
      <c r="C644" s="62" t="s">
        <v>112</v>
      </c>
      <c r="D644" s="64">
        <v>0.0</v>
      </c>
      <c r="E644" s="62" t="s">
        <v>109</v>
      </c>
      <c r="F644" s="62" t="s">
        <v>115</v>
      </c>
      <c r="G644" s="64" t="s">
        <v>63</v>
      </c>
      <c r="H644" s="3" t="s">
        <v>189</v>
      </c>
      <c r="I644" s="65" t="str">
        <f>IFERROR(VLOOKUP(A644,'3. Call duration'!$A:$C,3,0),"--")</f>
        <v>--</v>
      </c>
      <c r="J644" s="65" t="str">
        <f t="array" ref="J644">XLOOKUP(H644,'2. Matching'!$A$2:$A$39,'2. Matching'!$B$2:$B$39,"--")</f>
        <v>SEO</v>
      </c>
      <c r="K644" s="65" t="str">
        <f t="shared" si="1"/>
        <v>Out</v>
      </c>
    </row>
    <row r="645">
      <c r="A645" s="62" t="s">
        <v>782</v>
      </c>
      <c r="B645" s="63">
        <v>44278.0</v>
      </c>
      <c r="C645" s="62" t="s">
        <v>108</v>
      </c>
      <c r="D645" s="64">
        <v>0.0</v>
      </c>
      <c r="E645" s="62" t="s">
        <v>114</v>
      </c>
      <c r="F645" s="62" t="s">
        <v>110</v>
      </c>
      <c r="G645" s="64" t="s">
        <v>64</v>
      </c>
      <c r="H645" s="3" t="s">
        <v>52</v>
      </c>
      <c r="I645" s="65" t="str">
        <f>IFERROR(VLOOKUP(A645,'3. Call duration'!$A:$C,3,0),"--")</f>
        <v>--</v>
      </c>
      <c r="J645" s="65" t="str">
        <f t="array" ref="J645">XLOOKUP(H645,'2. Matching'!$A$2:$A$39,'2. Matching'!$B$2:$B$39,"--")</f>
        <v>Partnerships</v>
      </c>
      <c r="K645" s="65" t="str">
        <f t="shared" si="1"/>
        <v>In</v>
      </c>
    </row>
    <row r="646">
      <c r="A646" s="62" t="s">
        <v>783</v>
      </c>
      <c r="B646" s="63">
        <v>44273.0</v>
      </c>
      <c r="C646" s="62" t="s">
        <v>112</v>
      </c>
      <c r="D646" s="64">
        <v>0.0</v>
      </c>
      <c r="E646" s="62" t="s">
        <v>109</v>
      </c>
      <c r="F646" s="62" t="s">
        <v>110</v>
      </c>
      <c r="G646" s="64" t="s">
        <v>64</v>
      </c>
      <c r="H646" s="3" t="s">
        <v>49</v>
      </c>
      <c r="I646" s="65" t="str">
        <f>IFERROR(VLOOKUP(A646,'3. Call duration'!$A:$C,3,0),"--")</f>
        <v>--</v>
      </c>
      <c r="J646" s="65" t="str">
        <f t="array" ref="J646">XLOOKUP(H646,'2. Matching'!$A$2:$A$39,'2. Matching'!$B$2:$B$39,"--")</f>
        <v>Partnerships</v>
      </c>
      <c r="K646" s="65" t="str">
        <f t="shared" si="1"/>
        <v>In</v>
      </c>
    </row>
    <row r="647">
      <c r="A647" s="62" t="s">
        <v>784</v>
      </c>
      <c r="B647" s="63">
        <v>44348.0</v>
      </c>
      <c r="C647" s="62" t="s">
        <v>112</v>
      </c>
      <c r="D647" s="64">
        <v>0.0</v>
      </c>
      <c r="E647" s="62" t="s">
        <v>109</v>
      </c>
      <c r="F647" s="62" t="s">
        <v>110</v>
      </c>
      <c r="G647" s="64" t="s">
        <v>64</v>
      </c>
      <c r="H647" s="3" t="s">
        <v>55</v>
      </c>
      <c r="I647" s="65" t="str">
        <f>IFERROR(VLOOKUP(A647,'3. Call duration'!$A:$C,3,0),"--")</f>
        <v>--</v>
      </c>
      <c r="J647" s="65" t="str">
        <f t="array" ref="J647">XLOOKUP(H647,'2. Matching'!$A$2:$A$39,'2. Matching'!$B$2:$B$39,"--")</f>
        <v>Partnerships</v>
      </c>
      <c r="K647" s="65" t="str">
        <f t="shared" si="1"/>
        <v>In</v>
      </c>
    </row>
    <row r="648">
      <c r="A648" s="62" t="s">
        <v>785</v>
      </c>
      <c r="B648" s="63">
        <v>44351.0</v>
      </c>
      <c r="C648" s="62" t="s">
        <v>112</v>
      </c>
      <c r="D648" s="64">
        <v>0.0</v>
      </c>
      <c r="E648" s="62" t="s">
        <v>114</v>
      </c>
      <c r="F648" s="62" t="s">
        <v>110</v>
      </c>
      <c r="G648" s="64" t="s">
        <v>64</v>
      </c>
      <c r="H648" s="3" t="s">
        <v>54</v>
      </c>
      <c r="I648" s="65" t="str">
        <f>IFERROR(VLOOKUP(A648,'3. Call duration'!$A:$C,3,0),"--")</f>
        <v>--</v>
      </c>
      <c r="J648" s="65" t="str">
        <f t="array" ref="J648">XLOOKUP(H648,'2. Matching'!$A$2:$A$39,'2. Matching'!$B$2:$B$39,"--")</f>
        <v>Partnerships</v>
      </c>
      <c r="K648" s="65" t="str">
        <f t="shared" si="1"/>
        <v>In</v>
      </c>
    </row>
    <row r="649">
      <c r="A649" s="62" t="s">
        <v>786</v>
      </c>
      <c r="B649" s="63">
        <v>44284.0</v>
      </c>
      <c r="C649" s="62" t="s">
        <v>112</v>
      </c>
      <c r="D649" s="64">
        <v>0.0</v>
      </c>
      <c r="E649" s="62" t="s">
        <v>109</v>
      </c>
      <c r="F649" s="62" t="s">
        <v>110</v>
      </c>
      <c r="G649" s="64" t="s">
        <v>64</v>
      </c>
      <c r="H649" s="3" t="s">
        <v>139</v>
      </c>
      <c r="I649" s="65" t="str">
        <f>IFERROR(VLOOKUP(A649,'3. Call duration'!$A:$C,3,0),"--")</f>
        <v>--</v>
      </c>
      <c r="J649" s="65" t="str">
        <f t="array" ref="J649">XLOOKUP(H649,'2. Matching'!$A$2:$A$39,'2. Matching'!$B$2:$B$39,"--")</f>
        <v>Acquisition</v>
      </c>
      <c r="K649" s="65" t="str">
        <f t="shared" si="1"/>
        <v>In</v>
      </c>
    </row>
    <row r="650">
      <c r="A650" s="62" t="s">
        <v>787</v>
      </c>
      <c r="B650" s="63">
        <v>44368.0</v>
      </c>
      <c r="C650" s="62" t="s">
        <v>112</v>
      </c>
      <c r="D650" s="64">
        <v>0.0</v>
      </c>
      <c r="E650" s="62" t="s">
        <v>109</v>
      </c>
      <c r="F650" s="62" t="s">
        <v>110</v>
      </c>
      <c r="G650" s="64" t="s">
        <v>63</v>
      </c>
      <c r="H650" s="3" t="s">
        <v>124</v>
      </c>
      <c r="I650" s="65" t="str">
        <f>IFERROR(VLOOKUP(A650,'3. Call duration'!$A:$C,3,0),"--")</f>
        <v>--</v>
      </c>
      <c r="J650" s="65" t="str">
        <f t="array" ref="J650">XLOOKUP(H650,'2. Matching'!$A$2:$A$39,'2. Matching'!$B$2:$B$39,"--")</f>
        <v>Acquisition</v>
      </c>
      <c r="K650" s="65" t="str">
        <f t="shared" si="1"/>
        <v>In</v>
      </c>
    </row>
    <row r="651">
      <c r="A651" s="62" t="s">
        <v>788</v>
      </c>
      <c r="B651" s="63">
        <v>44250.0</v>
      </c>
      <c r="C651" s="62" t="s">
        <v>108</v>
      </c>
      <c r="D651" s="64">
        <v>0.0</v>
      </c>
      <c r="E651" s="62" t="s">
        <v>109</v>
      </c>
      <c r="F651" s="62" t="s">
        <v>115</v>
      </c>
      <c r="G651" s="64" t="s">
        <v>64</v>
      </c>
      <c r="H651" s="3" t="s">
        <v>221</v>
      </c>
      <c r="I651" s="65">
        <f>IFERROR(VLOOKUP(A651,'3. Call duration'!$A:$C,3,0),"--")</f>
        <v>32.14233896</v>
      </c>
      <c r="J651" s="65" t="str">
        <f t="array" ref="J651">XLOOKUP(H651,'2. Matching'!$A$2:$A$39,'2. Matching'!$B$2:$B$39,"--")</f>
        <v>Farming</v>
      </c>
      <c r="K651" s="65" t="str">
        <f t="shared" si="1"/>
        <v>In</v>
      </c>
    </row>
    <row r="652">
      <c r="A652" s="62" t="s">
        <v>789</v>
      </c>
      <c r="B652" s="63">
        <v>44323.0</v>
      </c>
      <c r="C652" s="62" t="s">
        <v>119</v>
      </c>
      <c r="D652" s="64">
        <v>95.0</v>
      </c>
      <c r="E652" s="62" t="s">
        <v>114</v>
      </c>
      <c r="F652" s="62" t="s">
        <v>115</v>
      </c>
      <c r="G652" s="64" t="s">
        <v>64</v>
      </c>
      <c r="H652" s="3" t="s">
        <v>55</v>
      </c>
      <c r="I652" s="65">
        <f>IFERROR(VLOOKUP(A652,'3. Call duration'!$A:$C,3,0),"--")</f>
        <v>15.89246025</v>
      </c>
      <c r="J652" s="65" t="str">
        <f t="array" ref="J652">XLOOKUP(H652,'2. Matching'!$A$2:$A$39,'2. Matching'!$B$2:$B$39,"--")</f>
        <v>Partnerships</v>
      </c>
      <c r="K652" s="65" t="str">
        <f t="shared" si="1"/>
        <v>In</v>
      </c>
    </row>
    <row r="653">
      <c r="A653" s="62" t="s">
        <v>790</v>
      </c>
      <c r="B653" s="63">
        <v>44368.0</v>
      </c>
      <c r="C653" s="62" t="s">
        <v>112</v>
      </c>
      <c r="D653" s="64">
        <v>0.0</v>
      </c>
      <c r="E653" s="62" t="s">
        <v>791</v>
      </c>
      <c r="F653" s="62" t="s">
        <v>115</v>
      </c>
      <c r="G653" s="64" t="s">
        <v>64</v>
      </c>
      <c r="H653" s="3" t="s">
        <v>175</v>
      </c>
      <c r="I653" s="65" t="str">
        <f>IFERROR(VLOOKUP(A653,'3. Call duration'!$A:$C,3,0),"--")</f>
        <v>--</v>
      </c>
      <c r="J653" s="65" t="str">
        <f t="array" ref="J653">XLOOKUP(H653,'2. Matching'!$A$2:$A$39,'2. Matching'!$B$2:$B$39,"--")</f>
        <v>SEO</v>
      </c>
      <c r="K653" s="65" t="str">
        <f t="shared" si="1"/>
        <v>In</v>
      </c>
    </row>
    <row r="654">
      <c r="A654" s="62" t="s">
        <v>792</v>
      </c>
      <c r="B654" s="63">
        <v>44312.0</v>
      </c>
      <c r="C654" s="62" t="s">
        <v>112</v>
      </c>
      <c r="D654" s="64">
        <v>0.0</v>
      </c>
      <c r="E654" s="62" t="s">
        <v>109</v>
      </c>
      <c r="F654" s="62" t="s">
        <v>110</v>
      </c>
      <c r="G654" s="64" t="s">
        <v>64</v>
      </c>
      <c r="H654" s="3" t="s">
        <v>185</v>
      </c>
      <c r="I654" s="65" t="str">
        <f>IFERROR(VLOOKUP(A654,'3. Call duration'!$A:$C,3,0),"--")</f>
        <v>--</v>
      </c>
      <c r="J654" s="65" t="str">
        <f t="array" ref="J654">XLOOKUP(H654,'2. Matching'!$A$2:$A$39,'2. Matching'!$B$2:$B$39,"--")</f>
        <v>SEO</v>
      </c>
      <c r="K654" s="65" t="str">
        <f t="shared" si="1"/>
        <v>In</v>
      </c>
    </row>
    <row r="655">
      <c r="A655" s="62" t="s">
        <v>793</v>
      </c>
      <c r="B655" s="63">
        <v>44392.0</v>
      </c>
      <c r="C655" s="62" t="s">
        <v>112</v>
      </c>
      <c r="D655" s="64">
        <v>0.0</v>
      </c>
      <c r="E655" s="62" t="s">
        <v>114</v>
      </c>
      <c r="F655" s="62" t="s">
        <v>110</v>
      </c>
      <c r="G655" s="64" t="s">
        <v>64</v>
      </c>
      <c r="H655" s="3" t="s">
        <v>297</v>
      </c>
      <c r="I655" s="65" t="str">
        <f>IFERROR(VLOOKUP(A655,'3. Call duration'!$A:$C,3,0),"--")</f>
        <v>--</v>
      </c>
      <c r="J655" s="65" t="str">
        <f t="array" ref="J655">XLOOKUP(H655,'2. Matching'!$A$2:$A$39,'2. Matching'!$B$2:$B$39,"--")</f>
        <v>Farming</v>
      </c>
      <c r="K655" s="65" t="str">
        <f t="shared" si="1"/>
        <v>In</v>
      </c>
    </row>
    <row r="656">
      <c r="A656" s="62" t="s">
        <v>794</v>
      </c>
      <c r="B656" s="63">
        <v>44309.0</v>
      </c>
      <c r="C656" s="62" t="s">
        <v>108</v>
      </c>
      <c r="D656" s="64">
        <v>0.0</v>
      </c>
      <c r="E656" s="62" t="s">
        <v>109</v>
      </c>
      <c r="F656" s="62" t="s">
        <v>115</v>
      </c>
      <c r="G656" s="64" t="s">
        <v>64</v>
      </c>
      <c r="H656" s="3" t="s">
        <v>221</v>
      </c>
      <c r="I656" s="65">
        <f>IFERROR(VLOOKUP(A656,'3. Call duration'!$A:$C,3,0),"--")</f>
        <v>29.48631512</v>
      </c>
      <c r="J656" s="65" t="str">
        <f t="array" ref="J656">XLOOKUP(H656,'2. Matching'!$A$2:$A$39,'2. Matching'!$B$2:$B$39,"--")</f>
        <v>Farming</v>
      </c>
      <c r="K656" s="65" t="str">
        <f t="shared" si="1"/>
        <v>In</v>
      </c>
    </row>
    <row r="657">
      <c r="A657" s="62" t="s">
        <v>795</v>
      </c>
      <c r="B657" s="63">
        <v>44168.0</v>
      </c>
      <c r="C657" s="62" t="s">
        <v>108</v>
      </c>
      <c r="D657" s="64">
        <v>0.0</v>
      </c>
      <c r="E657" s="62" t="s">
        <v>114</v>
      </c>
      <c r="F657" s="62" t="s">
        <v>110</v>
      </c>
      <c r="G657" s="64" t="s">
        <v>64</v>
      </c>
      <c r="H657" s="3" t="s">
        <v>175</v>
      </c>
      <c r="I657" s="65">
        <f>IFERROR(VLOOKUP(A657,'3. Call duration'!$A:$C,3,0),"--")</f>
        <v>14.85703755</v>
      </c>
      <c r="J657" s="65" t="str">
        <f t="array" ref="J657">XLOOKUP(H657,'2. Matching'!$A$2:$A$39,'2. Matching'!$B$2:$B$39,"--")</f>
        <v>SEO</v>
      </c>
      <c r="K657" s="65" t="str">
        <f t="shared" si="1"/>
        <v>In</v>
      </c>
    </row>
    <row r="658">
      <c r="A658" s="62" t="s">
        <v>796</v>
      </c>
      <c r="B658" s="63">
        <v>44341.0</v>
      </c>
      <c r="C658" s="62" t="s">
        <v>119</v>
      </c>
      <c r="D658" s="64">
        <v>47.5</v>
      </c>
      <c r="E658" s="62" t="s">
        <v>109</v>
      </c>
      <c r="F658" s="62" t="s">
        <v>115</v>
      </c>
      <c r="G658" s="64" t="s">
        <v>64</v>
      </c>
      <c r="H658" s="3" t="s">
        <v>141</v>
      </c>
      <c r="I658" s="65">
        <f>IFERROR(VLOOKUP(A658,'3. Call duration'!$A:$C,3,0),"--")</f>
        <v>15.89470308</v>
      </c>
      <c r="J658" s="65" t="str">
        <f t="array" ref="J658">XLOOKUP(H658,'2. Matching'!$A$2:$A$39,'2. Matching'!$B$2:$B$39,"--")</f>
        <v>Acquisition</v>
      </c>
      <c r="K658" s="65" t="str">
        <f t="shared" si="1"/>
        <v>In</v>
      </c>
    </row>
    <row r="659">
      <c r="A659" s="62" t="s">
        <v>797</v>
      </c>
      <c r="B659" s="63">
        <v>44392.0</v>
      </c>
      <c r="C659" s="62" t="s">
        <v>112</v>
      </c>
      <c r="D659" s="64">
        <v>0.0</v>
      </c>
      <c r="E659" s="62" t="s">
        <v>109</v>
      </c>
      <c r="F659" s="62" t="s">
        <v>110</v>
      </c>
      <c r="G659" s="64" t="s">
        <v>60</v>
      </c>
      <c r="H659" s="3" t="s">
        <v>67</v>
      </c>
      <c r="I659" s="65" t="str">
        <f>IFERROR(VLOOKUP(A659,'3. Call duration'!$A:$C,3,0),"--")</f>
        <v>--</v>
      </c>
      <c r="J659" s="65" t="str">
        <f t="array" ref="J659">XLOOKUP(H659,'2. Matching'!$A$2:$A$39,'2. Matching'!$B$2:$B$39,"--")</f>
        <v>Acquisition</v>
      </c>
      <c r="K659" s="65" t="str">
        <f t="shared" si="1"/>
        <v>In</v>
      </c>
    </row>
    <row r="660">
      <c r="A660" s="62" t="s">
        <v>798</v>
      </c>
      <c r="B660" s="63">
        <v>44354.0</v>
      </c>
      <c r="C660" s="62" t="s">
        <v>112</v>
      </c>
      <c r="D660" s="64">
        <v>0.0</v>
      </c>
      <c r="E660" s="62" t="s">
        <v>109</v>
      </c>
      <c r="F660" s="62" t="s">
        <v>110</v>
      </c>
      <c r="G660" s="64" t="s">
        <v>59</v>
      </c>
      <c r="H660" s="3" t="s">
        <v>68</v>
      </c>
      <c r="I660" s="65" t="str">
        <f>IFERROR(VLOOKUP(A660,'3. Call duration'!$A:$C,3,0),"--")</f>
        <v>--</v>
      </c>
      <c r="J660" s="65" t="str">
        <f t="array" ref="J660">XLOOKUP(H660,'2. Matching'!$A$2:$A$39,'2. Matching'!$B$2:$B$39,"--")</f>
        <v>Acquisition</v>
      </c>
      <c r="K660" s="65" t="str">
        <f t="shared" si="1"/>
        <v>In</v>
      </c>
    </row>
    <row r="661">
      <c r="A661" s="62" t="s">
        <v>799</v>
      </c>
      <c r="B661" s="63">
        <v>44347.0</v>
      </c>
      <c r="C661" s="62" t="s">
        <v>119</v>
      </c>
      <c r="D661" s="64">
        <v>47.5</v>
      </c>
      <c r="E661" s="62" t="s">
        <v>109</v>
      </c>
      <c r="F661" s="62" t="s">
        <v>115</v>
      </c>
      <c r="G661" s="64" t="s">
        <v>64</v>
      </c>
      <c r="H661" s="3" t="s">
        <v>131</v>
      </c>
      <c r="I661" s="65">
        <f>IFERROR(VLOOKUP(A661,'3. Call duration'!$A:$C,3,0),"--")</f>
        <v>16.29541127</v>
      </c>
      <c r="J661" s="65" t="str">
        <f t="array" ref="J661">XLOOKUP(H661,'2. Matching'!$A$2:$A$39,'2. Matching'!$B$2:$B$39,"--")</f>
        <v>Acquisition</v>
      </c>
      <c r="K661" s="65" t="str">
        <f t="shared" si="1"/>
        <v>In</v>
      </c>
    </row>
    <row r="662">
      <c r="A662" s="62" t="s">
        <v>800</v>
      </c>
      <c r="B662" s="63">
        <v>44358.0</v>
      </c>
      <c r="C662" s="62" t="s">
        <v>112</v>
      </c>
      <c r="D662" s="64">
        <v>0.0</v>
      </c>
      <c r="E662" s="62" t="s">
        <v>109</v>
      </c>
      <c r="F662" s="62" t="s">
        <v>115</v>
      </c>
      <c r="G662" s="64" t="s">
        <v>63</v>
      </c>
      <c r="H662" s="3" t="s">
        <v>189</v>
      </c>
      <c r="I662" s="65" t="str">
        <f>IFERROR(VLOOKUP(A662,'3. Call duration'!$A:$C,3,0),"--")</f>
        <v>--</v>
      </c>
      <c r="J662" s="65" t="str">
        <f t="array" ref="J662">XLOOKUP(H662,'2. Matching'!$A$2:$A$39,'2. Matching'!$B$2:$B$39,"--")</f>
        <v>SEO</v>
      </c>
      <c r="K662" s="65" t="str">
        <f t="shared" si="1"/>
        <v>Out</v>
      </c>
    </row>
    <row r="663">
      <c r="A663" s="62" t="s">
        <v>801</v>
      </c>
      <c r="B663" s="63">
        <v>44273.0</v>
      </c>
      <c r="C663" s="62" t="s">
        <v>112</v>
      </c>
      <c r="D663" s="64">
        <v>0.0</v>
      </c>
      <c r="E663" s="62" t="s">
        <v>114</v>
      </c>
      <c r="F663" s="62" t="s">
        <v>115</v>
      </c>
      <c r="G663" s="64" t="s">
        <v>64</v>
      </c>
      <c r="H663" s="3" t="s">
        <v>175</v>
      </c>
      <c r="I663" s="65" t="str">
        <f>IFERROR(VLOOKUP(A663,'3. Call duration'!$A:$C,3,0),"--")</f>
        <v>--</v>
      </c>
      <c r="J663" s="65" t="str">
        <f t="array" ref="J663">XLOOKUP(H663,'2. Matching'!$A$2:$A$39,'2. Matching'!$B$2:$B$39,"--")</f>
        <v>SEO</v>
      </c>
      <c r="K663" s="65" t="str">
        <f t="shared" si="1"/>
        <v>In</v>
      </c>
    </row>
    <row r="664">
      <c r="A664" s="62" t="s">
        <v>802</v>
      </c>
      <c r="B664" s="63">
        <v>44330.0</v>
      </c>
      <c r="C664" s="62" t="s">
        <v>108</v>
      </c>
      <c r="D664" s="64">
        <v>0.0</v>
      </c>
      <c r="E664" s="62" t="s">
        <v>109</v>
      </c>
      <c r="F664" s="62" t="s">
        <v>110</v>
      </c>
      <c r="G664" s="64" t="s">
        <v>64</v>
      </c>
      <c r="H664" s="3" t="s">
        <v>116</v>
      </c>
      <c r="I664" s="65">
        <f>IFERROR(VLOOKUP(A664,'3. Call duration'!$A:$C,3,0),"--")</f>
        <v>16.32159155</v>
      </c>
      <c r="J664" s="65" t="str">
        <f t="array" ref="J664">XLOOKUP(H664,'2. Matching'!$A$2:$A$39,'2. Matching'!$B$2:$B$39,"--")</f>
        <v>Acquisition</v>
      </c>
      <c r="K664" s="65" t="str">
        <f t="shared" si="1"/>
        <v>In</v>
      </c>
    </row>
    <row r="665">
      <c r="A665" s="62" t="s">
        <v>803</v>
      </c>
      <c r="B665" s="63">
        <v>44236.0</v>
      </c>
      <c r="C665" s="62" t="s">
        <v>108</v>
      </c>
      <c r="D665" s="64">
        <v>0.0</v>
      </c>
      <c r="E665" s="62" t="s">
        <v>109</v>
      </c>
      <c r="F665" s="62" t="s">
        <v>115</v>
      </c>
      <c r="G665" s="64" t="s">
        <v>64</v>
      </c>
      <c r="H665" s="3" t="s">
        <v>131</v>
      </c>
      <c r="I665" s="65">
        <f>IFERROR(VLOOKUP(A665,'3. Call duration'!$A:$C,3,0),"--")</f>
        <v>22.50157047</v>
      </c>
      <c r="J665" s="65" t="str">
        <f t="array" ref="J665">XLOOKUP(H665,'2. Matching'!$A$2:$A$39,'2. Matching'!$B$2:$B$39,"--")</f>
        <v>Acquisition</v>
      </c>
      <c r="K665" s="65" t="str">
        <f t="shared" si="1"/>
        <v>In</v>
      </c>
    </row>
    <row r="666">
      <c r="A666" s="62" t="s">
        <v>804</v>
      </c>
      <c r="B666" s="63">
        <v>44337.0</v>
      </c>
      <c r="C666" s="62" t="s">
        <v>119</v>
      </c>
      <c r="D666" s="64">
        <v>47.5</v>
      </c>
      <c r="E666" s="62" t="s">
        <v>109</v>
      </c>
      <c r="F666" s="62" t="s">
        <v>115</v>
      </c>
      <c r="G666" s="64" t="s">
        <v>64</v>
      </c>
      <c r="H666" s="3" t="s">
        <v>139</v>
      </c>
      <c r="I666" s="65">
        <f>IFERROR(VLOOKUP(A666,'3. Call duration'!$A:$C,3,0),"--")</f>
        <v>16.37861361</v>
      </c>
      <c r="J666" s="65" t="str">
        <f t="array" ref="J666">XLOOKUP(H666,'2. Matching'!$A$2:$A$39,'2. Matching'!$B$2:$B$39,"--")</f>
        <v>Acquisition</v>
      </c>
      <c r="K666" s="65" t="str">
        <f t="shared" si="1"/>
        <v>In</v>
      </c>
    </row>
    <row r="667">
      <c r="A667" s="62" t="s">
        <v>805</v>
      </c>
      <c r="B667" s="63">
        <v>44279.0</v>
      </c>
      <c r="C667" s="62" t="s">
        <v>112</v>
      </c>
      <c r="D667" s="64">
        <v>0.0</v>
      </c>
      <c r="E667" s="62" t="s">
        <v>109</v>
      </c>
      <c r="F667" s="62" t="s">
        <v>110</v>
      </c>
      <c r="G667" s="64" t="s">
        <v>64</v>
      </c>
      <c r="H667" s="3" t="s">
        <v>297</v>
      </c>
      <c r="I667" s="65" t="str">
        <f>IFERROR(VLOOKUP(A667,'3. Call duration'!$A:$C,3,0),"--")</f>
        <v>--</v>
      </c>
      <c r="J667" s="65" t="str">
        <f t="array" ref="J667">XLOOKUP(H667,'2. Matching'!$A$2:$A$39,'2. Matching'!$B$2:$B$39,"--")</f>
        <v>Farming</v>
      </c>
      <c r="K667" s="65" t="str">
        <f t="shared" si="1"/>
        <v>In</v>
      </c>
    </row>
    <row r="668">
      <c r="A668" s="62" t="s">
        <v>806</v>
      </c>
      <c r="B668" s="63">
        <v>44161.0</v>
      </c>
      <c r="C668" s="62" t="s">
        <v>108</v>
      </c>
      <c r="D668" s="64">
        <v>0.0</v>
      </c>
      <c r="E668" s="62" t="s">
        <v>114</v>
      </c>
      <c r="F668" s="62" t="s">
        <v>110</v>
      </c>
      <c r="G668" s="64" t="s">
        <v>62</v>
      </c>
      <c r="H668" s="3" t="s">
        <v>286</v>
      </c>
      <c r="I668" s="65">
        <f>IFERROR(VLOOKUP(A668,'3. Call duration'!$A:$C,3,0),"--")</f>
        <v>27.46974868</v>
      </c>
      <c r="J668" s="65" t="str">
        <f t="array" ref="J668">XLOOKUP(H668,'2. Matching'!$A$2:$A$39,'2. Matching'!$B$2:$B$39,"--")</f>
        <v>Farming</v>
      </c>
      <c r="K668" s="65" t="str">
        <f t="shared" si="1"/>
        <v>In</v>
      </c>
    </row>
    <row r="669">
      <c r="A669" s="62" t="s">
        <v>807</v>
      </c>
      <c r="B669" s="63">
        <v>44223.0</v>
      </c>
      <c r="C669" s="62" t="s">
        <v>112</v>
      </c>
      <c r="D669" s="64">
        <v>0.0</v>
      </c>
      <c r="E669" s="62" t="s">
        <v>109</v>
      </c>
      <c r="F669" s="62" t="s">
        <v>110</v>
      </c>
      <c r="G669" s="64" t="s">
        <v>64</v>
      </c>
      <c r="H669" s="3" t="s">
        <v>145</v>
      </c>
      <c r="I669" s="65" t="str">
        <f>IFERROR(VLOOKUP(A669,'3. Call duration'!$A:$C,3,0),"--")</f>
        <v>--</v>
      </c>
      <c r="J669" s="65" t="str">
        <f t="array" ref="J669">XLOOKUP(H669,'2. Matching'!$A$2:$A$39,'2. Matching'!$B$2:$B$39,"--")</f>
        <v>SEO</v>
      </c>
      <c r="K669" s="65" t="str">
        <f t="shared" si="1"/>
        <v>In</v>
      </c>
    </row>
    <row r="670">
      <c r="A670" s="62" t="s">
        <v>808</v>
      </c>
      <c r="B670" s="63">
        <v>44387.0</v>
      </c>
      <c r="C670" s="62" t="s">
        <v>112</v>
      </c>
      <c r="D670" s="64">
        <v>0.0</v>
      </c>
      <c r="E670" s="62" t="s">
        <v>109</v>
      </c>
      <c r="F670" s="62" t="s">
        <v>110</v>
      </c>
      <c r="G670" s="64" t="s">
        <v>61</v>
      </c>
      <c r="H670" s="3" t="s">
        <v>67</v>
      </c>
      <c r="I670" s="65" t="str">
        <f>IFERROR(VLOOKUP(A670,'3. Call duration'!$A:$C,3,0),"--")</f>
        <v>--</v>
      </c>
      <c r="J670" s="65" t="str">
        <f t="array" ref="J670">XLOOKUP(H670,'2. Matching'!$A$2:$A$39,'2. Matching'!$B$2:$B$39,"--")</f>
        <v>Acquisition</v>
      </c>
      <c r="K670" s="65" t="str">
        <f t="shared" si="1"/>
        <v>In</v>
      </c>
    </row>
    <row r="671">
      <c r="A671" s="62" t="s">
        <v>809</v>
      </c>
      <c r="B671" s="63">
        <v>44385.0</v>
      </c>
      <c r="C671" s="62" t="s">
        <v>112</v>
      </c>
      <c r="D671" s="64">
        <v>0.0</v>
      </c>
      <c r="E671" s="62" t="s">
        <v>109</v>
      </c>
      <c r="F671" s="62" t="s">
        <v>110</v>
      </c>
      <c r="G671" s="64" t="s">
        <v>63</v>
      </c>
      <c r="H671" s="3" t="s">
        <v>128</v>
      </c>
      <c r="I671" s="65" t="str">
        <f>IFERROR(VLOOKUP(A671,'3. Call duration'!$A:$C,3,0),"--")</f>
        <v>--</v>
      </c>
      <c r="J671" s="65" t="str">
        <f t="array" ref="J671">XLOOKUP(H671,'2. Matching'!$A$2:$A$39,'2. Matching'!$B$2:$B$39,"--")</f>
        <v>Acquisition</v>
      </c>
      <c r="K671" s="65" t="str">
        <f t="shared" si="1"/>
        <v>In</v>
      </c>
    </row>
    <row r="672">
      <c r="A672" s="62" t="s">
        <v>810</v>
      </c>
      <c r="B672" s="63">
        <v>44338.0</v>
      </c>
      <c r="C672" s="62" t="s">
        <v>119</v>
      </c>
      <c r="D672" s="64">
        <v>47.5</v>
      </c>
      <c r="E672" s="62" t="s">
        <v>109</v>
      </c>
      <c r="F672" s="62" t="s">
        <v>115</v>
      </c>
      <c r="G672" s="64" t="s">
        <v>64</v>
      </c>
      <c r="H672" s="3" t="s">
        <v>139</v>
      </c>
      <c r="I672" s="65">
        <f>IFERROR(VLOOKUP(A672,'3. Call duration'!$A:$C,3,0),"--")</f>
        <v>16.37962531</v>
      </c>
      <c r="J672" s="65" t="str">
        <f t="array" ref="J672">XLOOKUP(H672,'2. Matching'!$A$2:$A$39,'2. Matching'!$B$2:$B$39,"--")</f>
        <v>Acquisition</v>
      </c>
      <c r="K672" s="65" t="str">
        <f t="shared" si="1"/>
        <v>In</v>
      </c>
    </row>
    <row r="673">
      <c r="A673" s="62" t="s">
        <v>811</v>
      </c>
      <c r="B673" s="63">
        <v>44151.0</v>
      </c>
      <c r="C673" s="62" t="s">
        <v>112</v>
      </c>
      <c r="D673" s="64">
        <v>0.0</v>
      </c>
      <c r="E673" s="62" t="s">
        <v>114</v>
      </c>
      <c r="F673" s="62" t="s">
        <v>115</v>
      </c>
      <c r="G673" s="64" t="s">
        <v>64</v>
      </c>
      <c r="H673" s="3" t="s">
        <v>155</v>
      </c>
      <c r="I673" s="65" t="str">
        <f>IFERROR(VLOOKUP(A673,'3. Call duration'!$A:$C,3,0),"--")</f>
        <v>--</v>
      </c>
      <c r="J673" s="65" t="str">
        <f t="array" ref="J673">XLOOKUP(H673,'2. Matching'!$A$2:$A$39,'2. Matching'!$B$2:$B$39,"--")</f>
        <v>SEO</v>
      </c>
      <c r="K673" s="65" t="str">
        <f t="shared" si="1"/>
        <v>In</v>
      </c>
    </row>
    <row r="674">
      <c r="A674" s="62" t="s">
        <v>812</v>
      </c>
      <c r="B674" s="63">
        <v>44151.0</v>
      </c>
      <c r="C674" s="62" t="s">
        <v>112</v>
      </c>
      <c r="D674" s="64">
        <v>0.0</v>
      </c>
      <c r="E674" s="62" t="s">
        <v>114</v>
      </c>
      <c r="F674" s="62" t="s">
        <v>115</v>
      </c>
      <c r="G674" s="64" t="s">
        <v>64</v>
      </c>
      <c r="H674" s="3" t="s">
        <v>145</v>
      </c>
      <c r="I674" s="65" t="str">
        <f>IFERROR(VLOOKUP(A674,'3. Call duration'!$A:$C,3,0),"--")</f>
        <v>--</v>
      </c>
      <c r="J674" s="65" t="str">
        <f t="array" ref="J674">XLOOKUP(H674,'2. Matching'!$A$2:$A$39,'2. Matching'!$B$2:$B$39,"--")</f>
        <v>SEO</v>
      </c>
      <c r="K674" s="65" t="str">
        <f t="shared" si="1"/>
        <v>In</v>
      </c>
    </row>
    <row r="675">
      <c r="A675" s="62" t="s">
        <v>813</v>
      </c>
      <c r="B675" s="63">
        <v>44131.0</v>
      </c>
      <c r="C675" s="62" t="s">
        <v>108</v>
      </c>
      <c r="D675" s="64">
        <v>0.0</v>
      </c>
      <c r="E675" s="62" t="s">
        <v>114</v>
      </c>
      <c r="F675" s="62" t="s">
        <v>110</v>
      </c>
      <c r="G675" s="64" t="s">
        <v>64</v>
      </c>
      <c r="H675" s="3" t="s">
        <v>169</v>
      </c>
      <c r="I675" s="65">
        <f>IFERROR(VLOOKUP(A675,'3. Call duration'!$A:$C,3,0),"--")</f>
        <v>30.51683674</v>
      </c>
      <c r="J675" s="65" t="str">
        <f t="array" ref="J675">XLOOKUP(H675,'2. Matching'!$A$2:$A$39,'2. Matching'!$B$2:$B$39,"--")</f>
        <v>SEO</v>
      </c>
      <c r="K675" s="65" t="str">
        <f t="shared" si="1"/>
        <v>In</v>
      </c>
    </row>
    <row r="676">
      <c r="A676" s="62" t="s">
        <v>814</v>
      </c>
      <c r="B676" s="63">
        <v>44355.0</v>
      </c>
      <c r="C676" s="62" t="s">
        <v>108</v>
      </c>
      <c r="D676" s="64">
        <v>0.0</v>
      </c>
      <c r="E676" s="62" t="s">
        <v>109</v>
      </c>
      <c r="F676" s="62" t="s">
        <v>115</v>
      </c>
      <c r="G676" s="64" t="s">
        <v>64</v>
      </c>
      <c r="H676" s="3" t="s">
        <v>131</v>
      </c>
      <c r="I676" s="65">
        <f>IFERROR(VLOOKUP(A676,'3. Call duration'!$A:$C,3,0),"--")</f>
        <v>27.92086257</v>
      </c>
      <c r="J676" s="65" t="str">
        <f t="array" ref="J676">XLOOKUP(H676,'2. Matching'!$A$2:$A$39,'2. Matching'!$B$2:$B$39,"--")</f>
        <v>Acquisition</v>
      </c>
      <c r="K676" s="65" t="str">
        <f t="shared" si="1"/>
        <v>In</v>
      </c>
    </row>
    <row r="677">
      <c r="A677" s="62" t="s">
        <v>815</v>
      </c>
      <c r="B677" s="63">
        <v>44361.0</v>
      </c>
      <c r="C677" s="62" t="s">
        <v>112</v>
      </c>
      <c r="D677" s="64">
        <v>0.0</v>
      </c>
      <c r="E677" s="62" t="s">
        <v>109</v>
      </c>
      <c r="F677" s="62" t="s">
        <v>110</v>
      </c>
      <c r="G677" s="64" t="s">
        <v>61</v>
      </c>
      <c r="H677" s="3" t="s">
        <v>68</v>
      </c>
      <c r="I677" s="65" t="str">
        <f>IFERROR(VLOOKUP(A677,'3. Call duration'!$A:$C,3,0),"--")</f>
        <v>--</v>
      </c>
      <c r="J677" s="65" t="str">
        <f t="array" ref="J677">XLOOKUP(H677,'2. Matching'!$A$2:$A$39,'2. Matching'!$B$2:$B$39,"--")</f>
        <v>Acquisition</v>
      </c>
      <c r="K677" s="65" t="str">
        <f t="shared" si="1"/>
        <v>In</v>
      </c>
    </row>
    <row r="678">
      <c r="A678" s="62" t="s">
        <v>816</v>
      </c>
      <c r="B678" s="63">
        <v>44364.0</v>
      </c>
      <c r="C678" s="62" t="s">
        <v>112</v>
      </c>
      <c r="D678" s="64">
        <v>0.0</v>
      </c>
      <c r="E678" s="62" t="s">
        <v>109</v>
      </c>
      <c r="F678" s="62" t="s">
        <v>110</v>
      </c>
      <c r="G678" s="64" t="s">
        <v>60</v>
      </c>
      <c r="H678" s="3" t="s">
        <v>67</v>
      </c>
      <c r="I678" s="65" t="str">
        <f>IFERROR(VLOOKUP(A678,'3. Call duration'!$A:$C,3,0),"--")</f>
        <v>--</v>
      </c>
      <c r="J678" s="65" t="str">
        <f t="array" ref="J678">XLOOKUP(H678,'2. Matching'!$A$2:$A$39,'2. Matching'!$B$2:$B$39,"--")</f>
        <v>Acquisition</v>
      </c>
      <c r="K678" s="65" t="str">
        <f t="shared" si="1"/>
        <v>In</v>
      </c>
    </row>
    <row r="679">
      <c r="A679" s="62" t="s">
        <v>817</v>
      </c>
      <c r="B679" s="63">
        <v>44145.0</v>
      </c>
      <c r="C679" s="62" t="s">
        <v>112</v>
      </c>
      <c r="D679" s="64">
        <v>0.0</v>
      </c>
      <c r="E679" s="62" t="s">
        <v>109</v>
      </c>
      <c r="F679" s="62" t="s">
        <v>110</v>
      </c>
      <c r="G679" s="64" t="s">
        <v>64</v>
      </c>
      <c r="H679" s="3" t="s">
        <v>150</v>
      </c>
      <c r="I679" s="65" t="str">
        <f>IFERROR(VLOOKUP(A679,'3. Call duration'!$A:$C,3,0),"--")</f>
        <v>--</v>
      </c>
      <c r="J679" s="65" t="str">
        <f t="array" ref="J679">XLOOKUP(H679,'2. Matching'!$A$2:$A$39,'2. Matching'!$B$2:$B$39,"--")</f>
        <v>SEO</v>
      </c>
      <c r="K679" s="65" t="str">
        <f t="shared" si="1"/>
        <v>In</v>
      </c>
    </row>
    <row r="680">
      <c r="A680" s="62" t="s">
        <v>818</v>
      </c>
      <c r="B680" s="63">
        <v>44272.0</v>
      </c>
      <c r="C680" s="62" t="s">
        <v>112</v>
      </c>
      <c r="D680" s="64">
        <v>0.0</v>
      </c>
      <c r="E680" s="62" t="s">
        <v>109</v>
      </c>
      <c r="F680" s="62" t="s">
        <v>110</v>
      </c>
      <c r="G680" s="64" t="s">
        <v>59</v>
      </c>
      <c r="H680" s="3" t="s">
        <v>68</v>
      </c>
      <c r="I680" s="65" t="str">
        <f>IFERROR(VLOOKUP(A680,'3. Call duration'!$A:$C,3,0),"--")</f>
        <v>--</v>
      </c>
      <c r="J680" s="65" t="str">
        <f t="array" ref="J680">XLOOKUP(H680,'2. Matching'!$A$2:$A$39,'2. Matching'!$B$2:$B$39,"--")</f>
        <v>Acquisition</v>
      </c>
      <c r="K680" s="65" t="str">
        <f t="shared" si="1"/>
        <v>In</v>
      </c>
    </row>
    <row r="681">
      <c r="A681" s="62" t="s">
        <v>819</v>
      </c>
      <c r="B681" s="63">
        <v>44370.0</v>
      </c>
      <c r="C681" s="62" t="s">
        <v>112</v>
      </c>
      <c r="D681" s="64">
        <v>0.0</v>
      </c>
      <c r="E681" s="62" t="s">
        <v>109</v>
      </c>
      <c r="F681" s="62" t="s">
        <v>115</v>
      </c>
      <c r="G681" s="64" t="s">
        <v>63</v>
      </c>
      <c r="H681" s="3" t="s">
        <v>228</v>
      </c>
      <c r="I681" s="65" t="str">
        <f>IFERROR(VLOOKUP(A681,'3. Call duration'!$A:$C,3,0),"--")</f>
        <v>--</v>
      </c>
      <c r="J681" s="65" t="str">
        <f t="array" ref="J681">XLOOKUP(H681,'2. Matching'!$A$2:$A$39,'2. Matching'!$B$2:$B$39,"--")</f>
        <v>Farming</v>
      </c>
      <c r="K681" s="65" t="str">
        <f t="shared" si="1"/>
        <v>In</v>
      </c>
    </row>
    <row r="682">
      <c r="A682" s="62" t="s">
        <v>820</v>
      </c>
      <c r="B682" s="63">
        <v>44348.0</v>
      </c>
      <c r="C682" s="62" t="s">
        <v>112</v>
      </c>
      <c r="D682" s="64">
        <v>0.0</v>
      </c>
      <c r="E682" s="62" t="s">
        <v>109</v>
      </c>
      <c r="F682" s="62" t="s">
        <v>110</v>
      </c>
      <c r="G682" s="64" t="s">
        <v>60</v>
      </c>
      <c r="H682" s="3" t="s">
        <v>67</v>
      </c>
      <c r="I682" s="65" t="str">
        <f>IFERROR(VLOOKUP(A682,'3. Call duration'!$A:$C,3,0),"--")</f>
        <v>--</v>
      </c>
      <c r="J682" s="65" t="str">
        <f t="array" ref="J682">XLOOKUP(H682,'2. Matching'!$A$2:$A$39,'2. Matching'!$B$2:$B$39,"--")</f>
        <v>Acquisition</v>
      </c>
      <c r="K682" s="65" t="str">
        <f t="shared" si="1"/>
        <v>In</v>
      </c>
    </row>
    <row r="683">
      <c r="A683" s="62" t="s">
        <v>821</v>
      </c>
      <c r="B683" s="63">
        <v>44242.0</v>
      </c>
      <c r="C683" s="62" t="s">
        <v>112</v>
      </c>
      <c r="D683" s="64">
        <v>0.0</v>
      </c>
      <c r="E683" s="62" t="s">
        <v>114</v>
      </c>
      <c r="F683" s="62" t="s">
        <v>110</v>
      </c>
      <c r="G683" s="64" t="s">
        <v>64</v>
      </c>
      <c r="H683" s="3" t="s">
        <v>297</v>
      </c>
      <c r="I683" s="65" t="str">
        <f>IFERROR(VLOOKUP(A683,'3. Call duration'!$A:$C,3,0),"--")</f>
        <v>--</v>
      </c>
      <c r="J683" s="65" t="str">
        <f t="array" ref="J683">XLOOKUP(H683,'2. Matching'!$A$2:$A$39,'2. Matching'!$B$2:$B$39,"--")</f>
        <v>Farming</v>
      </c>
      <c r="K683" s="65" t="str">
        <f t="shared" si="1"/>
        <v>In</v>
      </c>
    </row>
    <row r="684">
      <c r="A684" s="62" t="s">
        <v>822</v>
      </c>
      <c r="B684" s="63">
        <v>44067.0</v>
      </c>
      <c r="C684" s="62" t="s">
        <v>112</v>
      </c>
      <c r="D684" s="64">
        <v>0.0</v>
      </c>
      <c r="E684" s="62" t="s">
        <v>109</v>
      </c>
      <c r="F684" s="62" t="s">
        <v>115</v>
      </c>
      <c r="G684" s="64" t="s">
        <v>64</v>
      </c>
      <c r="H684" s="3" t="s">
        <v>235</v>
      </c>
      <c r="I684" s="65" t="str">
        <f>IFERROR(VLOOKUP(A684,'3. Call duration'!$A:$C,3,0),"--")</f>
        <v>--</v>
      </c>
      <c r="J684" s="65" t="str">
        <f t="array" ref="J684">XLOOKUP(H684,'2. Matching'!$A$2:$A$39,'2. Matching'!$B$2:$B$39,"--")</f>
        <v>Farming</v>
      </c>
      <c r="K684" s="65" t="str">
        <f t="shared" si="1"/>
        <v>In</v>
      </c>
    </row>
    <row r="685">
      <c r="A685" s="62" t="s">
        <v>823</v>
      </c>
      <c r="B685" s="63">
        <v>44263.0</v>
      </c>
      <c r="C685" s="62" t="s">
        <v>112</v>
      </c>
      <c r="D685" s="64">
        <v>0.0</v>
      </c>
      <c r="E685" s="62" t="s">
        <v>114</v>
      </c>
      <c r="F685" s="62" t="s">
        <v>110</v>
      </c>
      <c r="G685" s="64" t="s">
        <v>64</v>
      </c>
      <c r="H685" s="3" t="s">
        <v>297</v>
      </c>
      <c r="I685" s="65" t="str">
        <f>IFERROR(VLOOKUP(A685,'3. Call duration'!$A:$C,3,0),"--")</f>
        <v>--</v>
      </c>
      <c r="J685" s="65" t="str">
        <f t="array" ref="J685">XLOOKUP(H685,'2. Matching'!$A$2:$A$39,'2. Matching'!$B$2:$B$39,"--")</f>
        <v>Farming</v>
      </c>
      <c r="K685" s="65" t="str">
        <f t="shared" si="1"/>
        <v>In</v>
      </c>
    </row>
    <row r="686">
      <c r="A686" s="62" t="s">
        <v>824</v>
      </c>
      <c r="B686" s="63">
        <v>44337.0</v>
      </c>
      <c r="C686" s="62" t="s">
        <v>119</v>
      </c>
      <c r="D686" s="64">
        <v>47.5</v>
      </c>
      <c r="E686" s="62" t="s">
        <v>109</v>
      </c>
      <c r="F686" s="62" t="s">
        <v>110</v>
      </c>
      <c r="G686" s="64" t="s">
        <v>64</v>
      </c>
      <c r="H686" s="3" t="s">
        <v>145</v>
      </c>
      <c r="I686" s="65">
        <f>IFERROR(VLOOKUP(A686,'3. Call duration'!$A:$C,3,0),"--")</f>
        <v>16.40357515</v>
      </c>
      <c r="J686" s="65" t="str">
        <f t="array" ref="J686">XLOOKUP(H686,'2. Matching'!$A$2:$A$39,'2. Matching'!$B$2:$B$39,"--")</f>
        <v>SEO</v>
      </c>
      <c r="K686" s="65" t="str">
        <f t="shared" si="1"/>
        <v>In</v>
      </c>
    </row>
    <row r="687">
      <c r="A687" s="62" t="s">
        <v>825</v>
      </c>
      <c r="B687" s="63">
        <v>44135.0</v>
      </c>
      <c r="C687" s="62" t="s">
        <v>112</v>
      </c>
      <c r="D687" s="64">
        <v>0.0</v>
      </c>
      <c r="E687" s="62" t="s">
        <v>114</v>
      </c>
      <c r="F687" s="62" t="s">
        <v>110</v>
      </c>
      <c r="G687" s="64" t="s">
        <v>64</v>
      </c>
      <c r="H687" s="3" t="s">
        <v>169</v>
      </c>
      <c r="I687" s="65" t="str">
        <f>IFERROR(VLOOKUP(A687,'3. Call duration'!$A:$C,3,0),"--")</f>
        <v>--</v>
      </c>
      <c r="J687" s="65" t="str">
        <f t="array" ref="J687">XLOOKUP(H687,'2. Matching'!$A$2:$A$39,'2. Matching'!$B$2:$B$39,"--")</f>
        <v>SEO</v>
      </c>
      <c r="K687" s="65" t="str">
        <f t="shared" si="1"/>
        <v>In</v>
      </c>
    </row>
    <row r="688">
      <c r="A688" s="62" t="s">
        <v>826</v>
      </c>
      <c r="B688" s="63">
        <v>44236.0</v>
      </c>
      <c r="C688" s="62" t="s">
        <v>112</v>
      </c>
      <c r="D688" s="64">
        <v>0.0</v>
      </c>
      <c r="E688" s="62" t="s">
        <v>109</v>
      </c>
      <c r="F688" s="62" t="s">
        <v>110</v>
      </c>
      <c r="G688" s="64" t="s">
        <v>64</v>
      </c>
      <c r="H688" s="3" t="s">
        <v>145</v>
      </c>
      <c r="I688" s="65" t="str">
        <f>IFERROR(VLOOKUP(A688,'3. Call duration'!$A:$C,3,0),"--")</f>
        <v>--</v>
      </c>
      <c r="J688" s="65" t="str">
        <f t="array" ref="J688">XLOOKUP(H688,'2. Matching'!$A$2:$A$39,'2. Matching'!$B$2:$B$39,"--")</f>
        <v>SEO</v>
      </c>
      <c r="K688" s="65" t="str">
        <f t="shared" si="1"/>
        <v>In</v>
      </c>
    </row>
    <row r="689">
      <c r="A689" s="62" t="s">
        <v>827</v>
      </c>
      <c r="B689" s="63">
        <v>44361.0</v>
      </c>
      <c r="C689" s="62" t="s">
        <v>108</v>
      </c>
      <c r="D689" s="64">
        <v>0.0</v>
      </c>
      <c r="E689" s="62" t="s">
        <v>109</v>
      </c>
      <c r="F689" s="62" t="s">
        <v>110</v>
      </c>
      <c r="G689" s="64" t="s">
        <v>63</v>
      </c>
      <c r="H689" s="3" t="s">
        <v>124</v>
      </c>
      <c r="I689" s="65">
        <f>IFERROR(VLOOKUP(A689,'3. Call duration'!$A:$C,3,0),"--")</f>
        <v>16.60630968</v>
      </c>
      <c r="J689" s="65" t="str">
        <f t="array" ref="J689">XLOOKUP(H689,'2. Matching'!$A$2:$A$39,'2. Matching'!$B$2:$B$39,"--")</f>
        <v>Acquisition</v>
      </c>
      <c r="K689" s="65" t="str">
        <f t="shared" si="1"/>
        <v>In</v>
      </c>
    </row>
    <row r="690">
      <c r="A690" s="62" t="s">
        <v>828</v>
      </c>
      <c r="B690" s="63">
        <v>44218.0</v>
      </c>
      <c r="C690" s="62" t="s">
        <v>112</v>
      </c>
      <c r="D690" s="64">
        <v>0.0</v>
      </c>
      <c r="E690" s="62" t="s">
        <v>109</v>
      </c>
      <c r="F690" s="62" t="s">
        <v>110</v>
      </c>
      <c r="G690" s="64" t="s">
        <v>64</v>
      </c>
      <c r="H690" s="3" t="s">
        <v>131</v>
      </c>
      <c r="I690" s="65" t="str">
        <f>IFERROR(VLOOKUP(A690,'3. Call duration'!$A:$C,3,0),"--")</f>
        <v>--</v>
      </c>
      <c r="J690" s="65" t="str">
        <f t="array" ref="J690">XLOOKUP(H690,'2. Matching'!$A$2:$A$39,'2. Matching'!$B$2:$B$39,"--")</f>
        <v>Acquisition</v>
      </c>
      <c r="K690" s="65" t="str">
        <f t="shared" si="1"/>
        <v>In</v>
      </c>
    </row>
    <row r="691">
      <c r="A691" s="62" t="s">
        <v>829</v>
      </c>
      <c r="B691" s="63">
        <v>44264.0</v>
      </c>
      <c r="C691" s="62" t="s">
        <v>112</v>
      </c>
      <c r="D691" s="64">
        <v>0.0</v>
      </c>
      <c r="E691" s="62" t="s">
        <v>112</v>
      </c>
      <c r="F691" s="62" t="s">
        <v>115</v>
      </c>
      <c r="G691" s="64" t="s">
        <v>64</v>
      </c>
      <c r="H691" s="3" t="s">
        <v>175</v>
      </c>
      <c r="I691" s="65" t="str">
        <f>IFERROR(VLOOKUP(A691,'3. Call duration'!$A:$C,3,0),"--")</f>
        <v>--</v>
      </c>
      <c r="J691" s="65" t="str">
        <f t="array" ref="J691">XLOOKUP(H691,'2. Matching'!$A$2:$A$39,'2. Matching'!$B$2:$B$39,"--")</f>
        <v>SEO</v>
      </c>
      <c r="K691" s="65" t="str">
        <f t="shared" si="1"/>
        <v>In</v>
      </c>
    </row>
    <row r="692">
      <c r="A692" s="62" t="s">
        <v>830</v>
      </c>
      <c r="B692" s="63">
        <v>44375.0</v>
      </c>
      <c r="C692" s="62" t="s">
        <v>112</v>
      </c>
      <c r="D692" s="64">
        <v>0.0</v>
      </c>
      <c r="E692" s="62" t="s">
        <v>114</v>
      </c>
      <c r="F692" s="62" t="s">
        <v>110</v>
      </c>
      <c r="G692" s="64" t="s">
        <v>60</v>
      </c>
      <c r="H692" s="3" t="s">
        <v>67</v>
      </c>
      <c r="I692" s="65" t="str">
        <f>IFERROR(VLOOKUP(A692,'3. Call duration'!$A:$C,3,0),"--")</f>
        <v>--</v>
      </c>
      <c r="J692" s="65" t="str">
        <f t="array" ref="J692">XLOOKUP(H692,'2. Matching'!$A$2:$A$39,'2. Matching'!$B$2:$B$39,"--")</f>
        <v>Acquisition</v>
      </c>
      <c r="K692" s="65" t="str">
        <f t="shared" si="1"/>
        <v>In</v>
      </c>
    </row>
    <row r="693">
      <c r="A693" s="62" t="s">
        <v>831</v>
      </c>
      <c r="B693" s="63">
        <v>44202.0</v>
      </c>
      <c r="C693" s="62" t="s">
        <v>112</v>
      </c>
      <c r="D693" s="64">
        <v>0.0</v>
      </c>
      <c r="E693" s="62" t="s">
        <v>114</v>
      </c>
      <c r="F693" s="62" t="s">
        <v>115</v>
      </c>
      <c r="G693" s="64" t="s">
        <v>64</v>
      </c>
      <c r="H693" s="3" t="s">
        <v>164</v>
      </c>
      <c r="I693" s="65" t="str">
        <f>IFERROR(VLOOKUP(A693,'3. Call duration'!$A:$C,3,0),"--")</f>
        <v>--</v>
      </c>
      <c r="J693" s="65" t="str">
        <f t="array" ref="J693">XLOOKUP(H693,'2. Matching'!$A$2:$A$39,'2. Matching'!$B$2:$B$39,"--")</f>
        <v>SEO</v>
      </c>
      <c r="K693" s="65" t="str">
        <f t="shared" si="1"/>
        <v>In</v>
      </c>
    </row>
    <row r="694">
      <c r="A694" s="62" t="s">
        <v>832</v>
      </c>
      <c r="B694" s="63">
        <v>44236.0</v>
      </c>
      <c r="C694" s="62" t="s">
        <v>108</v>
      </c>
      <c r="D694" s="64">
        <v>0.0</v>
      </c>
      <c r="E694" s="62" t="s">
        <v>109</v>
      </c>
      <c r="F694" s="62" t="s">
        <v>115</v>
      </c>
      <c r="G694" s="64" t="s">
        <v>64</v>
      </c>
      <c r="H694" s="3" t="s">
        <v>164</v>
      </c>
      <c r="I694" s="65">
        <f>IFERROR(VLOOKUP(A694,'3. Call duration'!$A:$C,3,0),"--")</f>
        <v>20.67916246</v>
      </c>
      <c r="J694" s="65" t="str">
        <f t="array" ref="J694">XLOOKUP(H694,'2. Matching'!$A$2:$A$39,'2. Matching'!$B$2:$B$39,"--")</f>
        <v>SEO</v>
      </c>
      <c r="K694" s="65" t="str">
        <f t="shared" si="1"/>
        <v>In</v>
      </c>
    </row>
    <row r="695">
      <c r="A695" s="62" t="s">
        <v>833</v>
      </c>
      <c r="B695" s="63">
        <v>44239.0</v>
      </c>
      <c r="C695" s="62" t="s">
        <v>108</v>
      </c>
      <c r="D695" s="64">
        <v>0.0</v>
      </c>
      <c r="E695" s="62" t="s">
        <v>114</v>
      </c>
      <c r="F695" s="62" t="s">
        <v>115</v>
      </c>
      <c r="G695" s="64" t="s">
        <v>64</v>
      </c>
      <c r="H695" s="3" t="s">
        <v>139</v>
      </c>
      <c r="I695" s="65">
        <f>IFERROR(VLOOKUP(A695,'3. Call duration'!$A:$C,3,0),"--")</f>
        <v>36.41733949</v>
      </c>
      <c r="J695" s="65" t="str">
        <f t="array" ref="J695">XLOOKUP(H695,'2. Matching'!$A$2:$A$39,'2. Matching'!$B$2:$B$39,"--")</f>
        <v>Acquisition</v>
      </c>
      <c r="K695" s="65" t="str">
        <f t="shared" si="1"/>
        <v>In</v>
      </c>
    </row>
    <row r="696">
      <c r="A696" s="62" t="s">
        <v>834</v>
      </c>
      <c r="B696" s="63">
        <v>44072.0</v>
      </c>
      <c r="C696" s="62" t="s">
        <v>108</v>
      </c>
      <c r="D696" s="64">
        <v>0.0</v>
      </c>
      <c r="E696" s="62" t="s">
        <v>114</v>
      </c>
      <c r="F696" s="62" t="s">
        <v>115</v>
      </c>
      <c r="G696" s="64" t="s">
        <v>64</v>
      </c>
      <c r="H696" s="3" t="s">
        <v>139</v>
      </c>
      <c r="I696" s="65">
        <f>IFERROR(VLOOKUP(A696,'3. Call duration'!$A:$C,3,0),"--")</f>
        <v>30.53412449</v>
      </c>
      <c r="J696" s="65" t="str">
        <f t="array" ref="J696">XLOOKUP(H696,'2. Matching'!$A$2:$A$39,'2. Matching'!$B$2:$B$39,"--")</f>
        <v>Acquisition</v>
      </c>
      <c r="K696" s="65" t="str">
        <f t="shared" si="1"/>
        <v>In</v>
      </c>
    </row>
    <row r="697">
      <c r="A697" s="62" t="s">
        <v>835</v>
      </c>
      <c r="B697" s="63">
        <v>44224.0</v>
      </c>
      <c r="C697" s="62" t="s">
        <v>112</v>
      </c>
      <c r="D697" s="64">
        <v>0.0</v>
      </c>
      <c r="E697" s="62" t="s">
        <v>109</v>
      </c>
      <c r="F697" s="62" t="s">
        <v>110</v>
      </c>
      <c r="G697" s="64" t="s">
        <v>64</v>
      </c>
      <c r="H697" s="3" t="s">
        <v>164</v>
      </c>
      <c r="I697" s="65" t="str">
        <f>IFERROR(VLOOKUP(A697,'3. Call duration'!$A:$C,3,0),"--")</f>
        <v>--</v>
      </c>
      <c r="J697" s="65" t="str">
        <f t="array" ref="J697">XLOOKUP(H697,'2. Matching'!$A$2:$A$39,'2. Matching'!$B$2:$B$39,"--")</f>
        <v>SEO</v>
      </c>
      <c r="K697" s="65" t="str">
        <f t="shared" si="1"/>
        <v>In</v>
      </c>
    </row>
    <row r="698">
      <c r="A698" s="62" t="s">
        <v>836</v>
      </c>
      <c r="B698" s="63">
        <v>44348.0</v>
      </c>
      <c r="C698" s="62" t="s">
        <v>112</v>
      </c>
      <c r="D698" s="64">
        <v>0.0</v>
      </c>
      <c r="E698" s="62" t="s">
        <v>109</v>
      </c>
      <c r="F698" s="62" t="s">
        <v>110</v>
      </c>
      <c r="G698" s="64" t="s">
        <v>59</v>
      </c>
      <c r="H698" s="3" t="s">
        <v>68</v>
      </c>
      <c r="I698" s="65" t="str">
        <f>IFERROR(VLOOKUP(A698,'3. Call duration'!$A:$C,3,0),"--")</f>
        <v>--</v>
      </c>
      <c r="J698" s="65" t="str">
        <f t="array" ref="J698">XLOOKUP(H698,'2. Matching'!$A$2:$A$39,'2. Matching'!$B$2:$B$39,"--")</f>
        <v>Acquisition</v>
      </c>
      <c r="K698" s="65" t="str">
        <f t="shared" si="1"/>
        <v>In</v>
      </c>
    </row>
    <row r="699">
      <c r="A699" s="62" t="s">
        <v>837</v>
      </c>
      <c r="B699" s="63">
        <v>44361.0</v>
      </c>
      <c r="C699" s="62" t="s">
        <v>108</v>
      </c>
      <c r="D699" s="64">
        <v>0.0</v>
      </c>
      <c r="E699" s="62" t="s">
        <v>109</v>
      </c>
      <c r="F699" s="62" t="s">
        <v>115</v>
      </c>
      <c r="G699" s="64" t="s">
        <v>60</v>
      </c>
      <c r="H699" s="3" t="s">
        <v>68</v>
      </c>
      <c r="I699" s="65">
        <f>IFERROR(VLOOKUP(A699,'3. Call duration'!$A:$C,3,0),"--")</f>
        <v>29.83854031</v>
      </c>
      <c r="J699" s="65" t="str">
        <f t="array" ref="J699">XLOOKUP(H699,'2. Matching'!$A$2:$A$39,'2. Matching'!$B$2:$B$39,"--")</f>
        <v>Acquisition</v>
      </c>
      <c r="K699" s="65" t="str">
        <f t="shared" si="1"/>
        <v>In</v>
      </c>
    </row>
    <row r="700">
      <c r="A700" s="62" t="s">
        <v>838</v>
      </c>
      <c r="B700" s="63">
        <v>44377.0</v>
      </c>
      <c r="C700" s="62" t="s">
        <v>112</v>
      </c>
      <c r="D700" s="64">
        <v>0.0</v>
      </c>
      <c r="E700" s="62" t="s">
        <v>109</v>
      </c>
      <c r="F700" s="62" t="s">
        <v>110</v>
      </c>
      <c r="G700" s="64" t="s">
        <v>63</v>
      </c>
      <c r="H700" s="3" t="s">
        <v>228</v>
      </c>
      <c r="I700" s="65" t="str">
        <f>IFERROR(VLOOKUP(A700,'3. Call duration'!$A:$C,3,0),"--")</f>
        <v>--</v>
      </c>
      <c r="J700" s="65" t="str">
        <f t="array" ref="J700">XLOOKUP(H700,'2. Matching'!$A$2:$A$39,'2. Matching'!$B$2:$B$39,"--")</f>
        <v>Farming</v>
      </c>
      <c r="K700" s="65" t="str">
        <f t="shared" si="1"/>
        <v>In</v>
      </c>
    </row>
    <row r="701">
      <c r="A701" s="62" t="s">
        <v>839</v>
      </c>
      <c r="B701" s="63">
        <v>44357.0</v>
      </c>
      <c r="C701" s="62" t="s">
        <v>112</v>
      </c>
      <c r="D701" s="64">
        <v>0.0</v>
      </c>
      <c r="E701" s="62" t="s">
        <v>114</v>
      </c>
      <c r="F701" s="62" t="s">
        <v>110</v>
      </c>
      <c r="G701" s="64" t="s">
        <v>60</v>
      </c>
      <c r="H701" s="3" t="s">
        <v>67</v>
      </c>
      <c r="I701" s="65" t="str">
        <f>IFERROR(VLOOKUP(A701,'3. Call duration'!$A:$C,3,0),"--")</f>
        <v>--</v>
      </c>
      <c r="J701" s="65" t="str">
        <f t="array" ref="J701">XLOOKUP(H701,'2. Matching'!$A$2:$A$39,'2. Matching'!$B$2:$B$39,"--")</f>
        <v>Acquisition</v>
      </c>
      <c r="K701" s="65" t="str">
        <f t="shared" si="1"/>
        <v>In</v>
      </c>
    </row>
    <row r="702">
      <c r="A702" s="62" t="s">
        <v>840</v>
      </c>
      <c r="B702" s="63">
        <v>44279.0</v>
      </c>
      <c r="C702" s="62" t="s">
        <v>112</v>
      </c>
      <c r="D702" s="64">
        <v>0.0</v>
      </c>
      <c r="E702" s="62" t="s">
        <v>109</v>
      </c>
      <c r="F702" s="62" t="s">
        <v>115</v>
      </c>
      <c r="G702" s="64" t="s">
        <v>64</v>
      </c>
      <c r="H702" s="3" t="s">
        <v>116</v>
      </c>
      <c r="I702" s="65" t="str">
        <f>IFERROR(VLOOKUP(A702,'3. Call duration'!$A:$C,3,0),"--")</f>
        <v>--</v>
      </c>
      <c r="J702" s="65" t="str">
        <f t="array" ref="J702">XLOOKUP(H702,'2. Matching'!$A$2:$A$39,'2. Matching'!$B$2:$B$39,"--")</f>
        <v>Acquisition</v>
      </c>
      <c r="K702" s="65" t="str">
        <f t="shared" si="1"/>
        <v>In</v>
      </c>
    </row>
    <row r="703">
      <c r="A703" s="62" t="s">
        <v>841</v>
      </c>
      <c r="B703" s="63">
        <v>44344.0</v>
      </c>
      <c r="C703" s="62" t="s">
        <v>119</v>
      </c>
      <c r="D703" s="64">
        <v>47.5</v>
      </c>
      <c r="E703" s="62" t="s">
        <v>109</v>
      </c>
      <c r="F703" s="62" t="s">
        <v>115</v>
      </c>
      <c r="G703" s="64" t="s">
        <v>64</v>
      </c>
      <c r="H703" s="3" t="s">
        <v>131</v>
      </c>
      <c r="I703" s="65">
        <f>IFERROR(VLOOKUP(A703,'3. Call duration'!$A:$C,3,0),"--")</f>
        <v>16.45230901</v>
      </c>
      <c r="J703" s="65" t="str">
        <f t="array" ref="J703">XLOOKUP(H703,'2. Matching'!$A$2:$A$39,'2. Matching'!$B$2:$B$39,"--")</f>
        <v>Acquisition</v>
      </c>
      <c r="K703" s="65" t="str">
        <f t="shared" si="1"/>
        <v>In</v>
      </c>
    </row>
    <row r="704">
      <c r="A704" s="62" t="s">
        <v>842</v>
      </c>
      <c r="B704" s="63">
        <v>44327.0</v>
      </c>
      <c r="C704" s="62" t="s">
        <v>119</v>
      </c>
      <c r="D704" s="64">
        <v>47.5</v>
      </c>
      <c r="E704" s="62" t="s">
        <v>109</v>
      </c>
      <c r="F704" s="62" t="s">
        <v>110</v>
      </c>
      <c r="G704" s="64" t="s">
        <v>63</v>
      </c>
      <c r="H704" s="3" t="s">
        <v>189</v>
      </c>
      <c r="I704" s="65">
        <f>IFERROR(VLOOKUP(A704,'3. Call duration'!$A:$C,3,0),"--")</f>
        <v>16.46422793</v>
      </c>
      <c r="J704" s="65" t="str">
        <f t="array" ref="J704">XLOOKUP(H704,'2. Matching'!$A$2:$A$39,'2. Matching'!$B$2:$B$39,"--")</f>
        <v>SEO</v>
      </c>
      <c r="K704" s="65" t="str">
        <f t="shared" si="1"/>
        <v>Out</v>
      </c>
    </row>
    <row r="705">
      <c r="A705" s="62" t="s">
        <v>843</v>
      </c>
      <c r="B705" s="63">
        <v>44214.0</v>
      </c>
      <c r="C705" s="62" t="s">
        <v>108</v>
      </c>
      <c r="D705" s="64">
        <v>0.0</v>
      </c>
      <c r="E705" s="62" t="s">
        <v>109</v>
      </c>
      <c r="F705" s="62" t="s">
        <v>115</v>
      </c>
      <c r="G705" s="64" t="s">
        <v>64</v>
      </c>
      <c r="H705" s="3" t="s">
        <v>150</v>
      </c>
      <c r="I705" s="65" t="str">
        <f>IFERROR(VLOOKUP(A705,'3. Call duration'!$A:$C,3,0),"--")</f>
        <v>--</v>
      </c>
      <c r="J705" s="65" t="str">
        <f t="array" ref="J705">XLOOKUP(H705,'2. Matching'!$A$2:$A$39,'2. Matching'!$B$2:$B$39,"--")</f>
        <v>SEO</v>
      </c>
      <c r="K705" s="65" t="str">
        <f t="shared" si="1"/>
        <v>In</v>
      </c>
    </row>
    <row r="706">
      <c r="A706" s="62" t="s">
        <v>844</v>
      </c>
      <c r="B706" s="63">
        <v>44321.0</v>
      </c>
      <c r="C706" s="62" t="s">
        <v>119</v>
      </c>
      <c r="D706" s="64">
        <v>47.5</v>
      </c>
      <c r="E706" s="62" t="s">
        <v>109</v>
      </c>
      <c r="F706" s="62" t="s">
        <v>115</v>
      </c>
      <c r="G706" s="64" t="s">
        <v>64</v>
      </c>
      <c r="H706" s="3" t="s">
        <v>164</v>
      </c>
      <c r="I706" s="65">
        <f>IFERROR(VLOOKUP(A706,'3. Call duration'!$A:$C,3,0),"--")</f>
        <v>16.47202519</v>
      </c>
      <c r="J706" s="65" t="str">
        <f t="array" ref="J706">XLOOKUP(H706,'2. Matching'!$A$2:$A$39,'2. Matching'!$B$2:$B$39,"--")</f>
        <v>SEO</v>
      </c>
      <c r="K706" s="65" t="str">
        <f t="shared" si="1"/>
        <v>In</v>
      </c>
    </row>
    <row r="707">
      <c r="A707" s="62" t="s">
        <v>845</v>
      </c>
      <c r="B707" s="63">
        <v>44225.0</v>
      </c>
      <c r="C707" s="62" t="s">
        <v>112</v>
      </c>
      <c r="D707" s="64">
        <v>0.0</v>
      </c>
      <c r="E707" s="62" t="s">
        <v>109</v>
      </c>
      <c r="F707" s="62" t="s">
        <v>115</v>
      </c>
      <c r="G707" s="64" t="s">
        <v>64</v>
      </c>
      <c r="H707" s="3" t="s">
        <v>116</v>
      </c>
      <c r="I707" s="65" t="str">
        <f>IFERROR(VLOOKUP(A707,'3. Call duration'!$A:$C,3,0),"--")</f>
        <v>--</v>
      </c>
      <c r="J707" s="65" t="str">
        <f t="array" ref="J707">XLOOKUP(H707,'2. Matching'!$A$2:$A$39,'2. Matching'!$B$2:$B$39,"--")</f>
        <v>Acquisition</v>
      </c>
      <c r="K707" s="65" t="str">
        <f t="shared" si="1"/>
        <v>In</v>
      </c>
    </row>
    <row r="708">
      <c r="A708" s="62" t="s">
        <v>846</v>
      </c>
      <c r="B708" s="63">
        <v>44348.0</v>
      </c>
      <c r="C708" s="62" t="s">
        <v>108</v>
      </c>
      <c r="D708" s="64">
        <v>0.0</v>
      </c>
      <c r="E708" s="62" t="s">
        <v>114</v>
      </c>
      <c r="F708" s="62" t="s">
        <v>115</v>
      </c>
      <c r="G708" s="64" t="s">
        <v>64</v>
      </c>
      <c r="H708" s="3" t="s">
        <v>139</v>
      </c>
      <c r="I708" s="65">
        <f>IFERROR(VLOOKUP(A708,'3. Call duration'!$A:$C,3,0),"--")</f>
        <v>42.66576454</v>
      </c>
      <c r="J708" s="65" t="str">
        <f t="array" ref="J708">XLOOKUP(H708,'2. Matching'!$A$2:$A$39,'2. Matching'!$B$2:$B$39,"--")</f>
        <v>Acquisition</v>
      </c>
      <c r="K708" s="65" t="str">
        <f t="shared" si="1"/>
        <v>In</v>
      </c>
    </row>
    <row r="709">
      <c r="A709" s="62" t="s">
        <v>847</v>
      </c>
      <c r="B709" s="63">
        <v>44364.0</v>
      </c>
      <c r="C709" s="62" t="s">
        <v>112</v>
      </c>
      <c r="D709" s="64">
        <v>0.0</v>
      </c>
      <c r="E709" s="62" t="s">
        <v>109</v>
      </c>
      <c r="F709" s="62" t="s">
        <v>115</v>
      </c>
      <c r="G709" s="64" t="s">
        <v>64</v>
      </c>
      <c r="H709" s="3" t="s">
        <v>131</v>
      </c>
      <c r="I709" s="65" t="str">
        <f>IFERROR(VLOOKUP(A709,'3. Call duration'!$A:$C,3,0),"--")</f>
        <v>--</v>
      </c>
      <c r="J709" s="65" t="str">
        <f t="array" ref="J709">XLOOKUP(H709,'2. Matching'!$A$2:$A$39,'2. Matching'!$B$2:$B$39,"--")</f>
        <v>Acquisition</v>
      </c>
      <c r="K709" s="65" t="str">
        <f t="shared" si="1"/>
        <v>In</v>
      </c>
    </row>
    <row r="710">
      <c r="A710" s="62" t="s">
        <v>848</v>
      </c>
      <c r="B710" s="63">
        <v>44217.0</v>
      </c>
      <c r="C710" s="62" t="s">
        <v>112</v>
      </c>
      <c r="D710" s="64">
        <v>0.0</v>
      </c>
      <c r="E710" s="62" t="s">
        <v>109</v>
      </c>
      <c r="F710" s="62" t="s">
        <v>110</v>
      </c>
      <c r="G710" s="64" t="s">
        <v>64</v>
      </c>
      <c r="H710" s="3" t="s">
        <v>116</v>
      </c>
      <c r="I710" s="65" t="str">
        <f>IFERROR(VLOOKUP(A710,'3. Call duration'!$A:$C,3,0),"--")</f>
        <v>--</v>
      </c>
      <c r="J710" s="65" t="str">
        <f t="array" ref="J710">XLOOKUP(H710,'2. Matching'!$A$2:$A$39,'2. Matching'!$B$2:$B$39,"--")</f>
        <v>Acquisition</v>
      </c>
      <c r="K710" s="65" t="str">
        <f t="shared" si="1"/>
        <v>In</v>
      </c>
    </row>
    <row r="711">
      <c r="A711" s="62" t="s">
        <v>849</v>
      </c>
      <c r="B711" s="63">
        <v>44365.0</v>
      </c>
      <c r="C711" s="62" t="s">
        <v>108</v>
      </c>
      <c r="D711" s="64">
        <v>0.0</v>
      </c>
      <c r="E711" s="62" t="s">
        <v>109</v>
      </c>
      <c r="F711" s="62" t="s">
        <v>110</v>
      </c>
      <c r="G711" s="64" t="s">
        <v>59</v>
      </c>
      <c r="H711" s="3" t="s">
        <v>68</v>
      </c>
      <c r="I711" s="65">
        <f>IFERROR(VLOOKUP(A711,'3. Call duration'!$A:$C,3,0),"--")</f>
        <v>20.73141304</v>
      </c>
      <c r="J711" s="65" t="str">
        <f t="array" ref="J711">XLOOKUP(H711,'2. Matching'!$A$2:$A$39,'2. Matching'!$B$2:$B$39,"--")</f>
        <v>Acquisition</v>
      </c>
      <c r="K711" s="65" t="str">
        <f t="shared" si="1"/>
        <v>In</v>
      </c>
    </row>
    <row r="712">
      <c r="A712" s="62" t="s">
        <v>850</v>
      </c>
      <c r="B712" s="63">
        <v>44141.0</v>
      </c>
      <c r="C712" s="62" t="s">
        <v>112</v>
      </c>
      <c r="D712" s="64">
        <v>0.0</v>
      </c>
      <c r="E712" s="62" t="s">
        <v>109</v>
      </c>
      <c r="F712" s="62" t="s">
        <v>115</v>
      </c>
      <c r="G712" s="64" t="s">
        <v>64</v>
      </c>
      <c r="H712" s="3" t="s">
        <v>235</v>
      </c>
      <c r="I712" s="65" t="str">
        <f>IFERROR(VLOOKUP(A712,'3. Call duration'!$A:$C,3,0),"--")</f>
        <v>--</v>
      </c>
      <c r="J712" s="65" t="str">
        <f t="array" ref="J712">XLOOKUP(H712,'2. Matching'!$A$2:$A$39,'2. Matching'!$B$2:$B$39,"--")</f>
        <v>Farming</v>
      </c>
      <c r="K712" s="65" t="str">
        <f t="shared" si="1"/>
        <v>In</v>
      </c>
    </row>
    <row r="713">
      <c r="A713" s="62" t="s">
        <v>851</v>
      </c>
      <c r="B713" s="63">
        <v>44110.0</v>
      </c>
      <c r="C713" s="62" t="s">
        <v>112</v>
      </c>
      <c r="D713" s="64">
        <v>0.0</v>
      </c>
      <c r="E713" s="62" t="s">
        <v>109</v>
      </c>
      <c r="F713" s="62" t="s">
        <v>110</v>
      </c>
      <c r="G713" s="64" t="s">
        <v>64</v>
      </c>
      <c r="H713" s="3" t="s">
        <v>131</v>
      </c>
      <c r="I713" s="65" t="str">
        <f>IFERROR(VLOOKUP(A713,'3. Call duration'!$A:$C,3,0),"--")</f>
        <v>--</v>
      </c>
      <c r="J713" s="65" t="str">
        <f t="array" ref="J713">XLOOKUP(H713,'2. Matching'!$A$2:$A$39,'2. Matching'!$B$2:$B$39,"--")</f>
        <v>Acquisition</v>
      </c>
      <c r="K713" s="65" t="str">
        <f t="shared" si="1"/>
        <v>In</v>
      </c>
    </row>
    <row r="714">
      <c r="A714" s="62" t="s">
        <v>852</v>
      </c>
      <c r="B714" s="63">
        <v>44260.0</v>
      </c>
      <c r="C714" s="62" t="s">
        <v>112</v>
      </c>
      <c r="D714" s="64">
        <v>0.0</v>
      </c>
      <c r="E714" s="62" t="s">
        <v>109</v>
      </c>
      <c r="F714" s="62" t="s">
        <v>110</v>
      </c>
      <c r="G714" s="64" t="s">
        <v>64</v>
      </c>
      <c r="H714" s="3" t="s">
        <v>54</v>
      </c>
      <c r="I714" s="65" t="str">
        <f>IFERROR(VLOOKUP(A714,'3. Call duration'!$A:$C,3,0),"--")</f>
        <v>--</v>
      </c>
      <c r="J714" s="65" t="str">
        <f t="array" ref="J714">XLOOKUP(H714,'2. Matching'!$A$2:$A$39,'2. Matching'!$B$2:$B$39,"--")</f>
        <v>Partnerships</v>
      </c>
      <c r="K714" s="65" t="str">
        <f t="shared" si="1"/>
        <v>In</v>
      </c>
    </row>
    <row r="715">
      <c r="A715" s="62" t="s">
        <v>853</v>
      </c>
      <c r="B715" s="63">
        <v>44368.0</v>
      </c>
      <c r="C715" s="62" t="s">
        <v>108</v>
      </c>
      <c r="D715" s="64">
        <v>0.0</v>
      </c>
      <c r="E715" s="62" t="s">
        <v>109</v>
      </c>
      <c r="F715" s="62" t="s">
        <v>115</v>
      </c>
      <c r="G715" s="64" t="s">
        <v>64</v>
      </c>
      <c r="H715" s="3" t="s">
        <v>169</v>
      </c>
      <c r="I715" s="65">
        <f>IFERROR(VLOOKUP(A715,'3. Call duration'!$A:$C,3,0),"--")</f>
        <v>21.55487726</v>
      </c>
      <c r="J715" s="65" t="str">
        <f t="array" ref="J715">XLOOKUP(H715,'2. Matching'!$A$2:$A$39,'2. Matching'!$B$2:$B$39,"--")</f>
        <v>SEO</v>
      </c>
      <c r="K715" s="65" t="str">
        <f t="shared" si="1"/>
        <v>In</v>
      </c>
    </row>
    <row r="716">
      <c r="A716" s="62" t="s">
        <v>854</v>
      </c>
      <c r="B716" s="63">
        <v>44359.0</v>
      </c>
      <c r="C716" s="62" t="s">
        <v>112</v>
      </c>
      <c r="D716" s="64">
        <v>0.0</v>
      </c>
      <c r="E716" s="62" t="s">
        <v>109</v>
      </c>
      <c r="F716" s="62" t="s">
        <v>115</v>
      </c>
      <c r="G716" s="64" t="s">
        <v>64</v>
      </c>
      <c r="H716" s="3" t="s">
        <v>141</v>
      </c>
      <c r="I716" s="65" t="str">
        <f>IFERROR(VLOOKUP(A716,'3. Call duration'!$A:$C,3,0),"--")</f>
        <v>--</v>
      </c>
      <c r="J716" s="65" t="str">
        <f t="array" ref="J716">XLOOKUP(H716,'2. Matching'!$A$2:$A$39,'2. Matching'!$B$2:$B$39,"--")</f>
        <v>Acquisition</v>
      </c>
      <c r="K716" s="65" t="str">
        <f t="shared" si="1"/>
        <v>In</v>
      </c>
    </row>
    <row r="717">
      <c r="A717" s="62" t="s">
        <v>855</v>
      </c>
      <c r="B717" s="63">
        <v>44265.0</v>
      </c>
      <c r="C717" s="62" t="s">
        <v>112</v>
      </c>
      <c r="D717" s="64">
        <v>0.0</v>
      </c>
      <c r="E717" s="62" t="s">
        <v>114</v>
      </c>
      <c r="F717" s="62" t="s">
        <v>110</v>
      </c>
      <c r="G717" s="64" t="s">
        <v>64</v>
      </c>
      <c r="H717" s="3" t="s">
        <v>116</v>
      </c>
      <c r="I717" s="65" t="str">
        <f>IFERROR(VLOOKUP(A717,'3. Call duration'!$A:$C,3,0),"--")</f>
        <v>--</v>
      </c>
      <c r="J717" s="65" t="str">
        <f t="array" ref="J717">XLOOKUP(H717,'2. Matching'!$A$2:$A$39,'2. Matching'!$B$2:$B$39,"--")</f>
        <v>Acquisition</v>
      </c>
      <c r="K717" s="65" t="str">
        <f t="shared" si="1"/>
        <v>In</v>
      </c>
    </row>
    <row r="718">
      <c r="A718" s="62" t="s">
        <v>856</v>
      </c>
      <c r="B718" s="63">
        <v>44236.0</v>
      </c>
      <c r="C718" s="62" t="s">
        <v>112</v>
      </c>
      <c r="D718" s="64">
        <v>0.0</v>
      </c>
      <c r="E718" s="62" t="s">
        <v>109</v>
      </c>
      <c r="F718" s="62" t="s">
        <v>110</v>
      </c>
      <c r="G718" s="64" t="s">
        <v>64</v>
      </c>
      <c r="H718" s="3" t="s">
        <v>297</v>
      </c>
      <c r="I718" s="65" t="str">
        <f>IFERROR(VLOOKUP(A718,'3. Call duration'!$A:$C,3,0),"--")</f>
        <v>--</v>
      </c>
      <c r="J718" s="65" t="str">
        <f t="array" ref="J718">XLOOKUP(H718,'2. Matching'!$A$2:$A$39,'2. Matching'!$B$2:$B$39,"--")</f>
        <v>Farming</v>
      </c>
      <c r="K718" s="65" t="str">
        <f t="shared" si="1"/>
        <v>In</v>
      </c>
    </row>
    <row r="719">
      <c r="A719" s="62" t="s">
        <v>857</v>
      </c>
      <c r="B719" s="63">
        <v>44363.0</v>
      </c>
      <c r="C719" s="62" t="s">
        <v>108</v>
      </c>
      <c r="D719" s="64">
        <v>0.0</v>
      </c>
      <c r="E719" s="62" t="s">
        <v>109</v>
      </c>
      <c r="F719" s="62" t="s">
        <v>110</v>
      </c>
      <c r="G719" s="64" t="s">
        <v>60</v>
      </c>
      <c r="H719" s="3" t="s">
        <v>67</v>
      </c>
      <c r="I719" s="65">
        <f>IFERROR(VLOOKUP(A719,'3. Call duration'!$A:$C,3,0),"--")</f>
        <v>26.44510817</v>
      </c>
      <c r="J719" s="65" t="str">
        <f t="array" ref="J719">XLOOKUP(H719,'2. Matching'!$A$2:$A$39,'2. Matching'!$B$2:$B$39,"--")</f>
        <v>Acquisition</v>
      </c>
      <c r="K719" s="65" t="str">
        <f t="shared" si="1"/>
        <v>In</v>
      </c>
    </row>
    <row r="720">
      <c r="A720" s="62" t="s">
        <v>858</v>
      </c>
      <c r="B720" s="63">
        <v>44376.0</v>
      </c>
      <c r="C720" s="62" t="s">
        <v>112</v>
      </c>
      <c r="D720" s="64">
        <v>0.0</v>
      </c>
      <c r="E720" s="62" t="s">
        <v>109</v>
      </c>
      <c r="F720" s="62" t="s">
        <v>110</v>
      </c>
      <c r="G720" s="64" t="s">
        <v>60</v>
      </c>
      <c r="H720" s="3" t="s">
        <v>67</v>
      </c>
      <c r="I720" s="65" t="str">
        <f>IFERROR(VLOOKUP(A720,'3. Call duration'!$A:$C,3,0),"--")</f>
        <v>--</v>
      </c>
      <c r="J720" s="65" t="str">
        <f t="array" ref="J720">XLOOKUP(H720,'2. Matching'!$A$2:$A$39,'2. Matching'!$B$2:$B$39,"--")</f>
        <v>Acquisition</v>
      </c>
      <c r="K720" s="65" t="str">
        <f t="shared" si="1"/>
        <v>In</v>
      </c>
    </row>
    <row r="721">
      <c r="A721" s="62" t="s">
        <v>859</v>
      </c>
      <c r="B721" s="63">
        <v>44333.0</v>
      </c>
      <c r="C721" s="62" t="s">
        <v>119</v>
      </c>
      <c r="D721" s="64">
        <v>47.5</v>
      </c>
      <c r="E721" s="62" t="s">
        <v>109</v>
      </c>
      <c r="F721" s="62" t="s">
        <v>115</v>
      </c>
      <c r="G721" s="64" t="s">
        <v>64</v>
      </c>
      <c r="H721" s="3" t="s">
        <v>52</v>
      </c>
      <c r="I721" s="65">
        <f>IFERROR(VLOOKUP(A721,'3. Call duration'!$A:$C,3,0),"--")</f>
        <v>16.48651843</v>
      </c>
      <c r="J721" s="65" t="str">
        <f t="array" ref="J721">XLOOKUP(H721,'2. Matching'!$A$2:$A$39,'2. Matching'!$B$2:$B$39,"--")</f>
        <v>Partnerships</v>
      </c>
      <c r="K721" s="65" t="str">
        <f t="shared" si="1"/>
        <v>In</v>
      </c>
    </row>
    <row r="722">
      <c r="A722" s="62" t="s">
        <v>860</v>
      </c>
      <c r="B722" s="63">
        <v>44348.0</v>
      </c>
      <c r="C722" s="62" t="s">
        <v>112</v>
      </c>
      <c r="D722" s="64">
        <v>0.0</v>
      </c>
      <c r="E722" s="62" t="s">
        <v>109</v>
      </c>
      <c r="F722" s="62" t="s">
        <v>110</v>
      </c>
      <c r="G722" s="64" t="s">
        <v>64</v>
      </c>
      <c r="H722" s="3" t="s">
        <v>175</v>
      </c>
      <c r="I722" s="65" t="str">
        <f>IFERROR(VLOOKUP(A722,'3. Call duration'!$A:$C,3,0),"--")</f>
        <v>--</v>
      </c>
      <c r="J722" s="65" t="str">
        <f t="array" ref="J722">XLOOKUP(H722,'2. Matching'!$A$2:$A$39,'2. Matching'!$B$2:$B$39,"--")</f>
        <v>SEO</v>
      </c>
      <c r="K722" s="65" t="str">
        <f t="shared" si="1"/>
        <v>In</v>
      </c>
    </row>
    <row r="723">
      <c r="A723" s="62" t="s">
        <v>861</v>
      </c>
      <c r="B723" s="63">
        <v>44173.0</v>
      </c>
      <c r="C723" s="62" t="s">
        <v>108</v>
      </c>
      <c r="D723" s="64">
        <v>0.0</v>
      </c>
      <c r="E723" s="62" t="s">
        <v>109</v>
      </c>
      <c r="F723" s="62" t="s">
        <v>115</v>
      </c>
      <c r="G723" s="64" t="s">
        <v>64</v>
      </c>
      <c r="H723" s="3" t="s">
        <v>164</v>
      </c>
      <c r="I723" s="65">
        <f>IFERROR(VLOOKUP(A723,'3. Call duration'!$A:$C,3,0),"--")</f>
        <v>22.90260469</v>
      </c>
      <c r="J723" s="65" t="str">
        <f t="array" ref="J723">XLOOKUP(H723,'2. Matching'!$A$2:$A$39,'2. Matching'!$B$2:$B$39,"--")</f>
        <v>SEO</v>
      </c>
      <c r="K723" s="65" t="str">
        <f t="shared" si="1"/>
        <v>In</v>
      </c>
    </row>
    <row r="724">
      <c r="A724" s="62" t="s">
        <v>862</v>
      </c>
      <c r="B724" s="63">
        <v>44281.0</v>
      </c>
      <c r="C724" s="62" t="s">
        <v>112</v>
      </c>
      <c r="D724" s="64">
        <v>0.0</v>
      </c>
      <c r="E724" s="62" t="s">
        <v>109</v>
      </c>
      <c r="F724" s="62" t="s">
        <v>115</v>
      </c>
      <c r="G724" s="64" t="s">
        <v>63</v>
      </c>
      <c r="H724" s="3" t="s">
        <v>189</v>
      </c>
      <c r="I724" s="65" t="str">
        <f>IFERROR(VLOOKUP(A724,'3. Call duration'!$A:$C,3,0),"--")</f>
        <v>--</v>
      </c>
      <c r="J724" s="65" t="str">
        <f t="array" ref="J724">XLOOKUP(H724,'2. Matching'!$A$2:$A$39,'2. Matching'!$B$2:$B$39,"--")</f>
        <v>SEO</v>
      </c>
      <c r="K724" s="65" t="str">
        <f t="shared" si="1"/>
        <v>Out</v>
      </c>
    </row>
    <row r="725">
      <c r="A725" s="62" t="s">
        <v>863</v>
      </c>
      <c r="B725" s="63">
        <v>44328.0</v>
      </c>
      <c r="C725" s="62" t="s">
        <v>119</v>
      </c>
      <c r="D725" s="64">
        <v>47.5</v>
      </c>
      <c r="E725" s="62" t="s">
        <v>109</v>
      </c>
      <c r="F725" s="62" t="s">
        <v>115</v>
      </c>
      <c r="G725" s="64" t="s">
        <v>64</v>
      </c>
      <c r="H725" s="3" t="s">
        <v>116</v>
      </c>
      <c r="I725" s="65">
        <f>IFERROR(VLOOKUP(A725,'3. Call duration'!$A:$C,3,0),"--")</f>
        <v>16.53643276</v>
      </c>
      <c r="J725" s="65" t="str">
        <f t="array" ref="J725">XLOOKUP(H725,'2. Matching'!$A$2:$A$39,'2. Matching'!$B$2:$B$39,"--")</f>
        <v>Acquisition</v>
      </c>
      <c r="K725" s="65" t="str">
        <f t="shared" si="1"/>
        <v>In</v>
      </c>
    </row>
    <row r="726">
      <c r="A726" s="62" t="s">
        <v>864</v>
      </c>
      <c r="B726" s="63">
        <v>44299.0</v>
      </c>
      <c r="C726" s="62" t="s">
        <v>108</v>
      </c>
      <c r="D726" s="64">
        <v>0.0</v>
      </c>
      <c r="E726" s="62" t="s">
        <v>109</v>
      </c>
      <c r="F726" s="62" t="s">
        <v>110</v>
      </c>
      <c r="G726" s="64" t="s">
        <v>64</v>
      </c>
      <c r="H726" s="3" t="s">
        <v>297</v>
      </c>
      <c r="I726" s="65">
        <f>IFERROR(VLOOKUP(A726,'3. Call duration'!$A:$C,3,0),"--")</f>
        <v>25.50110471</v>
      </c>
      <c r="J726" s="65" t="str">
        <f t="array" ref="J726">XLOOKUP(H726,'2. Matching'!$A$2:$A$39,'2. Matching'!$B$2:$B$39,"--")</f>
        <v>Farming</v>
      </c>
      <c r="K726" s="65" t="str">
        <f t="shared" si="1"/>
        <v>In</v>
      </c>
    </row>
    <row r="727">
      <c r="A727" s="62" t="s">
        <v>865</v>
      </c>
      <c r="B727" s="63">
        <v>44308.0</v>
      </c>
      <c r="C727" s="62" t="s">
        <v>112</v>
      </c>
      <c r="D727" s="64">
        <v>0.0</v>
      </c>
      <c r="E727" s="62" t="s">
        <v>109</v>
      </c>
      <c r="F727" s="62" t="s">
        <v>110</v>
      </c>
      <c r="G727" s="64" t="s">
        <v>64</v>
      </c>
      <c r="H727" s="3" t="s">
        <v>131</v>
      </c>
      <c r="I727" s="65" t="str">
        <f>IFERROR(VLOOKUP(A727,'3. Call duration'!$A:$C,3,0),"--")</f>
        <v>--</v>
      </c>
      <c r="J727" s="65" t="str">
        <f t="array" ref="J727">XLOOKUP(H727,'2. Matching'!$A$2:$A$39,'2. Matching'!$B$2:$B$39,"--")</f>
        <v>Acquisition</v>
      </c>
      <c r="K727" s="65" t="str">
        <f t="shared" si="1"/>
        <v>In</v>
      </c>
    </row>
    <row r="728">
      <c r="A728" s="62" t="s">
        <v>866</v>
      </c>
      <c r="B728" s="63">
        <v>44329.0</v>
      </c>
      <c r="C728" s="62" t="s">
        <v>119</v>
      </c>
      <c r="D728" s="64">
        <v>47.5</v>
      </c>
      <c r="E728" s="62" t="s">
        <v>109</v>
      </c>
      <c r="F728" s="62" t="s">
        <v>110</v>
      </c>
      <c r="G728" s="64" t="s">
        <v>64</v>
      </c>
      <c r="H728" s="3" t="s">
        <v>145</v>
      </c>
      <c r="I728" s="65">
        <f>IFERROR(VLOOKUP(A728,'3. Call duration'!$A:$C,3,0),"--")</f>
        <v>16.5420378</v>
      </c>
      <c r="J728" s="65" t="str">
        <f t="array" ref="J728">XLOOKUP(H728,'2. Matching'!$A$2:$A$39,'2. Matching'!$B$2:$B$39,"--")</f>
        <v>SEO</v>
      </c>
      <c r="K728" s="65" t="str">
        <f t="shared" si="1"/>
        <v>In</v>
      </c>
    </row>
    <row r="729">
      <c r="A729" s="62" t="s">
        <v>867</v>
      </c>
      <c r="B729" s="63">
        <v>44139.0</v>
      </c>
      <c r="C729" s="62" t="s">
        <v>108</v>
      </c>
      <c r="D729" s="64">
        <v>0.0</v>
      </c>
      <c r="E729" s="62" t="s">
        <v>109</v>
      </c>
      <c r="F729" s="62" t="s">
        <v>115</v>
      </c>
      <c r="G729" s="64" t="s">
        <v>64</v>
      </c>
      <c r="H729" s="3" t="s">
        <v>139</v>
      </c>
      <c r="I729" s="65">
        <f>IFERROR(VLOOKUP(A729,'3. Call duration'!$A:$C,3,0),"--")</f>
        <v>30.5026403</v>
      </c>
      <c r="J729" s="65" t="str">
        <f t="array" ref="J729">XLOOKUP(H729,'2. Matching'!$A$2:$A$39,'2. Matching'!$B$2:$B$39,"--")</f>
        <v>Acquisition</v>
      </c>
      <c r="K729" s="65" t="str">
        <f t="shared" si="1"/>
        <v>In</v>
      </c>
    </row>
    <row r="730">
      <c r="A730" s="62" t="s">
        <v>868</v>
      </c>
      <c r="B730" s="63">
        <v>44370.0</v>
      </c>
      <c r="C730" s="62" t="s">
        <v>112</v>
      </c>
      <c r="D730" s="64">
        <v>0.0</v>
      </c>
      <c r="E730" s="62" t="s">
        <v>109</v>
      </c>
      <c r="F730" s="62" t="s">
        <v>115</v>
      </c>
      <c r="G730" s="64" t="s">
        <v>63</v>
      </c>
      <c r="H730" s="3" t="s">
        <v>228</v>
      </c>
      <c r="I730" s="65" t="str">
        <f>IFERROR(VLOOKUP(A730,'3. Call duration'!$A:$C,3,0),"--")</f>
        <v>--</v>
      </c>
      <c r="J730" s="65" t="str">
        <f t="array" ref="J730">XLOOKUP(H730,'2. Matching'!$A$2:$A$39,'2. Matching'!$B$2:$B$39,"--")</f>
        <v>Farming</v>
      </c>
      <c r="K730" s="65" t="str">
        <f t="shared" si="1"/>
        <v>In</v>
      </c>
    </row>
    <row r="731">
      <c r="A731" s="62" t="s">
        <v>869</v>
      </c>
      <c r="B731" s="63">
        <v>44141.0</v>
      </c>
      <c r="C731" s="62" t="s">
        <v>108</v>
      </c>
      <c r="D731" s="64">
        <v>0.0</v>
      </c>
      <c r="E731" s="62" t="s">
        <v>109</v>
      </c>
      <c r="F731" s="62" t="s">
        <v>110</v>
      </c>
      <c r="G731" s="64" t="s">
        <v>64</v>
      </c>
      <c r="H731" s="3" t="s">
        <v>139</v>
      </c>
      <c r="I731" s="65">
        <f>IFERROR(VLOOKUP(A731,'3. Call duration'!$A:$C,3,0),"--")</f>
        <v>25.70383379</v>
      </c>
      <c r="J731" s="65" t="str">
        <f t="array" ref="J731">XLOOKUP(H731,'2. Matching'!$A$2:$A$39,'2. Matching'!$B$2:$B$39,"--")</f>
        <v>Acquisition</v>
      </c>
      <c r="K731" s="65" t="str">
        <f t="shared" si="1"/>
        <v>In</v>
      </c>
    </row>
    <row r="732">
      <c r="A732" s="62" t="s">
        <v>870</v>
      </c>
      <c r="B732" s="63">
        <v>44216.0</v>
      </c>
      <c r="C732" s="62" t="s">
        <v>112</v>
      </c>
      <c r="D732" s="64">
        <v>0.0</v>
      </c>
      <c r="E732" s="62" t="s">
        <v>114</v>
      </c>
      <c r="F732" s="62" t="s">
        <v>115</v>
      </c>
      <c r="G732" s="64" t="s">
        <v>64</v>
      </c>
      <c r="H732" s="3" t="s">
        <v>169</v>
      </c>
      <c r="I732" s="65" t="str">
        <f>IFERROR(VLOOKUP(A732,'3. Call duration'!$A:$C,3,0),"--")</f>
        <v>--</v>
      </c>
      <c r="J732" s="65" t="str">
        <f t="array" ref="J732">XLOOKUP(H732,'2. Matching'!$A$2:$A$39,'2. Matching'!$B$2:$B$39,"--")</f>
        <v>SEO</v>
      </c>
      <c r="K732" s="65" t="str">
        <f t="shared" si="1"/>
        <v>In</v>
      </c>
    </row>
    <row r="733">
      <c r="A733" s="62" t="s">
        <v>871</v>
      </c>
      <c r="B733" s="63">
        <v>44306.0</v>
      </c>
      <c r="C733" s="62" t="s">
        <v>108</v>
      </c>
      <c r="D733" s="64">
        <v>0.0</v>
      </c>
      <c r="E733" s="62" t="s">
        <v>109</v>
      </c>
      <c r="F733" s="62" t="s">
        <v>115</v>
      </c>
      <c r="G733" s="64" t="s">
        <v>64</v>
      </c>
      <c r="H733" s="3" t="s">
        <v>145</v>
      </c>
      <c r="I733" s="65">
        <f>IFERROR(VLOOKUP(A733,'3. Call duration'!$A:$C,3,0),"--")</f>
        <v>12.50704518</v>
      </c>
      <c r="J733" s="65" t="str">
        <f t="array" ref="J733">XLOOKUP(H733,'2. Matching'!$A$2:$A$39,'2. Matching'!$B$2:$B$39,"--")</f>
        <v>SEO</v>
      </c>
      <c r="K733" s="65" t="str">
        <f t="shared" si="1"/>
        <v>In</v>
      </c>
    </row>
    <row r="734">
      <c r="A734" s="62" t="s">
        <v>872</v>
      </c>
      <c r="B734" s="63">
        <v>44221.0</v>
      </c>
      <c r="C734" s="62" t="s">
        <v>112</v>
      </c>
      <c r="D734" s="64">
        <v>0.0</v>
      </c>
      <c r="E734" s="62" t="s">
        <v>114</v>
      </c>
      <c r="F734" s="62" t="s">
        <v>110</v>
      </c>
      <c r="G734" s="64" t="s">
        <v>64</v>
      </c>
      <c r="H734" s="3" t="s">
        <v>131</v>
      </c>
      <c r="I734" s="65" t="str">
        <f>IFERROR(VLOOKUP(A734,'3. Call duration'!$A:$C,3,0),"--")</f>
        <v>--</v>
      </c>
      <c r="J734" s="65" t="str">
        <f t="array" ref="J734">XLOOKUP(H734,'2. Matching'!$A$2:$A$39,'2. Matching'!$B$2:$B$39,"--")</f>
        <v>Acquisition</v>
      </c>
      <c r="K734" s="65" t="str">
        <f t="shared" si="1"/>
        <v>In</v>
      </c>
    </row>
    <row r="735">
      <c r="A735" s="62" t="s">
        <v>873</v>
      </c>
      <c r="B735" s="63">
        <v>44126.0</v>
      </c>
      <c r="C735" s="62" t="s">
        <v>112</v>
      </c>
      <c r="D735" s="64">
        <v>0.0</v>
      </c>
      <c r="E735" s="62" t="s">
        <v>109</v>
      </c>
      <c r="F735" s="62" t="s">
        <v>110</v>
      </c>
      <c r="G735" s="64" t="s">
        <v>64</v>
      </c>
      <c r="H735" s="3" t="s">
        <v>169</v>
      </c>
      <c r="I735" s="65" t="str">
        <f>IFERROR(VLOOKUP(A735,'3. Call duration'!$A:$C,3,0),"--")</f>
        <v>--</v>
      </c>
      <c r="J735" s="65" t="str">
        <f t="array" ref="J735">XLOOKUP(H735,'2. Matching'!$A$2:$A$39,'2. Matching'!$B$2:$B$39,"--")</f>
        <v>SEO</v>
      </c>
      <c r="K735" s="65" t="str">
        <f t="shared" si="1"/>
        <v>In</v>
      </c>
    </row>
    <row r="736">
      <c r="A736" s="62" t="s">
        <v>874</v>
      </c>
      <c r="B736" s="63">
        <v>44326.0</v>
      </c>
      <c r="C736" s="62" t="s">
        <v>119</v>
      </c>
      <c r="D736" s="64">
        <v>47.5</v>
      </c>
      <c r="E736" s="62" t="s">
        <v>109</v>
      </c>
      <c r="F736" s="62" t="s">
        <v>115</v>
      </c>
      <c r="G736" s="64" t="s">
        <v>64</v>
      </c>
      <c r="H736" s="3" t="s">
        <v>141</v>
      </c>
      <c r="I736" s="65">
        <f>IFERROR(VLOOKUP(A736,'3. Call duration'!$A:$C,3,0),"--")</f>
        <v>16.5982957</v>
      </c>
      <c r="J736" s="65" t="str">
        <f t="array" ref="J736">XLOOKUP(H736,'2. Matching'!$A$2:$A$39,'2. Matching'!$B$2:$B$39,"--")</f>
        <v>Acquisition</v>
      </c>
      <c r="K736" s="65" t="str">
        <f t="shared" si="1"/>
        <v>In</v>
      </c>
    </row>
    <row r="737">
      <c r="A737" s="62" t="s">
        <v>875</v>
      </c>
      <c r="B737" s="63">
        <v>44368.0</v>
      </c>
      <c r="C737" s="62" t="s">
        <v>108</v>
      </c>
      <c r="D737" s="64">
        <v>0.0</v>
      </c>
      <c r="E737" s="62" t="s">
        <v>109</v>
      </c>
      <c r="F737" s="62" t="s">
        <v>110</v>
      </c>
      <c r="G737" s="64" t="s">
        <v>60</v>
      </c>
      <c r="H737" s="3" t="s">
        <v>67</v>
      </c>
      <c r="I737" s="65">
        <f>IFERROR(VLOOKUP(A737,'3. Call duration'!$A:$C,3,0),"--")</f>
        <v>28.11639317</v>
      </c>
      <c r="J737" s="65" t="str">
        <f t="array" ref="J737">XLOOKUP(H737,'2. Matching'!$A$2:$A$39,'2. Matching'!$B$2:$B$39,"--")</f>
        <v>Acquisition</v>
      </c>
      <c r="K737" s="65" t="str">
        <f t="shared" si="1"/>
        <v>In</v>
      </c>
    </row>
    <row r="738">
      <c r="A738" s="62" t="s">
        <v>876</v>
      </c>
      <c r="B738" s="63">
        <v>44278.0</v>
      </c>
      <c r="C738" s="62" t="s">
        <v>108</v>
      </c>
      <c r="D738" s="64">
        <v>0.0</v>
      </c>
      <c r="E738" s="62" t="s">
        <v>109</v>
      </c>
      <c r="F738" s="62" t="s">
        <v>110</v>
      </c>
      <c r="G738" s="64" t="s">
        <v>63</v>
      </c>
      <c r="H738" s="3" t="s">
        <v>128</v>
      </c>
      <c r="I738" s="65">
        <f>IFERROR(VLOOKUP(A738,'3. Call duration'!$A:$C,3,0),"--")</f>
        <v>20.75597544</v>
      </c>
      <c r="J738" s="65" t="str">
        <f t="array" ref="J738">XLOOKUP(H738,'2. Matching'!$A$2:$A$39,'2. Matching'!$B$2:$B$39,"--")</f>
        <v>Acquisition</v>
      </c>
      <c r="K738" s="65" t="str">
        <f t="shared" si="1"/>
        <v>In</v>
      </c>
    </row>
    <row r="739">
      <c r="A739" s="62" t="s">
        <v>877</v>
      </c>
      <c r="B739" s="63">
        <v>44130.0</v>
      </c>
      <c r="C739" s="62" t="s">
        <v>112</v>
      </c>
      <c r="D739" s="64">
        <v>0.0</v>
      </c>
      <c r="E739" s="62" t="s">
        <v>109</v>
      </c>
      <c r="F739" s="62" t="s">
        <v>115</v>
      </c>
      <c r="G739" s="64" t="s">
        <v>64</v>
      </c>
      <c r="H739" s="3" t="s">
        <v>155</v>
      </c>
      <c r="I739" s="65" t="str">
        <f>IFERROR(VLOOKUP(A739,'3. Call duration'!$A:$C,3,0),"--")</f>
        <v>--</v>
      </c>
      <c r="J739" s="65" t="str">
        <f t="array" ref="J739">XLOOKUP(H739,'2. Matching'!$A$2:$A$39,'2. Matching'!$B$2:$B$39,"--")</f>
        <v>SEO</v>
      </c>
      <c r="K739" s="65" t="str">
        <f t="shared" si="1"/>
        <v>In</v>
      </c>
    </row>
    <row r="740">
      <c r="A740" s="62" t="s">
        <v>878</v>
      </c>
      <c r="B740" s="63">
        <v>44336.0</v>
      </c>
      <c r="C740" s="62" t="s">
        <v>119</v>
      </c>
      <c r="D740" s="64">
        <v>47.5</v>
      </c>
      <c r="E740" s="62" t="s">
        <v>109</v>
      </c>
      <c r="F740" s="62" t="s">
        <v>110</v>
      </c>
      <c r="G740" s="64" t="s">
        <v>64</v>
      </c>
      <c r="H740" s="3" t="s">
        <v>171</v>
      </c>
      <c r="I740" s="65">
        <f>IFERROR(VLOOKUP(A740,'3. Call duration'!$A:$C,3,0),"--")</f>
        <v>16.78453956</v>
      </c>
      <c r="J740" s="65" t="str">
        <f t="array" ref="J740">XLOOKUP(H740,'2. Matching'!$A$2:$A$39,'2. Matching'!$B$2:$B$39,"--")</f>
        <v>SEO</v>
      </c>
      <c r="K740" s="65" t="str">
        <f t="shared" si="1"/>
        <v>In</v>
      </c>
    </row>
    <row r="741">
      <c r="A741" s="62" t="s">
        <v>879</v>
      </c>
      <c r="B741" s="63">
        <v>44236.0</v>
      </c>
      <c r="C741" s="62" t="s">
        <v>112</v>
      </c>
      <c r="D741" s="64">
        <v>0.0</v>
      </c>
      <c r="E741" s="62" t="s">
        <v>109</v>
      </c>
      <c r="F741" s="62" t="s">
        <v>110</v>
      </c>
      <c r="G741" s="64" t="s">
        <v>64</v>
      </c>
      <c r="H741" s="3" t="s">
        <v>297</v>
      </c>
      <c r="I741" s="65" t="str">
        <f>IFERROR(VLOOKUP(A741,'3. Call duration'!$A:$C,3,0),"--")</f>
        <v>--</v>
      </c>
      <c r="J741" s="65" t="str">
        <f t="array" ref="J741">XLOOKUP(H741,'2. Matching'!$A$2:$A$39,'2. Matching'!$B$2:$B$39,"--")</f>
        <v>Farming</v>
      </c>
      <c r="K741" s="65" t="str">
        <f t="shared" si="1"/>
        <v>In</v>
      </c>
    </row>
    <row r="742">
      <c r="A742" s="62" t="s">
        <v>880</v>
      </c>
      <c r="B742" s="63">
        <v>44280.0</v>
      </c>
      <c r="C742" s="62" t="s">
        <v>108</v>
      </c>
      <c r="D742" s="64">
        <v>0.0</v>
      </c>
      <c r="E742" s="62" t="s">
        <v>109</v>
      </c>
      <c r="F742" s="62" t="s">
        <v>115</v>
      </c>
      <c r="G742" s="64" t="s">
        <v>62</v>
      </c>
      <c r="H742" s="3" t="s">
        <v>203</v>
      </c>
      <c r="I742" s="65">
        <f>IFERROR(VLOOKUP(A742,'3. Call duration'!$A:$C,3,0),"--")</f>
        <v>31.49137391</v>
      </c>
      <c r="J742" s="65" t="str">
        <f t="array" ref="J742">XLOOKUP(H742,'2. Matching'!$A$2:$A$39,'2. Matching'!$B$2:$B$39,"--")</f>
        <v>Farming</v>
      </c>
      <c r="K742" s="65" t="str">
        <f t="shared" si="1"/>
        <v>In</v>
      </c>
    </row>
    <row r="743">
      <c r="A743" s="62" t="s">
        <v>881</v>
      </c>
      <c r="B743" s="63">
        <v>44117.0</v>
      </c>
      <c r="C743" s="62" t="s">
        <v>112</v>
      </c>
      <c r="D743" s="64">
        <v>0.0</v>
      </c>
      <c r="E743" s="62" t="s">
        <v>109</v>
      </c>
      <c r="F743" s="62" t="s">
        <v>110</v>
      </c>
      <c r="G743" s="64" t="s">
        <v>64</v>
      </c>
      <c r="H743" s="3" t="s">
        <v>175</v>
      </c>
      <c r="I743" s="65" t="str">
        <f>IFERROR(VLOOKUP(A743,'3. Call duration'!$A:$C,3,0),"--")</f>
        <v>--</v>
      </c>
      <c r="J743" s="65" t="str">
        <f t="array" ref="J743">XLOOKUP(H743,'2. Matching'!$A$2:$A$39,'2. Matching'!$B$2:$B$39,"--")</f>
        <v>SEO</v>
      </c>
      <c r="K743" s="65" t="str">
        <f t="shared" si="1"/>
        <v>In</v>
      </c>
    </row>
    <row r="744">
      <c r="A744" s="62" t="s">
        <v>882</v>
      </c>
      <c r="B744" s="63">
        <v>44356.0</v>
      </c>
      <c r="C744" s="62" t="s">
        <v>108</v>
      </c>
      <c r="D744" s="64">
        <v>0.0</v>
      </c>
      <c r="E744" s="62" t="s">
        <v>114</v>
      </c>
      <c r="F744" s="62" t="s">
        <v>110</v>
      </c>
      <c r="G744" s="64" t="s">
        <v>59</v>
      </c>
      <c r="H744" s="3" t="s">
        <v>68</v>
      </c>
      <c r="I744" s="65">
        <f>IFERROR(VLOOKUP(A744,'3. Call duration'!$A:$C,3,0),"--")</f>
        <v>28.64137624</v>
      </c>
      <c r="J744" s="65" t="str">
        <f t="array" ref="J744">XLOOKUP(H744,'2. Matching'!$A$2:$A$39,'2. Matching'!$B$2:$B$39,"--")</f>
        <v>Acquisition</v>
      </c>
      <c r="K744" s="65" t="str">
        <f t="shared" si="1"/>
        <v>In</v>
      </c>
    </row>
    <row r="745">
      <c r="A745" s="62" t="s">
        <v>883</v>
      </c>
      <c r="B745" s="63">
        <v>44223.0</v>
      </c>
      <c r="C745" s="62" t="s">
        <v>108</v>
      </c>
      <c r="D745" s="64">
        <v>0.0</v>
      </c>
      <c r="E745" s="62" t="s">
        <v>109</v>
      </c>
      <c r="F745" s="62" t="s">
        <v>110</v>
      </c>
      <c r="G745" s="64" t="s">
        <v>64</v>
      </c>
      <c r="H745" s="3" t="s">
        <v>139</v>
      </c>
      <c r="I745" s="65">
        <f>IFERROR(VLOOKUP(A745,'3. Call duration'!$A:$C,3,0),"--")</f>
        <v>28.56413144</v>
      </c>
      <c r="J745" s="65" t="str">
        <f t="array" ref="J745">XLOOKUP(H745,'2. Matching'!$A$2:$A$39,'2. Matching'!$B$2:$B$39,"--")</f>
        <v>Acquisition</v>
      </c>
      <c r="K745" s="65" t="str">
        <f t="shared" si="1"/>
        <v>In</v>
      </c>
    </row>
    <row r="746">
      <c r="A746" s="62" t="s">
        <v>884</v>
      </c>
      <c r="B746" s="63">
        <v>44393.0</v>
      </c>
      <c r="C746" s="62" t="s">
        <v>112</v>
      </c>
      <c r="D746" s="64">
        <v>0.0</v>
      </c>
      <c r="E746" s="62" t="s">
        <v>109</v>
      </c>
      <c r="F746" s="62" t="s">
        <v>110</v>
      </c>
      <c r="G746" s="64" t="s">
        <v>60</v>
      </c>
      <c r="H746" s="3" t="s">
        <v>67</v>
      </c>
      <c r="I746" s="65" t="str">
        <f>IFERROR(VLOOKUP(A746,'3. Call duration'!$A:$C,3,0),"--")</f>
        <v>--</v>
      </c>
      <c r="J746" s="65" t="str">
        <f t="array" ref="J746">XLOOKUP(H746,'2. Matching'!$A$2:$A$39,'2. Matching'!$B$2:$B$39,"--")</f>
        <v>Acquisition</v>
      </c>
      <c r="K746" s="65" t="str">
        <f t="shared" si="1"/>
        <v>In</v>
      </c>
    </row>
    <row r="747">
      <c r="A747" s="62" t="s">
        <v>885</v>
      </c>
      <c r="B747" s="63">
        <v>44309.0</v>
      </c>
      <c r="C747" s="62" t="s">
        <v>112</v>
      </c>
      <c r="D747" s="64">
        <v>0.0</v>
      </c>
      <c r="E747" s="62" t="s">
        <v>109</v>
      </c>
      <c r="F747" s="62" t="s">
        <v>110</v>
      </c>
      <c r="G747" s="64" t="s">
        <v>63</v>
      </c>
      <c r="H747" s="3" t="s">
        <v>189</v>
      </c>
      <c r="I747" s="65" t="str">
        <f>IFERROR(VLOOKUP(A747,'3. Call duration'!$A:$C,3,0),"--")</f>
        <v>--</v>
      </c>
      <c r="J747" s="65" t="str">
        <f t="array" ref="J747">XLOOKUP(H747,'2. Matching'!$A$2:$A$39,'2. Matching'!$B$2:$B$39,"--")</f>
        <v>SEO</v>
      </c>
      <c r="K747" s="65" t="str">
        <f t="shared" si="1"/>
        <v>Out</v>
      </c>
    </row>
    <row r="748">
      <c r="A748" s="62" t="s">
        <v>886</v>
      </c>
      <c r="B748" s="63">
        <v>44373.0</v>
      </c>
      <c r="C748" s="62" t="s">
        <v>108</v>
      </c>
      <c r="D748" s="64">
        <v>0.0</v>
      </c>
      <c r="E748" s="62" t="s">
        <v>109</v>
      </c>
      <c r="F748" s="62" t="s">
        <v>115</v>
      </c>
      <c r="G748" s="64" t="s">
        <v>59</v>
      </c>
      <c r="H748" s="3" t="s">
        <v>68</v>
      </c>
      <c r="I748" s="65">
        <f>IFERROR(VLOOKUP(A748,'3. Call duration'!$A:$C,3,0),"--")</f>
        <v>27.56861736</v>
      </c>
      <c r="J748" s="65" t="str">
        <f t="array" ref="J748">XLOOKUP(H748,'2. Matching'!$A$2:$A$39,'2. Matching'!$B$2:$B$39,"--")</f>
        <v>Acquisition</v>
      </c>
      <c r="K748" s="65" t="str">
        <f t="shared" si="1"/>
        <v>In</v>
      </c>
    </row>
    <row r="749">
      <c r="A749" s="62" t="s">
        <v>887</v>
      </c>
      <c r="B749" s="63">
        <v>44375.0</v>
      </c>
      <c r="C749" s="62" t="s">
        <v>108</v>
      </c>
      <c r="D749" s="64">
        <v>0.0</v>
      </c>
      <c r="E749" s="62" t="s">
        <v>109</v>
      </c>
      <c r="F749" s="62" t="s">
        <v>115</v>
      </c>
      <c r="G749" s="64" t="s">
        <v>64</v>
      </c>
      <c r="H749" s="3" t="s">
        <v>164</v>
      </c>
      <c r="I749" s="65" t="str">
        <f>IFERROR(VLOOKUP(A749,'3. Call duration'!$A:$C,3,0),"--")</f>
        <v>--</v>
      </c>
      <c r="J749" s="65" t="str">
        <f t="array" ref="J749">XLOOKUP(H749,'2. Matching'!$A$2:$A$39,'2. Matching'!$B$2:$B$39,"--")</f>
        <v>SEO</v>
      </c>
      <c r="K749" s="65" t="str">
        <f t="shared" si="1"/>
        <v>In</v>
      </c>
    </row>
    <row r="750">
      <c r="A750" s="62" t="s">
        <v>888</v>
      </c>
      <c r="B750" s="63">
        <v>44166.0</v>
      </c>
      <c r="C750" s="62" t="s">
        <v>112</v>
      </c>
      <c r="D750" s="64">
        <v>0.0</v>
      </c>
      <c r="E750" s="62" t="s">
        <v>109</v>
      </c>
      <c r="F750" s="62" t="s">
        <v>110</v>
      </c>
      <c r="G750" s="64" t="s">
        <v>64</v>
      </c>
      <c r="H750" s="3" t="s">
        <v>235</v>
      </c>
      <c r="I750" s="65" t="str">
        <f>IFERROR(VLOOKUP(A750,'3. Call duration'!$A:$C,3,0),"--")</f>
        <v>--</v>
      </c>
      <c r="J750" s="65" t="str">
        <f t="array" ref="J750">XLOOKUP(H750,'2. Matching'!$A$2:$A$39,'2. Matching'!$B$2:$B$39,"--")</f>
        <v>Farming</v>
      </c>
      <c r="K750" s="65" t="str">
        <f t="shared" si="1"/>
        <v>In</v>
      </c>
    </row>
    <row r="751">
      <c r="A751" s="62" t="s">
        <v>889</v>
      </c>
      <c r="B751" s="63">
        <v>44335.0</v>
      </c>
      <c r="C751" s="62" t="s">
        <v>119</v>
      </c>
      <c r="D751" s="64">
        <v>47.5</v>
      </c>
      <c r="E751" s="62" t="s">
        <v>109</v>
      </c>
      <c r="F751" s="62" t="s">
        <v>115</v>
      </c>
      <c r="G751" s="64" t="s">
        <v>64</v>
      </c>
      <c r="H751" s="3" t="s">
        <v>54</v>
      </c>
      <c r="I751" s="65">
        <f>IFERROR(VLOOKUP(A751,'3. Call duration'!$A:$C,3,0),"--")</f>
        <v>16.91664769</v>
      </c>
      <c r="J751" s="65" t="str">
        <f t="array" ref="J751">XLOOKUP(H751,'2. Matching'!$A$2:$A$39,'2. Matching'!$B$2:$B$39,"--")</f>
        <v>Partnerships</v>
      </c>
      <c r="K751" s="65" t="str">
        <f t="shared" si="1"/>
        <v>In</v>
      </c>
    </row>
    <row r="752">
      <c r="A752" s="62" t="s">
        <v>890</v>
      </c>
      <c r="B752" s="63">
        <v>44217.0</v>
      </c>
      <c r="C752" s="62" t="s">
        <v>112</v>
      </c>
      <c r="D752" s="64">
        <v>0.0</v>
      </c>
      <c r="E752" s="62" t="s">
        <v>109</v>
      </c>
      <c r="F752" s="62" t="s">
        <v>115</v>
      </c>
      <c r="G752" s="64" t="s">
        <v>64</v>
      </c>
      <c r="H752" s="3" t="s">
        <v>139</v>
      </c>
      <c r="I752" s="65" t="str">
        <f>IFERROR(VLOOKUP(A752,'3. Call duration'!$A:$C,3,0),"--")</f>
        <v>--</v>
      </c>
      <c r="J752" s="65" t="str">
        <f t="array" ref="J752">XLOOKUP(H752,'2. Matching'!$A$2:$A$39,'2. Matching'!$B$2:$B$39,"--")</f>
        <v>Acquisition</v>
      </c>
      <c r="K752" s="65" t="str">
        <f t="shared" si="1"/>
        <v>In</v>
      </c>
    </row>
    <row r="753">
      <c r="A753" s="62" t="s">
        <v>891</v>
      </c>
      <c r="B753" s="63">
        <v>44378.0</v>
      </c>
      <c r="C753" s="62" t="s">
        <v>112</v>
      </c>
      <c r="D753" s="64">
        <v>0.0</v>
      </c>
      <c r="E753" s="62" t="s">
        <v>114</v>
      </c>
      <c r="F753" s="62" t="s">
        <v>115</v>
      </c>
      <c r="G753" s="64" t="s">
        <v>63</v>
      </c>
      <c r="H753" s="3" t="s">
        <v>124</v>
      </c>
      <c r="I753" s="65" t="str">
        <f>IFERROR(VLOOKUP(A753,'3. Call duration'!$A:$C,3,0),"--")</f>
        <v>--</v>
      </c>
      <c r="J753" s="65" t="str">
        <f t="array" ref="J753">XLOOKUP(H753,'2. Matching'!$A$2:$A$39,'2. Matching'!$B$2:$B$39,"--")</f>
        <v>Acquisition</v>
      </c>
      <c r="K753" s="65" t="str">
        <f t="shared" si="1"/>
        <v>In</v>
      </c>
    </row>
    <row r="754">
      <c r="A754" s="62" t="s">
        <v>892</v>
      </c>
      <c r="B754" s="63">
        <v>44375.0</v>
      </c>
      <c r="C754" s="62" t="s">
        <v>108</v>
      </c>
      <c r="D754" s="64">
        <v>0.0</v>
      </c>
      <c r="E754" s="62" t="s">
        <v>109</v>
      </c>
      <c r="F754" s="62" t="s">
        <v>115</v>
      </c>
      <c r="G754" s="64" t="s">
        <v>60</v>
      </c>
      <c r="H754" s="3" t="s">
        <v>67</v>
      </c>
      <c r="I754" s="65">
        <f>IFERROR(VLOOKUP(A754,'3. Call duration'!$A:$C,3,0),"--")</f>
        <v>29.8704732</v>
      </c>
      <c r="J754" s="65" t="str">
        <f t="array" ref="J754">XLOOKUP(H754,'2. Matching'!$A$2:$A$39,'2. Matching'!$B$2:$B$39,"--")</f>
        <v>Acquisition</v>
      </c>
      <c r="K754" s="65" t="str">
        <f t="shared" si="1"/>
        <v>In</v>
      </c>
    </row>
    <row r="755">
      <c r="A755" s="62" t="s">
        <v>893</v>
      </c>
      <c r="B755" s="63">
        <v>44319.0</v>
      </c>
      <c r="C755" s="62" t="s">
        <v>119</v>
      </c>
      <c r="D755" s="64">
        <v>95.0</v>
      </c>
      <c r="E755" s="62" t="s">
        <v>114</v>
      </c>
      <c r="F755" s="62" t="s">
        <v>110</v>
      </c>
      <c r="G755" s="64" t="s">
        <v>64</v>
      </c>
      <c r="H755" s="3" t="s">
        <v>54</v>
      </c>
      <c r="I755" s="65">
        <f>IFERROR(VLOOKUP(A755,'3. Call duration'!$A:$C,3,0),"--")</f>
        <v>16.92026794</v>
      </c>
      <c r="J755" s="65" t="str">
        <f t="array" ref="J755">XLOOKUP(H755,'2. Matching'!$A$2:$A$39,'2. Matching'!$B$2:$B$39,"--")</f>
        <v>Partnerships</v>
      </c>
      <c r="K755" s="65" t="str">
        <f t="shared" si="1"/>
        <v>In</v>
      </c>
    </row>
    <row r="756">
      <c r="A756" s="62" t="s">
        <v>894</v>
      </c>
      <c r="B756" s="63">
        <v>44272.0</v>
      </c>
      <c r="C756" s="62" t="s">
        <v>112</v>
      </c>
      <c r="D756" s="64">
        <v>0.0</v>
      </c>
      <c r="E756" s="62" t="s">
        <v>109</v>
      </c>
      <c r="F756" s="62" t="s">
        <v>110</v>
      </c>
      <c r="G756" s="64" t="s">
        <v>64</v>
      </c>
      <c r="H756" s="3" t="s">
        <v>171</v>
      </c>
      <c r="I756" s="65" t="str">
        <f>IFERROR(VLOOKUP(A756,'3. Call duration'!$A:$C,3,0),"--")</f>
        <v>--</v>
      </c>
      <c r="J756" s="65" t="str">
        <f t="array" ref="J756">XLOOKUP(H756,'2. Matching'!$A$2:$A$39,'2. Matching'!$B$2:$B$39,"--")</f>
        <v>SEO</v>
      </c>
      <c r="K756" s="65" t="str">
        <f t="shared" si="1"/>
        <v>In</v>
      </c>
    </row>
    <row r="757">
      <c r="A757" s="62" t="s">
        <v>895</v>
      </c>
      <c r="B757" s="63">
        <v>44165.0</v>
      </c>
      <c r="C757" s="62" t="s">
        <v>112</v>
      </c>
      <c r="D757" s="64">
        <v>0.0</v>
      </c>
      <c r="E757" s="62" t="s">
        <v>114</v>
      </c>
      <c r="F757" s="62" t="s">
        <v>110</v>
      </c>
      <c r="G757" s="64" t="s">
        <v>64</v>
      </c>
      <c r="H757" s="3" t="s">
        <v>150</v>
      </c>
      <c r="I757" s="65" t="str">
        <f>IFERROR(VLOOKUP(A757,'3. Call duration'!$A:$C,3,0),"--")</f>
        <v>--</v>
      </c>
      <c r="J757" s="65" t="str">
        <f t="array" ref="J757">XLOOKUP(H757,'2. Matching'!$A$2:$A$39,'2. Matching'!$B$2:$B$39,"--")</f>
        <v>SEO</v>
      </c>
      <c r="K757" s="65" t="str">
        <f t="shared" si="1"/>
        <v>In</v>
      </c>
    </row>
    <row r="758">
      <c r="A758" s="62" t="s">
        <v>896</v>
      </c>
      <c r="B758" s="63">
        <v>44306.0</v>
      </c>
      <c r="C758" s="62" t="s">
        <v>112</v>
      </c>
      <c r="D758" s="64">
        <v>0.0</v>
      </c>
      <c r="E758" s="62" t="s">
        <v>109</v>
      </c>
      <c r="F758" s="62" t="s">
        <v>110</v>
      </c>
      <c r="G758" s="64" t="s">
        <v>64</v>
      </c>
      <c r="H758" s="3" t="s">
        <v>54</v>
      </c>
      <c r="I758" s="65" t="str">
        <f>IFERROR(VLOOKUP(A758,'3. Call duration'!$A:$C,3,0),"--")</f>
        <v>--</v>
      </c>
      <c r="J758" s="65" t="str">
        <f t="array" ref="J758">XLOOKUP(H758,'2. Matching'!$A$2:$A$39,'2. Matching'!$B$2:$B$39,"--")</f>
        <v>Partnerships</v>
      </c>
      <c r="K758" s="65" t="str">
        <f t="shared" si="1"/>
        <v>In</v>
      </c>
    </row>
    <row r="759">
      <c r="A759" s="62" t="s">
        <v>897</v>
      </c>
      <c r="B759" s="63">
        <v>44246.0</v>
      </c>
      <c r="C759" s="62" t="s">
        <v>108</v>
      </c>
      <c r="D759" s="64">
        <v>0.0</v>
      </c>
      <c r="E759" s="62" t="s">
        <v>109</v>
      </c>
      <c r="F759" s="62" t="s">
        <v>110</v>
      </c>
      <c r="G759" s="64" t="s">
        <v>64</v>
      </c>
      <c r="H759" s="3" t="s">
        <v>155</v>
      </c>
      <c r="I759" s="65" t="str">
        <f>IFERROR(VLOOKUP(A759,'3. Call duration'!$A:$C,3,0),"--")</f>
        <v>--</v>
      </c>
      <c r="J759" s="65" t="str">
        <f t="array" ref="J759">XLOOKUP(H759,'2. Matching'!$A$2:$A$39,'2. Matching'!$B$2:$B$39,"--")</f>
        <v>SEO</v>
      </c>
      <c r="K759" s="65" t="str">
        <f t="shared" si="1"/>
        <v>In</v>
      </c>
    </row>
    <row r="760">
      <c r="A760" s="62" t="s">
        <v>898</v>
      </c>
      <c r="B760" s="63">
        <v>44165.0</v>
      </c>
      <c r="C760" s="62" t="s">
        <v>112</v>
      </c>
      <c r="D760" s="64">
        <v>0.0</v>
      </c>
      <c r="E760" s="62" t="s">
        <v>109</v>
      </c>
      <c r="F760" s="62" t="s">
        <v>110</v>
      </c>
      <c r="G760" s="64" t="s">
        <v>64</v>
      </c>
      <c r="H760" s="3" t="s">
        <v>169</v>
      </c>
      <c r="I760" s="65" t="str">
        <f>IFERROR(VLOOKUP(A760,'3. Call duration'!$A:$C,3,0),"--")</f>
        <v>--</v>
      </c>
      <c r="J760" s="65" t="str">
        <f t="array" ref="J760">XLOOKUP(H760,'2. Matching'!$A$2:$A$39,'2. Matching'!$B$2:$B$39,"--")</f>
        <v>SEO</v>
      </c>
      <c r="K760" s="65" t="str">
        <f t="shared" si="1"/>
        <v>In</v>
      </c>
    </row>
    <row r="761">
      <c r="A761" s="62" t="s">
        <v>899</v>
      </c>
      <c r="B761" s="63">
        <v>44277.0</v>
      </c>
      <c r="C761" s="62" t="s">
        <v>112</v>
      </c>
      <c r="D761" s="64">
        <v>0.0</v>
      </c>
      <c r="E761" s="62" t="s">
        <v>109</v>
      </c>
      <c r="F761" s="62" t="s">
        <v>110</v>
      </c>
      <c r="G761" s="64" t="s">
        <v>64</v>
      </c>
      <c r="H761" s="3" t="s">
        <v>141</v>
      </c>
      <c r="I761" s="65" t="str">
        <f>IFERROR(VLOOKUP(A761,'3. Call duration'!$A:$C,3,0),"--")</f>
        <v>--</v>
      </c>
      <c r="J761" s="65" t="str">
        <f t="array" ref="J761">XLOOKUP(H761,'2. Matching'!$A$2:$A$39,'2. Matching'!$B$2:$B$39,"--")</f>
        <v>Acquisition</v>
      </c>
      <c r="K761" s="65" t="str">
        <f t="shared" si="1"/>
        <v>In</v>
      </c>
    </row>
    <row r="762">
      <c r="A762" s="62" t="s">
        <v>900</v>
      </c>
      <c r="B762" s="63">
        <v>44211.0</v>
      </c>
      <c r="C762" s="62" t="s">
        <v>108</v>
      </c>
      <c r="D762" s="64">
        <v>0.0</v>
      </c>
      <c r="E762" s="62" t="s">
        <v>114</v>
      </c>
      <c r="F762" s="62" t="s">
        <v>115</v>
      </c>
      <c r="G762" s="64" t="s">
        <v>64</v>
      </c>
      <c r="H762" s="3" t="s">
        <v>139</v>
      </c>
      <c r="I762" s="65">
        <f>IFERROR(VLOOKUP(A762,'3. Call duration'!$A:$C,3,0),"--")</f>
        <v>16.45256593</v>
      </c>
      <c r="J762" s="65" t="str">
        <f t="array" ref="J762">XLOOKUP(H762,'2. Matching'!$A$2:$A$39,'2. Matching'!$B$2:$B$39,"--")</f>
        <v>Acquisition</v>
      </c>
      <c r="K762" s="65" t="str">
        <f t="shared" si="1"/>
        <v>In</v>
      </c>
    </row>
    <row r="763">
      <c r="A763" s="62" t="s">
        <v>901</v>
      </c>
      <c r="B763" s="63">
        <v>44062.0</v>
      </c>
      <c r="C763" s="62" t="s">
        <v>112</v>
      </c>
      <c r="D763" s="64">
        <v>0.0</v>
      </c>
      <c r="E763" s="62" t="s">
        <v>109</v>
      </c>
      <c r="F763" s="62" t="s">
        <v>115</v>
      </c>
      <c r="G763" s="64" t="s">
        <v>64</v>
      </c>
      <c r="H763" s="3" t="s">
        <v>169</v>
      </c>
      <c r="I763" s="65" t="str">
        <f>IFERROR(VLOOKUP(A763,'3. Call duration'!$A:$C,3,0),"--")</f>
        <v>--</v>
      </c>
      <c r="J763" s="65" t="str">
        <f t="array" ref="J763">XLOOKUP(H763,'2. Matching'!$A$2:$A$39,'2. Matching'!$B$2:$B$39,"--")</f>
        <v>SEO</v>
      </c>
      <c r="K763" s="65" t="str">
        <f t="shared" si="1"/>
        <v>In</v>
      </c>
    </row>
    <row r="764">
      <c r="A764" s="62" t="s">
        <v>902</v>
      </c>
      <c r="B764" s="63">
        <v>44384.0</v>
      </c>
      <c r="C764" s="62" t="s">
        <v>112</v>
      </c>
      <c r="D764" s="64">
        <v>0.0</v>
      </c>
      <c r="E764" s="62" t="s">
        <v>109</v>
      </c>
      <c r="F764" s="62" t="s">
        <v>110</v>
      </c>
      <c r="G764" s="64" t="s">
        <v>60</v>
      </c>
      <c r="H764" s="3" t="s">
        <v>67</v>
      </c>
      <c r="I764" s="65" t="str">
        <f>IFERROR(VLOOKUP(A764,'3. Call duration'!$A:$C,3,0),"--")</f>
        <v>--</v>
      </c>
      <c r="J764" s="65" t="str">
        <f t="array" ref="J764">XLOOKUP(H764,'2. Matching'!$A$2:$A$39,'2. Matching'!$B$2:$B$39,"--")</f>
        <v>Acquisition</v>
      </c>
      <c r="K764" s="65" t="str">
        <f t="shared" si="1"/>
        <v>In</v>
      </c>
    </row>
    <row r="765">
      <c r="A765" s="62" t="s">
        <v>903</v>
      </c>
      <c r="B765" s="63">
        <v>44256.0</v>
      </c>
      <c r="C765" s="62" t="s">
        <v>112</v>
      </c>
      <c r="D765" s="64">
        <v>0.0</v>
      </c>
      <c r="E765" s="62" t="s">
        <v>109</v>
      </c>
      <c r="F765" s="62" t="s">
        <v>115</v>
      </c>
      <c r="G765" s="64" t="s">
        <v>64</v>
      </c>
      <c r="H765" s="3" t="s">
        <v>139</v>
      </c>
      <c r="I765" s="65" t="str">
        <f>IFERROR(VLOOKUP(A765,'3. Call duration'!$A:$C,3,0),"--")</f>
        <v>--</v>
      </c>
      <c r="J765" s="65" t="str">
        <f t="array" ref="J765">XLOOKUP(H765,'2. Matching'!$A$2:$A$39,'2. Matching'!$B$2:$B$39,"--")</f>
        <v>Acquisition</v>
      </c>
      <c r="K765" s="65" t="str">
        <f t="shared" si="1"/>
        <v>In</v>
      </c>
    </row>
    <row r="766">
      <c r="A766" s="62" t="s">
        <v>904</v>
      </c>
      <c r="B766" s="63">
        <v>44328.0</v>
      </c>
      <c r="C766" s="62" t="s">
        <v>108</v>
      </c>
      <c r="D766" s="64">
        <v>0.0</v>
      </c>
      <c r="E766" s="62" t="s">
        <v>109</v>
      </c>
      <c r="F766" s="62" t="s">
        <v>110</v>
      </c>
      <c r="G766" s="64" t="s">
        <v>64</v>
      </c>
      <c r="H766" s="3" t="s">
        <v>52</v>
      </c>
      <c r="I766" s="65">
        <f>IFERROR(VLOOKUP(A766,'3. Call duration'!$A:$C,3,0),"--")</f>
        <v>17.08427156</v>
      </c>
      <c r="J766" s="65" t="str">
        <f t="array" ref="J766">XLOOKUP(H766,'2. Matching'!$A$2:$A$39,'2. Matching'!$B$2:$B$39,"--")</f>
        <v>Partnerships</v>
      </c>
      <c r="K766" s="65" t="str">
        <f t="shared" si="1"/>
        <v>In</v>
      </c>
    </row>
    <row r="767">
      <c r="A767" s="62" t="s">
        <v>905</v>
      </c>
      <c r="B767" s="63">
        <v>44224.0</v>
      </c>
      <c r="C767" s="62" t="s">
        <v>112</v>
      </c>
      <c r="D767" s="64">
        <v>0.0</v>
      </c>
      <c r="E767" s="62" t="s">
        <v>109</v>
      </c>
      <c r="F767" s="62" t="s">
        <v>115</v>
      </c>
      <c r="G767" s="64" t="s">
        <v>64</v>
      </c>
      <c r="H767" s="3" t="s">
        <v>139</v>
      </c>
      <c r="I767" s="65" t="str">
        <f>IFERROR(VLOOKUP(A767,'3. Call duration'!$A:$C,3,0),"--")</f>
        <v>--</v>
      </c>
      <c r="J767" s="65" t="str">
        <f t="array" ref="J767">XLOOKUP(H767,'2. Matching'!$A$2:$A$39,'2. Matching'!$B$2:$B$39,"--")</f>
        <v>Acquisition</v>
      </c>
      <c r="K767" s="65" t="str">
        <f t="shared" si="1"/>
        <v>In</v>
      </c>
    </row>
    <row r="768">
      <c r="A768" s="62" t="s">
        <v>906</v>
      </c>
      <c r="B768" s="63">
        <v>44369.0</v>
      </c>
      <c r="C768" s="62" t="s">
        <v>112</v>
      </c>
      <c r="D768" s="64">
        <v>0.0</v>
      </c>
      <c r="E768" s="62" t="s">
        <v>109</v>
      </c>
      <c r="F768" s="62" t="s">
        <v>115</v>
      </c>
      <c r="G768" s="64" t="s">
        <v>64</v>
      </c>
      <c r="H768" s="3" t="s">
        <v>55</v>
      </c>
      <c r="I768" s="65" t="str">
        <f>IFERROR(VLOOKUP(A768,'3. Call duration'!$A:$C,3,0),"--")</f>
        <v>--</v>
      </c>
      <c r="J768" s="65" t="str">
        <f t="array" ref="J768">XLOOKUP(H768,'2. Matching'!$A$2:$A$39,'2. Matching'!$B$2:$B$39,"--")</f>
        <v>Partnerships</v>
      </c>
      <c r="K768" s="65" t="str">
        <f t="shared" si="1"/>
        <v>In</v>
      </c>
    </row>
    <row r="769">
      <c r="A769" s="62" t="s">
        <v>907</v>
      </c>
      <c r="B769" s="63">
        <v>44335.0</v>
      </c>
      <c r="C769" s="62" t="s">
        <v>119</v>
      </c>
      <c r="D769" s="64">
        <v>95.0</v>
      </c>
      <c r="E769" s="62" t="s">
        <v>114</v>
      </c>
      <c r="F769" s="62" t="s">
        <v>110</v>
      </c>
      <c r="G769" s="64" t="s">
        <v>64</v>
      </c>
      <c r="H769" s="3" t="s">
        <v>55</v>
      </c>
      <c r="I769" s="65">
        <f>IFERROR(VLOOKUP(A769,'3. Call duration'!$A:$C,3,0),"--")</f>
        <v>17.40643373</v>
      </c>
      <c r="J769" s="65" t="str">
        <f t="array" ref="J769">XLOOKUP(H769,'2. Matching'!$A$2:$A$39,'2. Matching'!$B$2:$B$39,"--")</f>
        <v>Partnerships</v>
      </c>
      <c r="K769" s="65" t="str">
        <f t="shared" si="1"/>
        <v>In</v>
      </c>
    </row>
    <row r="770">
      <c r="A770" s="62" t="s">
        <v>908</v>
      </c>
      <c r="B770" s="63">
        <v>44389.0</v>
      </c>
      <c r="C770" s="62" t="s">
        <v>112</v>
      </c>
      <c r="D770" s="64">
        <v>0.0</v>
      </c>
      <c r="E770" s="62" t="s">
        <v>109</v>
      </c>
      <c r="F770" s="62" t="s">
        <v>110</v>
      </c>
      <c r="G770" s="64" t="s">
        <v>60</v>
      </c>
      <c r="H770" s="3" t="s">
        <v>68</v>
      </c>
      <c r="I770" s="65" t="str">
        <f>IFERROR(VLOOKUP(A770,'3. Call duration'!$A:$C,3,0),"--")</f>
        <v>--</v>
      </c>
      <c r="J770" s="65" t="str">
        <f t="array" ref="J770">XLOOKUP(H770,'2. Matching'!$A$2:$A$39,'2. Matching'!$B$2:$B$39,"--")</f>
        <v>Acquisition</v>
      </c>
      <c r="K770" s="65" t="str">
        <f t="shared" si="1"/>
        <v>In</v>
      </c>
    </row>
    <row r="771">
      <c r="A771" s="62" t="s">
        <v>909</v>
      </c>
      <c r="B771" s="63">
        <v>44277.0</v>
      </c>
      <c r="C771" s="62" t="s">
        <v>108</v>
      </c>
      <c r="D771" s="64">
        <v>0.0</v>
      </c>
      <c r="E771" s="62" t="s">
        <v>109</v>
      </c>
      <c r="F771" s="62" t="s">
        <v>110</v>
      </c>
      <c r="G771" s="64" t="s">
        <v>64</v>
      </c>
      <c r="H771" s="3" t="s">
        <v>297</v>
      </c>
      <c r="I771" s="65">
        <f>IFERROR(VLOOKUP(A771,'3. Call duration'!$A:$C,3,0),"--")</f>
        <v>32.06210124</v>
      </c>
      <c r="J771" s="65" t="str">
        <f t="array" ref="J771">XLOOKUP(H771,'2. Matching'!$A$2:$A$39,'2. Matching'!$B$2:$B$39,"--")</f>
        <v>Farming</v>
      </c>
      <c r="K771" s="65" t="str">
        <f t="shared" si="1"/>
        <v>In</v>
      </c>
    </row>
    <row r="772">
      <c r="A772" s="62" t="s">
        <v>910</v>
      </c>
      <c r="B772" s="63">
        <v>44385.0</v>
      </c>
      <c r="C772" s="62" t="s">
        <v>112</v>
      </c>
      <c r="D772" s="64">
        <v>0.0</v>
      </c>
      <c r="E772" s="62" t="s">
        <v>109</v>
      </c>
      <c r="F772" s="62" t="s">
        <v>110</v>
      </c>
      <c r="G772" s="64" t="s">
        <v>61</v>
      </c>
      <c r="H772" s="3" t="s">
        <v>67</v>
      </c>
      <c r="I772" s="65" t="str">
        <f>IFERROR(VLOOKUP(A772,'3. Call duration'!$A:$C,3,0),"--")</f>
        <v>--</v>
      </c>
      <c r="J772" s="65" t="str">
        <f t="array" ref="J772">XLOOKUP(H772,'2. Matching'!$A$2:$A$39,'2. Matching'!$B$2:$B$39,"--")</f>
        <v>Acquisition</v>
      </c>
      <c r="K772" s="65" t="str">
        <f t="shared" si="1"/>
        <v>In</v>
      </c>
    </row>
    <row r="773">
      <c r="A773" s="62" t="s">
        <v>911</v>
      </c>
      <c r="B773" s="63">
        <v>44358.0</v>
      </c>
      <c r="C773" s="62" t="s">
        <v>108</v>
      </c>
      <c r="D773" s="64">
        <v>0.0</v>
      </c>
      <c r="E773" s="62" t="s">
        <v>114</v>
      </c>
      <c r="F773" s="62" t="s">
        <v>110</v>
      </c>
      <c r="G773" s="64" t="s">
        <v>60</v>
      </c>
      <c r="H773" s="3" t="s">
        <v>68</v>
      </c>
      <c r="I773" s="65">
        <f>IFERROR(VLOOKUP(A773,'3. Call duration'!$A:$C,3,0),"--")</f>
        <v>24.64232242</v>
      </c>
      <c r="J773" s="65" t="str">
        <f t="array" ref="J773">XLOOKUP(H773,'2. Matching'!$A$2:$A$39,'2. Matching'!$B$2:$B$39,"--")</f>
        <v>Acquisition</v>
      </c>
      <c r="K773" s="65" t="str">
        <f t="shared" si="1"/>
        <v>In</v>
      </c>
    </row>
    <row r="774">
      <c r="A774" s="62" t="s">
        <v>912</v>
      </c>
      <c r="B774" s="63">
        <v>44350.0</v>
      </c>
      <c r="C774" s="62" t="s">
        <v>112</v>
      </c>
      <c r="D774" s="64">
        <v>0.0</v>
      </c>
      <c r="E774" s="62" t="s">
        <v>114</v>
      </c>
      <c r="F774" s="62" t="s">
        <v>110</v>
      </c>
      <c r="G774" s="64" t="s">
        <v>60</v>
      </c>
      <c r="H774" s="3" t="s">
        <v>67</v>
      </c>
      <c r="I774" s="65" t="str">
        <f>IFERROR(VLOOKUP(A774,'3. Call duration'!$A:$C,3,0),"--")</f>
        <v>--</v>
      </c>
      <c r="J774" s="65" t="str">
        <f t="array" ref="J774">XLOOKUP(H774,'2. Matching'!$A$2:$A$39,'2. Matching'!$B$2:$B$39,"--")</f>
        <v>Acquisition</v>
      </c>
      <c r="K774" s="65" t="str">
        <f t="shared" si="1"/>
        <v>In</v>
      </c>
    </row>
    <row r="775">
      <c r="A775" s="62" t="s">
        <v>913</v>
      </c>
      <c r="B775" s="63">
        <v>44337.0</v>
      </c>
      <c r="C775" s="62" t="s">
        <v>119</v>
      </c>
      <c r="D775" s="64">
        <v>95.0</v>
      </c>
      <c r="E775" s="62" t="s">
        <v>114</v>
      </c>
      <c r="F775" s="62" t="s">
        <v>110</v>
      </c>
      <c r="G775" s="64" t="s">
        <v>64</v>
      </c>
      <c r="H775" s="3" t="s">
        <v>55</v>
      </c>
      <c r="I775" s="65">
        <f>IFERROR(VLOOKUP(A775,'3. Call duration'!$A:$C,3,0),"--")</f>
        <v>18.07953337</v>
      </c>
      <c r="J775" s="65" t="str">
        <f t="array" ref="J775">XLOOKUP(H775,'2. Matching'!$A$2:$A$39,'2. Matching'!$B$2:$B$39,"--")</f>
        <v>Partnerships</v>
      </c>
      <c r="K775" s="65" t="str">
        <f t="shared" si="1"/>
        <v>In</v>
      </c>
    </row>
    <row r="776">
      <c r="A776" s="62" t="s">
        <v>914</v>
      </c>
      <c r="B776" s="63">
        <v>44134.0</v>
      </c>
      <c r="C776" s="62" t="s">
        <v>112</v>
      </c>
      <c r="D776" s="64">
        <v>0.0</v>
      </c>
      <c r="E776" s="62" t="s">
        <v>109</v>
      </c>
      <c r="F776" s="62" t="s">
        <v>110</v>
      </c>
      <c r="G776" s="64" t="s">
        <v>64</v>
      </c>
      <c r="H776" s="3" t="s">
        <v>49</v>
      </c>
      <c r="I776" s="65" t="str">
        <f>IFERROR(VLOOKUP(A776,'3. Call duration'!$A:$C,3,0),"--")</f>
        <v>--</v>
      </c>
      <c r="J776" s="65" t="str">
        <f t="array" ref="J776">XLOOKUP(H776,'2. Matching'!$A$2:$A$39,'2. Matching'!$B$2:$B$39,"--")</f>
        <v>Partnerships</v>
      </c>
      <c r="K776" s="65" t="str">
        <f t="shared" si="1"/>
        <v>In</v>
      </c>
    </row>
    <row r="777">
      <c r="A777" s="62" t="s">
        <v>915</v>
      </c>
      <c r="B777" s="63">
        <v>44370.0</v>
      </c>
      <c r="C777" s="62" t="s">
        <v>112</v>
      </c>
      <c r="D777" s="64">
        <v>0.0</v>
      </c>
      <c r="E777" s="62" t="s">
        <v>109</v>
      </c>
      <c r="F777" s="62" t="s">
        <v>110</v>
      </c>
      <c r="G777" s="64" t="s">
        <v>60</v>
      </c>
      <c r="H777" s="3" t="s">
        <v>68</v>
      </c>
      <c r="I777" s="65" t="str">
        <f>IFERROR(VLOOKUP(A777,'3. Call duration'!$A:$C,3,0),"--")</f>
        <v>--</v>
      </c>
      <c r="J777" s="65" t="str">
        <f t="array" ref="J777">XLOOKUP(H777,'2. Matching'!$A$2:$A$39,'2. Matching'!$B$2:$B$39,"--")</f>
        <v>Acquisition</v>
      </c>
      <c r="K777" s="65" t="str">
        <f t="shared" si="1"/>
        <v>In</v>
      </c>
    </row>
    <row r="778">
      <c r="A778" s="62" t="s">
        <v>916</v>
      </c>
      <c r="B778" s="63">
        <v>44358.0</v>
      </c>
      <c r="C778" s="62" t="s">
        <v>108</v>
      </c>
      <c r="D778" s="64">
        <v>0.0</v>
      </c>
      <c r="E778" s="62" t="s">
        <v>109</v>
      </c>
      <c r="F778" s="62" t="s">
        <v>110</v>
      </c>
      <c r="G778" s="64" t="s">
        <v>64</v>
      </c>
      <c r="H778" s="3" t="s">
        <v>175</v>
      </c>
      <c r="I778" s="65">
        <f>IFERROR(VLOOKUP(A778,'3. Call duration'!$A:$C,3,0),"--")</f>
        <v>25.55451846</v>
      </c>
      <c r="J778" s="65" t="str">
        <f t="array" ref="J778">XLOOKUP(H778,'2. Matching'!$A$2:$A$39,'2. Matching'!$B$2:$B$39,"--")</f>
        <v>SEO</v>
      </c>
      <c r="K778" s="65" t="str">
        <f t="shared" si="1"/>
        <v>In</v>
      </c>
    </row>
    <row r="779">
      <c r="A779" s="62" t="s">
        <v>917</v>
      </c>
      <c r="B779" s="63">
        <v>44235.0</v>
      </c>
      <c r="C779" s="62" t="s">
        <v>112</v>
      </c>
      <c r="D779" s="64">
        <v>0.0</v>
      </c>
      <c r="E779" s="62" t="s">
        <v>109</v>
      </c>
      <c r="F779" s="62" t="s">
        <v>115</v>
      </c>
      <c r="G779" s="64" t="s">
        <v>64</v>
      </c>
      <c r="H779" s="3" t="s">
        <v>221</v>
      </c>
      <c r="I779" s="65" t="str">
        <f>IFERROR(VLOOKUP(A779,'3. Call duration'!$A:$C,3,0),"--")</f>
        <v>--</v>
      </c>
      <c r="J779" s="65" t="str">
        <f t="array" ref="J779">XLOOKUP(H779,'2. Matching'!$A$2:$A$39,'2. Matching'!$B$2:$B$39,"--")</f>
        <v>Farming</v>
      </c>
      <c r="K779" s="65" t="str">
        <f t="shared" si="1"/>
        <v>In</v>
      </c>
    </row>
    <row r="780">
      <c r="A780" s="62" t="s">
        <v>918</v>
      </c>
      <c r="B780" s="63">
        <v>44343.0</v>
      </c>
      <c r="C780" s="62" t="s">
        <v>119</v>
      </c>
      <c r="D780" s="64">
        <v>47.5</v>
      </c>
      <c r="E780" s="62" t="s">
        <v>109</v>
      </c>
      <c r="F780" s="62" t="s">
        <v>115</v>
      </c>
      <c r="G780" s="64" t="s">
        <v>64</v>
      </c>
      <c r="H780" s="3" t="s">
        <v>49</v>
      </c>
      <c r="I780" s="65">
        <f>IFERROR(VLOOKUP(A780,'3. Call duration'!$A:$C,3,0),"--")</f>
        <v>18.14425819</v>
      </c>
      <c r="J780" s="65" t="str">
        <f t="array" ref="J780">XLOOKUP(H780,'2. Matching'!$A$2:$A$39,'2. Matching'!$B$2:$B$39,"--")</f>
        <v>Partnerships</v>
      </c>
      <c r="K780" s="65" t="str">
        <f t="shared" si="1"/>
        <v>In</v>
      </c>
    </row>
    <row r="781">
      <c r="A781" s="62" t="s">
        <v>919</v>
      </c>
      <c r="B781" s="63">
        <v>44382.0</v>
      </c>
      <c r="C781" s="62" t="s">
        <v>112</v>
      </c>
      <c r="D781" s="64">
        <v>0.0</v>
      </c>
      <c r="E781" s="62" t="s">
        <v>109</v>
      </c>
      <c r="F781" s="62" t="s">
        <v>110</v>
      </c>
      <c r="G781" s="64" t="s">
        <v>61</v>
      </c>
      <c r="H781" s="3" t="s">
        <v>67</v>
      </c>
      <c r="I781" s="65" t="str">
        <f>IFERROR(VLOOKUP(A781,'3. Call duration'!$A:$C,3,0),"--")</f>
        <v>--</v>
      </c>
      <c r="J781" s="65" t="str">
        <f t="array" ref="J781">XLOOKUP(H781,'2. Matching'!$A$2:$A$39,'2. Matching'!$B$2:$B$39,"--")</f>
        <v>Acquisition</v>
      </c>
      <c r="K781" s="65" t="str">
        <f t="shared" si="1"/>
        <v>In</v>
      </c>
    </row>
    <row r="782">
      <c r="A782" s="62" t="s">
        <v>920</v>
      </c>
      <c r="B782" s="63">
        <v>44116.0</v>
      </c>
      <c r="C782" s="62" t="s">
        <v>108</v>
      </c>
      <c r="D782" s="64">
        <v>0.0</v>
      </c>
      <c r="E782" s="62" t="s">
        <v>109</v>
      </c>
      <c r="F782" s="62" t="s">
        <v>115</v>
      </c>
      <c r="G782" s="64" t="s">
        <v>62</v>
      </c>
      <c r="H782" s="3" t="s">
        <v>286</v>
      </c>
      <c r="I782" s="65">
        <f>IFERROR(VLOOKUP(A782,'3. Call duration'!$A:$C,3,0),"--")</f>
        <v>24.69301623</v>
      </c>
      <c r="J782" s="65" t="str">
        <f t="array" ref="J782">XLOOKUP(H782,'2. Matching'!$A$2:$A$39,'2. Matching'!$B$2:$B$39,"--")</f>
        <v>Farming</v>
      </c>
      <c r="K782" s="65" t="str">
        <f t="shared" si="1"/>
        <v>In</v>
      </c>
    </row>
    <row r="783">
      <c r="A783" s="62" t="s">
        <v>921</v>
      </c>
      <c r="B783" s="63">
        <v>44237.0</v>
      </c>
      <c r="C783" s="62" t="s">
        <v>112</v>
      </c>
      <c r="D783" s="64">
        <v>0.0</v>
      </c>
      <c r="E783" s="62" t="s">
        <v>114</v>
      </c>
      <c r="F783" s="62" t="s">
        <v>110</v>
      </c>
      <c r="G783" s="64" t="s">
        <v>64</v>
      </c>
      <c r="H783" s="3" t="s">
        <v>221</v>
      </c>
      <c r="I783" s="65" t="str">
        <f>IFERROR(VLOOKUP(A783,'3. Call duration'!$A:$C,3,0),"--")</f>
        <v>--</v>
      </c>
      <c r="J783" s="65" t="str">
        <f t="array" ref="J783">XLOOKUP(H783,'2. Matching'!$A$2:$A$39,'2. Matching'!$B$2:$B$39,"--")</f>
        <v>Farming</v>
      </c>
      <c r="K783" s="65" t="str">
        <f t="shared" si="1"/>
        <v>In</v>
      </c>
    </row>
    <row r="784">
      <c r="A784" s="62" t="s">
        <v>922</v>
      </c>
      <c r="B784" s="63">
        <v>44342.0</v>
      </c>
      <c r="C784" s="62" t="s">
        <v>119</v>
      </c>
      <c r="D784" s="64">
        <v>95.0</v>
      </c>
      <c r="E784" s="62" t="s">
        <v>114</v>
      </c>
      <c r="F784" s="62" t="s">
        <v>110</v>
      </c>
      <c r="G784" s="64" t="s">
        <v>64</v>
      </c>
      <c r="H784" s="3" t="s">
        <v>49</v>
      </c>
      <c r="I784" s="65">
        <f>IFERROR(VLOOKUP(A784,'3. Call duration'!$A:$C,3,0),"--")</f>
        <v>18.32118339</v>
      </c>
      <c r="J784" s="65" t="str">
        <f t="array" ref="J784">XLOOKUP(H784,'2. Matching'!$A$2:$A$39,'2. Matching'!$B$2:$B$39,"--")</f>
        <v>Partnerships</v>
      </c>
      <c r="K784" s="65" t="str">
        <f t="shared" si="1"/>
        <v>In</v>
      </c>
    </row>
    <row r="785">
      <c r="A785" s="62" t="s">
        <v>923</v>
      </c>
      <c r="B785" s="63">
        <v>44348.0</v>
      </c>
      <c r="C785" s="62" t="s">
        <v>112</v>
      </c>
      <c r="D785" s="64">
        <v>0.0</v>
      </c>
      <c r="E785" s="62" t="s">
        <v>109</v>
      </c>
      <c r="F785" s="62" t="s">
        <v>110</v>
      </c>
      <c r="G785" s="64" t="s">
        <v>63</v>
      </c>
      <c r="H785" s="3" t="s">
        <v>128</v>
      </c>
      <c r="I785" s="65" t="str">
        <f>IFERROR(VLOOKUP(A785,'3. Call duration'!$A:$C,3,0),"--")</f>
        <v>--</v>
      </c>
      <c r="J785" s="65" t="str">
        <f t="array" ref="J785">XLOOKUP(H785,'2. Matching'!$A$2:$A$39,'2. Matching'!$B$2:$B$39,"--")</f>
        <v>Acquisition</v>
      </c>
      <c r="K785" s="65" t="str">
        <f t="shared" si="1"/>
        <v>In</v>
      </c>
    </row>
    <row r="786">
      <c r="A786" s="62" t="s">
        <v>924</v>
      </c>
      <c r="B786" s="63">
        <v>44151.0</v>
      </c>
      <c r="C786" s="62" t="s">
        <v>112</v>
      </c>
      <c r="D786" s="64">
        <v>0.0</v>
      </c>
      <c r="E786" s="62" t="s">
        <v>109</v>
      </c>
      <c r="F786" s="62" t="s">
        <v>115</v>
      </c>
      <c r="G786" s="64" t="s">
        <v>64</v>
      </c>
      <c r="H786" s="3" t="s">
        <v>145</v>
      </c>
      <c r="I786" s="65" t="str">
        <f>IFERROR(VLOOKUP(A786,'3. Call duration'!$A:$C,3,0),"--")</f>
        <v>--</v>
      </c>
      <c r="J786" s="65" t="str">
        <f t="array" ref="J786">XLOOKUP(H786,'2. Matching'!$A$2:$A$39,'2. Matching'!$B$2:$B$39,"--")</f>
        <v>SEO</v>
      </c>
      <c r="K786" s="65" t="str">
        <f t="shared" si="1"/>
        <v>In</v>
      </c>
    </row>
    <row r="787">
      <c r="A787" s="62" t="s">
        <v>925</v>
      </c>
      <c r="B787" s="63">
        <v>44221.0</v>
      </c>
      <c r="C787" s="62" t="s">
        <v>112</v>
      </c>
      <c r="D787" s="64">
        <v>0.0</v>
      </c>
      <c r="E787" s="62" t="s">
        <v>109</v>
      </c>
      <c r="F787" s="62" t="s">
        <v>110</v>
      </c>
      <c r="G787" s="64" t="s">
        <v>64</v>
      </c>
      <c r="H787" s="3" t="s">
        <v>131</v>
      </c>
      <c r="I787" s="65" t="str">
        <f>IFERROR(VLOOKUP(A787,'3. Call duration'!$A:$C,3,0),"--")</f>
        <v>--</v>
      </c>
      <c r="J787" s="65" t="str">
        <f t="array" ref="J787">XLOOKUP(H787,'2. Matching'!$A$2:$A$39,'2. Matching'!$B$2:$B$39,"--")</f>
        <v>Acquisition</v>
      </c>
      <c r="K787" s="65" t="str">
        <f t="shared" si="1"/>
        <v>In</v>
      </c>
    </row>
    <row r="788">
      <c r="A788" s="62" t="s">
        <v>926</v>
      </c>
      <c r="B788" s="63">
        <v>44398.0</v>
      </c>
      <c r="C788" s="62" t="s">
        <v>112</v>
      </c>
      <c r="D788" s="64">
        <v>0.0</v>
      </c>
      <c r="E788" s="62" t="s">
        <v>109</v>
      </c>
      <c r="F788" s="62" t="s">
        <v>115</v>
      </c>
      <c r="G788" s="64" t="s">
        <v>64</v>
      </c>
      <c r="H788" s="3" t="s">
        <v>169</v>
      </c>
      <c r="I788" s="65" t="str">
        <f>IFERROR(VLOOKUP(A788,'3. Call duration'!$A:$C,3,0),"--")</f>
        <v>--</v>
      </c>
      <c r="J788" s="65" t="str">
        <f t="array" ref="J788">XLOOKUP(H788,'2. Matching'!$A$2:$A$39,'2. Matching'!$B$2:$B$39,"--")</f>
        <v>SEO</v>
      </c>
      <c r="K788" s="65" t="str">
        <f t="shared" si="1"/>
        <v>In</v>
      </c>
    </row>
    <row r="789">
      <c r="A789" s="62" t="s">
        <v>927</v>
      </c>
      <c r="B789" s="63">
        <v>44375.0</v>
      </c>
      <c r="C789" s="62" t="s">
        <v>108</v>
      </c>
      <c r="D789" s="64">
        <v>0.0</v>
      </c>
      <c r="E789" s="62" t="s">
        <v>109</v>
      </c>
      <c r="F789" s="62" t="s">
        <v>110</v>
      </c>
      <c r="G789" s="64" t="s">
        <v>63</v>
      </c>
      <c r="H789" s="3" t="s">
        <v>124</v>
      </c>
      <c r="I789" s="65">
        <f>IFERROR(VLOOKUP(A789,'3. Call duration'!$A:$C,3,0),"--")</f>
        <v>30.29535691</v>
      </c>
      <c r="J789" s="65" t="str">
        <f t="array" ref="J789">XLOOKUP(H789,'2. Matching'!$A$2:$A$39,'2. Matching'!$B$2:$B$39,"--")</f>
        <v>Acquisition</v>
      </c>
      <c r="K789" s="65" t="str">
        <f t="shared" si="1"/>
        <v>In</v>
      </c>
    </row>
    <row r="790">
      <c r="A790" s="62" t="s">
        <v>928</v>
      </c>
      <c r="B790" s="63">
        <v>44236.0</v>
      </c>
      <c r="C790" s="62" t="s">
        <v>112</v>
      </c>
      <c r="D790" s="64">
        <v>0.0</v>
      </c>
      <c r="E790" s="62" t="s">
        <v>109</v>
      </c>
      <c r="F790" s="62" t="s">
        <v>110</v>
      </c>
      <c r="G790" s="64" t="s">
        <v>64</v>
      </c>
      <c r="H790" s="3" t="s">
        <v>145</v>
      </c>
      <c r="I790" s="65" t="str">
        <f>IFERROR(VLOOKUP(A790,'3. Call duration'!$A:$C,3,0),"--")</f>
        <v>--</v>
      </c>
      <c r="J790" s="65" t="str">
        <f t="array" ref="J790">XLOOKUP(H790,'2. Matching'!$A$2:$A$39,'2. Matching'!$B$2:$B$39,"--")</f>
        <v>SEO</v>
      </c>
      <c r="K790" s="65" t="str">
        <f t="shared" si="1"/>
        <v>In</v>
      </c>
    </row>
    <row r="791">
      <c r="A791" s="62" t="s">
        <v>929</v>
      </c>
      <c r="B791" s="63">
        <v>44363.0</v>
      </c>
      <c r="C791" s="62" t="s">
        <v>112</v>
      </c>
      <c r="D791" s="64">
        <v>0.0</v>
      </c>
      <c r="E791" s="62" t="s">
        <v>109</v>
      </c>
      <c r="F791" s="62" t="s">
        <v>115</v>
      </c>
      <c r="G791" s="64" t="s">
        <v>64</v>
      </c>
      <c r="H791" s="3" t="s">
        <v>155</v>
      </c>
      <c r="I791" s="65" t="str">
        <f>IFERROR(VLOOKUP(A791,'3. Call duration'!$A:$C,3,0),"--")</f>
        <v>--</v>
      </c>
      <c r="J791" s="65" t="str">
        <f t="array" ref="J791">XLOOKUP(H791,'2. Matching'!$A$2:$A$39,'2. Matching'!$B$2:$B$39,"--")</f>
        <v>SEO</v>
      </c>
      <c r="K791" s="65" t="str">
        <f t="shared" si="1"/>
        <v>In</v>
      </c>
    </row>
    <row r="792">
      <c r="A792" s="62" t="s">
        <v>930</v>
      </c>
      <c r="B792" s="63">
        <v>44333.0</v>
      </c>
      <c r="C792" s="62" t="s">
        <v>119</v>
      </c>
      <c r="D792" s="64">
        <v>47.5</v>
      </c>
      <c r="E792" s="62" t="s">
        <v>109</v>
      </c>
      <c r="F792" s="62" t="s">
        <v>115</v>
      </c>
      <c r="G792" s="64" t="s">
        <v>64</v>
      </c>
      <c r="H792" s="3" t="s">
        <v>52</v>
      </c>
      <c r="I792" s="65">
        <f>IFERROR(VLOOKUP(A792,'3. Call duration'!$A:$C,3,0),"--")</f>
        <v>18.56427613</v>
      </c>
      <c r="J792" s="65" t="str">
        <f t="array" ref="J792">XLOOKUP(H792,'2. Matching'!$A$2:$A$39,'2. Matching'!$B$2:$B$39,"--")</f>
        <v>Partnerships</v>
      </c>
      <c r="K792" s="65" t="str">
        <f t="shared" si="1"/>
        <v>In</v>
      </c>
    </row>
    <row r="793">
      <c r="A793" s="62" t="s">
        <v>931</v>
      </c>
      <c r="B793" s="63">
        <v>44228.0</v>
      </c>
      <c r="C793" s="62" t="s">
        <v>112</v>
      </c>
      <c r="D793" s="64">
        <v>0.0</v>
      </c>
      <c r="E793" s="62" t="s">
        <v>109</v>
      </c>
      <c r="F793" s="62" t="s">
        <v>115</v>
      </c>
      <c r="G793" s="64" t="s">
        <v>64</v>
      </c>
      <c r="H793" s="3" t="s">
        <v>155</v>
      </c>
      <c r="I793" s="65" t="str">
        <f>IFERROR(VLOOKUP(A793,'3. Call duration'!$A:$C,3,0),"--")</f>
        <v>--</v>
      </c>
      <c r="J793" s="65" t="str">
        <f t="array" ref="J793">XLOOKUP(H793,'2. Matching'!$A$2:$A$39,'2. Matching'!$B$2:$B$39,"--")</f>
        <v>SEO</v>
      </c>
      <c r="K793" s="65" t="str">
        <f t="shared" si="1"/>
        <v>In</v>
      </c>
    </row>
    <row r="794">
      <c r="A794" s="62" t="s">
        <v>932</v>
      </c>
      <c r="B794" s="63">
        <v>44343.0</v>
      </c>
      <c r="C794" s="62" t="s">
        <v>119</v>
      </c>
      <c r="D794" s="64">
        <v>47.5</v>
      </c>
      <c r="E794" s="62" t="s">
        <v>109</v>
      </c>
      <c r="F794" s="62" t="s">
        <v>115</v>
      </c>
      <c r="G794" s="64" t="s">
        <v>64</v>
      </c>
      <c r="H794" s="3" t="s">
        <v>54</v>
      </c>
      <c r="I794" s="65">
        <f>IFERROR(VLOOKUP(A794,'3. Call duration'!$A:$C,3,0),"--")</f>
        <v>18.83454108</v>
      </c>
      <c r="J794" s="65" t="str">
        <f t="array" ref="J794">XLOOKUP(H794,'2. Matching'!$A$2:$A$39,'2. Matching'!$B$2:$B$39,"--")</f>
        <v>Partnerships</v>
      </c>
      <c r="K794" s="65" t="str">
        <f t="shared" si="1"/>
        <v>In</v>
      </c>
    </row>
    <row r="795">
      <c r="A795" s="62" t="s">
        <v>933</v>
      </c>
      <c r="B795" s="63">
        <v>44392.0</v>
      </c>
      <c r="C795" s="62" t="s">
        <v>112</v>
      </c>
      <c r="D795" s="64">
        <v>0.0</v>
      </c>
      <c r="E795" s="62" t="s">
        <v>109</v>
      </c>
      <c r="F795" s="62" t="s">
        <v>110</v>
      </c>
      <c r="G795" s="64" t="s">
        <v>61</v>
      </c>
      <c r="H795" s="3" t="s">
        <v>67</v>
      </c>
      <c r="I795" s="65" t="str">
        <f>IFERROR(VLOOKUP(A795,'3. Call duration'!$A:$C,3,0),"--")</f>
        <v>--</v>
      </c>
      <c r="J795" s="65" t="str">
        <f t="array" ref="J795">XLOOKUP(H795,'2. Matching'!$A$2:$A$39,'2. Matching'!$B$2:$B$39,"--")</f>
        <v>Acquisition</v>
      </c>
      <c r="K795" s="65" t="str">
        <f t="shared" si="1"/>
        <v>In</v>
      </c>
    </row>
    <row r="796">
      <c r="A796" s="62" t="s">
        <v>934</v>
      </c>
      <c r="B796" s="63">
        <v>44236.0</v>
      </c>
      <c r="C796" s="62" t="s">
        <v>108</v>
      </c>
      <c r="D796" s="64">
        <v>0.0</v>
      </c>
      <c r="E796" s="62" t="s">
        <v>114</v>
      </c>
      <c r="F796" s="62" t="s">
        <v>110</v>
      </c>
      <c r="G796" s="64" t="s">
        <v>64</v>
      </c>
      <c r="H796" s="3" t="s">
        <v>164</v>
      </c>
      <c r="I796" s="65">
        <f>IFERROR(VLOOKUP(A796,'3. Call duration'!$A:$C,3,0),"--")</f>
        <v>13.89606591</v>
      </c>
      <c r="J796" s="65" t="str">
        <f t="array" ref="J796">XLOOKUP(H796,'2. Matching'!$A$2:$A$39,'2. Matching'!$B$2:$B$39,"--")</f>
        <v>SEO</v>
      </c>
      <c r="K796" s="65" t="str">
        <f t="shared" si="1"/>
        <v>In</v>
      </c>
    </row>
    <row r="797">
      <c r="A797" s="62" t="s">
        <v>935</v>
      </c>
      <c r="B797" s="63">
        <v>44208.0</v>
      </c>
      <c r="C797" s="62" t="s">
        <v>112</v>
      </c>
      <c r="D797" s="64">
        <v>0.0</v>
      </c>
      <c r="E797" s="62" t="s">
        <v>114</v>
      </c>
      <c r="F797" s="62" t="s">
        <v>115</v>
      </c>
      <c r="G797" s="64" t="s">
        <v>64</v>
      </c>
      <c r="H797" s="3" t="s">
        <v>185</v>
      </c>
      <c r="I797" s="65" t="str">
        <f>IFERROR(VLOOKUP(A797,'3. Call duration'!$A:$C,3,0),"--")</f>
        <v>--</v>
      </c>
      <c r="J797" s="65" t="str">
        <f t="array" ref="J797">XLOOKUP(H797,'2. Matching'!$A$2:$A$39,'2. Matching'!$B$2:$B$39,"--")</f>
        <v>SEO</v>
      </c>
      <c r="K797" s="65" t="str">
        <f t="shared" si="1"/>
        <v>In</v>
      </c>
    </row>
    <row r="798">
      <c r="A798" s="62" t="s">
        <v>936</v>
      </c>
      <c r="B798" s="63">
        <v>44327.0</v>
      </c>
      <c r="C798" s="62" t="s">
        <v>119</v>
      </c>
      <c r="D798" s="64">
        <v>47.5</v>
      </c>
      <c r="E798" s="62" t="s">
        <v>109</v>
      </c>
      <c r="F798" s="62" t="s">
        <v>115</v>
      </c>
      <c r="G798" s="64" t="s">
        <v>64</v>
      </c>
      <c r="H798" s="3" t="s">
        <v>49</v>
      </c>
      <c r="I798" s="65">
        <f>IFERROR(VLOOKUP(A798,'3. Call duration'!$A:$C,3,0),"--")</f>
        <v>19.25225634</v>
      </c>
      <c r="J798" s="65" t="str">
        <f t="array" ref="J798">XLOOKUP(H798,'2. Matching'!$A$2:$A$39,'2. Matching'!$B$2:$B$39,"--")</f>
        <v>Partnerships</v>
      </c>
      <c r="K798" s="65" t="str">
        <f t="shared" si="1"/>
        <v>In</v>
      </c>
    </row>
    <row r="799">
      <c r="A799" s="62" t="s">
        <v>937</v>
      </c>
      <c r="B799" s="63">
        <v>44147.0</v>
      </c>
      <c r="C799" s="62" t="s">
        <v>108</v>
      </c>
      <c r="D799" s="64">
        <v>0.0</v>
      </c>
      <c r="E799" s="62" t="s">
        <v>109</v>
      </c>
      <c r="F799" s="62" t="s">
        <v>115</v>
      </c>
      <c r="G799" s="64" t="s">
        <v>64</v>
      </c>
      <c r="H799" s="3" t="s">
        <v>155</v>
      </c>
      <c r="I799" s="65">
        <f>IFERROR(VLOOKUP(A799,'3. Call duration'!$A:$C,3,0),"--")</f>
        <v>34.88682608</v>
      </c>
      <c r="J799" s="65" t="str">
        <f t="array" ref="J799">XLOOKUP(H799,'2. Matching'!$A$2:$A$39,'2. Matching'!$B$2:$B$39,"--")</f>
        <v>SEO</v>
      </c>
      <c r="K799" s="65" t="str">
        <f t="shared" si="1"/>
        <v>In</v>
      </c>
    </row>
    <row r="800">
      <c r="A800" s="62" t="s">
        <v>938</v>
      </c>
      <c r="B800" s="63">
        <v>44361.0</v>
      </c>
      <c r="C800" s="62" t="s">
        <v>112</v>
      </c>
      <c r="D800" s="64">
        <v>0.0</v>
      </c>
      <c r="E800" s="62" t="s">
        <v>109</v>
      </c>
      <c r="F800" s="62" t="s">
        <v>110</v>
      </c>
      <c r="G800" s="64" t="s">
        <v>59</v>
      </c>
      <c r="H800" s="3" t="s">
        <v>68</v>
      </c>
      <c r="I800" s="65" t="str">
        <f>IFERROR(VLOOKUP(A800,'3. Call duration'!$A:$C,3,0),"--")</f>
        <v>--</v>
      </c>
      <c r="J800" s="65" t="str">
        <f t="array" ref="J800">XLOOKUP(H800,'2. Matching'!$A$2:$A$39,'2. Matching'!$B$2:$B$39,"--")</f>
        <v>Acquisition</v>
      </c>
      <c r="K800" s="65" t="str">
        <f t="shared" si="1"/>
        <v>In</v>
      </c>
    </row>
    <row r="801">
      <c r="A801" s="62" t="s">
        <v>939</v>
      </c>
      <c r="B801" s="63">
        <v>44356.0</v>
      </c>
      <c r="C801" s="62" t="s">
        <v>112</v>
      </c>
      <c r="D801" s="64">
        <v>0.0</v>
      </c>
      <c r="E801" s="62" t="s">
        <v>114</v>
      </c>
      <c r="F801" s="62" t="s">
        <v>110</v>
      </c>
      <c r="G801" s="64" t="s">
        <v>60</v>
      </c>
      <c r="H801" s="3" t="s">
        <v>67</v>
      </c>
      <c r="I801" s="65" t="str">
        <f>IFERROR(VLOOKUP(A801,'3. Call duration'!$A:$C,3,0),"--")</f>
        <v>--</v>
      </c>
      <c r="J801" s="65" t="str">
        <f t="array" ref="J801">XLOOKUP(H801,'2. Matching'!$A$2:$A$39,'2. Matching'!$B$2:$B$39,"--")</f>
        <v>Acquisition</v>
      </c>
      <c r="K801" s="65" t="str">
        <f t="shared" si="1"/>
        <v>In</v>
      </c>
    </row>
    <row r="802">
      <c r="A802" s="62" t="s">
        <v>940</v>
      </c>
      <c r="B802" s="63">
        <v>44271.0</v>
      </c>
      <c r="C802" s="62" t="s">
        <v>112</v>
      </c>
      <c r="D802" s="64">
        <v>0.0</v>
      </c>
      <c r="E802" s="62" t="s">
        <v>109</v>
      </c>
      <c r="F802" s="62" t="s">
        <v>110</v>
      </c>
      <c r="G802" s="64" t="s">
        <v>64</v>
      </c>
      <c r="H802" s="3" t="s">
        <v>55</v>
      </c>
      <c r="I802" s="65" t="str">
        <f>IFERROR(VLOOKUP(A802,'3. Call duration'!$A:$C,3,0),"--")</f>
        <v>--</v>
      </c>
      <c r="J802" s="65" t="str">
        <f t="array" ref="J802">XLOOKUP(H802,'2. Matching'!$A$2:$A$39,'2. Matching'!$B$2:$B$39,"--")</f>
        <v>Partnerships</v>
      </c>
      <c r="K802" s="65" t="str">
        <f t="shared" si="1"/>
        <v>In</v>
      </c>
    </row>
    <row r="803">
      <c r="A803" s="62" t="s">
        <v>941</v>
      </c>
      <c r="B803" s="63">
        <v>44313.0</v>
      </c>
      <c r="C803" s="62" t="s">
        <v>112</v>
      </c>
      <c r="D803" s="64">
        <v>0.0</v>
      </c>
      <c r="E803" s="62" t="s">
        <v>109</v>
      </c>
      <c r="F803" s="62" t="s">
        <v>110</v>
      </c>
      <c r="G803" s="64" t="s">
        <v>64</v>
      </c>
      <c r="H803" s="3" t="s">
        <v>175</v>
      </c>
      <c r="I803" s="65" t="str">
        <f>IFERROR(VLOOKUP(A803,'3. Call duration'!$A:$C,3,0),"--")</f>
        <v>--</v>
      </c>
      <c r="J803" s="65" t="str">
        <f t="array" ref="J803">XLOOKUP(H803,'2. Matching'!$A$2:$A$39,'2. Matching'!$B$2:$B$39,"--")</f>
        <v>SEO</v>
      </c>
      <c r="K803" s="65" t="str">
        <f t="shared" si="1"/>
        <v>In</v>
      </c>
    </row>
    <row r="804">
      <c r="A804" s="62" t="s">
        <v>942</v>
      </c>
      <c r="B804" s="63">
        <v>44372.0</v>
      </c>
      <c r="C804" s="62" t="s">
        <v>112</v>
      </c>
      <c r="D804" s="64">
        <v>0.0</v>
      </c>
      <c r="E804" s="62" t="s">
        <v>109</v>
      </c>
      <c r="F804" s="62" t="s">
        <v>115</v>
      </c>
      <c r="G804" s="64" t="s">
        <v>61</v>
      </c>
      <c r="H804" s="3" t="s">
        <v>67</v>
      </c>
      <c r="I804" s="65" t="str">
        <f>IFERROR(VLOOKUP(A804,'3. Call duration'!$A:$C,3,0),"--")</f>
        <v>--</v>
      </c>
      <c r="J804" s="65" t="str">
        <f t="array" ref="J804">XLOOKUP(H804,'2. Matching'!$A$2:$A$39,'2. Matching'!$B$2:$B$39,"--")</f>
        <v>Acquisition</v>
      </c>
      <c r="K804" s="65" t="str">
        <f t="shared" si="1"/>
        <v>In</v>
      </c>
    </row>
    <row r="805">
      <c r="A805" s="62" t="s">
        <v>943</v>
      </c>
      <c r="B805" s="63">
        <v>44131.0</v>
      </c>
      <c r="C805" s="62" t="s">
        <v>112</v>
      </c>
      <c r="D805" s="64">
        <v>0.0</v>
      </c>
      <c r="E805" s="62" t="s">
        <v>109</v>
      </c>
      <c r="F805" s="62" t="s">
        <v>115</v>
      </c>
      <c r="G805" s="64" t="s">
        <v>64</v>
      </c>
      <c r="H805" s="3" t="s">
        <v>150</v>
      </c>
      <c r="I805" s="65" t="str">
        <f>IFERROR(VLOOKUP(A805,'3. Call duration'!$A:$C,3,0),"--")</f>
        <v>--</v>
      </c>
      <c r="J805" s="65" t="str">
        <f t="array" ref="J805">XLOOKUP(H805,'2. Matching'!$A$2:$A$39,'2. Matching'!$B$2:$B$39,"--")</f>
        <v>SEO</v>
      </c>
      <c r="K805" s="65" t="str">
        <f t="shared" si="1"/>
        <v>In</v>
      </c>
    </row>
    <row r="806">
      <c r="A806" s="62" t="s">
        <v>944</v>
      </c>
      <c r="B806" s="63">
        <v>44363.0</v>
      </c>
      <c r="C806" s="62" t="s">
        <v>112</v>
      </c>
      <c r="D806" s="64">
        <v>0.0</v>
      </c>
      <c r="E806" s="62" t="s">
        <v>109</v>
      </c>
      <c r="F806" s="62" t="s">
        <v>110</v>
      </c>
      <c r="G806" s="64" t="s">
        <v>61</v>
      </c>
      <c r="H806" s="3" t="s">
        <v>69</v>
      </c>
      <c r="I806" s="65" t="str">
        <f>IFERROR(VLOOKUP(A806,'3. Call duration'!$A:$C,3,0),"--")</f>
        <v>--</v>
      </c>
      <c r="J806" s="65" t="str">
        <f t="array" ref="J806">XLOOKUP(H806,'2. Matching'!$A$2:$A$39,'2. Matching'!$B$2:$B$39,"--")</f>
        <v>Acquisition</v>
      </c>
      <c r="K806" s="65" t="str">
        <f t="shared" si="1"/>
        <v>In</v>
      </c>
    </row>
    <row r="807">
      <c r="A807" s="62" t="s">
        <v>945</v>
      </c>
      <c r="B807" s="63">
        <v>44364.0</v>
      </c>
      <c r="C807" s="62" t="s">
        <v>108</v>
      </c>
      <c r="D807" s="64">
        <v>0.0</v>
      </c>
      <c r="E807" s="62" t="s">
        <v>114</v>
      </c>
      <c r="F807" s="62" t="s">
        <v>110</v>
      </c>
      <c r="G807" s="64" t="s">
        <v>61</v>
      </c>
      <c r="H807" s="3" t="s">
        <v>67</v>
      </c>
      <c r="I807" s="65">
        <f>IFERROR(VLOOKUP(A807,'3. Call duration'!$A:$C,3,0),"--")</f>
        <v>32.87388226</v>
      </c>
      <c r="J807" s="65" t="str">
        <f t="array" ref="J807">XLOOKUP(H807,'2. Matching'!$A$2:$A$39,'2. Matching'!$B$2:$B$39,"--")</f>
        <v>Acquisition</v>
      </c>
      <c r="K807" s="65" t="str">
        <f t="shared" si="1"/>
        <v>In</v>
      </c>
    </row>
    <row r="808">
      <c r="A808" s="62" t="s">
        <v>946</v>
      </c>
      <c r="B808" s="63">
        <v>44257.0</v>
      </c>
      <c r="C808" s="62" t="s">
        <v>112</v>
      </c>
      <c r="D808" s="64">
        <v>0.0</v>
      </c>
      <c r="E808" s="62" t="s">
        <v>109</v>
      </c>
      <c r="F808" s="62" t="s">
        <v>115</v>
      </c>
      <c r="G808" s="64" t="s">
        <v>62</v>
      </c>
      <c r="H808" s="3" t="s">
        <v>286</v>
      </c>
      <c r="I808" s="65" t="str">
        <f>IFERROR(VLOOKUP(A808,'3. Call duration'!$A:$C,3,0),"--")</f>
        <v>--</v>
      </c>
      <c r="J808" s="65" t="str">
        <f t="array" ref="J808">XLOOKUP(H808,'2. Matching'!$A$2:$A$39,'2. Matching'!$B$2:$B$39,"--")</f>
        <v>Farming</v>
      </c>
      <c r="K808" s="65" t="str">
        <f t="shared" si="1"/>
        <v>In</v>
      </c>
    </row>
    <row r="809">
      <c r="A809" s="62" t="s">
        <v>947</v>
      </c>
      <c r="B809" s="63">
        <v>44260.0</v>
      </c>
      <c r="C809" s="62" t="s">
        <v>108</v>
      </c>
      <c r="D809" s="64">
        <v>0.0</v>
      </c>
      <c r="E809" s="62" t="s">
        <v>109</v>
      </c>
      <c r="F809" s="62" t="s">
        <v>110</v>
      </c>
      <c r="G809" s="64" t="s">
        <v>64</v>
      </c>
      <c r="H809" s="3" t="s">
        <v>169</v>
      </c>
      <c r="I809" s="65">
        <f>IFERROR(VLOOKUP(A809,'3. Call duration'!$A:$C,3,0),"--")</f>
        <v>21.0661068</v>
      </c>
      <c r="J809" s="65" t="str">
        <f t="array" ref="J809">XLOOKUP(H809,'2. Matching'!$A$2:$A$39,'2. Matching'!$B$2:$B$39,"--")</f>
        <v>SEO</v>
      </c>
      <c r="K809" s="65" t="str">
        <f t="shared" si="1"/>
        <v>In</v>
      </c>
    </row>
    <row r="810">
      <c r="A810" s="62" t="s">
        <v>948</v>
      </c>
      <c r="B810" s="63">
        <v>44377.0</v>
      </c>
      <c r="C810" s="62" t="s">
        <v>112</v>
      </c>
      <c r="D810" s="64">
        <v>0.0</v>
      </c>
      <c r="E810" s="62" t="s">
        <v>109</v>
      </c>
      <c r="F810" s="62" t="s">
        <v>115</v>
      </c>
      <c r="G810" s="64" t="s">
        <v>63</v>
      </c>
      <c r="H810" s="3" t="s">
        <v>124</v>
      </c>
      <c r="I810" s="65" t="str">
        <f>IFERROR(VLOOKUP(A810,'3. Call duration'!$A:$C,3,0),"--")</f>
        <v>--</v>
      </c>
      <c r="J810" s="65" t="str">
        <f t="array" ref="J810">XLOOKUP(H810,'2. Matching'!$A$2:$A$39,'2. Matching'!$B$2:$B$39,"--")</f>
        <v>Acquisition</v>
      </c>
      <c r="K810" s="65" t="str">
        <f t="shared" si="1"/>
        <v>In</v>
      </c>
    </row>
    <row r="811">
      <c r="A811" s="62" t="s">
        <v>949</v>
      </c>
      <c r="B811" s="63">
        <v>44063.0</v>
      </c>
      <c r="C811" s="62" t="s">
        <v>112</v>
      </c>
      <c r="D811" s="64">
        <v>0.0</v>
      </c>
      <c r="E811" s="62" t="s">
        <v>109</v>
      </c>
      <c r="F811" s="62" t="s">
        <v>115</v>
      </c>
      <c r="G811" s="64" t="s">
        <v>64</v>
      </c>
      <c r="H811" s="3" t="s">
        <v>131</v>
      </c>
      <c r="I811" s="65" t="str">
        <f>IFERROR(VLOOKUP(A811,'3. Call duration'!$A:$C,3,0),"--")</f>
        <v>--</v>
      </c>
      <c r="J811" s="65" t="str">
        <f t="array" ref="J811">XLOOKUP(H811,'2. Matching'!$A$2:$A$39,'2. Matching'!$B$2:$B$39,"--")</f>
        <v>Acquisition</v>
      </c>
      <c r="K811" s="65" t="str">
        <f t="shared" si="1"/>
        <v>In</v>
      </c>
    </row>
    <row r="812">
      <c r="A812" s="62" t="s">
        <v>950</v>
      </c>
      <c r="B812" s="63">
        <v>44378.0</v>
      </c>
      <c r="C812" s="62" t="s">
        <v>112</v>
      </c>
      <c r="D812" s="64">
        <v>0.0</v>
      </c>
      <c r="E812" s="62" t="s">
        <v>109</v>
      </c>
      <c r="F812" s="62" t="s">
        <v>115</v>
      </c>
      <c r="G812" s="64" t="s">
        <v>60</v>
      </c>
      <c r="H812" s="3" t="s">
        <v>68</v>
      </c>
      <c r="I812" s="65" t="str">
        <f>IFERROR(VLOOKUP(A812,'3. Call duration'!$A:$C,3,0),"--")</f>
        <v>--</v>
      </c>
      <c r="J812" s="65" t="str">
        <f t="array" ref="J812">XLOOKUP(H812,'2. Matching'!$A$2:$A$39,'2. Matching'!$B$2:$B$39,"--")</f>
        <v>Acquisition</v>
      </c>
      <c r="K812" s="65" t="str">
        <f t="shared" si="1"/>
        <v>In</v>
      </c>
    </row>
    <row r="813">
      <c r="A813" s="62" t="s">
        <v>951</v>
      </c>
      <c r="B813" s="63">
        <v>44343.0</v>
      </c>
      <c r="C813" s="62" t="s">
        <v>119</v>
      </c>
      <c r="D813" s="64">
        <v>47.5</v>
      </c>
      <c r="E813" s="62" t="s">
        <v>109</v>
      </c>
      <c r="F813" s="62" t="s">
        <v>115</v>
      </c>
      <c r="G813" s="64" t="s">
        <v>64</v>
      </c>
      <c r="H813" s="3" t="s">
        <v>49</v>
      </c>
      <c r="I813" s="65">
        <f>IFERROR(VLOOKUP(A813,'3. Call duration'!$A:$C,3,0),"--")</f>
        <v>19.57095109</v>
      </c>
      <c r="J813" s="65" t="str">
        <f t="array" ref="J813">XLOOKUP(H813,'2. Matching'!$A$2:$A$39,'2. Matching'!$B$2:$B$39,"--")</f>
        <v>Partnerships</v>
      </c>
      <c r="K813" s="65" t="str">
        <f t="shared" si="1"/>
        <v>In</v>
      </c>
    </row>
    <row r="814">
      <c r="A814" s="62" t="s">
        <v>952</v>
      </c>
      <c r="B814" s="63">
        <v>44392.0</v>
      </c>
      <c r="C814" s="62" t="s">
        <v>112</v>
      </c>
      <c r="D814" s="64">
        <v>0.0</v>
      </c>
      <c r="E814" s="62" t="s">
        <v>109</v>
      </c>
      <c r="F814" s="62" t="s">
        <v>110</v>
      </c>
      <c r="G814" s="64" t="s">
        <v>60</v>
      </c>
      <c r="H814" s="3" t="s">
        <v>67</v>
      </c>
      <c r="I814" s="65" t="str">
        <f>IFERROR(VLOOKUP(A814,'3. Call duration'!$A:$C,3,0),"--")</f>
        <v>--</v>
      </c>
      <c r="J814" s="65" t="str">
        <f t="array" ref="J814">XLOOKUP(H814,'2. Matching'!$A$2:$A$39,'2. Matching'!$B$2:$B$39,"--")</f>
        <v>Acquisition</v>
      </c>
      <c r="K814" s="65" t="str">
        <f t="shared" si="1"/>
        <v>In</v>
      </c>
    </row>
    <row r="815">
      <c r="A815" s="62" t="s">
        <v>953</v>
      </c>
      <c r="B815" s="63">
        <v>44286.0</v>
      </c>
      <c r="C815" s="62" t="s">
        <v>112</v>
      </c>
      <c r="D815" s="64">
        <v>0.0</v>
      </c>
      <c r="E815" s="62" t="s">
        <v>109</v>
      </c>
      <c r="F815" s="62" t="s">
        <v>110</v>
      </c>
      <c r="G815" s="64" t="s">
        <v>64</v>
      </c>
      <c r="H815" s="3" t="s">
        <v>54</v>
      </c>
      <c r="I815" s="65" t="str">
        <f>IFERROR(VLOOKUP(A815,'3. Call duration'!$A:$C,3,0),"--")</f>
        <v>--</v>
      </c>
      <c r="J815" s="65" t="str">
        <f t="array" ref="J815">XLOOKUP(H815,'2. Matching'!$A$2:$A$39,'2. Matching'!$B$2:$B$39,"--")</f>
        <v>Partnerships</v>
      </c>
      <c r="K815" s="65" t="str">
        <f t="shared" si="1"/>
        <v>In</v>
      </c>
    </row>
    <row r="816">
      <c r="A816" s="62" t="s">
        <v>954</v>
      </c>
      <c r="B816" s="63">
        <v>44376.0</v>
      </c>
      <c r="C816" s="62" t="s">
        <v>112</v>
      </c>
      <c r="D816" s="64">
        <v>0.0</v>
      </c>
      <c r="E816" s="62" t="s">
        <v>109</v>
      </c>
      <c r="F816" s="62" t="s">
        <v>115</v>
      </c>
      <c r="G816" s="64" t="s">
        <v>64</v>
      </c>
      <c r="H816" s="3" t="s">
        <v>175</v>
      </c>
      <c r="I816" s="65" t="str">
        <f>IFERROR(VLOOKUP(A816,'3. Call duration'!$A:$C,3,0),"--")</f>
        <v>--</v>
      </c>
      <c r="J816" s="65" t="str">
        <f t="array" ref="J816">XLOOKUP(H816,'2. Matching'!$A$2:$A$39,'2. Matching'!$B$2:$B$39,"--")</f>
        <v>SEO</v>
      </c>
      <c r="K816" s="65" t="str">
        <f t="shared" si="1"/>
        <v>In</v>
      </c>
    </row>
    <row r="817">
      <c r="A817" s="62" t="s">
        <v>955</v>
      </c>
      <c r="B817" s="63">
        <v>44243.0</v>
      </c>
      <c r="C817" s="62" t="s">
        <v>112</v>
      </c>
      <c r="D817" s="64">
        <v>0.0</v>
      </c>
      <c r="E817" s="62" t="s">
        <v>109</v>
      </c>
      <c r="F817" s="62" t="s">
        <v>110</v>
      </c>
      <c r="G817" s="64" t="s">
        <v>64</v>
      </c>
      <c r="H817" s="3" t="s">
        <v>54</v>
      </c>
      <c r="I817" s="65" t="str">
        <f>IFERROR(VLOOKUP(A817,'3. Call duration'!$A:$C,3,0),"--")</f>
        <v>--</v>
      </c>
      <c r="J817" s="65" t="str">
        <f t="array" ref="J817">XLOOKUP(H817,'2. Matching'!$A$2:$A$39,'2. Matching'!$B$2:$B$39,"--")</f>
        <v>Partnerships</v>
      </c>
      <c r="K817" s="65" t="str">
        <f t="shared" si="1"/>
        <v>In</v>
      </c>
    </row>
    <row r="818">
      <c r="A818" s="62" t="s">
        <v>956</v>
      </c>
      <c r="B818" s="63">
        <v>44223.0</v>
      </c>
      <c r="C818" s="62" t="s">
        <v>108</v>
      </c>
      <c r="D818" s="64">
        <v>0.0</v>
      </c>
      <c r="E818" s="62" t="s">
        <v>109</v>
      </c>
      <c r="F818" s="62" t="s">
        <v>115</v>
      </c>
      <c r="G818" s="64" t="s">
        <v>64</v>
      </c>
      <c r="H818" s="3" t="s">
        <v>164</v>
      </c>
      <c r="I818" s="65">
        <f>IFERROR(VLOOKUP(A818,'3. Call duration'!$A:$C,3,0),"--")</f>
        <v>31.46778021</v>
      </c>
      <c r="J818" s="65" t="str">
        <f t="array" ref="J818">XLOOKUP(H818,'2. Matching'!$A$2:$A$39,'2. Matching'!$B$2:$B$39,"--")</f>
        <v>SEO</v>
      </c>
      <c r="K818" s="65" t="str">
        <f t="shared" si="1"/>
        <v>In</v>
      </c>
    </row>
    <row r="819">
      <c r="A819" s="62" t="s">
        <v>957</v>
      </c>
      <c r="B819" s="63">
        <v>44364.0</v>
      </c>
      <c r="C819" s="62" t="s">
        <v>112</v>
      </c>
      <c r="D819" s="64">
        <v>0.0</v>
      </c>
      <c r="E819" s="62" t="s">
        <v>109</v>
      </c>
      <c r="F819" s="62" t="s">
        <v>110</v>
      </c>
      <c r="G819" s="64" t="s">
        <v>60</v>
      </c>
      <c r="H819" s="3" t="s">
        <v>68</v>
      </c>
      <c r="I819" s="65" t="str">
        <f>IFERROR(VLOOKUP(A819,'3. Call duration'!$A:$C,3,0),"--")</f>
        <v>--</v>
      </c>
      <c r="J819" s="65" t="str">
        <f t="array" ref="J819">XLOOKUP(H819,'2. Matching'!$A$2:$A$39,'2. Matching'!$B$2:$B$39,"--")</f>
        <v>Acquisition</v>
      </c>
      <c r="K819" s="65" t="str">
        <f t="shared" si="1"/>
        <v>In</v>
      </c>
    </row>
    <row r="820">
      <c r="A820" s="62" t="s">
        <v>958</v>
      </c>
      <c r="B820" s="63">
        <v>44163.0</v>
      </c>
      <c r="C820" s="62" t="s">
        <v>112</v>
      </c>
      <c r="D820" s="64">
        <v>0.0</v>
      </c>
      <c r="E820" s="62" t="s">
        <v>109</v>
      </c>
      <c r="F820" s="62" t="s">
        <v>110</v>
      </c>
      <c r="G820" s="64" t="s">
        <v>64</v>
      </c>
      <c r="H820" s="3" t="s">
        <v>221</v>
      </c>
      <c r="I820" s="65" t="str">
        <f>IFERROR(VLOOKUP(A820,'3. Call duration'!$A:$C,3,0),"--")</f>
        <v>--</v>
      </c>
      <c r="J820" s="65" t="str">
        <f t="array" ref="J820">XLOOKUP(H820,'2. Matching'!$A$2:$A$39,'2. Matching'!$B$2:$B$39,"--")</f>
        <v>Farming</v>
      </c>
      <c r="K820" s="65" t="str">
        <f t="shared" si="1"/>
        <v>In</v>
      </c>
    </row>
    <row r="821">
      <c r="A821" s="62" t="s">
        <v>959</v>
      </c>
      <c r="B821" s="63">
        <v>44366.0</v>
      </c>
      <c r="C821" s="62" t="s">
        <v>108</v>
      </c>
      <c r="D821" s="64">
        <v>0.0</v>
      </c>
      <c r="E821" s="62" t="s">
        <v>109</v>
      </c>
      <c r="F821" s="62" t="s">
        <v>115</v>
      </c>
      <c r="G821" s="64" t="s">
        <v>64</v>
      </c>
      <c r="H821" s="3" t="s">
        <v>139</v>
      </c>
      <c r="I821" s="65">
        <f>IFERROR(VLOOKUP(A821,'3. Call duration'!$A:$C,3,0),"--")</f>
        <v>26.52816782</v>
      </c>
      <c r="J821" s="65" t="str">
        <f t="array" ref="J821">XLOOKUP(H821,'2. Matching'!$A$2:$A$39,'2. Matching'!$B$2:$B$39,"--")</f>
        <v>Acquisition</v>
      </c>
      <c r="K821" s="65" t="str">
        <f t="shared" si="1"/>
        <v>In</v>
      </c>
    </row>
    <row r="822">
      <c r="A822" s="62" t="s">
        <v>960</v>
      </c>
      <c r="B822" s="63">
        <v>44266.0</v>
      </c>
      <c r="C822" s="62" t="s">
        <v>112</v>
      </c>
      <c r="D822" s="64">
        <v>0.0</v>
      </c>
      <c r="E822" s="62" t="s">
        <v>109</v>
      </c>
      <c r="F822" s="62" t="s">
        <v>110</v>
      </c>
      <c r="G822" s="64" t="s">
        <v>64</v>
      </c>
      <c r="H822" s="3" t="s">
        <v>54</v>
      </c>
      <c r="I822" s="65" t="str">
        <f>IFERROR(VLOOKUP(A822,'3. Call duration'!$A:$C,3,0),"--")</f>
        <v>--</v>
      </c>
      <c r="J822" s="65" t="str">
        <f t="array" ref="J822">XLOOKUP(H822,'2. Matching'!$A$2:$A$39,'2. Matching'!$B$2:$B$39,"--")</f>
        <v>Partnerships</v>
      </c>
      <c r="K822" s="65" t="str">
        <f t="shared" si="1"/>
        <v>In</v>
      </c>
    </row>
    <row r="823">
      <c r="A823" s="62" t="s">
        <v>961</v>
      </c>
      <c r="B823" s="63">
        <v>44377.0</v>
      </c>
      <c r="C823" s="62" t="s">
        <v>112</v>
      </c>
      <c r="D823" s="64">
        <v>0.0</v>
      </c>
      <c r="E823" s="62" t="s">
        <v>109</v>
      </c>
      <c r="F823" s="62" t="s">
        <v>115</v>
      </c>
      <c r="G823" s="64" t="s">
        <v>60</v>
      </c>
      <c r="H823" s="3" t="s">
        <v>68</v>
      </c>
      <c r="I823" s="65" t="str">
        <f>IFERROR(VLOOKUP(A823,'3. Call duration'!$A:$C,3,0),"--")</f>
        <v>--</v>
      </c>
      <c r="J823" s="65" t="str">
        <f t="array" ref="J823">XLOOKUP(H823,'2. Matching'!$A$2:$A$39,'2. Matching'!$B$2:$B$39,"--")</f>
        <v>Acquisition</v>
      </c>
      <c r="K823" s="65" t="str">
        <f t="shared" si="1"/>
        <v>In</v>
      </c>
    </row>
    <row r="824">
      <c r="A824" s="62" t="s">
        <v>962</v>
      </c>
      <c r="B824" s="63">
        <v>44221.0</v>
      </c>
      <c r="C824" s="62" t="s">
        <v>112</v>
      </c>
      <c r="D824" s="64">
        <v>0.0</v>
      </c>
      <c r="E824" s="62" t="s">
        <v>109</v>
      </c>
      <c r="F824" s="62" t="s">
        <v>110</v>
      </c>
      <c r="G824" s="64" t="s">
        <v>62</v>
      </c>
      <c r="H824" s="3" t="s">
        <v>294</v>
      </c>
      <c r="I824" s="65" t="str">
        <f>IFERROR(VLOOKUP(A824,'3. Call duration'!$A:$C,3,0),"--")</f>
        <v>--</v>
      </c>
      <c r="J824" s="65" t="str">
        <f t="array" ref="J824">XLOOKUP(H824,'2. Matching'!$A$2:$A$39,'2. Matching'!$B$2:$B$39,"--")</f>
        <v>Farming</v>
      </c>
      <c r="K824" s="65" t="str">
        <f t="shared" si="1"/>
        <v>In</v>
      </c>
    </row>
    <row r="825">
      <c r="A825" s="62" t="s">
        <v>963</v>
      </c>
      <c r="B825" s="63">
        <v>44118.0</v>
      </c>
      <c r="C825" s="62" t="s">
        <v>108</v>
      </c>
      <c r="D825" s="64">
        <v>0.0</v>
      </c>
      <c r="E825" s="62" t="s">
        <v>109</v>
      </c>
      <c r="F825" s="62" t="s">
        <v>115</v>
      </c>
      <c r="G825" s="64" t="s">
        <v>64</v>
      </c>
      <c r="H825" s="3" t="s">
        <v>139</v>
      </c>
      <c r="I825" s="65">
        <f>IFERROR(VLOOKUP(A825,'3. Call duration'!$A:$C,3,0),"--")</f>
        <v>20.17998417</v>
      </c>
      <c r="J825" s="65" t="str">
        <f t="array" ref="J825">XLOOKUP(H825,'2. Matching'!$A$2:$A$39,'2. Matching'!$B$2:$B$39,"--")</f>
        <v>Acquisition</v>
      </c>
      <c r="K825" s="65" t="str">
        <f t="shared" si="1"/>
        <v>In</v>
      </c>
    </row>
    <row r="826">
      <c r="A826" s="62" t="s">
        <v>964</v>
      </c>
      <c r="B826" s="63">
        <v>44395.0</v>
      </c>
      <c r="C826" s="62" t="s">
        <v>112</v>
      </c>
      <c r="D826" s="64">
        <v>0.0</v>
      </c>
      <c r="E826" s="62" t="s">
        <v>109</v>
      </c>
      <c r="F826" s="62" t="s">
        <v>115</v>
      </c>
      <c r="G826" s="64" t="s">
        <v>64</v>
      </c>
      <c r="H826" s="3" t="s">
        <v>139</v>
      </c>
      <c r="I826" s="65" t="str">
        <f>IFERROR(VLOOKUP(A826,'3. Call duration'!$A:$C,3,0),"--")</f>
        <v>--</v>
      </c>
      <c r="J826" s="65" t="str">
        <f t="array" ref="J826">XLOOKUP(H826,'2. Matching'!$A$2:$A$39,'2. Matching'!$B$2:$B$39,"--")</f>
        <v>Acquisition</v>
      </c>
      <c r="K826" s="65" t="str">
        <f t="shared" si="1"/>
        <v>In</v>
      </c>
    </row>
    <row r="827">
      <c r="A827" s="62" t="s">
        <v>965</v>
      </c>
      <c r="B827" s="63">
        <v>44091.0</v>
      </c>
      <c r="C827" s="62" t="s">
        <v>112</v>
      </c>
      <c r="D827" s="64">
        <v>0.0</v>
      </c>
      <c r="E827" s="62" t="s">
        <v>114</v>
      </c>
      <c r="F827" s="62" t="s">
        <v>110</v>
      </c>
      <c r="G827" s="64" t="s">
        <v>64</v>
      </c>
      <c r="H827" s="3" t="s">
        <v>139</v>
      </c>
      <c r="I827" s="65" t="str">
        <f>IFERROR(VLOOKUP(A827,'3. Call duration'!$A:$C,3,0),"--")</f>
        <v>--</v>
      </c>
      <c r="J827" s="65" t="str">
        <f t="array" ref="J827">XLOOKUP(H827,'2. Matching'!$A$2:$A$39,'2. Matching'!$B$2:$B$39,"--")</f>
        <v>Acquisition</v>
      </c>
      <c r="K827" s="65" t="str">
        <f t="shared" si="1"/>
        <v>In</v>
      </c>
    </row>
    <row r="828">
      <c r="A828" s="62" t="s">
        <v>966</v>
      </c>
      <c r="B828" s="63">
        <v>44103.0</v>
      </c>
      <c r="C828" s="62" t="s">
        <v>112</v>
      </c>
      <c r="D828" s="64">
        <v>0.0</v>
      </c>
      <c r="E828" s="62" t="s">
        <v>114</v>
      </c>
      <c r="F828" s="62" t="s">
        <v>115</v>
      </c>
      <c r="G828" s="64" t="s">
        <v>62</v>
      </c>
      <c r="H828" s="3" t="s">
        <v>294</v>
      </c>
      <c r="I828" s="65" t="str">
        <f>IFERROR(VLOOKUP(A828,'3. Call duration'!$A:$C,3,0),"--")</f>
        <v>--</v>
      </c>
      <c r="J828" s="65" t="str">
        <f t="array" ref="J828">XLOOKUP(H828,'2. Matching'!$A$2:$A$39,'2. Matching'!$B$2:$B$39,"--")</f>
        <v>Farming</v>
      </c>
      <c r="K828" s="65" t="str">
        <f t="shared" si="1"/>
        <v>In</v>
      </c>
    </row>
    <row r="829">
      <c r="A829" s="62" t="s">
        <v>967</v>
      </c>
      <c r="B829" s="63">
        <v>44376.0</v>
      </c>
      <c r="C829" s="62" t="s">
        <v>108</v>
      </c>
      <c r="D829" s="64">
        <v>0.0</v>
      </c>
      <c r="E829" s="62" t="s">
        <v>109</v>
      </c>
      <c r="F829" s="62" t="s">
        <v>110</v>
      </c>
      <c r="G829" s="64" t="s">
        <v>59</v>
      </c>
      <c r="H829" s="3" t="s">
        <v>68</v>
      </c>
      <c r="I829" s="65">
        <f>IFERROR(VLOOKUP(A829,'3. Call duration'!$A:$C,3,0),"--")</f>
        <v>49.26396282</v>
      </c>
      <c r="J829" s="65" t="str">
        <f t="array" ref="J829">XLOOKUP(H829,'2. Matching'!$A$2:$A$39,'2. Matching'!$B$2:$B$39,"--")</f>
        <v>Acquisition</v>
      </c>
      <c r="K829" s="65" t="str">
        <f t="shared" si="1"/>
        <v>In</v>
      </c>
    </row>
    <row r="830">
      <c r="A830" s="62" t="s">
        <v>968</v>
      </c>
      <c r="B830" s="63">
        <v>44328.0</v>
      </c>
      <c r="C830" s="62" t="s">
        <v>119</v>
      </c>
      <c r="D830" s="64">
        <v>47.5</v>
      </c>
      <c r="E830" s="62" t="s">
        <v>109</v>
      </c>
      <c r="F830" s="62" t="s">
        <v>115</v>
      </c>
      <c r="G830" s="64" t="s">
        <v>64</v>
      </c>
      <c r="H830" s="3" t="s">
        <v>55</v>
      </c>
      <c r="I830" s="65">
        <f>IFERROR(VLOOKUP(A830,'3. Call duration'!$A:$C,3,0),"--")</f>
        <v>19.57587387</v>
      </c>
      <c r="J830" s="65" t="str">
        <f t="array" ref="J830">XLOOKUP(H830,'2. Matching'!$A$2:$A$39,'2. Matching'!$B$2:$B$39,"--")</f>
        <v>Partnerships</v>
      </c>
      <c r="K830" s="65" t="str">
        <f t="shared" si="1"/>
        <v>In</v>
      </c>
    </row>
    <row r="831">
      <c r="A831" s="62" t="s">
        <v>969</v>
      </c>
      <c r="B831" s="63">
        <v>44214.0</v>
      </c>
      <c r="C831" s="62" t="s">
        <v>112</v>
      </c>
      <c r="D831" s="64">
        <v>0.0</v>
      </c>
      <c r="E831" s="62" t="s">
        <v>114</v>
      </c>
      <c r="F831" s="62" t="s">
        <v>110</v>
      </c>
      <c r="G831" s="64" t="s">
        <v>64</v>
      </c>
      <c r="H831" s="3" t="s">
        <v>139</v>
      </c>
      <c r="I831" s="65" t="str">
        <f>IFERROR(VLOOKUP(A831,'3. Call duration'!$A:$C,3,0),"--")</f>
        <v>--</v>
      </c>
      <c r="J831" s="65" t="str">
        <f t="array" ref="J831">XLOOKUP(H831,'2. Matching'!$A$2:$A$39,'2. Matching'!$B$2:$B$39,"--")</f>
        <v>Acquisition</v>
      </c>
      <c r="K831" s="65" t="str">
        <f t="shared" si="1"/>
        <v>In</v>
      </c>
    </row>
    <row r="832">
      <c r="A832" s="62" t="s">
        <v>970</v>
      </c>
      <c r="B832" s="63">
        <v>44245.0</v>
      </c>
      <c r="C832" s="62" t="s">
        <v>112</v>
      </c>
      <c r="D832" s="64">
        <v>0.0</v>
      </c>
      <c r="E832" s="62" t="s">
        <v>109</v>
      </c>
      <c r="F832" s="62" t="s">
        <v>115</v>
      </c>
      <c r="G832" s="64" t="s">
        <v>64</v>
      </c>
      <c r="H832" s="3" t="s">
        <v>150</v>
      </c>
      <c r="I832" s="65" t="str">
        <f>IFERROR(VLOOKUP(A832,'3. Call duration'!$A:$C,3,0),"--")</f>
        <v>--</v>
      </c>
      <c r="J832" s="65" t="str">
        <f t="array" ref="J832">XLOOKUP(H832,'2. Matching'!$A$2:$A$39,'2. Matching'!$B$2:$B$39,"--")</f>
        <v>SEO</v>
      </c>
      <c r="K832" s="65" t="str">
        <f t="shared" si="1"/>
        <v>In</v>
      </c>
    </row>
    <row r="833">
      <c r="A833" s="62" t="s">
        <v>971</v>
      </c>
      <c r="B833" s="63">
        <v>44336.0</v>
      </c>
      <c r="C833" s="62" t="s">
        <v>119</v>
      </c>
      <c r="D833" s="64">
        <v>47.5</v>
      </c>
      <c r="E833" s="62" t="s">
        <v>109</v>
      </c>
      <c r="F833" s="62" t="s">
        <v>110</v>
      </c>
      <c r="G833" s="64" t="s">
        <v>64</v>
      </c>
      <c r="H833" s="3" t="s">
        <v>52</v>
      </c>
      <c r="I833" s="65">
        <f>IFERROR(VLOOKUP(A833,'3. Call duration'!$A:$C,3,0),"--")</f>
        <v>19.69146284</v>
      </c>
      <c r="J833" s="65" t="str">
        <f t="array" ref="J833">XLOOKUP(H833,'2. Matching'!$A$2:$A$39,'2. Matching'!$B$2:$B$39,"--")</f>
        <v>Partnerships</v>
      </c>
      <c r="K833" s="65" t="str">
        <f t="shared" si="1"/>
        <v>In</v>
      </c>
    </row>
    <row r="834">
      <c r="A834" s="62" t="s">
        <v>972</v>
      </c>
      <c r="B834" s="63">
        <v>44103.0</v>
      </c>
      <c r="C834" s="62" t="s">
        <v>112</v>
      </c>
      <c r="D834" s="64">
        <v>0.0</v>
      </c>
      <c r="E834" s="62" t="s">
        <v>109</v>
      </c>
      <c r="F834" s="62" t="s">
        <v>110</v>
      </c>
      <c r="G834" s="64" t="s">
        <v>62</v>
      </c>
      <c r="H834" s="3" t="s">
        <v>294</v>
      </c>
      <c r="I834" s="65" t="str">
        <f>IFERROR(VLOOKUP(A834,'3. Call duration'!$A:$C,3,0),"--")</f>
        <v>--</v>
      </c>
      <c r="J834" s="65" t="str">
        <f t="array" ref="J834">XLOOKUP(H834,'2. Matching'!$A$2:$A$39,'2. Matching'!$B$2:$B$39,"--")</f>
        <v>Farming</v>
      </c>
      <c r="K834" s="65" t="str">
        <f t="shared" si="1"/>
        <v>In</v>
      </c>
    </row>
    <row r="835">
      <c r="A835" s="62" t="s">
        <v>973</v>
      </c>
      <c r="B835" s="63">
        <v>44376.0</v>
      </c>
      <c r="C835" s="62" t="s">
        <v>112</v>
      </c>
      <c r="D835" s="64">
        <v>0.0</v>
      </c>
      <c r="E835" s="62" t="s">
        <v>109</v>
      </c>
      <c r="F835" s="62" t="s">
        <v>110</v>
      </c>
      <c r="G835" s="64" t="s">
        <v>60</v>
      </c>
      <c r="H835" s="3" t="s">
        <v>67</v>
      </c>
      <c r="I835" s="65" t="str">
        <f>IFERROR(VLOOKUP(A835,'3. Call duration'!$A:$C,3,0),"--")</f>
        <v>--</v>
      </c>
      <c r="J835" s="65" t="str">
        <f t="array" ref="J835">XLOOKUP(H835,'2. Matching'!$A$2:$A$39,'2. Matching'!$B$2:$B$39,"--")</f>
        <v>Acquisition</v>
      </c>
      <c r="K835" s="65" t="str">
        <f t="shared" si="1"/>
        <v>In</v>
      </c>
    </row>
    <row r="836">
      <c r="A836" s="62" t="s">
        <v>974</v>
      </c>
      <c r="B836" s="63">
        <v>44056.0</v>
      </c>
      <c r="C836" s="62" t="s">
        <v>112</v>
      </c>
      <c r="D836" s="64">
        <v>0.0</v>
      </c>
      <c r="E836" s="62" t="s">
        <v>109</v>
      </c>
      <c r="F836" s="62" t="s">
        <v>110</v>
      </c>
      <c r="G836" s="64" t="s">
        <v>64</v>
      </c>
      <c r="H836" s="3" t="s">
        <v>169</v>
      </c>
      <c r="I836" s="65" t="str">
        <f>IFERROR(VLOOKUP(A836,'3. Call duration'!$A:$C,3,0),"--")</f>
        <v>--</v>
      </c>
      <c r="J836" s="65" t="str">
        <f t="array" ref="J836">XLOOKUP(H836,'2. Matching'!$A$2:$A$39,'2. Matching'!$B$2:$B$39,"--")</f>
        <v>SEO</v>
      </c>
      <c r="K836" s="65" t="str">
        <f t="shared" si="1"/>
        <v>In</v>
      </c>
    </row>
    <row r="837">
      <c r="A837" s="62" t="s">
        <v>975</v>
      </c>
      <c r="B837" s="63">
        <v>44274.0</v>
      </c>
      <c r="C837" s="62" t="s">
        <v>108</v>
      </c>
      <c r="D837" s="64">
        <v>0.0</v>
      </c>
      <c r="E837" s="62" t="s">
        <v>114</v>
      </c>
      <c r="F837" s="62" t="s">
        <v>110</v>
      </c>
      <c r="G837" s="64" t="s">
        <v>64</v>
      </c>
      <c r="H837" s="3" t="s">
        <v>297</v>
      </c>
      <c r="I837" s="65">
        <f>IFERROR(VLOOKUP(A837,'3. Call duration'!$A:$C,3,0),"--")</f>
        <v>25.29488938</v>
      </c>
      <c r="J837" s="65" t="str">
        <f t="array" ref="J837">XLOOKUP(H837,'2. Matching'!$A$2:$A$39,'2. Matching'!$B$2:$B$39,"--")</f>
        <v>Farming</v>
      </c>
      <c r="K837" s="65" t="str">
        <f t="shared" si="1"/>
        <v>In</v>
      </c>
    </row>
    <row r="838">
      <c r="A838" s="62" t="s">
        <v>976</v>
      </c>
      <c r="B838" s="63">
        <v>44378.0</v>
      </c>
      <c r="C838" s="62" t="s">
        <v>108</v>
      </c>
      <c r="D838" s="64">
        <v>0.0</v>
      </c>
      <c r="E838" s="62" t="s">
        <v>114</v>
      </c>
      <c r="F838" s="62" t="s">
        <v>110</v>
      </c>
      <c r="G838" s="64" t="s">
        <v>60</v>
      </c>
      <c r="H838" s="3" t="s">
        <v>68</v>
      </c>
      <c r="I838" s="65">
        <f>IFERROR(VLOOKUP(A838,'3. Call duration'!$A:$C,3,0),"--")</f>
        <v>42.6085556</v>
      </c>
      <c r="J838" s="65" t="str">
        <f t="array" ref="J838">XLOOKUP(H838,'2. Matching'!$A$2:$A$39,'2. Matching'!$B$2:$B$39,"--")</f>
        <v>Acquisition</v>
      </c>
      <c r="K838" s="65" t="str">
        <f t="shared" si="1"/>
        <v>In</v>
      </c>
    </row>
    <row r="839">
      <c r="A839" s="62" t="s">
        <v>977</v>
      </c>
      <c r="B839" s="63">
        <v>44202.0</v>
      </c>
      <c r="C839" s="62" t="s">
        <v>112</v>
      </c>
      <c r="D839" s="64">
        <v>0.0</v>
      </c>
      <c r="E839" s="62" t="s">
        <v>109</v>
      </c>
      <c r="F839" s="62" t="s">
        <v>115</v>
      </c>
      <c r="G839" s="64" t="s">
        <v>64</v>
      </c>
      <c r="H839" s="3" t="s">
        <v>169</v>
      </c>
      <c r="I839" s="65" t="str">
        <f>IFERROR(VLOOKUP(A839,'3. Call duration'!$A:$C,3,0),"--")</f>
        <v>--</v>
      </c>
      <c r="J839" s="65" t="str">
        <f t="array" ref="J839">XLOOKUP(H839,'2. Matching'!$A$2:$A$39,'2. Matching'!$B$2:$B$39,"--")</f>
        <v>SEO</v>
      </c>
      <c r="K839" s="65" t="str">
        <f t="shared" si="1"/>
        <v>In</v>
      </c>
    </row>
    <row r="840">
      <c r="A840" s="62" t="s">
        <v>978</v>
      </c>
      <c r="B840" s="63">
        <v>44211.0</v>
      </c>
      <c r="C840" s="62" t="s">
        <v>112</v>
      </c>
      <c r="D840" s="64">
        <v>0.0</v>
      </c>
      <c r="E840" s="62" t="s">
        <v>109</v>
      </c>
      <c r="F840" s="62" t="s">
        <v>115</v>
      </c>
      <c r="G840" s="64" t="s">
        <v>64</v>
      </c>
      <c r="H840" s="3" t="s">
        <v>221</v>
      </c>
      <c r="I840" s="65" t="str">
        <f>IFERROR(VLOOKUP(A840,'3. Call duration'!$A:$C,3,0),"--")</f>
        <v>--</v>
      </c>
      <c r="J840" s="65" t="str">
        <f t="array" ref="J840">XLOOKUP(H840,'2. Matching'!$A$2:$A$39,'2. Matching'!$B$2:$B$39,"--")</f>
        <v>Farming</v>
      </c>
      <c r="K840" s="65" t="str">
        <f t="shared" si="1"/>
        <v>In</v>
      </c>
    </row>
    <row r="841">
      <c r="A841" s="62" t="s">
        <v>979</v>
      </c>
      <c r="B841" s="63">
        <v>44392.0</v>
      </c>
      <c r="C841" s="62" t="s">
        <v>112</v>
      </c>
      <c r="D841" s="64">
        <v>0.0</v>
      </c>
      <c r="E841" s="62" t="s">
        <v>114</v>
      </c>
      <c r="F841" s="62" t="s">
        <v>110</v>
      </c>
      <c r="G841" s="64" t="s">
        <v>59</v>
      </c>
      <c r="H841" s="3" t="s">
        <v>68</v>
      </c>
      <c r="I841" s="65" t="str">
        <f>IFERROR(VLOOKUP(A841,'3. Call duration'!$A:$C,3,0),"--")</f>
        <v>--</v>
      </c>
      <c r="J841" s="65" t="str">
        <f t="array" ref="J841">XLOOKUP(H841,'2. Matching'!$A$2:$A$39,'2. Matching'!$B$2:$B$39,"--")</f>
        <v>Acquisition</v>
      </c>
      <c r="K841" s="65" t="str">
        <f t="shared" si="1"/>
        <v>In</v>
      </c>
    </row>
    <row r="842">
      <c r="A842" s="62" t="s">
        <v>980</v>
      </c>
      <c r="B842" s="63">
        <v>44366.0</v>
      </c>
      <c r="C842" s="62" t="s">
        <v>112</v>
      </c>
      <c r="D842" s="64">
        <v>0.0</v>
      </c>
      <c r="E842" s="62" t="s">
        <v>114</v>
      </c>
      <c r="F842" s="62" t="s">
        <v>115</v>
      </c>
      <c r="G842" s="64" t="s">
        <v>64</v>
      </c>
      <c r="H842" s="3" t="s">
        <v>155</v>
      </c>
      <c r="I842" s="65" t="str">
        <f>IFERROR(VLOOKUP(A842,'3. Call duration'!$A:$C,3,0),"--")</f>
        <v>--</v>
      </c>
      <c r="J842" s="65" t="str">
        <f t="array" ref="J842">XLOOKUP(H842,'2. Matching'!$A$2:$A$39,'2. Matching'!$B$2:$B$39,"--")</f>
        <v>SEO</v>
      </c>
      <c r="K842" s="65" t="str">
        <f t="shared" si="1"/>
        <v>In</v>
      </c>
    </row>
    <row r="843">
      <c r="A843" s="62" t="s">
        <v>981</v>
      </c>
      <c r="B843" s="63">
        <v>44361.0</v>
      </c>
      <c r="C843" s="62" t="s">
        <v>112</v>
      </c>
      <c r="D843" s="64">
        <v>0.0</v>
      </c>
      <c r="E843" s="62" t="s">
        <v>114</v>
      </c>
      <c r="F843" s="62" t="s">
        <v>110</v>
      </c>
      <c r="G843" s="64" t="s">
        <v>60</v>
      </c>
      <c r="H843" s="3" t="s">
        <v>68</v>
      </c>
      <c r="I843" s="65" t="str">
        <f>IFERROR(VLOOKUP(A843,'3. Call duration'!$A:$C,3,0),"--")</f>
        <v>--</v>
      </c>
      <c r="J843" s="65" t="str">
        <f t="array" ref="J843">XLOOKUP(H843,'2. Matching'!$A$2:$A$39,'2. Matching'!$B$2:$B$39,"--")</f>
        <v>Acquisition</v>
      </c>
      <c r="K843" s="65" t="str">
        <f t="shared" si="1"/>
        <v>In</v>
      </c>
    </row>
    <row r="844">
      <c r="A844" s="62" t="s">
        <v>982</v>
      </c>
      <c r="B844" s="63">
        <v>44348.0</v>
      </c>
      <c r="C844" s="62" t="s">
        <v>112</v>
      </c>
      <c r="D844" s="64">
        <v>0.0</v>
      </c>
      <c r="E844" s="62" t="s">
        <v>114</v>
      </c>
      <c r="F844" s="62" t="s">
        <v>110</v>
      </c>
      <c r="G844" s="64" t="s">
        <v>60</v>
      </c>
      <c r="H844" s="3" t="s">
        <v>67</v>
      </c>
      <c r="I844" s="65" t="str">
        <f>IFERROR(VLOOKUP(A844,'3. Call duration'!$A:$C,3,0),"--")</f>
        <v>--</v>
      </c>
      <c r="J844" s="65" t="str">
        <f t="array" ref="J844">XLOOKUP(H844,'2. Matching'!$A$2:$A$39,'2. Matching'!$B$2:$B$39,"--")</f>
        <v>Acquisition</v>
      </c>
      <c r="K844" s="65" t="str">
        <f t="shared" si="1"/>
        <v>In</v>
      </c>
    </row>
    <row r="845">
      <c r="A845" s="62" t="s">
        <v>983</v>
      </c>
      <c r="B845" s="63">
        <v>44281.0</v>
      </c>
      <c r="C845" s="62" t="s">
        <v>112</v>
      </c>
      <c r="D845" s="64">
        <v>0.0</v>
      </c>
      <c r="E845" s="62" t="s">
        <v>109</v>
      </c>
      <c r="F845" s="62" t="s">
        <v>110</v>
      </c>
      <c r="G845" s="64" t="s">
        <v>64</v>
      </c>
      <c r="H845" s="3" t="s">
        <v>52</v>
      </c>
      <c r="I845" s="65" t="str">
        <f>IFERROR(VLOOKUP(A845,'3. Call duration'!$A:$C,3,0),"--")</f>
        <v>--</v>
      </c>
      <c r="J845" s="65" t="str">
        <f t="array" ref="J845">XLOOKUP(H845,'2. Matching'!$A$2:$A$39,'2. Matching'!$B$2:$B$39,"--")</f>
        <v>Partnerships</v>
      </c>
      <c r="K845" s="65" t="str">
        <f t="shared" si="1"/>
        <v>In</v>
      </c>
    </row>
    <row r="846">
      <c r="A846" s="62" t="s">
        <v>984</v>
      </c>
      <c r="B846" s="63">
        <v>44382.0</v>
      </c>
      <c r="C846" s="62" t="s">
        <v>112</v>
      </c>
      <c r="D846" s="64">
        <v>0.0</v>
      </c>
      <c r="E846" s="62" t="s">
        <v>109</v>
      </c>
      <c r="F846" s="62" t="s">
        <v>110</v>
      </c>
      <c r="G846" s="64" t="s">
        <v>61</v>
      </c>
      <c r="H846" s="3" t="s">
        <v>69</v>
      </c>
      <c r="I846" s="65" t="str">
        <f>IFERROR(VLOOKUP(A846,'3. Call duration'!$A:$C,3,0),"--")</f>
        <v>--</v>
      </c>
      <c r="J846" s="65" t="str">
        <f t="array" ref="J846">XLOOKUP(H846,'2. Matching'!$A$2:$A$39,'2. Matching'!$B$2:$B$39,"--")</f>
        <v>Acquisition</v>
      </c>
      <c r="K846" s="65" t="str">
        <f t="shared" si="1"/>
        <v>In</v>
      </c>
    </row>
    <row r="847">
      <c r="A847" s="62" t="s">
        <v>985</v>
      </c>
      <c r="B847" s="63">
        <v>44384.0</v>
      </c>
      <c r="C847" s="62" t="s">
        <v>112</v>
      </c>
      <c r="D847" s="64">
        <v>0.0</v>
      </c>
      <c r="E847" s="62" t="s">
        <v>109</v>
      </c>
      <c r="F847" s="62" t="s">
        <v>110</v>
      </c>
      <c r="G847" s="64" t="s">
        <v>64</v>
      </c>
      <c r="H847" s="3" t="s">
        <v>131</v>
      </c>
      <c r="I847" s="65" t="str">
        <f>IFERROR(VLOOKUP(A847,'3. Call duration'!$A:$C,3,0),"--")</f>
        <v>--</v>
      </c>
      <c r="J847" s="65" t="str">
        <f t="array" ref="J847">XLOOKUP(H847,'2. Matching'!$A$2:$A$39,'2. Matching'!$B$2:$B$39,"--")</f>
        <v>Acquisition</v>
      </c>
      <c r="K847" s="65" t="str">
        <f t="shared" si="1"/>
        <v>In</v>
      </c>
    </row>
    <row r="848">
      <c r="A848" s="62" t="s">
        <v>986</v>
      </c>
      <c r="B848" s="63">
        <v>44328.0</v>
      </c>
      <c r="C848" s="62" t="s">
        <v>119</v>
      </c>
      <c r="D848" s="64">
        <v>47.5</v>
      </c>
      <c r="E848" s="62" t="s">
        <v>109</v>
      </c>
      <c r="F848" s="62" t="s">
        <v>115</v>
      </c>
      <c r="G848" s="64" t="s">
        <v>64</v>
      </c>
      <c r="H848" s="3" t="s">
        <v>52</v>
      </c>
      <c r="I848" s="65">
        <f>IFERROR(VLOOKUP(A848,'3. Call duration'!$A:$C,3,0),"--")</f>
        <v>19.91521857</v>
      </c>
      <c r="J848" s="65" t="str">
        <f t="array" ref="J848">XLOOKUP(H848,'2. Matching'!$A$2:$A$39,'2. Matching'!$B$2:$B$39,"--")</f>
        <v>Partnerships</v>
      </c>
      <c r="K848" s="65" t="str">
        <f t="shared" si="1"/>
        <v>In</v>
      </c>
    </row>
    <row r="849">
      <c r="A849" s="62" t="s">
        <v>987</v>
      </c>
      <c r="B849" s="63">
        <v>44221.0</v>
      </c>
      <c r="C849" s="62" t="s">
        <v>108</v>
      </c>
      <c r="D849" s="64">
        <v>0.0</v>
      </c>
      <c r="E849" s="62" t="s">
        <v>109</v>
      </c>
      <c r="F849" s="62" t="s">
        <v>110</v>
      </c>
      <c r="G849" s="64" t="s">
        <v>64</v>
      </c>
      <c r="H849" s="3" t="s">
        <v>131</v>
      </c>
      <c r="I849" s="65">
        <f>IFERROR(VLOOKUP(A849,'3. Call duration'!$A:$C,3,0),"--")</f>
        <v>21.13999664</v>
      </c>
      <c r="J849" s="65" t="str">
        <f t="array" ref="J849">XLOOKUP(H849,'2. Matching'!$A$2:$A$39,'2. Matching'!$B$2:$B$39,"--")</f>
        <v>Acquisition</v>
      </c>
      <c r="K849" s="65" t="str">
        <f t="shared" si="1"/>
        <v>In</v>
      </c>
    </row>
    <row r="850">
      <c r="A850" s="62" t="s">
        <v>988</v>
      </c>
      <c r="B850" s="63">
        <v>44365.0</v>
      </c>
      <c r="C850" s="62" t="s">
        <v>108</v>
      </c>
      <c r="D850" s="64">
        <v>0.0</v>
      </c>
      <c r="E850" s="62" t="s">
        <v>109</v>
      </c>
      <c r="F850" s="62" t="s">
        <v>110</v>
      </c>
      <c r="G850" s="64" t="s">
        <v>64</v>
      </c>
      <c r="H850" s="3" t="s">
        <v>55</v>
      </c>
      <c r="I850" s="65">
        <f>IFERROR(VLOOKUP(A850,'3. Call duration'!$A:$C,3,0),"--")</f>
        <v>20.8840617</v>
      </c>
      <c r="J850" s="65" t="str">
        <f t="array" ref="J850">XLOOKUP(H850,'2. Matching'!$A$2:$A$39,'2. Matching'!$B$2:$B$39,"--")</f>
        <v>Partnerships</v>
      </c>
      <c r="K850" s="65" t="str">
        <f t="shared" si="1"/>
        <v>In</v>
      </c>
    </row>
    <row r="851">
      <c r="A851" s="62" t="s">
        <v>989</v>
      </c>
      <c r="B851" s="63">
        <v>44347.0</v>
      </c>
      <c r="C851" s="62" t="s">
        <v>119</v>
      </c>
      <c r="D851" s="64">
        <v>47.5</v>
      </c>
      <c r="E851" s="62" t="s">
        <v>109</v>
      </c>
      <c r="F851" s="62" t="s">
        <v>115</v>
      </c>
      <c r="G851" s="64" t="s">
        <v>64</v>
      </c>
      <c r="H851" s="3" t="s">
        <v>169</v>
      </c>
      <c r="I851" s="65">
        <f>IFERROR(VLOOKUP(A851,'3. Call duration'!$A:$C,3,0),"--")</f>
        <v>20.03552612</v>
      </c>
      <c r="J851" s="65" t="str">
        <f t="array" ref="J851">XLOOKUP(H851,'2. Matching'!$A$2:$A$39,'2. Matching'!$B$2:$B$39,"--")</f>
        <v>SEO</v>
      </c>
      <c r="K851" s="65" t="str">
        <f t="shared" si="1"/>
        <v>In</v>
      </c>
    </row>
    <row r="852">
      <c r="A852" s="62" t="s">
        <v>990</v>
      </c>
      <c r="B852" s="63">
        <v>44064.0</v>
      </c>
      <c r="C852" s="62" t="s">
        <v>108</v>
      </c>
      <c r="D852" s="64">
        <v>0.0</v>
      </c>
      <c r="E852" s="62" t="s">
        <v>114</v>
      </c>
      <c r="F852" s="62" t="s">
        <v>115</v>
      </c>
      <c r="G852" s="64" t="s">
        <v>64</v>
      </c>
      <c r="H852" s="3" t="s">
        <v>131</v>
      </c>
      <c r="I852" s="65">
        <f>IFERROR(VLOOKUP(A852,'3. Call duration'!$A:$C,3,0),"--")</f>
        <v>33.53557058</v>
      </c>
      <c r="J852" s="65" t="str">
        <f t="array" ref="J852">XLOOKUP(H852,'2. Matching'!$A$2:$A$39,'2. Matching'!$B$2:$B$39,"--")</f>
        <v>Acquisition</v>
      </c>
      <c r="K852" s="65" t="str">
        <f t="shared" si="1"/>
        <v>In</v>
      </c>
    </row>
    <row r="853">
      <c r="A853" s="62" t="s">
        <v>991</v>
      </c>
      <c r="B853" s="63">
        <v>44358.0</v>
      </c>
      <c r="C853" s="62" t="s">
        <v>108</v>
      </c>
      <c r="D853" s="64">
        <v>0.0</v>
      </c>
      <c r="E853" s="62" t="s">
        <v>114</v>
      </c>
      <c r="F853" s="62" t="s">
        <v>115</v>
      </c>
      <c r="G853" s="64" t="s">
        <v>60</v>
      </c>
      <c r="H853" s="3" t="s">
        <v>67</v>
      </c>
      <c r="I853" s="65">
        <f>IFERROR(VLOOKUP(A853,'3. Call duration'!$A:$C,3,0),"--")</f>
        <v>23.32758617</v>
      </c>
      <c r="J853" s="65" t="str">
        <f t="array" ref="J853">XLOOKUP(H853,'2. Matching'!$A$2:$A$39,'2. Matching'!$B$2:$B$39,"--")</f>
        <v>Acquisition</v>
      </c>
      <c r="K853" s="65" t="str">
        <f t="shared" si="1"/>
        <v>In</v>
      </c>
    </row>
    <row r="854">
      <c r="A854" s="62" t="s">
        <v>992</v>
      </c>
      <c r="B854" s="63">
        <v>44347.0</v>
      </c>
      <c r="C854" s="62" t="s">
        <v>119</v>
      </c>
      <c r="D854" s="64">
        <v>47.5</v>
      </c>
      <c r="E854" s="62" t="s">
        <v>109</v>
      </c>
      <c r="F854" s="62" t="s">
        <v>115</v>
      </c>
      <c r="G854" s="64" t="s">
        <v>63</v>
      </c>
      <c r="H854" s="3" t="s">
        <v>189</v>
      </c>
      <c r="I854" s="65">
        <f>IFERROR(VLOOKUP(A854,'3. Call duration'!$A:$C,3,0),"--")</f>
        <v>20.05553821</v>
      </c>
      <c r="J854" s="65" t="str">
        <f t="array" ref="J854">XLOOKUP(H854,'2. Matching'!$A$2:$A$39,'2. Matching'!$B$2:$B$39,"--")</f>
        <v>SEO</v>
      </c>
      <c r="K854" s="65" t="str">
        <f t="shared" si="1"/>
        <v>Out</v>
      </c>
    </row>
    <row r="855">
      <c r="A855" s="62" t="s">
        <v>993</v>
      </c>
      <c r="B855" s="63">
        <v>44358.0</v>
      </c>
      <c r="C855" s="62" t="s">
        <v>112</v>
      </c>
      <c r="D855" s="64">
        <v>0.0</v>
      </c>
      <c r="E855" s="62" t="s">
        <v>109</v>
      </c>
      <c r="F855" s="62" t="s">
        <v>110</v>
      </c>
      <c r="G855" s="64" t="s">
        <v>60</v>
      </c>
      <c r="H855" s="3" t="s">
        <v>68</v>
      </c>
      <c r="I855" s="65" t="str">
        <f>IFERROR(VLOOKUP(A855,'3. Call duration'!$A:$C,3,0),"--")</f>
        <v>--</v>
      </c>
      <c r="J855" s="65" t="str">
        <f t="array" ref="J855">XLOOKUP(H855,'2. Matching'!$A$2:$A$39,'2. Matching'!$B$2:$B$39,"--")</f>
        <v>Acquisition</v>
      </c>
      <c r="K855" s="65" t="str">
        <f t="shared" si="1"/>
        <v>In</v>
      </c>
    </row>
    <row r="856">
      <c r="A856" s="62" t="s">
        <v>994</v>
      </c>
      <c r="B856" s="63">
        <v>44113.0</v>
      </c>
      <c r="C856" s="62" t="s">
        <v>112</v>
      </c>
      <c r="D856" s="64">
        <v>0.0</v>
      </c>
      <c r="E856" s="62" t="s">
        <v>109</v>
      </c>
      <c r="F856" s="62" t="s">
        <v>115</v>
      </c>
      <c r="G856" s="64" t="s">
        <v>64</v>
      </c>
      <c r="H856" s="3" t="s">
        <v>169</v>
      </c>
      <c r="I856" s="65" t="str">
        <f>IFERROR(VLOOKUP(A856,'3. Call duration'!$A:$C,3,0),"--")</f>
        <v>--</v>
      </c>
      <c r="J856" s="65" t="str">
        <f t="array" ref="J856">XLOOKUP(H856,'2. Matching'!$A$2:$A$39,'2. Matching'!$B$2:$B$39,"--")</f>
        <v>SEO</v>
      </c>
      <c r="K856" s="65" t="str">
        <f t="shared" si="1"/>
        <v>In</v>
      </c>
    </row>
    <row r="857">
      <c r="A857" s="62" t="s">
        <v>995</v>
      </c>
      <c r="B857" s="63">
        <v>44329.0</v>
      </c>
      <c r="C857" s="62" t="s">
        <v>119</v>
      </c>
      <c r="D857" s="64">
        <v>47.5</v>
      </c>
      <c r="E857" s="62" t="s">
        <v>109</v>
      </c>
      <c r="F857" s="62" t="s">
        <v>110</v>
      </c>
      <c r="G857" s="64" t="s">
        <v>64</v>
      </c>
      <c r="H857" s="3" t="s">
        <v>139</v>
      </c>
      <c r="I857" s="65">
        <f>IFERROR(VLOOKUP(A857,'3. Call duration'!$A:$C,3,0),"--")</f>
        <v>20.10055619</v>
      </c>
      <c r="J857" s="65" t="str">
        <f t="array" ref="J857">XLOOKUP(H857,'2. Matching'!$A$2:$A$39,'2. Matching'!$B$2:$B$39,"--")</f>
        <v>Acquisition</v>
      </c>
      <c r="K857" s="65" t="str">
        <f t="shared" si="1"/>
        <v>In</v>
      </c>
    </row>
    <row r="858">
      <c r="A858" s="62" t="s">
        <v>996</v>
      </c>
      <c r="B858" s="63">
        <v>44383.0</v>
      </c>
      <c r="C858" s="62" t="s">
        <v>112</v>
      </c>
      <c r="D858" s="64">
        <v>0.0</v>
      </c>
      <c r="E858" s="62" t="s">
        <v>114</v>
      </c>
      <c r="F858" s="62" t="s">
        <v>110</v>
      </c>
      <c r="G858" s="64" t="s">
        <v>60</v>
      </c>
      <c r="H858" s="3" t="s">
        <v>67</v>
      </c>
      <c r="I858" s="65" t="str">
        <f>IFERROR(VLOOKUP(A858,'3. Call duration'!$A:$C,3,0),"--")</f>
        <v>--</v>
      </c>
      <c r="J858" s="65" t="str">
        <f t="array" ref="J858">XLOOKUP(H858,'2. Matching'!$A$2:$A$39,'2. Matching'!$B$2:$B$39,"--")</f>
        <v>Acquisition</v>
      </c>
      <c r="K858" s="65" t="str">
        <f t="shared" si="1"/>
        <v>In</v>
      </c>
    </row>
    <row r="859">
      <c r="A859" s="62" t="s">
        <v>997</v>
      </c>
      <c r="B859" s="63">
        <v>44389.0</v>
      </c>
      <c r="C859" s="62" t="s">
        <v>108</v>
      </c>
      <c r="D859" s="64">
        <v>0.0</v>
      </c>
      <c r="E859" s="62" t="s">
        <v>109</v>
      </c>
      <c r="F859" s="62" t="s">
        <v>115</v>
      </c>
      <c r="G859" s="64" t="s">
        <v>59</v>
      </c>
      <c r="H859" s="3" t="s">
        <v>68</v>
      </c>
      <c r="I859" s="65">
        <f>IFERROR(VLOOKUP(A859,'3. Call duration'!$A:$C,3,0),"--")</f>
        <v>21.77313918</v>
      </c>
      <c r="J859" s="65" t="str">
        <f t="array" ref="J859">XLOOKUP(H859,'2. Matching'!$A$2:$A$39,'2. Matching'!$B$2:$B$39,"--")</f>
        <v>Acquisition</v>
      </c>
      <c r="K859" s="65" t="str">
        <f t="shared" si="1"/>
        <v>In</v>
      </c>
    </row>
    <row r="860">
      <c r="A860" s="62" t="s">
        <v>998</v>
      </c>
      <c r="B860" s="63">
        <v>44375.0</v>
      </c>
      <c r="C860" s="62" t="s">
        <v>112</v>
      </c>
      <c r="D860" s="64">
        <v>0.0</v>
      </c>
      <c r="E860" s="62" t="s">
        <v>109</v>
      </c>
      <c r="F860" s="62" t="s">
        <v>115</v>
      </c>
      <c r="G860" s="64" t="s">
        <v>63</v>
      </c>
      <c r="H860" s="3" t="s">
        <v>228</v>
      </c>
      <c r="I860" s="65" t="str">
        <f>IFERROR(VLOOKUP(A860,'3. Call duration'!$A:$C,3,0),"--")</f>
        <v>--</v>
      </c>
      <c r="J860" s="65" t="str">
        <f t="array" ref="J860">XLOOKUP(H860,'2. Matching'!$A$2:$A$39,'2. Matching'!$B$2:$B$39,"--")</f>
        <v>Farming</v>
      </c>
      <c r="K860" s="65" t="str">
        <f t="shared" si="1"/>
        <v>In</v>
      </c>
    </row>
    <row r="861">
      <c r="A861" s="62" t="s">
        <v>999</v>
      </c>
      <c r="B861" s="63">
        <v>44288.0</v>
      </c>
      <c r="C861" s="62" t="s">
        <v>112</v>
      </c>
      <c r="D861" s="64">
        <v>0.0</v>
      </c>
      <c r="E861" s="62" t="s">
        <v>109</v>
      </c>
      <c r="F861" s="62" t="s">
        <v>115</v>
      </c>
      <c r="G861" s="64" t="s">
        <v>64</v>
      </c>
      <c r="H861" s="3" t="s">
        <v>54</v>
      </c>
      <c r="I861" s="65" t="str">
        <f>IFERROR(VLOOKUP(A861,'3. Call duration'!$A:$C,3,0),"--")</f>
        <v>--</v>
      </c>
      <c r="J861" s="65" t="str">
        <f t="array" ref="J861">XLOOKUP(H861,'2. Matching'!$A$2:$A$39,'2. Matching'!$B$2:$B$39,"--")</f>
        <v>Partnerships</v>
      </c>
      <c r="K861" s="65" t="str">
        <f t="shared" si="1"/>
        <v>In</v>
      </c>
    </row>
    <row r="862">
      <c r="A862" s="62" t="s">
        <v>1000</v>
      </c>
      <c r="B862" s="63">
        <v>44267.0</v>
      </c>
      <c r="C862" s="62" t="s">
        <v>108</v>
      </c>
      <c r="D862" s="64">
        <v>0.0</v>
      </c>
      <c r="E862" s="62" t="s">
        <v>109</v>
      </c>
      <c r="F862" s="62" t="s">
        <v>115</v>
      </c>
      <c r="G862" s="64" t="s">
        <v>64</v>
      </c>
      <c r="H862" s="3" t="s">
        <v>54</v>
      </c>
      <c r="I862" s="65">
        <f>IFERROR(VLOOKUP(A862,'3. Call duration'!$A:$C,3,0),"--")</f>
        <v>19.65348253</v>
      </c>
      <c r="J862" s="65" t="str">
        <f t="array" ref="J862">XLOOKUP(H862,'2. Matching'!$A$2:$A$39,'2. Matching'!$B$2:$B$39,"--")</f>
        <v>Partnerships</v>
      </c>
      <c r="K862" s="65" t="str">
        <f t="shared" si="1"/>
        <v>In</v>
      </c>
    </row>
    <row r="863">
      <c r="A863" s="62" t="s">
        <v>1001</v>
      </c>
      <c r="B863" s="63">
        <v>44120.0</v>
      </c>
      <c r="C863" s="62" t="s">
        <v>112</v>
      </c>
      <c r="D863" s="64">
        <v>0.0</v>
      </c>
      <c r="E863" s="62" t="s">
        <v>109</v>
      </c>
      <c r="F863" s="62" t="s">
        <v>115</v>
      </c>
      <c r="G863" s="64" t="s">
        <v>64</v>
      </c>
      <c r="H863" s="3" t="s">
        <v>139</v>
      </c>
      <c r="I863" s="65" t="str">
        <f>IFERROR(VLOOKUP(A863,'3. Call duration'!$A:$C,3,0),"--")</f>
        <v>--</v>
      </c>
      <c r="J863" s="65" t="str">
        <f t="array" ref="J863">XLOOKUP(H863,'2. Matching'!$A$2:$A$39,'2. Matching'!$B$2:$B$39,"--")</f>
        <v>Acquisition</v>
      </c>
      <c r="K863" s="65" t="str">
        <f t="shared" si="1"/>
        <v>In</v>
      </c>
    </row>
    <row r="864">
      <c r="A864" s="62" t="s">
        <v>1002</v>
      </c>
      <c r="B864" s="63">
        <v>44236.0</v>
      </c>
      <c r="C864" s="62" t="s">
        <v>112</v>
      </c>
      <c r="D864" s="64">
        <v>0.0</v>
      </c>
      <c r="E864" s="62" t="s">
        <v>114</v>
      </c>
      <c r="F864" s="62" t="s">
        <v>115</v>
      </c>
      <c r="G864" s="64" t="s">
        <v>64</v>
      </c>
      <c r="H864" s="3" t="s">
        <v>116</v>
      </c>
      <c r="I864" s="65" t="str">
        <f>IFERROR(VLOOKUP(A864,'3. Call duration'!$A:$C,3,0),"--")</f>
        <v>--</v>
      </c>
      <c r="J864" s="65" t="str">
        <f t="array" ref="J864">XLOOKUP(H864,'2. Matching'!$A$2:$A$39,'2. Matching'!$B$2:$B$39,"--")</f>
        <v>Acquisition</v>
      </c>
      <c r="K864" s="65" t="str">
        <f t="shared" si="1"/>
        <v>In</v>
      </c>
    </row>
    <row r="865">
      <c r="A865" s="62" t="s">
        <v>1003</v>
      </c>
      <c r="B865" s="63">
        <v>44243.0</v>
      </c>
      <c r="C865" s="62" t="s">
        <v>108</v>
      </c>
      <c r="D865" s="64">
        <v>0.0</v>
      </c>
      <c r="E865" s="62" t="s">
        <v>109</v>
      </c>
      <c r="F865" s="62" t="s">
        <v>110</v>
      </c>
      <c r="G865" s="64" t="s">
        <v>64</v>
      </c>
      <c r="H865" s="3" t="s">
        <v>55</v>
      </c>
      <c r="I865" s="65">
        <f>IFERROR(VLOOKUP(A865,'3. Call duration'!$A:$C,3,0),"--")</f>
        <v>22.02467635</v>
      </c>
      <c r="J865" s="65" t="str">
        <f t="array" ref="J865">XLOOKUP(H865,'2. Matching'!$A$2:$A$39,'2. Matching'!$B$2:$B$39,"--")</f>
        <v>Partnerships</v>
      </c>
      <c r="K865" s="65" t="str">
        <f t="shared" si="1"/>
        <v>In</v>
      </c>
    </row>
    <row r="866">
      <c r="A866" s="62" t="s">
        <v>1004</v>
      </c>
      <c r="B866" s="63">
        <v>44116.0</v>
      </c>
      <c r="C866" s="62" t="s">
        <v>112</v>
      </c>
      <c r="D866" s="64">
        <v>0.0</v>
      </c>
      <c r="E866" s="62" t="s">
        <v>109</v>
      </c>
      <c r="F866" s="62" t="s">
        <v>115</v>
      </c>
      <c r="G866" s="64" t="s">
        <v>64</v>
      </c>
      <c r="H866" s="3" t="s">
        <v>175</v>
      </c>
      <c r="I866" s="65" t="str">
        <f>IFERROR(VLOOKUP(A866,'3. Call duration'!$A:$C,3,0),"--")</f>
        <v>--</v>
      </c>
      <c r="J866" s="65" t="str">
        <f t="array" ref="J866">XLOOKUP(H866,'2. Matching'!$A$2:$A$39,'2. Matching'!$B$2:$B$39,"--")</f>
        <v>SEO</v>
      </c>
      <c r="K866" s="65" t="str">
        <f t="shared" si="1"/>
        <v>In</v>
      </c>
    </row>
    <row r="867">
      <c r="A867" s="62" t="s">
        <v>1005</v>
      </c>
      <c r="B867" s="63">
        <v>44225.0</v>
      </c>
      <c r="C867" s="62" t="s">
        <v>112</v>
      </c>
      <c r="D867" s="64">
        <v>0.0</v>
      </c>
      <c r="E867" s="62" t="s">
        <v>109</v>
      </c>
      <c r="F867" s="62" t="s">
        <v>115</v>
      </c>
      <c r="G867" s="64" t="s">
        <v>64</v>
      </c>
      <c r="H867" s="3" t="s">
        <v>297</v>
      </c>
      <c r="I867" s="65" t="str">
        <f>IFERROR(VLOOKUP(A867,'3. Call duration'!$A:$C,3,0),"--")</f>
        <v>--</v>
      </c>
      <c r="J867" s="65" t="str">
        <f t="array" ref="J867">XLOOKUP(H867,'2. Matching'!$A$2:$A$39,'2. Matching'!$B$2:$B$39,"--")</f>
        <v>Farming</v>
      </c>
      <c r="K867" s="65" t="str">
        <f t="shared" si="1"/>
        <v>In</v>
      </c>
    </row>
    <row r="868">
      <c r="A868" s="62" t="s">
        <v>1006</v>
      </c>
      <c r="B868" s="63">
        <v>44112.0</v>
      </c>
      <c r="C868" s="62" t="s">
        <v>108</v>
      </c>
      <c r="D868" s="64">
        <v>0.0</v>
      </c>
      <c r="E868" s="62" t="s">
        <v>114</v>
      </c>
      <c r="F868" s="62" t="s">
        <v>115</v>
      </c>
      <c r="G868" s="64" t="s">
        <v>64</v>
      </c>
      <c r="H868" s="3" t="s">
        <v>139</v>
      </c>
      <c r="I868" s="65">
        <f>IFERROR(VLOOKUP(A868,'3. Call duration'!$A:$C,3,0),"--")</f>
        <v>23.60575499</v>
      </c>
      <c r="J868" s="65" t="str">
        <f t="array" ref="J868">XLOOKUP(H868,'2. Matching'!$A$2:$A$39,'2. Matching'!$B$2:$B$39,"--")</f>
        <v>Acquisition</v>
      </c>
      <c r="K868" s="65" t="str">
        <f t="shared" si="1"/>
        <v>In</v>
      </c>
    </row>
    <row r="869">
      <c r="A869" s="62" t="s">
        <v>1007</v>
      </c>
      <c r="B869" s="63">
        <v>44278.0</v>
      </c>
      <c r="C869" s="62" t="s">
        <v>108</v>
      </c>
      <c r="D869" s="64">
        <v>0.0</v>
      </c>
      <c r="E869" s="62" t="s">
        <v>109</v>
      </c>
      <c r="F869" s="62" t="s">
        <v>115</v>
      </c>
      <c r="G869" s="64" t="s">
        <v>64</v>
      </c>
      <c r="H869" s="3" t="s">
        <v>221</v>
      </c>
      <c r="I869" s="65">
        <f>IFERROR(VLOOKUP(A869,'3. Call duration'!$A:$C,3,0),"--")</f>
        <v>27.47052058</v>
      </c>
      <c r="J869" s="65" t="str">
        <f t="array" ref="J869">XLOOKUP(H869,'2. Matching'!$A$2:$A$39,'2. Matching'!$B$2:$B$39,"--")</f>
        <v>Farming</v>
      </c>
      <c r="K869" s="65" t="str">
        <f t="shared" si="1"/>
        <v>In</v>
      </c>
    </row>
    <row r="870">
      <c r="A870" s="62" t="s">
        <v>1008</v>
      </c>
      <c r="B870" s="63">
        <v>44174.0</v>
      </c>
      <c r="C870" s="62" t="s">
        <v>108</v>
      </c>
      <c r="D870" s="64">
        <v>0.0</v>
      </c>
      <c r="E870" s="62" t="s">
        <v>109</v>
      </c>
      <c r="F870" s="62" t="s">
        <v>115</v>
      </c>
      <c r="G870" s="64" t="s">
        <v>64</v>
      </c>
      <c r="H870" s="3" t="s">
        <v>185</v>
      </c>
      <c r="I870" s="65">
        <f>IFERROR(VLOOKUP(A870,'3. Call duration'!$A:$C,3,0),"--")</f>
        <v>15.36040861</v>
      </c>
      <c r="J870" s="65" t="str">
        <f t="array" ref="J870">XLOOKUP(H870,'2. Matching'!$A$2:$A$39,'2. Matching'!$B$2:$B$39,"--")</f>
        <v>SEO</v>
      </c>
      <c r="K870" s="65" t="str">
        <f t="shared" si="1"/>
        <v>In</v>
      </c>
    </row>
    <row r="871">
      <c r="A871" s="62" t="s">
        <v>1009</v>
      </c>
      <c r="B871" s="63">
        <v>44172.0</v>
      </c>
      <c r="C871" s="62" t="s">
        <v>112</v>
      </c>
      <c r="D871" s="64">
        <v>0.0</v>
      </c>
      <c r="E871" s="62" t="s">
        <v>114</v>
      </c>
      <c r="F871" s="62" t="s">
        <v>115</v>
      </c>
      <c r="G871" s="64" t="s">
        <v>62</v>
      </c>
      <c r="H871" s="3" t="s">
        <v>286</v>
      </c>
      <c r="I871" s="65" t="str">
        <f>IFERROR(VLOOKUP(A871,'3. Call duration'!$A:$C,3,0),"--")</f>
        <v>--</v>
      </c>
      <c r="J871" s="65" t="str">
        <f t="array" ref="J871">XLOOKUP(H871,'2. Matching'!$A$2:$A$39,'2. Matching'!$B$2:$B$39,"--")</f>
        <v>Farming</v>
      </c>
      <c r="K871" s="65" t="str">
        <f t="shared" si="1"/>
        <v>In</v>
      </c>
    </row>
    <row r="872">
      <c r="A872" s="62" t="s">
        <v>1010</v>
      </c>
      <c r="B872" s="63">
        <v>44277.0</v>
      </c>
      <c r="C872" s="62" t="s">
        <v>112</v>
      </c>
      <c r="D872" s="64">
        <v>0.0</v>
      </c>
      <c r="E872" s="62" t="s">
        <v>109</v>
      </c>
      <c r="F872" s="62" t="s">
        <v>115</v>
      </c>
      <c r="G872" s="64" t="s">
        <v>64</v>
      </c>
      <c r="H872" s="3" t="s">
        <v>49</v>
      </c>
      <c r="I872" s="65" t="str">
        <f>IFERROR(VLOOKUP(A872,'3. Call duration'!$A:$C,3,0),"--")</f>
        <v>--</v>
      </c>
      <c r="J872" s="65" t="str">
        <f t="array" ref="J872">XLOOKUP(H872,'2. Matching'!$A$2:$A$39,'2. Matching'!$B$2:$B$39,"--")</f>
        <v>Partnerships</v>
      </c>
      <c r="K872" s="65" t="str">
        <f t="shared" si="1"/>
        <v>In</v>
      </c>
    </row>
    <row r="873">
      <c r="A873" s="62" t="s">
        <v>1011</v>
      </c>
      <c r="B873" s="63">
        <v>44204.0</v>
      </c>
      <c r="C873" s="62" t="s">
        <v>108</v>
      </c>
      <c r="D873" s="64">
        <v>0.0</v>
      </c>
      <c r="E873" s="62" t="s">
        <v>109</v>
      </c>
      <c r="F873" s="62" t="s">
        <v>115</v>
      </c>
      <c r="G873" s="64" t="s">
        <v>64</v>
      </c>
      <c r="H873" s="3" t="s">
        <v>185</v>
      </c>
      <c r="I873" s="65" t="str">
        <f>IFERROR(VLOOKUP(A873,'3. Call duration'!$A:$C,3,0),"--")</f>
        <v>--</v>
      </c>
      <c r="J873" s="65" t="str">
        <f t="array" ref="J873">XLOOKUP(H873,'2. Matching'!$A$2:$A$39,'2. Matching'!$B$2:$B$39,"--")</f>
        <v>SEO</v>
      </c>
      <c r="K873" s="65" t="str">
        <f t="shared" si="1"/>
        <v>In</v>
      </c>
    </row>
    <row r="874">
      <c r="A874" s="62" t="s">
        <v>1012</v>
      </c>
      <c r="B874" s="63">
        <v>44372.0</v>
      </c>
      <c r="C874" s="62" t="s">
        <v>112</v>
      </c>
      <c r="D874" s="64">
        <v>0.0</v>
      </c>
      <c r="E874" s="62" t="s">
        <v>109</v>
      </c>
      <c r="F874" s="62" t="s">
        <v>110</v>
      </c>
      <c r="G874" s="64" t="s">
        <v>60</v>
      </c>
      <c r="H874" s="3" t="s">
        <v>68</v>
      </c>
      <c r="I874" s="65" t="str">
        <f>IFERROR(VLOOKUP(A874,'3. Call duration'!$A:$C,3,0),"--")</f>
        <v>--</v>
      </c>
      <c r="J874" s="65" t="str">
        <f t="array" ref="J874">XLOOKUP(H874,'2. Matching'!$A$2:$A$39,'2. Matching'!$B$2:$B$39,"--")</f>
        <v>Acquisition</v>
      </c>
      <c r="K874" s="65" t="str">
        <f t="shared" si="1"/>
        <v>In</v>
      </c>
    </row>
    <row r="875">
      <c r="A875" s="62" t="s">
        <v>1013</v>
      </c>
      <c r="B875" s="63">
        <v>44173.0</v>
      </c>
      <c r="C875" s="62" t="s">
        <v>112</v>
      </c>
      <c r="D875" s="64">
        <v>0.0</v>
      </c>
      <c r="E875" s="62" t="s">
        <v>109</v>
      </c>
      <c r="F875" s="62" t="s">
        <v>110</v>
      </c>
      <c r="G875" s="64" t="s">
        <v>64</v>
      </c>
      <c r="H875" s="3" t="s">
        <v>145</v>
      </c>
      <c r="I875" s="65" t="str">
        <f>IFERROR(VLOOKUP(A875,'3. Call duration'!$A:$C,3,0),"--")</f>
        <v>--</v>
      </c>
      <c r="J875" s="65" t="str">
        <f t="array" ref="J875">XLOOKUP(H875,'2. Matching'!$A$2:$A$39,'2. Matching'!$B$2:$B$39,"--")</f>
        <v>SEO</v>
      </c>
      <c r="K875" s="65" t="str">
        <f t="shared" si="1"/>
        <v>In</v>
      </c>
    </row>
    <row r="876">
      <c r="A876" s="62" t="s">
        <v>1014</v>
      </c>
      <c r="B876" s="63">
        <v>44071.0</v>
      </c>
      <c r="C876" s="62" t="s">
        <v>108</v>
      </c>
      <c r="D876" s="64">
        <v>0.0</v>
      </c>
      <c r="E876" s="62" t="s">
        <v>114</v>
      </c>
      <c r="F876" s="62" t="s">
        <v>110</v>
      </c>
      <c r="G876" s="64" t="s">
        <v>64</v>
      </c>
      <c r="H876" s="3" t="s">
        <v>139</v>
      </c>
      <c r="I876" s="65" t="str">
        <f>IFERROR(VLOOKUP(A876,'3. Call duration'!$A:$C,3,0),"--")</f>
        <v>--</v>
      </c>
      <c r="J876" s="65" t="str">
        <f t="array" ref="J876">XLOOKUP(H876,'2. Matching'!$A$2:$A$39,'2. Matching'!$B$2:$B$39,"--")</f>
        <v>Acquisition</v>
      </c>
      <c r="K876" s="65" t="str">
        <f t="shared" si="1"/>
        <v>In</v>
      </c>
    </row>
    <row r="877">
      <c r="A877" s="62" t="s">
        <v>1015</v>
      </c>
      <c r="B877" s="63">
        <v>44392.0</v>
      </c>
      <c r="C877" s="62" t="s">
        <v>112</v>
      </c>
      <c r="D877" s="64">
        <v>0.0</v>
      </c>
      <c r="E877" s="62" t="s">
        <v>114</v>
      </c>
      <c r="F877" s="62" t="s">
        <v>110</v>
      </c>
      <c r="G877" s="64" t="s">
        <v>60</v>
      </c>
      <c r="H877" s="3" t="s">
        <v>67</v>
      </c>
      <c r="I877" s="65" t="str">
        <f>IFERROR(VLOOKUP(A877,'3. Call duration'!$A:$C,3,0),"--")</f>
        <v>--</v>
      </c>
      <c r="J877" s="65" t="str">
        <f t="array" ref="J877">XLOOKUP(H877,'2. Matching'!$A$2:$A$39,'2. Matching'!$B$2:$B$39,"--")</f>
        <v>Acquisition</v>
      </c>
      <c r="K877" s="65" t="str">
        <f t="shared" si="1"/>
        <v>In</v>
      </c>
    </row>
    <row r="878">
      <c r="A878" s="62" t="s">
        <v>1016</v>
      </c>
      <c r="B878" s="63">
        <v>44057.0</v>
      </c>
      <c r="C878" s="62" t="s">
        <v>112</v>
      </c>
      <c r="D878" s="64">
        <v>0.0</v>
      </c>
      <c r="E878" s="62" t="s">
        <v>114</v>
      </c>
      <c r="F878" s="62" t="s">
        <v>110</v>
      </c>
      <c r="G878" s="64" t="s">
        <v>64</v>
      </c>
      <c r="H878" s="3" t="s">
        <v>175</v>
      </c>
      <c r="I878" s="65" t="str">
        <f>IFERROR(VLOOKUP(A878,'3. Call duration'!$A:$C,3,0),"--")</f>
        <v>--</v>
      </c>
      <c r="J878" s="65" t="str">
        <f t="array" ref="J878">XLOOKUP(H878,'2. Matching'!$A$2:$A$39,'2. Matching'!$B$2:$B$39,"--")</f>
        <v>SEO</v>
      </c>
      <c r="K878" s="65" t="str">
        <f t="shared" si="1"/>
        <v>In</v>
      </c>
    </row>
    <row r="879">
      <c r="A879" s="62" t="s">
        <v>1017</v>
      </c>
      <c r="B879" s="63">
        <v>44382.0</v>
      </c>
      <c r="C879" s="62" t="s">
        <v>112</v>
      </c>
      <c r="D879" s="64">
        <v>0.0</v>
      </c>
      <c r="E879" s="62" t="s">
        <v>109</v>
      </c>
      <c r="F879" s="62" t="s">
        <v>110</v>
      </c>
      <c r="G879" s="64" t="s">
        <v>61</v>
      </c>
      <c r="H879" s="3" t="s">
        <v>69</v>
      </c>
      <c r="I879" s="65" t="str">
        <f>IFERROR(VLOOKUP(A879,'3. Call duration'!$A:$C,3,0),"--")</f>
        <v>--</v>
      </c>
      <c r="J879" s="65" t="str">
        <f t="array" ref="J879">XLOOKUP(H879,'2. Matching'!$A$2:$A$39,'2. Matching'!$B$2:$B$39,"--")</f>
        <v>Acquisition</v>
      </c>
      <c r="K879" s="65" t="str">
        <f t="shared" si="1"/>
        <v>In</v>
      </c>
    </row>
    <row r="880">
      <c r="A880" s="62" t="s">
        <v>1018</v>
      </c>
      <c r="B880" s="63">
        <v>44345.0</v>
      </c>
      <c r="C880" s="62" t="s">
        <v>119</v>
      </c>
      <c r="D880" s="64">
        <v>47.5</v>
      </c>
      <c r="E880" s="62" t="s">
        <v>109</v>
      </c>
      <c r="F880" s="62" t="s">
        <v>115</v>
      </c>
      <c r="G880" s="64" t="s">
        <v>59</v>
      </c>
      <c r="H880" s="3" t="s">
        <v>68</v>
      </c>
      <c r="I880" s="65">
        <f>IFERROR(VLOOKUP(A880,'3. Call duration'!$A:$C,3,0),"--")</f>
        <v>20.14321952</v>
      </c>
      <c r="J880" s="65" t="str">
        <f t="array" ref="J880">XLOOKUP(H880,'2. Matching'!$A$2:$A$39,'2. Matching'!$B$2:$B$39,"--")</f>
        <v>Acquisition</v>
      </c>
      <c r="K880" s="65" t="str">
        <f t="shared" si="1"/>
        <v>In</v>
      </c>
    </row>
    <row r="881">
      <c r="A881" s="62" t="s">
        <v>1019</v>
      </c>
      <c r="B881" s="63">
        <v>44277.0</v>
      </c>
      <c r="C881" s="62" t="s">
        <v>108</v>
      </c>
      <c r="D881" s="64">
        <v>0.0</v>
      </c>
      <c r="E881" s="62" t="s">
        <v>109</v>
      </c>
      <c r="F881" s="62" t="s">
        <v>115</v>
      </c>
      <c r="G881" s="64" t="s">
        <v>64</v>
      </c>
      <c r="H881" s="3" t="s">
        <v>185</v>
      </c>
      <c r="I881" s="65">
        <f>IFERROR(VLOOKUP(A881,'3. Call duration'!$A:$C,3,0),"--")</f>
        <v>27.15146445</v>
      </c>
      <c r="J881" s="65" t="str">
        <f t="array" ref="J881">XLOOKUP(H881,'2. Matching'!$A$2:$A$39,'2. Matching'!$B$2:$B$39,"--")</f>
        <v>SEO</v>
      </c>
      <c r="K881" s="65" t="str">
        <f t="shared" si="1"/>
        <v>In</v>
      </c>
    </row>
    <row r="882">
      <c r="A882" s="62" t="s">
        <v>1020</v>
      </c>
      <c r="B882" s="63">
        <v>44323.0</v>
      </c>
      <c r="C882" s="62" t="s">
        <v>119</v>
      </c>
      <c r="D882" s="64">
        <v>47.5</v>
      </c>
      <c r="E882" s="62" t="s">
        <v>109</v>
      </c>
      <c r="F882" s="62" t="s">
        <v>115</v>
      </c>
      <c r="G882" s="64" t="s">
        <v>64</v>
      </c>
      <c r="H882" s="3" t="s">
        <v>175</v>
      </c>
      <c r="I882" s="65">
        <f>IFERROR(VLOOKUP(A882,'3. Call duration'!$A:$C,3,0),"--")</f>
        <v>20.19917113</v>
      </c>
      <c r="J882" s="65" t="str">
        <f t="array" ref="J882">XLOOKUP(H882,'2. Matching'!$A$2:$A$39,'2. Matching'!$B$2:$B$39,"--")</f>
        <v>SEO</v>
      </c>
      <c r="K882" s="65" t="str">
        <f t="shared" si="1"/>
        <v>In</v>
      </c>
    </row>
    <row r="883">
      <c r="A883" s="62" t="s">
        <v>1021</v>
      </c>
      <c r="B883" s="63">
        <v>44362.0</v>
      </c>
      <c r="C883" s="62" t="s">
        <v>112</v>
      </c>
      <c r="D883" s="64">
        <v>0.0</v>
      </c>
      <c r="E883" s="62" t="s">
        <v>109</v>
      </c>
      <c r="F883" s="62" t="s">
        <v>110</v>
      </c>
      <c r="G883" s="64" t="s">
        <v>61</v>
      </c>
      <c r="H883" s="3" t="s">
        <v>67</v>
      </c>
      <c r="I883" s="65" t="str">
        <f>IFERROR(VLOOKUP(A883,'3. Call duration'!$A:$C,3,0),"--")</f>
        <v>--</v>
      </c>
      <c r="J883" s="65" t="str">
        <f t="array" ref="J883">XLOOKUP(H883,'2. Matching'!$A$2:$A$39,'2. Matching'!$B$2:$B$39,"--")</f>
        <v>Acquisition</v>
      </c>
      <c r="K883" s="65" t="str">
        <f t="shared" si="1"/>
        <v>In</v>
      </c>
    </row>
    <row r="884">
      <c r="A884" s="62" t="s">
        <v>1022</v>
      </c>
      <c r="B884" s="63">
        <v>44330.0</v>
      </c>
      <c r="C884" s="62" t="s">
        <v>119</v>
      </c>
      <c r="D884" s="64">
        <v>47.5</v>
      </c>
      <c r="E884" s="62" t="s">
        <v>109</v>
      </c>
      <c r="F884" s="62" t="s">
        <v>115</v>
      </c>
      <c r="G884" s="64" t="s">
        <v>62</v>
      </c>
      <c r="H884" s="3" t="s">
        <v>286</v>
      </c>
      <c r="I884" s="65">
        <f>IFERROR(VLOOKUP(A884,'3. Call duration'!$A:$C,3,0),"--")</f>
        <v>20.25029101</v>
      </c>
      <c r="J884" s="65" t="str">
        <f t="array" ref="J884">XLOOKUP(H884,'2. Matching'!$A$2:$A$39,'2. Matching'!$B$2:$B$39,"--")</f>
        <v>Farming</v>
      </c>
      <c r="K884" s="65" t="str">
        <f t="shared" si="1"/>
        <v>In</v>
      </c>
    </row>
    <row r="885">
      <c r="A885" s="62" t="s">
        <v>1023</v>
      </c>
      <c r="B885" s="63">
        <v>44321.0</v>
      </c>
      <c r="C885" s="62" t="s">
        <v>119</v>
      </c>
      <c r="D885" s="64">
        <v>47.5</v>
      </c>
      <c r="E885" s="62" t="s">
        <v>109</v>
      </c>
      <c r="F885" s="62" t="s">
        <v>115</v>
      </c>
      <c r="G885" s="64" t="s">
        <v>64</v>
      </c>
      <c r="H885" s="3" t="s">
        <v>131</v>
      </c>
      <c r="I885" s="65">
        <f>IFERROR(VLOOKUP(A885,'3. Call duration'!$A:$C,3,0),"--")</f>
        <v>20.2733258</v>
      </c>
      <c r="J885" s="65" t="str">
        <f t="array" ref="J885">XLOOKUP(H885,'2. Matching'!$A$2:$A$39,'2. Matching'!$B$2:$B$39,"--")</f>
        <v>Acquisition</v>
      </c>
      <c r="K885" s="65" t="str">
        <f t="shared" si="1"/>
        <v>In</v>
      </c>
    </row>
    <row r="886">
      <c r="A886" s="62" t="s">
        <v>1024</v>
      </c>
      <c r="B886" s="63">
        <v>44327.0</v>
      </c>
      <c r="C886" s="62" t="s">
        <v>119</v>
      </c>
      <c r="D886" s="64">
        <v>47.5</v>
      </c>
      <c r="E886" s="62" t="s">
        <v>109</v>
      </c>
      <c r="F886" s="62" t="s">
        <v>115</v>
      </c>
      <c r="G886" s="64" t="s">
        <v>64</v>
      </c>
      <c r="H886" s="3" t="s">
        <v>141</v>
      </c>
      <c r="I886" s="65">
        <f>IFERROR(VLOOKUP(A886,'3. Call duration'!$A:$C,3,0),"--")</f>
        <v>20.27919991</v>
      </c>
      <c r="J886" s="65" t="str">
        <f t="array" ref="J886">XLOOKUP(H886,'2. Matching'!$A$2:$A$39,'2. Matching'!$B$2:$B$39,"--")</f>
        <v>Acquisition</v>
      </c>
      <c r="K886" s="65" t="str">
        <f t="shared" si="1"/>
        <v>In</v>
      </c>
    </row>
    <row r="887">
      <c r="A887" s="62" t="s">
        <v>1025</v>
      </c>
      <c r="B887" s="63">
        <v>44154.0</v>
      </c>
      <c r="C887" s="62" t="s">
        <v>112</v>
      </c>
      <c r="D887" s="64">
        <v>0.0</v>
      </c>
      <c r="E887" s="62" t="s">
        <v>109</v>
      </c>
      <c r="F887" s="62" t="s">
        <v>110</v>
      </c>
      <c r="G887" s="64" t="s">
        <v>64</v>
      </c>
      <c r="H887" s="3" t="s">
        <v>175</v>
      </c>
      <c r="I887" s="65" t="str">
        <f>IFERROR(VLOOKUP(A887,'3. Call duration'!$A:$C,3,0),"--")</f>
        <v>--</v>
      </c>
      <c r="J887" s="65" t="str">
        <f t="array" ref="J887">XLOOKUP(H887,'2. Matching'!$A$2:$A$39,'2. Matching'!$B$2:$B$39,"--")</f>
        <v>SEO</v>
      </c>
      <c r="K887" s="65" t="str">
        <f t="shared" si="1"/>
        <v>In</v>
      </c>
    </row>
    <row r="888">
      <c r="A888" s="62" t="s">
        <v>1026</v>
      </c>
      <c r="B888" s="63">
        <v>44074.0</v>
      </c>
      <c r="C888" s="62" t="s">
        <v>108</v>
      </c>
      <c r="D888" s="64">
        <v>0.0</v>
      </c>
      <c r="E888" s="62" t="s">
        <v>109</v>
      </c>
      <c r="F888" s="62" t="s">
        <v>115</v>
      </c>
      <c r="G888" s="64" t="s">
        <v>64</v>
      </c>
      <c r="H888" s="3" t="s">
        <v>139</v>
      </c>
      <c r="I888" s="65">
        <f>IFERROR(VLOOKUP(A888,'3. Call duration'!$A:$C,3,0),"--")</f>
        <v>27.09791649</v>
      </c>
      <c r="J888" s="65" t="str">
        <f t="array" ref="J888">XLOOKUP(H888,'2. Matching'!$A$2:$A$39,'2. Matching'!$B$2:$B$39,"--")</f>
        <v>Acquisition</v>
      </c>
      <c r="K888" s="65" t="str">
        <f t="shared" si="1"/>
        <v>In</v>
      </c>
    </row>
    <row r="889">
      <c r="A889" s="62" t="s">
        <v>1027</v>
      </c>
      <c r="B889" s="63">
        <v>44371.0</v>
      </c>
      <c r="C889" s="62" t="s">
        <v>112</v>
      </c>
      <c r="D889" s="64">
        <v>0.0</v>
      </c>
      <c r="E889" s="62" t="s">
        <v>109</v>
      </c>
      <c r="F889" s="62" t="s">
        <v>110</v>
      </c>
      <c r="G889" s="64" t="s">
        <v>59</v>
      </c>
      <c r="H889" s="3" t="s">
        <v>68</v>
      </c>
      <c r="I889" s="65" t="str">
        <f>IFERROR(VLOOKUP(A889,'3. Call duration'!$A:$C,3,0),"--")</f>
        <v>--</v>
      </c>
      <c r="J889" s="65" t="str">
        <f t="array" ref="J889">XLOOKUP(H889,'2. Matching'!$A$2:$A$39,'2. Matching'!$B$2:$B$39,"--")</f>
        <v>Acquisition</v>
      </c>
      <c r="K889" s="65" t="str">
        <f t="shared" si="1"/>
        <v>In</v>
      </c>
    </row>
    <row r="890">
      <c r="A890" s="62" t="s">
        <v>1028</v>
      </c>
      <c r="B890" s="63">
        <v>43984.0</v>
      </c>
      <c r="C890" s="62" t="s">
        <v>112</v>
      </c>
      <c r="D890" s="64">
        <v>0.0</v>
      </c>
      <c r="E890" s="62" t="s">
        <v>109</v>
      </c>
      <c r="F890" s="62" t="s">
        <v>115</v>
      </c>
      <c r="G890" s="64" t="s">
        <v>64</v>
      </c>
      <c r="H890" s="3" t="s">
        <v>135</v>
      </c>
      <c r="I890" s="65" t="str">
        <f>IFERROR(VLOOKUP(A890,'3. Call duration'!$A:$C,3,0),"--")</f>
        <v>--</v>
      </c>
      <c r="J890" s="65" t="str">
        <f t="array" ref="J890">XLOOKUP(H890,'2. Matching'!$A$2:$A$39,'2. Matching'!$B$2:$B$39,"--")</f>
        <v>Acquisition</v>
      </c>
      <c r="K890" s="65" t="str">
        <f t="shared" si="1"/>
        <v>In</v>
      </c>
    </row>
    <row r="891">
      <c r="A891" s="62" t="s">
        <v>1029</v>
      </c>
      <c r="B891" s="63">
        <v>44392.0</v>
      </c>
      <c r="C891" s="62" t="s">
        <v>112</v>
      </c>
      <c r="D891" s="64">
        <v>0.0</v>
      </c>
      <c r="E891" s="62" t="s">
        <v>109</v>
      </c>
      <c r="F891" s="62" t="s">
        <v>110</v>
      </c>
      <c r="G891" s="64" t="s">
        <v>60</v>
      </c>
      <c r="H891" s="3" t="s">
        <v>67</v>
      </c>
      <c r="I891" s="65" t="str">
        <f>IFERROR(VLOOKUP(A891,'3. Call duration'!$A:$C,3,0),"--")</f>
        <v>--</v>
      </c>
      <c r="J891" s="65" t="str">
        <f t="array" ref="J891">XLOOKUP(H891,'2. Matching'!$A$2:$A$39,'2. Matching'!$B$2:$B$39,"--")</f>
        <v>Acquisition</v>
      </c>
      <c r="K891" s="65" t="str">
        <f t="shared" si="1"/>
        <v>In</v>
      </c>
    </row>
    <row r="892">
      <c r="A892" s="62" t="s">
        <v>1030</v>
      </c>
      <c r="B892" s="63">
        <v>44333.0</v>
      </c>
      <c r="C892" s="62" t="s">
        <v>119</v>
      </c>
      <c r="D892" s="64">
        <v>47.5</v>
      </c>
      <c r="E892" s="62" t="s">
        <v>109</v>
      </c>
      <c r="F892" s="62" t="s">
        <v>115</v>
      </c>
      <c r="G892" s="64" t="s">
        <v>64</v>
      </c>
      <c r="H892" s="3" t="s">
        <v>169</v>
      </c>
      <c r="I892" s="65">
        <f>IFERROR(VLOOKUP(A892,'3. Call duration'!$A:$C,3,0),"--")</f>
        <v>20.34953064</v>
      </c>
      <c r="J892" s="65" t="str">
        <f t="array" ref="J892">XLOOKUP(H892,'2. Matching'!$A$2:$A$39,'2. Matching'!$B$2:$B$39,"--")</f>
        <v>SEO</v>
      </c>
      <c r="K892" s="65" t="str">
        <f t="shared" si="1"/>
        <v>In</v>
      </c>
    </row>
    <row r="893">
      <c r="A893" s="62" t="s">
        <v>1031</v>
      </c>
      <c r="B893" s="63">
        <v>44376.0</v>
      </c>
      <c r="C893" s="62" t="s">
        <v>108</v>
      </c>
      <c r="D893" s="64">
        <v>0.0</v>
      </c>
      <c r="E893" s="62" t="s">
        <v>109</v>
      </c>
      <c r="F893" s="62" t="s">
        <v>110</v>
      </c>
      <c r="G893" s="64" t="s">
        <v>60</v>
      </c>
      <c r="H893" s="3" t="s">
        <v>68</v>
      </c>
      <c r="I893" s="65">
        <f>IFERROR(VLOOKUP(A893,'3. Call duration'!$A:$C,3,0),"--")</f>
        <v>28.9402917</v>
      </c>
      <c r="J893" s="65" t="str">
        <f t="array" ref="J893">XLOOKUP(H893,'2. Matching'!$A$2:$A$39,'2. Matching'!$B$2:$B$39,"--")</f>
        <v>Acquisition</v>
      </c>
      <c r="K893" s="65" t="str">
        <f t="shared" si="1"/>
        <v>In</v>
      </c>
    </row>
    <row r="894">
      <c r="A894" s="62" t="s">
        <v>1032</v>
      </c>
      <c r="B894" s="63">
        <v>44362.0</v>
      </c>
      <c r="C894" s="62" t="s">
        <v>108</v>
      </c>
      <c r="D894" s="64">
        <v>0.0</v>
      </c>
      <c r="E894" s="62" t="s">
        <v>109</v>
      </c>
      <c r="F894" s="62" t="s">
        <v>115</v>
      </c>
      <c r="G894" s="64" t="s">
        <v>63</v>
      </c>
      <c r="H894" s="3" t="s">
        <v>124</v>
      </c>
      <c r="I894" s="65">
        <f>IFERROR(VLOOKUP(A894,'3. Call duration'!$A:$C,3,0),"--")</f>
        <v>20.44510641</v>
      </c>
      <c r="J894" s="65" t="str">
        <f t="array" ref="J894">XLOOKUP(H894,'2. Matching'!$A$2:$A$39,'2. Matching'!$B$2:$B$39,"--")</f>
        <v>Acquisition</v>
      </c>
      <c r="K894" s="65" t="str">
        <f t="shared" si="1"/>
        <v>In</v>
      </c>
    </row>
    <row r="895">
      <c r="A895" s="62" t="s">
        <v>1033</v>
      </c>
      <c r="B895" s="63">
        <v>44151.0</v>
      </c>
      <c r="C895" s="62" t="s">
        <v>112</v>
      </c>
      <c r="D895" s="64">
        <v>0.0</v>
      </c>
      <c r="E895" s="62" t="s">
        <v>114</v>
      </c>
      <c r="F895" s="62" t="s">
        <v>110</v>
      </c>
      <c r="G895" s="64" t="s">
        <v>64</v>
      </c>
      <c r="H895" s="3" t="s">
        <v>131</v>
      </c>
      <c r="I895" s="65" t="str">
        <f>IFERROR(VLOOKUP(A895,'3. Call duration'!$A:$C,3,0),"--")</f>
        <v>--</v>
      </c>
      <c r="J895" s="65" t="str">
        <f t="array" ref="J895">XLOOKUP(H895,'2. Matching'!$A$2:$A$39,'2. Matching'!$B$2:$B$39,"--")</f>
        <v>Acquisition</v>
      </c>
      <c r="K895" s="65" t="str">
        <f t="shared" si="1"/>
        <v>In</v>
      </c>
    </row>
    <row r="896">
      <c r="A896" s="62" t="s">
        <v>1034</v>
      </c>
      <c r="B896" s="63">
        <v>44074.0</v>
      </c>
      <c r="C896" s="62" t="s">
        <v>112</v>
      </c>
      <c r="D896" s="64">
        <v>0.0</v>
      </c>
      <c r="E896" s="62" t="s">
        <v>109</v>
      </c>
      <c r="F896" s="62" t="s">
        <v>115</v>
      </c>
      <c r="G896" s="64" t="s">
        <v>59</v>
      </c>
      <c r="H896" s="3" t="s">
        <v>68</v>
      </c>
      <c r="I896" s="65" t="str">
        <f>IFERROR(VLOOKUP(A896,'3. Call duration'!$A:$C,3,0),"--")</f>
        <v>--</v>
      </c>
      <c r="J896" s="65" t="str">
        <f t="array" ref="J896">XLOOKUP(H896,'2. Matching'!$A$2:$A$39,'2. Matching'!$B$2:$B$39,"--")</f>
        <v>Acquisition</v>
      </c>
      <c r="K896" s="65" t="str">
        <f t="shared" si="1"/>
        <v>In</v>
      </c>
    </row>
    <row r="897">
      <c r="A897" s="62" t="s">
        <v>1035</v>
      </c>
      <c r="B897" s="63">
        <v>44179.0</v>
      </c>
      <c r="C897" s="62" t="s">
        <v>108</v>
      </c>
      <c r="D897" s="64">
        <v>0.0</v>
      </c>
      <c r="E897" s="62" t="s">
        <v>109</v>
      </c>
      <c r="F897" s="62" t="s">
        <v>115</v>
      </c>
      <c r="G897" s="64" t="s">
        <v>64</v>
      </c>
      <c r="H897" s="3" t="s">
        <v>185</v>
      </c>
      <c r="I897" s="65">
        <f>IFERROR(VLOOKUP(A897,'3. Call duration'!$A:$C,3,0),"--")</f>
        <v>49.54034788</v>
      </c>
      <c r="J897" s="65" t="str">
        <f t="array" ref="J897">XLOOKUP(H897,'2. Matching'!$A$2:$A$39,'2. Matching'!$B$2:$B$39,"--")</f>
        <v>SEO</v>
      </c>
      <c r="K897" s="65" t="str">
        <f t="shared" si="1"/>
        <v>In</v>
      </c>
    </row>
    <row r="898">
      <c r="A898" s="62" t="s">
        <v>1036</v>
      </c>
      <c r="B898" s="63">
        <v>44251.0</v>
      </c>
      <c r="C898" s="62" t="s">
        <v>112</v>
      </c>
      <c r="D898" s="64">
        <v>0.0</v>
      </c>
      <c r="E898" s="62" t="s">
        <v>114</v>
      </c>
      <c r="F898" s="62" t="s">
        <v>110</v>
      </c>
      <c r="G898" s="64" t="s">
        <v>64</v>
      </c>
      <c r="H898" s="3" t="s">
        <v>131</v>
      </c>
      <c r="I898" s="65" t="str">
        <f>IFERROR(VLOOKUP(A898,'3. Call duration'!$A:$C,3,0),"--")</f>
        <v>--</v>
      </c>
      <c r="J898" s="65" t="str">
        <f t="array" ref="J898">XLOOKUP(H898,'2. Matching'!$A$2:$A$39,'2. Matching'!$B$2:$B$39,"--")</f>
        <v>Acquisition</v>
      </c>
      <c r="K898" s="65" t="str">
        <f t="shared" si="1"/>
        <v>In</v>
      </c>
    </row>
    <row r="899">
      <c r="A899" s="62" t="s">
        <v>1037</v>
      </c>
      <c r="B899" s="63">
        <v>44262.0</v>
      </c>
      <c r="C899" s="62" t="s">
        <v>108</v>
      </c>
      <c r="D899" s="64">
        <v>0.0</v>
      </c>
      <c r="E899" s="62" t="s">
        <v>109</v>
      </c>
      <c r="F899" s="62" t="s">
        <v>115</v>
      </c>
      <c r="G899" s="64" t="s">
        <v>64</v>
      </c>
      <c r="H899" s="3" t="s">
        <v>139</v>
      </c>
      <c r="I899" s="65">
        <f>IFERROR(VLOOKUP(A899,'3. Call duration'!$A:$C,3,0),"--")</f>
        <v>16.47816617</v>
      </c>
      <c r="J899" s="65" t="str">
        <f t="array" ref="J899">XLOOKUP(H899,'2. Matching'!$A$2:$A$39,'2. Matching'!$B$2:$B$39,"--")</f>
        <v>Acquisition</v>
      </c>
      <c r="K899" s="65" t="str">
        <f t="shared" si="1"/>
        <v>In</v>
      </c>
    </row>
    <row r="900">
      <c r="A900" s="62" t="s">
        <v>1038</v>
      </c>
      <c r="B900" s="63">
        <v>44336.0</v>
      </c>
      <c r="C900" s="62" t="s">
        <v>119</v>
      </c>
      <c r="D900" s="64">
        <v>47.5</v>
      </c>
      <c r="E900" s="62" t="s">
        <v>109</v>
      </c>
      <c r="F900" s="62" t="s">
        <v>110</v>
      </c>
      <c r="G900" s="64" t="s">
        <v>63</v>
      </c>
      <c r="H900" s="3" t="s">
        <v>183</v>
      </c>
      <c r="I900" s="65">
        <f>IFERROR(VLOOKUP(A900,'3. Call duration'!$A:$C,3,0),"--")</f>
        <v>20.41121221</v>
      </c>
      <c r="J900" s="65" t="str">
        <f t="array" ref="J900">XLOOKUP(H900,'2. Matching'!$A$2:$A$39,'2. Matching'!$B$2:$B$39,"--")</f>
        <v>SEO</v>
      </c>
      <c r="K900" s="65" t="str">
        <f t="shared" si="1"/>
        <v>In</v>
      </c>
    </row>
    <row r="901">
      <c r="A901" s="62" t="s">
        <v>1039</v>
      </c>
      <c r="B901" s="63">
        <v>44348.0</v>
      </c>
      <c r="C901" s="62" t="s">
        <v>112</v>
      </c>
      <c r="D901" s="64">
        <v>0.0</v>
      </c>
      <c r="E901" s="62" t="s">
        <v>109</v>
      </c>
      <c r="F901" s="62" t="s">
        <v>115</v>
      </c>
      <c r="G901" s="64" t="s">
        <v>59</v>
      </c>
      <c r="H901" s="3" t="s">
        <v>68</v>
      </c>
      <c r="I901" s="65" t="str">
        <f>IFERROR(VLOOKUP(A901,'3. Call duration'!$A:$C,3,0),"--")</f>
        <v>--</v>
      </c>
      <c r="J901" s="65" t="str">
        <f t="array" ref="J901">XLOOKUP(H901,'2. Matching'!$A$2:$A$39,'2. Matching'!$B$2:$B$39,"--")</f>
        <v>Acquisition</v>
      </c>
      <c r="K901" s="65" t="str">
        <f t="shared" si="1"/>
        <v>In</v>
      </c>
    </row>
    <row r="902">
      <c r="A902" s="62" t="s">
        <v>1040</v>
      </c>
      <c r="B902" s="63">
        <v>44222.0</v>
      </c>
      <c r="C902" s="62" t="s">
        <v>112</v>
      </c>
      <c r="D902" s="64">
        <v>0.0</v>
      </c>
      <c r="E902" s="62" t="s">
        <v>109</v>
      </c>
      <c r="F902" s="62" t="s">
        <v>115</v>
      </c>
      <c r="G902" s="64" t="s">
        <v>62</v>
      </c>
      <c r="H902" s="3" t="s">
        <v>286</v>
      </c>
      <c r="I902" s="65" t="str">
        <f>IFERROR(VLOOKUP(A902,'3. Call duration'!$A:$C,3,0),"--")</f>
        <v>--</v>
      </c>
      <c r="J902" s="65" t="str">
        <f t="array" ref="J902">XLOOKUP(H902,'2. Matching'!$A$2:$A$39,'2. Matching'!$B$2:$B$39,"--")</f>
        <v>Farming</v>
      </c>
      <c r="K902" s="65" t="str">
        <f t="shared" si="1"/>
        <v>In</v>
      </c>
    </row>
    <row r="903">
      <c r="A903" s="62" t="s">
        <v>1041</v>
      </c>
      <c r="B903" s="63">
        <v>44278.0</v>
      </c>
      <c r="C903" s="62" t="s">
        <v>112</v>
      </c>
      <c r="D903" s="64">
        <v>0.0</v>
      </c>
      <c r="E903" s="62" t="s">
        <v>109</v>
      </c>
      <c r="F903" s="62" t="s">
        <v>110</v>
      </c>
      <c r="G903" s="64" t="s">
        <v>64</v>
      </c>
      <c r="H903" s="3" t="s">
        <v>49</v>
      </c>
      <c r="I903" s="65" t="str">
        <f>IFERROR(VLOOKUP(A903,'3. Call duration'!$A:$C,3,0),"--")</f>
        <v>--</v>
      </c>
      <c r="J903" s="65" t="str">
        <f t="array" ref="J903">XLOOKUP(H903,'2. Matching'!$A$2:$A$39,'2. Matching'!$B$2:$B$39,"--")</f>
        <v>Partnerships</v>
      </c>
      <c r="K903" s="65" t="str">
        <f t="shared" si="1"/>
        <v>In</v>
      </c>
    </row>
    <row r="904">
      <c r="A904" s="62" t="s">
        <v>1042</v>
      </c>
      <c r="B904" s="63">
        <v>44312.0</v>
      </c>
      <c r="C904" s="62" t="s">
        <v>108</v>
      </c>
      <c r="D904" s="64">
        <v>0.0</v>
      </c>
      <c r="E904" s="62" t="s">
        <v>114</v>
      </c>
      <c r="F904" s="62" t="s">
        <v>110</v>
      </c>
      <c r="G904" s="64" t="s">
        <v>64</v>
      </c>
      <c r="H904" s="3" t="s">
        <v>297</v>
      </c>
      <c r="I904" s="65">
        <f>IFERROR(VLOOKUP(A904,'3. Call duration'!$A:$C,3,0),"--")</f>
        <v>39.02022276</v>
      </c>
      <c r="J904" s="65" t="str">
        <f t="array" ref="J904">XLOOKUP(H904,'2. Matching'!$A$2:$A$39,'2. Matching'!$B$2:$B$39,"--")</f>
        <v>Farming</v>
      </c>
      <c r="K904" s="65" t="str">
        <f t="shared" si="1"/>
        <v>In</v>
      </c>
    </row>
    <row r="905">
      <c r="A905" s="62" t="s">
        <v>1043</v>
      </c>
      <c r="B905" s="63">
        <v>44089.0</v>
      </c>
      <c r="C905" s="62" t="s">
        <v>108</v>
      </c>
      <c r="D905" s="64">
        <v>0.0</v>
      </c>
      <c r="E905" s="62" t="s">
        <v>109</v>
      </c>
      <c r="F905" s="62" t="s">
        <v>115</v>
      </c>
      <c r="G905" s="64" t="s">
        <v>64</v>
      </c>
      <c r="H905" s="3" t="s">
        <v>139</v>
      </c>
      <c r="I905" s="65">
        <f>IFERROR(VLOOKUP(A905,'3. Call duration'!$A:$C,3,0),"--")</f>
        <v>21.03554439</v>
      </c>
      <c r="J905" s="65" t="str">
        <f t="array" ref="J905">XLOOKUP(H905,'2. Matching'!$A$2:$A$39,'2. Matching'!$B$2:$B$39,"--")</f>
        <v>Acquisition</v>
      </c>
      <c r="K905" s="65" t="str">
        <f t="shared" si="1"/>
        <v>In</v>
      </c>
    </row>
    <row r="906">
      <c r="A906" s="62" t="s">
        <v>1044</v>
      </c>
      <c r="B906" s="63">
        <v>44123.0</v>
      </c>
      <c r="C906" s="62" t="s">
        <v>108</v>
      </c>
      <c r="D906" s="64">
        <v>0.0</v>
      </c>
      <c r="E906" s="62" t="s">
        <v>109</v>
      </c>
      <c r="F906" s="62" t="s">
        <v>115</v>
      </c>
      <c r="G906" s="64" t="s">
        <v>64</v>
      </c>
      <c r="H906" s="3" t="s">
        <v>175</v>
      </c>
      <c r="I906" s="65">
        <f>IFERROR(VLOOKUP(A906,'3. Call duration'!$A:$C,3,0),"--")</f>
        <v>37.59203706</v>
      </c>
      <c r="J906" s="65" t="str">
        <f t="array" ref="J906">XLOOKUP(H906,'2. Matching'!$A$2:$A$39,'2. Matching'!$B$2:$B$39,"--")</f>
        <v>SEO</v>
      </c>
      <c r="K906" s="65" t="str">
        <f t="shared" si="1"/>
        <v>In</v>
      </c>
    </row>
    <row r="907">
      <c r="A907" s="62" t="s">
        <v>1045</v>
      </c>
      <c r="B907" s="63">
        <v>44091.0</v>
      </c>
      <c r="C907" s="62" t="s">
        <v>108</v>
      </c>
      <c r="D907" s="64">
        <v>0.0</v>
      </c>
      <c r="E907" s="62" t="s">
        <v>109</v>
      </c>
      <c r="F907" s="62" t="s">
        <v>115</v>
      </c>
      <c r="G907" s="64" t="s">
        <v>64</v>
      </c>
      <c r="H907" s="3" t="s">
        <v>139</v>
      </c>
      <c r="I907" s="65">
        <f>IFERROR(VLOOKUP(A907,'3. Call duration'!$A:$C,3,0),"--")</f>
        <v>22.35682561</v>
      </c>
      <c r="J907" s="65" t="str">
        <f t="array" ref="J907">XLOOKUP(H907,'2. Matching'!$A$2:$A$39,'2. Matching'!$B$2:$B$39,"--")</f>
        <v>Acquisition</v>
      </c>
      <c r="K907" s="65" t="str">
        <f t="shared" si="1"/>
        <v>In</v>
      </c>
    </row>
    <row r="908">
      <c r="A908" s="62" t="s">
        <v>1046</v>
      </c>
      <c r="B908" s="63">
        <v>44070.0</v>
      </c>
      <c r="C908" s="62" t="s">
        <v>112</v>
      </c>
      <c r="D908" s="64">
        <v>0.0</v>
      </c>
      <c r="E908" s="62" t="s">
        <v>109</v>
      </c>
      <c r="F908" s="62" t="s">
        <v>115</v>
      </c>
      <c r="G908" s="64" t="s">
        <v>64</v>
      </c>
      <c r="H908" s="3" t="s">
        <v>139</v>
      </c>
      <c r="I908" s="65" t="str">
        <f>IFERROR(VLOOKUP(A908,'3. Call duration'!$A:$C,3,0),"--")</f>
        <v>--</v>
      </c>
      <c r="J908" s="65" t="str">
        <f t="array" ref="J908">XLOOKUP(H908,'2. Matching'!$A$2:$A$39,'2. Matching'!$B$2:$B$39,"--")</f>
        <v>Acquisition</v>
      </c>
      <c r="K908" s="65" t="str">
        <f t="shared" si="1"/>
        <v>In</v>
      </c>
    </row>
    <row r="909">
      <c r="A909" s="62" t="s">
        <v>1047</v>
      </c>
      <c r="B909" s="63">
        <v>44384.0</v>
      </c>
      <c r="C909" s="62" t="s">
        <v>112</v>
      </c>
      <c r="D909" s="64">
        <v>0.0</v>
      </c>
      <c r="E909" s="62" t="s">
        <v>109</v>
      </c>
      <c r="F909" s="62" t="s">
        <v>115</v>
      </c>
      <c r="G909" s="64" t="s">
        <v>63</v>
      </c>
      <c r="H909" s="3" t="s">
        <v>189</v>
      </c>
      <c r="I909" s="65" t="str">
        <f>IFERROR(VLOOKUP(A909,'3. Call duration'!$A:$C,3,0),"--")</f>
        <v>--</v>
      </c>
      <c r="J909" s="65" t="str">
        <f t="array" ref="J909">XLOOKUP(H909,'2. Matching'!$A$2:$A$39,'2. Matching'!$B$2:$B$39,"--")</f>
        <v>SEO</v>
      </c>
      <c r="K909" s="65" t="str">
        <f t="shared" si="1"/>
        <v>Out</v>
      </c>
    </row>
    <row r="910">
      <c r="A910" s="62" t="s">
        <v>1048</v>
      </c>
      <c r="B910" s="63">
        <v>43989.0</v>
      </c>
      <c r="C910" s="62" t="s">
        <v>108</v>
      </c>
      <c r="D910" s="64">
        <v>0.0</v>
      </c>
      <c r="E910" s="62" t="s">
        <v>109</v>
      </c>
      <c r="F910" s="62" t="s">
        <v>110</v>
      </c>
      <c r="G910" s="64" t="s">
        <v>112</v>
      </c>
      <c r="H910" s="3"/>
      <c r="I910" s="65">
        <f>IFERROR(VLOOKUP(A910,'3. Call duration'!$A:$C,3,0),"--")</f>
        <v>28.49406871</v>
      </c>
      <c r="J910" s="65" t="str">
        <f t="array" ref="J910">XLOOKUP(H910,'2. Matching'!$A$2:$A$39,'2. Matching'!$B$2:$B$39,"--")</f>
        <v>--</v>
      </c>
      <c r="K910" s="65" t="str">
        <f t="shared" si="1"/>
        <v>In</v>
      </c>
    </row>
    <row r="911">
      <c r="A911" s="62" t="s">
        <v>1049</v>
      </c>
      <c r="B911" s="63">
        <v>44363.0</v>
      </c>
      <c r="C911" s="62" t="s">
        <v>112</v>
      </c>
      <c r="D911" s="64">
        <v>0.0</v>
      </c>
      <c r="E911" s="62" t="s">
        <v>109</v>
      </c>
      <c r="F911" s="62" t="s">
        <v>115</v>
      </c>
      <c r="G911" s="64" t="s">
        <v>64</v>
      </c>
      <c r="H911" s="3" t="s">
        <v>175</v>
      </c>
      <c r="I911" s="65" t="str">
        <f>IFERROR(VLOOKUP(A911,'3. Call duration'!$A:$C,3,0),"--")</f>
        <v>--</v>
      </c>
      <c r="J911" s="65" t="str">
        <f t="array" ref="J911">XLOOKUP(H911,'2. Matching'!$A$2:$A$39,'2. Matching'!$B$2:$B$39,"--")</f>
        <v>SEO</v>
      </c>
      <c r="K911" s="65" t="str">
        <f t="shared" si="1"/>
        <v>In</v>
      </c>
    </row>
    <row r="912">
      <c r="A912" s="62" t="s">
        <v>1050</v>
      </c>
      <c r="B912" s="63">
        <v>44312.0</v>
      </c>
      <c r="C912" s="62" t="s">
        <v>108</v>
      </c>
      <c r="D912" s="64">
        <v>0.0</v>
      </c>
      <c r="E912" s="62" t="s">
        <v>109</v>
      </c>
      <c r="F912" s="62" t="s">
        <v>110</v>
      </c>
      <c r="G912" s="64" t="s">
        <v>64</v>
      </c>
      <c r="H912" s="3" t="s">
        <v>297</v>
      </c>
      <c r="I912" s="65">
        <f>IFERROR(VLOOKUP(A912,'3. Call duration'!$A:$C,3,0),"--")</f>
        <v>23.15817276</v>
      </c>
      <c r="J912" s="65" t="str">
        <f t="array" ref="J912">XLOOKUP(H912,'2. Matching'!$A$2:$A$39,'2. Matching'!$B$2:$B$39,"--")</f>
        <v>Farming</v>
      </c>
      <c r="K912" s="65" t="str">
        <f t="shared" si="1"/>
        <v>In</v>
      </c>
    </row>
    <row r="913">
      <c r="A913" s="62" t="s">
        <v>1051</v>
      </c>
      <c r="B913" s="63">
        <v>44314.0</v>
      </c>
      <c r="C913" s="62" t="s">
        <v>112</v>
      </c>
      <c r="D913" s="64">
        <v>0.0</v>
      </c>
      <c r="E913" s="62" t="s">
        <v>109</v>
      </c>
      <c r="F913" s="62" t="s">
        <v>110</v>
      </c>
      <c r="G913" s="64" t="s">
        <v>59</v>
      </c>
      <c r="H913" s="3" t="s">
        <v>68</v>
      </c>
      <c r="I913" s="65" t="str">
        <f>IFERROR(VLOOKUP(A913,'3. Call duration'!$A:$C,3,0),"--")</f>
        <v>--</v>
      </c>
      <c r="J913" s="65" t="str">
        <f t="array" ref="J913">XLOOKUP(H913,'2. Matching'!$A$2:$A$39,'2. Matching'!$B$2:$B$39,"--")</f>
        <v>Acquisition</v>
      </c>
      <c r="K913" s="65" t="str">
        <f t="shared" si="1"/>
        <v>In</v>
      </c>
    </row>
    <row r="914">
      <c r="A914" s="62" t="s">
        <v>1052</v>
      </c>
      <c r="B914" s="63">
        <v>44392.0</v>
      </c>
      <c r="C914" s="62" t="s">
        <v>112</v>
      </c>
      <c r="D914" s="64">
        <v>0.0</v>
      </c>
      <c r="E914" s="62" t="s">
        <v>109</v>
      </c>
      <c r="F914" s="62" t="s">
        <v>110</v>
      </c>
      <c r="G914" s="64" t="s">
        <v>60</v>
      </c>
      <c r="H914" s="3" t="s">
        <v>67</v>
      </c>
      <c r="I914" s="65" t="str">
        <f>IFERROR(VLOOKUP(A914,'3. Call duration'!$A:$C,3,0),"--")</f>
        <v>--</v>
      </c>
      <c r="J914" s="65" t="str">
        <f t="array" ref="J914">XLOOKUP(H914,'2. Matching'!$A$2:$A$39,'2. Matching'!$B$2:$B$39,"--")</f>
        <v>Acquisition</v>
      </c>
      <c r="K914" s="65" t="str">
        <f t="shared" si="1"/>
        <v>In</v>
      </c>
    </row>
    <row r="915">
      <c r="A915" s="62" t="s">
        <v>1053</v>
      </c>
      <c r="B915" s="63">
        <v>44375.0</v>
      </c>
      <c r="C915" s="62" t="s">
        <v>108</v>
      </c>
      <c r="D915" s="64">
        <v>0.0</v>
      </c>
      <c r="E915" s="62" t="s">
        <v>109</v>
      </c>
      <c r="F915" s="62" t="s">
        <v>115</v>
      </c>
      <c r="G915" s="64" t="s">
        <v>59</v>
      </c>
      <c r="H915" s="3" t="s">
        <v>68</v>
      </c>
      <c r="I915" s="65">
        <f>IFERROR(VLOOKUP(A915,'3. Call duration'!$A:$C,3,0),"--")</f>
        <v>32.34759151</v>
      </c>
      <c r="J915" s="65" t="str">
        <f t="array" ref="J915">XLOOKUP(H915,'2. Matching'!$A$2:$A$39,'2. Matching'!$B$2:$B$39,"--")</f>
        <v>Acquisition</v>
      </c>
      <c r="K915" s="65" t="str">
        <f t="shared" si="1"/>
        <v>In</v>
      </c>
    </row>
    <row r="916">
      <c r="A916" s="62" t="s">
        <v>1054</v>
      </c>
      <c r="B916" s="63">
        <v>44266.0</v>
      </c>
      <c r="C916" s="62" t="s">
        <v>112</v>
      </c>
      <c r="D916" s="64">
        <v>0.0</v>
      </c>
      <c r="E916" s="62" t="s">
        <v>109</v>
      </c>
      <c r="F916" s="62" t="s">
        <v>110</v>
      </c>
      <c r="G916" s="64" t="s">
        <v>64</v>
      </c>
      <c r="H916" s="3" t="s">
        <v>164</v>
      </c>
      <c r="I916" s="65" t="str">
        <f>IFERROR(VLOOKUP(A916,'3. Call duration'!$A:$C,3,0),"--")</f>
        <v>--</v>
      </c>
      <c r="J916" s="65" t="str">
        <f t="array" ref="J916">XLOOKUP(H916,'2. Matching'!$A$2:$A$39,'2. Matching'!$B$2:$B$39,"--")</f>
        <v>SEO</v>
      </c>
      <c r="K916" s="65" t="str">
        <f t="shared" si="1"/>
        <v>In</v>
      </c>
    </row>
    <row r="917">
      <c r="A917" s="62" t="s">
        <v>1055</v>
      </c>
      <c r="B917" s="63">
        <v>44389.0</v>
      </c>
      <c r="C917" s="62" t="s">
        <v>112</v>
      </c>
      <c r="D917" s="64">
        <v>0.0</v>
      </c>
      <c r="E917" s="62" t="s">
        <v>109</v>
      </c>
      <c r="F917" s="62" t="s">
        <v>110</v>
      </c>
      <c r="G917" s="64" t="s">
        <v>60</v>
      </c>
      <c r="H917" s="3" t="s">
        <v>67</v>
      </c>
      <c r="I917" s="65" t="str">
        <f>IFERROR(VLOOKUP(A917,'3. Call duration'!$A:$C,3,0),"--")</f>
        <v>--</v>
      </c>
      <c r="J917" s="65" t="str">
        <f t="array" ref="J917">XLOOKUP(H917,'2. Matching'!$A$2:$A$39,'2. Matching'!$B$2:$B$39,"--")</f>
        <v>Acquisition</v>
      </c>
      <c r="K917" s="65" t="str">
        <f t="shared" si="1"/>
        <v>In</v>
      </c>
    </row>
    <row r="918">
      <c r="A918" s="62" t="s">
        <v>1056</v>
      </c>
      <c r="B918" s="63">
        <v>44333.0</v>
      </c>
      <c r="C918" s="62" t="s">
        <v>119</v>
      </c>
      <c r="D918" s="64">
        <v>47.5</v>
      </c>
      <c r="E918" s="62" t="s">
        <v>109</v>
      </c>
      <c r="F918" s="62" t="s">
        <v>115</v>
      </c>
      <c r="G918" s="64" t="s">
        <v>59</v>
      </c>
      <c r="H918" s="3" t="s">
        <v>68</v>
      </c>
      <c r="I918" s="65">
        <f>IFERROR(VLOOKUP(A918,'3. Call duration'!$A:$C,3,0),"--")</f>
        <v>20.45164041</v>
      </c>
      <c r="J918" s="65" t="str">
        <f t="array" ref="J918">XLOOKUP(H918,'2. Matching'!$A$2:$A$39,'2. Matching'!$B$2:$B$39,"--")</f>
        <v>Acquisition</v>
      </c>
      <c r="K918" s="65" t="str">
        <f t="shared" si="1"/>
        <v>In</v>
      </c>
    </row>
    <row r="919">
      <c r="A919" s="62" t="s">
        <v>1057</v>
      </c>
      <c r="B919" s="63">
        <v>44365.0</v>
      </c>
      <c r="C919" s="62" t="s">
        <v>108</v>
      </c>
      <c r="D919" s="64">
        <v>0.0</v>
      </c>
      <c r="E919" s="62" t="s">
        <v>109</v>
      </c>
      <c r="F919" s="62" t="s">
        <v>115</v>
      </c>
      <c r="G919" s="64" t="s">
        <v>59</v>
      </c>
      <c r="H919" s="3" t="s">
        <v>68</v>
      </c>
      <c r="I919" s="65">
        <f>IFERROR(VLOOKUP(A919,'3. Call duration'!$A:$C,3,0),"--")</f>
        <v>20.17089272</v>
      </c>
      <c r="J919" s="65" t="str">
        <f t="array" ref="J919">XLOOKUP(H919,'2. Matching'!$A$2:$A$39,'2. Matching'!$B$2:$B$39,"--")</f>
        <v>Acquisition</v>
      </c>
      <c r="K919" s="65" t="str">
        <f t="shared" si="1"/>
        <v>In</v>
      </c>
    </row>
    <row r="920">
      <c r="A920" s="62" t="s">
        <v>1058</v>
      </c>
      <c r="B920" s="63">
        <v>44225.0</v>
      </c>
      <c r="C920" s="62" t="s">
        <v>112</v>
      </c>
      <c r="D920" s="64">
        <v>0.0</v>
      </c>
      <c r="E920" s="62" t="s">
        <v>109</v>
      </c>
      <c r="F920" s="62" t="s">
        <v>110</v>
      </c>
      <c r="G920" s="64" t="s">
        <v>62</v>
      </c>
      <c r="H920" s="3" t="s">
        <v>203</v>
      </c>
      <c r="I920" s="65" t="str">
        <f>IFERROR(VLOOKUP(A920,'3. Call duration'!$A:$C,3,0),"--")</f>
        <v>--</v>
      </c>
      <c r="J920" s="65" t="str">
        <f t="array" ref="J920">XLOOKUP(H920,'2. Matching'!$A$2:$A$39,'2. Matching'!$B$2:$B$39,"--")</f>
        <v>Farming</v>
      </c>
      <c r="K920" s="65" t="str">
        <f t="shared" si="1"/>
        <v>In</v>
      </c>
    </row>
    <row r="921">
      <c r="A921" s="62" t="s">
        <v>1059</v>
      </c>
      <c r="B921" s="63">
        <v>44355.0</v>
      </c>
      <c r="C921" s="62" t="s">
        <v>108</v>
      </c>
      <c r="D921" s="64">
        <v>0.0</v>
      </c>
      <c r="E921" s="62" t="s">
        <v>109</v>
      </c>
      <c r="F921" s="62" t="s">
        <v>115</v>
      </c>
      <c r="G921" s="64" t="s">
        <v>64</v>
      </c>
      <c r="H921" s="3" t="s">
        <v>145</v>
      </c>
      <c r="I921" s="65">
        <f>IFERROR(VLOOKUP(A921,'3. Call duration'!$A:$C,3,0),"--")</f>
        <v>28.17409208</v>
      </c>
      <c r="J921" s="65" t="str">
        <f t="array" ref="J921">XLOOKUP(H921,'2. Matching'!$A$2:$A$39,'2. Matching'!$B$2:$B$39,"--")</f>
        <v>SEO</v>
      </c>
      <c r="K921" s="65" t="str">
        <f t="shared" si="1"/>
        <v>In</v>
      </c>
    </row>
    <row r="922">
      <c r="A922" s="62" t="s">
        <v>1060</v>
      </c>
      <c r="B922" s="63">
        <v>44119.0</v>
      </c>
      <c r="C922" s="62" t="s">
        <v>108</v>
      </c>
      <c r="D922" s="64">
        <v>0.0</v>
      </c>
      <c r="E922" s="62" t="s">
        <v>109</v>
      </c>
      <c r="F922" s="62" t="s">
        <v>115</v>
      </c>
      <c r="G922" s="64" t="s">
        <v>64</v>
      </c>
      <c r="H922" s="3" t="s">
        <v>169</v>
      </c>
      <c r="I922" s="65">
        <f>IFERROR(VLOOKUP(A922,'3. Call duration'!$A:$C,3,0),"--")</f>
        <v>22.35675597</v>
      </c>
      <c r="J922" s="65" t="str">
        <f t="array" ref="J922">XLOOKUP(H922,'2. Matching'!$A$2:$A$39,'2. Matching'!$B$2:$B$39,"--")</f>
        <v>SEO</v>
      </c>
      <c r="K922" s="65" t="str">
        <f t="shared" si="1"/>
        <v>In</v>
      </c>
    </row>
    <row r="923">
      <c r="A923" s="62" t="s">
        <v>1061</v>
      </c>
      <c r="B923" s="63">
        <v>44327.0</v>
      </c>
      <c r="C923" s="62" t="s">
        <v>119</v>
      </c>
      <c r="D923" s="64">
        <v>95.0</v>
      </c>
      <c r="E923" s="62" t="s">
        <v>114</v>
      </c>
      <c r="F923" s="62" t="s">
        <v>110</v>
      </c>
      <c r="G923" s="64" t="s">
        <v>59</v>
      </c>
      <c r="H923" s="3" t="s">
        <v>68</v>
      </c>
      <c r="I923" s="65">
        <f>IFERROR(VLOOKUP(A923,'3. Call duration'!$A:$C,3,0),"--")</f>
        <v>20.5244149</v>
      </c>
      <c r="J923" s="65" t="str">
        <f t="array" ref="J923">XLOOKUP(H923,'2. Matching'!$A$2:$A$39,'2. Matching'!$B$2:$B$39,"--")</f>
        <v>Acquisition</v>
      </c>
      <c r="K923" s="65" t="str">
        <f t="shared" si="1"/>
        <v>In</v>
      </c>
    </row>
    <row r="924">
      <c r="A924" s="62" t="s">
        <v>1062</v>
      </c>
      <c r="B924" s="63">
        <v>44348.0</v>
      </c>
      <c r="C924" s="62" t="s">
        <v>112</v>
      </c>
      <c r="D924" s="64">
        <v>0.0</v>
      </c>
      <c r="E924" s="62" t="s">
        <v>109</v>
      </c>
      <c r="F924" s="62" t="s">
        <v>110</v>
      </c>
      <c r="G924" s="64" t="s">
        <v>64</v>
      </c>
      <c r="H924" s="3" t="s">
        <v>141</v>
      </c>
      <c r="I924" s="65" t="str">
        <f>IFERROR(VLOOKUP(A924,'3. Call duration'!$A:$C,3,0),"--")</f>
        <v>--</v>
      </c>
      <c r="J924" s="65" t="str">
        <f t="array" ref="J924">XLOOKUP(H924,'2. Matching'!$A$2:$A$39,'2. Matching'!$B$2:$B$39,"--")</f>
        <v>Acquisition</v>
      </c>
      <c r="K924" s="65" t="str">
        <f t="shared" si="1"/>
        <v>In</v>
      </c>
    </row>
    <row r="925">
      <c r="A925" s="62" t="s">
        <v>1063</v>
      </c>
      <c r="B925" s="63">
        <v>44362.0</v>
      </c>
      <c r="C925" s="62" t="s">
        <v>108</v>
      </c>
      <c r="D925" s="64">
        <v>0.0</v>
      </c>
      <c r="E925" s="62" t="s">
        <v>109</v>
      </c>
      <c r="F925" s="62" t="s">
        <v>110</v>
      </c>
      <c r="G925" s="64" t="s">
        <v>60</v>
      </c>
      <c r="H925" s="3" t="s">
        <v>67</v>
      </c>
      <c r="I925" s="65">
        <f>IFERROR(VLOOKUP(A925,'3. Call duration'!$A:$C,3,0),"--")</f>
        <v>32.12891483</v>
      </c>
      <c r="J925" s="65" t="str">
        <f t="array" ref="J925">XLOOKUP(H925,'2. Matching'!$A$2:$A$39,'2. Matching'!$B$2:$B$39,"--")</f>
        <v>Acquisition</v>
      </c>
      <c r="K925" s="65" t="str">
        <f t="shared" si="1"/>
        <v>In</v>
      </c>
    </row>
    <row r="926">
      <c r="A926" s="62" t="s">
        <v>1064</v>
      </c>
      <c r="B926" s="63">
        <v>44279.0</v>
      </c>
      <c r="C926" s="62" t="s">
        <v>112</v>
      </c>
      <c r="D926" s="64">
        <v>0.0</v>
      </c>
      <c r="E926" s="62" t="s">
        <v>109</v>
      </c>
      <c r="F926" s="62" t="s">
        <v>115</v>
      </c>
      <c r="G926" s="64" t="s">
        <v>64</v>
      </c>
      <c r="H926" s="3" t="s">
        <v>169</v>
      </c>
      <c r="I926" s="65" t="str">
        <f>IFERROR(VLOOKUP(A926,'3. Call duration'!$A:$C,3,0),"--")</f>
        <v>--</v>
      </c>
      <c r="J926" s="65" t="str">
        <f t="array" ref="J926">XLOOKUP(H926,'2. Matching'!$A$2:$A$39,'2. Matching'!$B$2:$B$39,"--")</f>
        <v>SEO</v>
      </c>
      <c r="K926" s="65" t="str">
        <f t="shared" si="1"/>
        <v>In</v>
      </c>
    </row>
    <row r="927">
      <c r="A927" s="62" t="s">
        <v>1065</v>
      </c>
      <c r="B927" s="63">
        <v>44165.0</v>
      </c>
      <c r="C927" s="62" t="s">
        <v>108</v>
      </c>
      <c r="D927" s="64">
        <v>0.0</v>
      </c>
      <c r="E927" s="62" t="s">
        <v>114</v>
      </c>
      <c r="F927" s="62" t="s">
        <v>110</v>
      </c>
      <c r="G927" s="64" t="s">
        <v>64</v>
      </c>
      <c r="H927" s="3" t="s">
        <v>235</v>
      </c>
      <c r="I927" s="65">
        <f>IFERROR(VLOOKUP(A927,'3. Call duration'!$A:$C,3,0),"--")</f>
        <v>22.85888673</v>
      </c>
      <c r="J927" s="65" t="str">
        <f t="array" ref="J927">XLOOKUP(H927,'2. Matching'!$A$2:$A$39,'2. Matching'!$B$2:$B$39,"--")</f>
        <v>Farming</v>
      </c>
      <c r="K927" s="65" t="str">
        <f t="shared" si="1"/>
        <v>In</v>
      </c>
    </row>
    <row r="928">
      <c r="A928" s="62" t="s">
        <v>1066</v>
      </c>
      <c r="B928" s="63">
        <v>44329.0</v>
      </c>
      <c r="C928" s="62" t="s">
        <v>119</v>
      </c>
      <c r="D928" s="64">
        <v>47.5</v>
      </c>
      <c r="E928" s="62" t="s">
        <v>109</v>
      </c>
      <c r="F928" s="62" t="s">
        <v>110</v>
      </c>
      <c r="G928" s="64" t="s">
        <v>64</v>
      </c>
      <c r="H928" s="3" t="s">
        <v>185</v>
      </c>
      <c r="I928" s="65">
        <f>IFERROR(VLOOKUP(A928,'3. Call duration'!$A:$C,3,0),"--")</f>
        <v>20.53571968</v>
      </c>
      <c r="J928" s="65" t="str">
        <f t="array" ref="J928">XLOOKUP(H928,'2. Matching'!$A$2:$A$39,'2. Matching'!$B$2:$B$39,"--")</f>
        <v>SEO</v>
      </c>
      <c r="K928" s="65" t="str">
        <f t="shared" si="1"/>
        <v>In</v>
      </c>
    </row>
    <row r="929">
      <c r="A929" s="62" t="s">
        <v>1067</v>
      </c>
      <c r="B929" s="63">
        <v>44343.0</v>
      </c>
      <c r="C929" s="62" t="s">
        <v>108</v>
      </c>
      <c r="D929" s="64">
        <v>0.0</v>
      </c>
      <c r="E929" s="62" t="s">
        <v>109</v>
      </c>
      <c r="F929" s="62" t="s">
        <v>110</v>
      </c>
      <c r="G929" s="64" t="s">
        <v>59</v>
      </c>
      <c r="H929" s="3" t="s">
        <v>68</v>
      </c>
      <c r="I929" s="65">
        <f>IFERROR(VLOOKUP(A929,'3. Call duration'!$A:$C,3,0),"--")</f>
        <v>20.57093008</v>
      </c>
      <c r="J929" s="65" t="str">
        <f t="array" ref="J929">XLOOKUP(H929,'2. Matching'!$A$2:$A$39,'2. Matching'!$B$2:$B$39,"--")</f>
        <v>Acquisition</v>
      </c>
      <c r="K929" s="65" t="str">
        <f t="shared" si="1"/>
        <v>In</v>
      </c>
    </row>
    <row r="930">
      <c r="A930" s="62" t="s">
        <v>1068</v>
      </c>
      <c r="B930" s="63">
        <v>44369.0</v>
      </c>
      <c r="C930" s="62" t="s">
        <v>108</v>
      </c>
      <c r="D930" s="64">
        <v>0.0</v>
      </c>
      <c r="E930" s="62" t="s">
        <v>109</v>
      </c>
      <c r="F930" s="62" t="s">
        <v>110</v>
      </c>
      <c r="G930" s="64" t="s">
        <v>60</v>
      </c>
      <c r="H930" s="3" t="s">
        <v>67</v>
      </c>
      <c r="I930" s="65">
        <f>IFERROR(VLOOKUP(A930,'3. Call duration'!$A:$C,3,0),"--")</f>
        <v>16.24878132</v>
      </c>
      <c r="J930" s="65" t="str">
        <f t="array" ref="J930">XLOOKUP(H930,'2. Matching'!$A$2:$A$39,'2. Matching'!$B$2:$B$39,"--")</f>
        <v>Acquisition</v>
      </c>
      <c r="K930" s="65" t="str">
        <f t="shared" si="1"/>
        <v>In</v>
      </c>
    </row>
    <row r="931">
      <c r="A931" s="62" t="s">
        <v>1069</v>
      </c>
      <c r="B931" s="63">
        <v>44327.0</v>
      </c>
      <c r="C931" s="62" t="s">
        <v>119</v>
      </c>
      <c r="D931" s="64">
        <v>47.5</v>
      </c>
      <c r="E931" s="62" t="s">
        <v>109</v>
      </c>
      <c r="F931" s="62" t="s">
        <v>110</v>
      </c>
      <c r="G931" s="64" t="s">
        <v>64</v>
      </c>
      <c r="H931" s="3" t="s">
        <v>55</v>
      </c>
      <c r="I931" s="65">
        <f>IFERROR(VLOOKUP(A931,'3. Call duration'!$A:$C,3,0),"--")</f>
        <v>20.60050501</v>
      </c>
      <c r="J931" s="65" t="str">
        <f t="array" ref="J931">XLOOKUP(H931,'2. Matching'!$A$2:$A$39,'2. Matching'!$B$2:$B$39,"--")</f>
        <v>Partnerships</v>
      </c>
      <c r="K931" s="65" t="str">
        <f t="shared" si="1"/>
        <v>In</v>
      </c>
    </row>
    <row r="932">
      <c r="A932" s="62" t="s">
        <v>1070</v>
      </c>
      <c r="B932" s="63">
        <v>44168.0</v>
      </c>
      <c r="C932" s="62" t="s">
        <v>112</v>
      </c>
      <c r="D932" s="64">
        <v>0.0</v>
      </c>
      <c r="E932" s="62" t="s">
        <v>109</v>
      </c>
      <c r="F932" s="62" t="s">
        <v>115</v>
      </c>
      <c r="G932" s="64" t="s">
        <v>64</v>
      </c>
      <c r="H932" s="3" t="s">
        <v>221</v>
      </c>
      <c r="I932" s="65" t="str">
        <f>IFERROR(VLOOKUP(A932,'3. Call duration'!$A:$C,3,0),"--")</f>
        <v>--</v>
      </c>
      <c r="J932" s="65" t="str">
        <f t="array" ref="J932">XLOOKUP(H932,'2. Matching'!$A$2:$A$39,'2. Matching'!$B$2:$B$39,"--")</f>
        <v>Farming</v>
      </c>
      <c r="K932" s="65" t="str">
        <f t="shared" si="1"/>
        <v>In</v>
      </c>
    </row>
    <row r="933">
      <c r="A933" s="62" t="s">
        <v>1071</v>
      </c>
      <c r="B933" s="63">
        <v>44376.0</v>
      </c>
      <c r="C933" s="62" t="s">
        <v>108</v>
      </c>
      <c r="D933" s="64">
        <v>0.0</v>
      </c>
      <c r="E933" s="62" t="s">
        <v>114</v>
      </c>
      <c r="F933" s="62" t="s">
        <v>115</v>
      </c>
      <c r="G933" s="64" t="s">
        <v>60</v>
      </c>
      <c r="H933" s="3" t="s">
        <v>68</v>
      </c>
      <c r="I933" s="65">
        <f>IFERROR(VLOOKUP(A933,'3. Call duration'!$A:$C,3,0),"--")</f>
        <v>32.8412529</v>
      </c>
      <c r="J933" s="65" t="str">
        <f t="array" ref="J933">XLOOKUP(H933,'2. Matching'!$A$2:$A$39,'2. Matching'!$B$2:$B$39,"--")</f>
        <v>Acquisition</v>
      </c>
      <c r="K933" s="65" t="str">
        <f t="shared" si="1"/>
        <v>In</v>
      </c>
    </row>
    <row r="934">
      <c r="A934" s="62" t="s">
        <v>1072</v>
      </c>
      <c r="B934" s="63">
        <v>44198.0</v>
      </c>
      <c r="C934" s="62" t="s">
        <v>108</v>
      </c>
      <c r="D934" s="64">
        <v>0.0</v>
      </c>
      <c r="E934" s="62" t="s">
        <v>109</v>
      </c>
      <c r="F934" s="62" t="s">
        <v>115</v>
      </c>
      <c r="G934" s="64" t="s">
        <v>64</v>
      </c>
      <c r="H934" s="3" t="s">
        <v>185</v>
      </c>
      <c r="I934" s="65">
        <f>IFERROR(VLOOKUP(A934,'3. Call duration'!$A:$C,3,0),"--")</f>
        <v>30.03913822</v>
      </c>
      <c r="J934" s="65" t="str">
        <f t="array" ref="J934">XLOOKUP(H934,'2. Matching'!$A$2:$A$39,'2. Matching'!$B$2:$B$39,"--")</f>
        <v>SEO</v>
      </c>
      <c r="K934" s="65" t="str">
        <f t="shared" si="1"/>
        <v>In</v>
      </c>
    </row>
    <row r="935">
      <c r="A935" s="62" t="s">
        <v>1073</v>
      </c>
      <c r="B935" s="63">
        <v>44337.0</v>
      </c>
      <c r="C935" s="62" t="s">
        <v>119</v>
      </c>
      <c r="D935" s="64">
        <v>47.5</v>
      </c>
      <c r="E935" s="62" t="s">
        <v>109</v>
      </c>
      <c r="F935" s="62" t="s">
        <v>115</v>
      </c>
      <c r="G935" s="64" t="s">
        <v>64</v>
      </c>
      <c r="H935" s="3" t="s">
        <v>185</v>
      </c>
      <c r="I935" s="65">
        <f>IFERROR(VLOOKUP(A935,'3. Call duration'!$A:$C,3,0),"--")</f>
        <v>20.60257337</v>
      </c>
      <c r="J935" s="65" t="str">
        <f t="array" ref="J935">XLOOKUP(H935,'2. Matching'!$A$2:$A$39,'2. Matching'!$B$2:$B$39,"--")</f>
        <v>SEO</v>
      </c>
      <c r="K935" s="65" t="str">
        <f t="shared" si="1"/>
        <v>In</v>
      </c>
    </row>
    <row r="936">
      <c r="A936" s="62" t="s">
        <v>1074</v>
      </c>
      <c r="B936" s="63">
        <v>44368.0</v>
      </c>
      <c r="C936" s="62" t="s">
        <v>108</v>
      </c>
      <c r="D936" s="64">
        <v>0.0</v>
      </c>
      <c r="E936" s="62" t="s">
        <v>109</v>
      </c>
      <c r="F936" s="62" t="s">
        <v>115</v>
      </c>
      <c r="G936" s="64" t="s">
        <v>64</v>
      </c>
      <c r="H936" s="3" t="s">
        <v>145</v>
      </c>
      <c r="I936" s="65">
        <f>IFERROR(VLOOKUP(A936,'3. Call duration'!$A:$C,3,0),"--")</f>
        <v>29.40778526</v>
      </c>
      <c r="J936" s="65" t="str">
        <f t="array" ref="J936">XLOOKUP(H936,'2. Matching'!$A$2:$A$39,'2. Matching'!$B$2:$B$39,"--")</f>
        <v>SEO</v>
      </c>
      <c r="K936" s="65" t="str">
        <f t="shared" si="1"/>
        <v>In</v>
      </c>
    </row>
    <row r="937">
      <c r="A937" s="62" t="s">
        <v>1075</v>
      </c>
      <c r="B937" s="63">
        <v>44375.0</v>
      </c>
      <c r="C937" s="62" t="s">
        <v>108</v>
      </c>
      <c r="D937" s="64">
        <v>0.0</v>
      </c>
      <c r="E937" s="62" t="s">
        <v>114</v>
      </c>
      <c r="F937" s="62" t="s">
        <v>115</v>
      </c>
      <c r="G937" s="64" t="s">
        <v>64</v>
      </c>
      <c r="H937" s="3" t="s">
        <v>145</v>
      </c>
      <c r="I937" s="65">
        <f>IFERROR(VLOOKUP(A937,'3. Call duration'!$A:$C,3,0),"--")</f>
        <v>27.12969837</v>
      </c>
      <c r="J937" s="65" t="str">
        <f t="array" ref="J937">XLOOKUP(H937,'2. Matching'!$A$2:$A$39,'2. Matching'!$B$2:$B$39,"--")</f>
        <v>SEO</v>
      </c>
      <c r="K937" s="65" t="str">
        <f t="shared" si="1"/>
        <v>In</v>
      </c>
    </row>
    <row r="938">
      <c r="A938" s="62" t="s">
        <v>1076</v>
      </c>
      <c r="B938" s="63">
        <v>44063.0</v>
      </c>
      <c r="C938" s="62" t="s">
        <v>112</v>
      </c>
      <c r="D938" s="64">
        <v>0.0</v>
      </c>
      <c r="E938" s="62" t="s">
        <v>114</v>
      </c>
      <c r="F938" s="62" t="s">
        <v>115</v>
      </c>
      <c r="G938" s="64" t="s">
        <v>64</v>
      </c>
      <c r="H938" s="3" t="s">
        <v>175</v>
      </c>
      <c r="I938" s="65" t="str">
        <f>IFERROR(VLOOKUP(A938,'3. Call duration'!$A:$C,3,0),"--")</f>
        <v>--</v>
      </c>
      <c r="J938" s="65" t="str">
        <f t="array" ref="J938">XLOOKUP(H938,'2. Matching'!$A$2:$A$39,'2. Matching'!$B$2:$B$39,"--")</f>
        <v>SEO</v>
      </c>
      <c r="K938" s="65" t="str">
        <f t="shared" si="1"/>
        <v>In</v>
      </c>
    </row>
    <row r="939">
      <c r="A939" s="62" t="s">
        <v>1077</v>
      </c>
      <c r="B939" s="63">
        <v>44333.0</v>
      </c>
      <c r="C939" s="62" t="s">
        <v>119</v>
      </c>
      <c r="D939" s="64">
        <v>47.5</v>
      </c>
      <c r="E939" s="62" t="s">
        <v>109</v>
      </c>
      <c r="F939" s="62" t="s">
        <v>115</v>
      </c>
      <c r="G939" s="64" t="s">
        <v>64</v>
      </c>
      <c r="H939" s="3" t="s">
        <v>185</v>
      </c>
      <c r="I939" s="65">
        <f>IFERROR(VLOOKUP(A939,'3. Call duration'!$A:$C,3,0),"--")</f>
        <v>20.62810689</v>
      </c>
      <c r="J939" s="65" t="str">
        <f t="array" ref="J939">XLOOKUP(H939,'2. Matching'!$A$2:$A$39,'2. Matching'!$B$2:$B$39,"--")</f>
        <v>SEO</v>
      </c>
      <c r="K939" s="65" t="str">
        <f t="shared" si="1"/>
        <v>In</v>
      </c>
    </row>
    <row r="940">
      <c r="A940" s="62" t="s">
        <v>1078</v>
      </c>
      <c r="B940" s="63">
        <v>44375.0</v>
      </c>
      <c r="C940" s="62" t="s">
        <v>112</v>
      </c>
      <c r="D940" s="64">
        <v>0.0</v>
      </c>
      <c r="E940" s="62" t="s">
        <v>109</v>
      </c>
      <c r="F940" s="62" t="s">
        <v>110</v>
      </c>
      <c r="G940" s="64" t="s">
        <v>63</v>
      </c>
      <c r="H940" s="3" t="s">
        <v>228</v>
      </c>
      <c r="I940" s="65" t="str">
        <f>IFERROR(VLOOKUP(A940,'3. Call duration'!$A:$C,3,0),"--")</f>
        <v>--</v>
      </c>
      <c r="J940" s="65" t="str">
        <f t="array" ref="J940">XLOOKUP(H940,'2. Matching'!$A$2:$A$39,'2. Matching'!$B$2:$B$39,"--")</f>
        <v>Farming</v>
      </c>
      <c r="K940" s="65" t="str">
        <f t="shared" si="1"/>
        <v>In</v>
      </c>
    </row>
    <row r="941">
      <c r="A941" s="62" t="s">
        <v>1079</v>
      </c>
      <c r="B941" s="63">
        <v>44259.0</v>
      </c>
      <c r="C941" s="62" t="s">
        <v>112</v>
      </c>
      <c r="D941" s="64">
        <v>0.0</v>
      </c>
      <c r="E941" s="62" t="s">
        <v>109</v>
      </c>
      <c r="F941" s="62" t="s">
        <v>115</v>
      </c>
      <c r="G941" s="64" t="s">
        <v>64</v>
      </c>
      <c r="H941" s="3" t="s">
        <v>141</v>
      </c>
      <c r="I941" s="65" t="str">
        <f>IFERROR(VLOOKUP(A941,'3. Call duration'!$A:$C,3,0),"--")</f>
        <v>--</v>
      </c>
      <c r="J941" s="65" t="str">
        <f t="array" ref="J941">XLOOKUP(H941,'2. Matching'!$A$2:$A$39,'2. Matching'!$B$2:$B$39,"--")</f>
        <v>Acquisition</v>
      </c>
      <c r="K941" s="65" t="str">
        <f t="shared" si="1"/>
        <v>In</v>
      </c>
    </row>
    <row r="942">
      <c r="A942" s="62" t="s">
        <v>1080</v>
      </c>
      <c r="B942" s="63">
        <v>44358.0</v>
      </c>
      <c r="C942" s="62" t="s">
        <v>108</v>
      </c>
      <c r="D942" s="64">
        <v>0.0</v>
      </c>
      <c r="E942" s="62" t="s">
        <v>109</v>
      </c>
      <c r="F942" s="62" t="s">
        <v>110</v>
      </c>
      <c r="G942" s="64" t="s">
        <v>60</v>
      </c>
      <c r="H942" s="3" t="s">
        <v>67</v>
      </c>
      <c r="I942" s="65">
        <f>IFERROR(VLOOKUP(A942,'3. Call duration'!$A:$C,3,0),"--")</f>
        <v>32.40742764</v>
      </c>
      <c r="J942" s="65" t="str">
        <f t="array" ref="J942">XLOOKUP(H942,'2. Matching'!$A$2:$A$39,'2. Matching'!$B$2:$B$39,"--")</f>
        <v>Acquisition</v>
      </c>
      <c r="K942" s="65" t="str">
        <f t="shared" si="1"/>
        <v>In</v>
      </c>
    </row>
    <row r="943">
      <c r="A943" s="62" t="s">
        <v>1081</v>
      </c>
      <c r="B943" s="63">
        <v>44243.0</v>
      </c>
      <c r="C943" s="62" t="s">
        <v>112</v>
      </c>
      <c r="D943" s="64">
        <v>0.0</v>
      </c>
      <c r="E943" s="62" t="s">
        <v>109</v>
      </c>
      <c r="F943" s="62" t="s">
        <v>110</v>
      </c>
      <c r="G943" s="64" t="s">
        <v>64</v>
      </c>
      <c r="H943" s="3" t="s">
        <v>139</v>
      </c>
      <c r="I943" s="65" t="str">
        <f>IFERROR(VLOOKUP(A943,'3. Call duration'!$A:$C,3,0),"--")</f>
        <v>--</v>
      </c>
      <c r="J943" s="65" t="str">
        <f t="array" ref="J943">XLOOKUP(H943,'2. Matching'!$A$2:$A$39,'2. Matching'!$B$2:$B$39,"--")</f>
        <v>Acquisition</v>
      </c>
      <c r="K943" s="65" t="str">
        <f t="shared" si="1"/>
        <v>In</v>
      </c>
    </row>
    <row r="944">
      <c r="A944" s="62" t="s">
        <v>1082</v>
      </c>
      <c r="B944" s="63">
        <v>44349.0</v>
      </c>
      <c r="C944" s="62" t="s">
        <v>112</v>
      </c>
      <c r="D944" s="64">
        <v>0.0</v>
      </c>
      <c r="E944" s="62" t="s">
        <v>109</v>
      </c>
      <c r="F944" s="62" t="s">
        <v>110</v>
      </c>
      <c r="G944" s="64" t="s">
        <v>60</v>
      </c>
      <c r="H944" s="3" t="s">
        <v>67</v>
      </c>
      <c r="I944" s="65" t="str">
        <f>IFERROR(VLOOKUP(A944,'3. Call duration'!$A:$C,3,0),"--")</f>
        <v>--</v>
      </c>
      <c r="J944" s="65" t="str">
        <f t="array" ref="J944">XLOOKUP(H944,'2. Matching'!$A$2:$A$39,'2. Matching'!$B$2:$B$39,"--")</f>
        <v>Acquisition</v>
      </c>
      <c r="K944" s="65" t="str">
        <f t="shared" si="1"/>
        <v>In</v>
      </c>
    </row>
    <row r="945">
      <c r="A945" s="62" t="s">
        <v>1083</v>
      </c>
      <c r="B945" s="63">
        <v>44260.0</v>
      </c>
      <c r="C945" s="62" t="s">
        <v>112</v>
      </c>
      <c r="D945" s="64">
        <v>0.0</v>
      </c>
      <c r="E945" s="62" t="s">
        <v>109</v>
      </c>
      <c r="F945" s="62" t="s">
        <v>110</v>
      </c>
      <c r="G945" s="64" t="s">
        <v>64</v>
      </c>
      <c r="H945" s="3" t="s">
        <v>175</v>
      </c>
      <c r="I945" s="65" t="str">
        <f>IFERROR(VLOOKUP(A945,'3. Call duration'!$A:$C,3,0),"--")</f>
        <v>--</v>
      </c>
      <c r="J945" s="65" t="str">
        <f t="array" ref="J945">XLOOKUP(H945,'2. Matching'!$A$2:$A$39,'2. Matching'!$B$2:$B$39,"--")</f>
        <v>SEO</v>
      </c>
      <c r="K945" s="65" t="str">
        <f t="shared" si="1"/>
        <v>In</v>
      </c>
    </row>
    <row r="946">
      <c r="A946" s="62" t="s">
        <v>1084</v>
      </c>
      <c r="B946" s="63">
        <v>44355.0</v>
      </c>
      <c r="C946" s="62" t="s">
        <v>112</v>
      </c>
      <c r="D946" s="64">
        <v>0.0</v>
      </c>
      <c r="E946" s="62" t="s">
        <v>109</v>
      </c>
      <c r="F946" s="62" t="s">
        <v>110</v>
      </c>
      <c r="G946" s="64" t="s">
        <v>60</v>
      </c>
      <c r="H946" s="3" t="s">
        <v>68</v>
      </c>
      <c r="I946" s="65" t="str">
        <f>IFERROR(VLOOKUP(A946,'3. Call duration'!$A:$C,3,0),"--")</f>
        <v>--</v>
      </c>
      <c r="J946" s="65" t="str">
        <f t="array" ref="J946">XLOOKUP(H946,'2. Matching'!$A$2:$A$39,'2. Matching'!$B$2:$B$39,"--")</f>
        <v>Acquisition</v>
      </c>
      <c r="K946" s="65" t="str">
        <f t="shared" si="1"/>
        <v>In</v>
      </c>
    </row>
    <row r="947">
      <c r="A947" s="62" t="s">
        <v>1085</v>
      </c>
      <c r="B947" s="63">
        <v>44119.0</v>
      </c>
      <c r="C947" s="62" t="s">
        <v>112</v>
      </c>
      <c r="D947" s="64">
        <v>0.0</v>
      </c>
      <c r="E947" s="62" t="s">
        <v>109</v>
      </c>
      <c r="F947" s="62" t="s">
        <v>115</v>
      </c>
      <c r="G947" s="64" t="s">
        <v>64</v>
      </c>
      <c r="H947" s="3" t="s">
        <v>131</v>
      </c>
      <c r="I947" s="65" t="str">
        <f>IFERROR(VLOOKUP(A947,'3. Call duration'!$A:$C,3,0),"--")</f>
        <v>--</v>
      </c>
      <c r="J947" s="65" t="str">
        <f t="array" ref="J947">XLOOKUP(H947,'2. Matching'!$A$2:$A$39,'2. Matching'!$B$2:$B$39,"--")</f>
        <v>Acquisition</v>
      </c>
      <c r="K947" s="65" t="str">
        <f t="shared" si="1"/>
        <v>In</v>
      </c>
    </row>
    <row r="948">
      <c r="A948" s="62" t="s">
        <v>1086</v>
      </c>
      <c r="B948" s="63">
        <v>44350.0</v>
      </c>
      <c r="C948" s="62" t="s">
        <v>108</v>
      </c>
      <c r="D948" s="64">
        <v>0.0</v>
      </c>
      <c r="E948" s="62" t="s">
        <v>109</v>
      </c>
      <c r="F948" s="62" t="s">
        <v>110</v>
      </c>
      <c r="G948" s="64" t="s">
        <v>59</v>
      </c>
      <c r="H948" s="3" t="s">
        <v>68</v>
      </c>
      <c r="I948" s="65">
        <f>IFERROR(VLOOKUP(A948,'3. Call duration'!$A:$C,3,0),"--")</f>
        <v>23.19815931</v>
      </c>
      <c r="J948" s="65" t="str">
        <f t="array" ref="J948">XLOOKUP(H948,'2. Matching'!$A$2:$A$39,'2. Matching'!$B$2:$B$39,"--")</f>
        <v>Acquisition</v>
      </c>
      <c r="K948" s="65" t="str">
        <f t="shared" si="1"/>
        <v>In</v>
      </c>
    </row>
    <row r="949">
      <c r="A949" s="62" t="s">
        <v>1087</v>
      </c>
      <c r="B949" s="63">
        <v>44336.0</v>
      </c>
      <c r="C949" s="62" t="s">
        <v>119</v>
      </c>
      <c r="D949" s="64">
        <v>47.5</v>
      </c>
      <c r="E949" s="62" t="s">
        <v>109</v>
      </c>
      <c r="F949" s="62" t="s">
        <v>115</v>
      </c>
      <c r="G949" s="64" t="s">
        <v>62</v>
      </c>
      <c r="H949" s="3" t="s">
        <v>286</v>
      </c>
      <c r="I949" s="65">
        <f>IFERROR(VLOOKUP(A949,'3. Call duration'!$A:$C,3,0),"--")</f>
        <v>20.64551819</v>
      </c>
      <c r="J949" s="65" t="str">
        <f t="array" ref="J949">XLOOKUP(H949,'2. Matching'!$A$2:$A$39,'2. Matching'!$B$2:$B$39,"--")</f>
        <v>Farming</v>
      </c>
      <c r="K949" s="65" t="str">
        <f t="shared" si="1"/>
        <v>In</v>
      </c>
    </row>
    <row r="950">
      <c r="A950" s="62" t="s">
        <v>1088</v>
      </c>
      <c r="B950" s="63">
        <v>44362.0</v>
      </c>
      <c r="C950" s="62" t="s">
        <v>108</v>
      </c>
      <c r="D950" s="64">
        <v>0.0</v>
      </c>
      <c r="E950" s="62" t="s">
        <v>109</v>
      </c>
      <c r="F950" s="62" t="s">
        <v>115</v>
      </c>
      <c r="G950" s="64" t="s">
        <v>64</v>
      </c>
      <c r="H950" s="3" t="s">
        <v>54</v>
      </c>
      <c r="I950" s="65">
        <f>IFERROR(VLOOKUP(A950,'3. Call duration'!$A:$C,3,0),"--")</f>
        <v>14.4588988</v>
      </c>
      <c r="J950" s="65" t="str">
        <f t="array" ref="J950">XLOOKUP(H950,'2. Matching'!$A$2:$A$39,'2. Matching'!$B$2:$B$39,"--")</f>
        <v>Partnerships</v>
      </c>
      <c r="K950" s="65" t="str">
        <f t="shared" si="1"/>
        <v>In</v>
      </c>
    </row>
    <row r="951">
      <c r="A951" s="62" t="s">
        <v>1089</v>
      </c>
      <c r="B951" s="63">
        <v>44377.0</v>
      </c>
      <c r="C951" s="62" t="s">
        <v>112</v>
      </c>
      <c r="D951" s="64">
        <v>0.0</v>
      </c>
      <c r="E951" s="62" t="s">
        <v>109</v>
      </c>
      <c r="F951" s="62" t="s">
        <v>115</v>
      </c>
      <c r="G951" s="64" t="s">
        <v>64</v>
      </c>
      <c r="H951" s="3" t="s">
        <v>175</v>
      </c>
      <c r="I951" s="65" t="str">
        <f>IFERROR(VLOOKUP(A951,'3. Call duration'!$A:$C,3,0),"--")</f>
        <v>--</v>
      </c>
      <c r="J951" s="65" t="str">
        <f t="array" ref="J951">XLOOKUP(H951,'2. Matching'!$A$2:$A$39,'2. Matching'!$B$2:$B$39,"--")</f>
        <v>SEO</v>
      </c>
      <c r="K951" s="65" t="str">
        <f t="shared" si="1"/>
        <v>In</v>
      </c>
    </row>
    <row r="952">
      <c r="A952" s="62" t="s">
        <v>1090</v>
      </c>
      <c r="B952" s="63">
        <v>44287.0</v>
      </c>
      <c r="C952" s="62" t="s">
        <v>112</v>
      </c>
      <c r="D952" s="64">
        <v>0.0</v>
      </c>
      <c r="E952" s="62" t="s">
        <v>114</v>
      </c>
      <c r="F952" s="62" t="s">
        <v>110</v>
      </c>
      <c r="G952" s="64" t="s">
        <v>64</v>
      </c>
      <c r="H952" s="3" t="s">
        <v>297</v>
      </c>
      <c r="I952" s="65" t="str">
        <f>IFERROR(VLOOKUP(A952,'3. Call duration'!$A:$C,3,0),"--")</f>
        <v>--</v>
      </c>
      <c r="J952" s="65" t="str">
        <f t="array" ref="J952">XLOOKUP(H952,'2. Matching'!$A$2:$A$39,'2. Matching'!$B$2:$B$39,"--")</f>
        <v>Farming</v>
      </c>
      <c r="K952" s="65" t="str">
        <f t="shared" si="1"/>
        <v>In</v>
      </c>
    </row>
    <row r="953">
      <c r="A953" s="62" t="s">
        <v>1091</v>
      </c>
      <c r="B953" s="63">
        <v>44358.0</v>
      </c>
      <c r="C953" s="62" t="s">
        <v>108</v>
      </c>
      <c r="D953" s="64">
        <v>0.0</v>
      </c>
      <c r="E953" s="62" t="s">
        <v>109</v>
      </c>
      <c r="F953" s="62" t="s">
        <v>115</v>
      </c>
      <c r="G953" s="64" t="s">
        <v>59</v>
      </c>
      <c r="H953" s="3" t="s">
        <v>68</v>
      </c>
      <c r="I953" s="65">
        <f>IFERROR(VLOOKUP(A953,'3. Call duration'!$A:$C,3,0),"--")</f>
        <v>25.51584239</v>
      </c>
      <c r="J953" s="65" t="str">
        <f t="array" ref="J953">XLOOKUP(H953,'2. Matching'!$A$2:$A$39,'2. Matching'!$B$2:$B$39,"--")</f>
        <v>Acquisition</v>
      </c>
      <c r="K953" s="65" t="str">
        <f t="shared" si="1"/>
        <v>In</v>
      </c>
    </row>
    <row r="954">
      <c r="A954" s="62" t="s">
        <v>1092</v>
      </c>
      <c r="B954" s="63">
        <v>44379.0</v>
      </c>
      <c r="C954" s="62" t="s">
        <v>112</v>
      </c>
      <c r="D954" s="64">
        <v>0.0</v>
      </c>
      <c r="E954" s="62" t="s">
        <v>109</v>
      </c>
      <c r="F954" s="62" t="s">
        <v>110</v>
      </c>
      <c r="G954" s="64" t="s">
        <v>60</v>
      </c>
      <c r="H954" s="3" t="s">
        <v>68</v>
      </c>
      <c r="I954" s="65" t="str">
        <f>IFERROR(VLOOKUP(A954,'3. Call duration'!$A:$C,3,0),"--")</f>
        <v>--</v>
      </c>
      <c r="J954" s="65" t="str">
        <f t="array" ref="J954">XLOOKUP(H954,'2. Matching'!$A$2:$A$39,'2. Matching'!$B$2:$B$39,"--")</f>
        <v>Acquisition</v>
      </c>
      <c r="K954" s="65" t="str">
        <f t="shared" si="1"/>
        <v>In</v>
      </c>
    </row>
    <row r="955">
      <c r="A955" s="62" t="s">
        <v>1093</v>
      </c>
      <c r="B955" s="63">
        <v>44361.0</v>
      </c>
      <c r="C955" s="62" t="s">
        <v>108</v>
      </c>
      <c r="D955" s="64">
        <v>0.0</v>
      </c>
      <c r="E955" s="62" t="s">
        <v>109</v>
      </c>
      <c r="F955" s="62" t="s">
        <v>110</v>
      </c>
      <c r="G955" s="64" t="s">
        <v>60</v>
      </c>
      <c r="H955" s="3" t="s">
        <v>67</v>
      </c>
      <c r="I955" s="65">
        <f>IFERROR(VLOOKUP(A955,'3. Call duration'!$A:$C,3,0),"--")</f>
        <v>30.23216822</v>
      </c>
      <c r="J955" s="65" t="str">
        <f t="array" ref="J955">XLOOKUP(H955,'2. Matching'!$A$2:$A$39,'2. Matching'!$B$2:$B$39,"--")</f>
        <v>Acquisition</v>
      </c>
      <c r="K955" s="65" t="str">
        <f t="shared" si="1"/>
        <v>In</v>
      </c>
    </row>
    <row r="956">
      <c r="A956" s="62" t="s">
        <v>1094</v>
      </c>
      <c r="B956" s="63">
        <v>44336.0</v>
      </c>
      <c r="C956" s="62" t="s">
        <v>119</v>
      </c>
      <c r="D956" s="64">
        <v>47.5</v>
      </c>
      <c r="E956" s="62" t="s">
        <v>109</v>
      </c>
      <c r="F956" s="62" t="s">
        <v>115</v>
      </c>
      <c r="G956" s="64" t="s">
        <v>63</v>
      </c>
      <c r="H956" s="3" t="s">
        <v>189</v>
      </c>
      <c r="I956" s="65">
        <f>IFERROR(VLOOKUP(A956,'3. Call duration'!$A:$C,3,0),"--")</f>
        <v>20.64879199</v>
      </c>
      <c r="J956" s="65" t="str">
        <f t="array" ref="J956">XLOOKUP(H956,'2. Matching'!$A$2:$A$39,'2. Matching'!$B$2:$B$39,"--")</f>
        <v>SEO</v>
      </c>
      <c r="K956" s="65" t="str">
        <f t="shared" si="1"/>
        <v>Out</v>
      </c>
    </row>
    <row r="957">
      <c r="A957" s="62" t="s">
        <v>1095</v>
      </c>
      <c r="B957" s="63">
        <v>44293.0</v>
      </c>
      <c r="C957" s="62" t="s">
        <v>108</v>
      </c>
      <c r="D957" s="64">
        <v>0.0</v>
      </c>
      <c r="E957" s="62" t="s">
        <v>109</v>
      </c>
      <c r="F957" s="62" t="s">
        <v>115</v>
      </c>
      <c r="G957" s="64" t="s">
        <v>64</v>
      </c>
      <c r="H957" s="3" t="s">
        <v>141</v>
      </c>
      <c r="I957" s="65">
        <f>IFERROR(VLOOKUP(A957,'3. Call duration'!$A:$C,3,0),"--")</f>
        <v>15.77024295</v>
      </c>
      <c r="J957" s="65" t="str">
        <f t="array" ref="J957">XLOOKUP(H957,'2. Matching'!$A$2:$A$39,'2. Matching'!$B$2:$B$39,"--")</f>
        <v>Acquisition</v>
      </c>
      <c r="K957" s="65" t="str">
        <f t="shared" si="1"/>
        <v>In</v>
      </c>
    </row>
    <row r="958">
      <c r="A958" s="62" t="s">
        <v>1096</v>
      </c>
      <c r="B958" s="63">
        <v>44369.0</v>
      </c>
      <c r="C958" s="62" t="s">
        <v>108</v>
      </c>
      <c r="D958" s="64">
        <v>0.0</v>
      </c>
      <c r="E958" s="62" t="s">
        <v>109</v>
      </c>
      <c r="F958" s="62" t="s">
        <v>110</v>
      </c>
      <c r="G958" s="64" t="s">
        <v>61</v>
      </c>
      <c r="H958" s="3" t="s">
        <v>69</v>
      </c>
      <c r="I958" s="65">
        <f>IFERROR(VLOOKUP(A958,'3. Call duration'!$A:$C,3,0),"--")</f>
        <v>33.2438466</v>
      </c>
      <c r="J958" s="65" t="str">
        <f t="array" ref="J958">XLOOKUP(H958,'2. Matching'!$A$2:$A$39,'2. Matching'!$B$2:$B$39,"--")</f>
        <v>Acquisition</v>
      </c>
      <c r="K958" s="65" t="str">
        <f t="shared" si="1"/>
        <v>In</v>
      </c>
    </row>
    <row r="959">
      <c r="A959" s="62" t="s">
        <v>1097</v>
      </c>
      <c r="B959" s="63">
        <v>44130.0</v>
      </c>
      <c r="C959" s="62" t="s">
        <v>108</v>
      </c>
      <c r="D959" s="64">
        <v>0.0</v>
      </c>
      <c r="E959" s="62" t="s">
        <v>114</v>
      </c>
      <c r="F959" s="62" t="s">
        <v>110</v>
      </c>
      <c r="G959" s="64" t="s">
        <v>62</v>
      </c>
      <c r="H959" s="3" t="s">
        <v>294</v>
      </c>
      <c r="I959" s="65">
        <f>IFERROR(VLOOKUP(A959,'3. Call duration'!$A:$C,3,0),"--")</f>
        <v>31.18436935</v>
      </c>
      <c r="J959" s="65" t="str">
        <f t="array" ref="J959">XLOOKUP(H959,'2. Matching'!$A$2:$A$39,'2. Matching'!$B$2:$B$39,"--")</f>
        <v>Farming</v>
      </c>
      <c r="K959" s="65" t="str">
        <f t="shared" si="1"/>
        <v>In</v>
      </c>
    </row>
    <row r="960">
      <c r="A960" s="62" t="s">
        <v>1098</v>
      </c>
      <c r="B960" s="63">
        <v>44274.0</v>
      </c>
      <c r="C960" s="62" t="s">
        <v>112</v>
      </c>
      <c r="D960" s="64">
        <v>0.0</v>
      </c>
      <c r="E960" s="62" t="s">
        <v>109</v>
      </c>
      <c r="F960" s="62" t="s">
        <v>110</v>
      </c>
      <c r="G960" s="64" t="s">
        <v>64</v>
      </c>
      <c r="H960" s="3" t="s">
        <v>297</v>
      </c>
      <c r="I960" s="65" t="str">
        <f>IFERROR(VLOOKUP(A960,'3. Call duration'!$A:$C,3,0),"--")</f>
        <v>--</v>
      </c>
      <c r="J960" s="65" t="str">
        <f t="array" ref="J960">XLOOKUP(H960,'2. Matching'!$A$2:$A$39,'2. Matching'!$B$2:$B$39,"--")</f>
        <v>Farming</v>
      </c>
      <c r="K960" s="65" t="str">
        <f t="shared" si="1"/>
        <v>In</v>
      </c>
    </row>
    <row r="961">
      <c r="A961" s="62" t="s">
        <v>1099</v>
      </c>
      <c r="B961" s="63">
        <v>44280.0</v>
      </c>
      <c r="C961" s="62" t="s">
        <v>108</v>
      </c>
      <c r="D961" s="64">
        <v>0.0</v>
      </c>
      <c r="E961" s="62" t="s">
        <v>109</v>
      </c>
      <c r="F961" s="62" t="s">
        <v>110</v>
      </c>
      <c r="G961" s="64" t="s">
        <v>64</v>
      </c>
      <c r="H961" s="3" t="s">
        <v>116</v>
      </c>
      <c r="I961" s="65">
        <f>IFERROR(VLOOKUP(A961,'3. Call duration'!$A:$C,3,0),"--")</f>
        <v>20.5823431</v>
      </c>
      <c r="J961" s="65" t="str">
        <f t="array" ref="J961">XLOOKUP(H961,'2. Matching'!$A$2:$A$39,'2. Matching'!$B$2:$B$39,"--")</f>
        <v>Acquisition</v>
      </c>
      <c r="K961" s="65" t="str">
        <f t="shared" si="1"/>
        <v>In</v>
      </c>
    </row>
    <row r="962">
      <c r="A962" s="62" t="s">
        <v>1100</v>
      </c>
      <c r="B962" s="63">
        <v>44342.0</v>
      </c>
      <c r="C962" s="62" t="s">
        <v>119</v>
      </c>
      <c r="D962" s="64">
        <v>47.5</v>
      </c>
      <c r="E962" s="62" t="s">
        <v>109</v>
      </c>
      <c r="F962" s="62" t="s">
        <v>110</v>
      </c>
      <c r="G962" s="64" t="s">
        <v>64</v>
      </c>
      <c r="H962" s="3" t="s">
        <v>175</v>
      </c>
      <c r="I962" s="65">
        <f>IFERROR(VLOOKUP(A962,'3. Call duration'!$A:$C,3,0),"--")</f>
        <v>20.66518143</v>
      </c>
      <c r="J962" s="65" t="str">
        <f t="array" ref="J962">XLOOKUP(H962,'2. Matching'!$A$2:$A$39,'2. Matching'!$B$2:$B$39,"--")</f>
        <v>SEO</v>
      </c>
      <c r="K962" s="65" t="str">
        <f t="shared" si="1"/>
        <v>In</v>
      </c>
    </row>
    <row r="963">
      <c r="A963" s="62" t="s">
        <v>1101</v>
      </c>
      <c r="B963" s="63">
        <v>44368.0</v>
      </c>
      <c r="C963" s="62" t="s">
        <v>112</v>
      </c>
      <c r="D963" s="64">
        <v>0.0</v>
      </c>
      <c r="E963" s="62" t="s">
        <v>109</v>
      </c>
      <c r="F963" s="62" t="s">
        <v>110</v>
      </c>
      <c r="G963" s="64" t="s">
        <v>63</v>
      </c>
      <c r="H963" s="3" t="s">
        <v>183</v>
      </c>
      <c r="I963" s="65" t="str">
        <f>IFERROR(VLOOKUP(A963,'3. Call duration'!$A:$C,3,0),"--")</f>
        <v>--</v>
      </c>
      <c r="J963" s="65" t="str">
        <f t="array" ref="J963">XLOOKUP(H963,'2. Matching'!$A$2:$A$39,'2. Matching'!$B$2:$B$39,"--")</f>
        <v>SEO</v>
      </c>
      <c r="K963" s="65" t="str">
        <f t="shared" si="1"/>
        <v>In</v>
      </c>
    </row>
    <row r="964">
      <c r="A964" s="62" t="s">
        <v>1102</v>
      </c>
      <c r="B964" s="63">
        <v>44161.0</v>
      </c>
      <c r="C964" s="62" t="s">
        <v>112</v>
      </c>
      <c r="D964" s="64">
        <v>0.0</v>
      </c>
      <c r="E964" s="62" t="s">
        <v>114</v>
      </c>
      <c r="F964" s="62" t="s">
        <v>110</v>
      </c>
      <c r="G964" s="64" t="s">
        <v>64</v>
      </c>
      <c r="H964" s="3" t="s">
        <v>131</v>
      </c>
      <c r="I964" s="65" t="str">
        <f>IFERROR(VLOOKUP(A964,'3. Call duration'!$A:$C,3,0),"--")</f>
        <v>--</v>
      </c>
      <c r="J964" s="65" t="str">
        <f t="array" ref="J964">XLOOKUP(H964,'2. Matching'!$A$2:$A$39,'2. Matching'!$B$2:$B$39,"--")</f>
        <v>Acquisition</v>
      </c>
      <c r="K964" s="65" t="str">
        <f t="shared" si="1"/>
        <v>In</v>
      </c>
    </row>
    <row r="965">
      <c r="A965" s="62" t="s">
        <v>1103</v>
      </c>
      <c r="B965" s="63">
        <v>44334.0</v>
      </c>
      <c r="C965" s="62" t="s">
        <v>119</v>
      </c>
      <c r="D965" s="64">
        <v>47.5</v>
      </c>
      <c r="E965" s="62" t="s">
        <v>109</v>
      </c>
      <c r="F965" s="62" t="s">
        <v>115</v>
      </c>
      <c r="G965" s="64" t="s">
        <v>64</v>
      </c>
      <c r="H965" s="3" t="s">
        <v>185</v>
      </c>
      <c r="I965" s="65">
        <f>IFERROR(VLOOKUP(A965,'3. Call duration'!$A:$C,3,0),"--")</f>
        <v>20.68894295</v>
      </c>
      <c r="J965" s="65" t="str">
        <f t="array" ref="J965">XLOOKUP(H965,'2. Matching'!$A$2:$A$39,'2. Matching'!$B$2:$B$39,"--")</f>
        <v>SEO</v>
      </c>
      <c r="K965" s="65" t="str">
        <f t="shared" si="1"/>
        <v>In</v>
      </c>
    </row>
    <row r="966">
      <c r="A966" s="62" t="s">
        <v>1104</v>
      </c>
      <c r="B966" s="63">
        <v>44118.0</v>
      </c>
      <c r="C966" s="62" t="s">
        <v>112</v>
      </c>
      <c r="D966" s="64">
        <v>0.0</v>
      </c>
      <c r="E966" s="62" t="s">
        <v>109</v>
      </c>
      <c r="F966" s="62" t="s">
        <v>115</v>
      </c>
      <c r="G966" s="64" t="s">
        <v>64</v>
      </c>
      <c r="H966" s="3" t="s">
        <v>164</v>
      </c>
      <c r="I966" s="65" t="str">
        <f>IFERROR(VLOOKUP(A966,'3. Call duration'!$A:$C,3,0),"--")</f>
        <v>--</v>
      </c>
      <c r="J966" s="65" t="str">
        <f t="array" ref="J966">XLOOKUP(H966,'2. Matching'!$A$2:$A$39,'2. Matching'!$B$2:$B$39,"--")</f>
        <v>SEO</v>
      </c>
      <c r="K966" s="65" t="str">
        <f t="shared" si="1"/>
        <v>In</v>
      </c>
    </row>
    <row r="967">
      <c r="A967" s="62" t="s">
        <v>1105</v>
      </c>
      <c r="B967" s="63">
        <v>44260.0</v>
      </c>
      <c r="C967" s="62" t="s">
        <v>108</v>
      </c>
      <c r="D967" s="64">
        <v>0.0</v>
      </c>
      <c r="E967" s="62" t="s">
        <v>114</v>
      </c>
      <c r="F967" s="62" t="s">
        <v>110</v>
      </c>
      <c r="G967" s="64" t="s">
        <v>64</v>
      </c>
      <c r="H967" s="3" t="s">
        <v>297</v>
      </c>
      <c r="I967" s="65">
        <f>IFERROR(VLOOKUP(A967,'3. Call duration'!$A:$C,3,0),"--")</f>
        <v>33.20348193</v>
      </c>
      <c r="J967" s="65" t="str">
        <f t="array" ref="J967">XLOOKUP(H967,'2. Matching'!$A$2:$A$39,'2. Matching'!$B$2:$B$39,"--")</f>
        <v>Farming</v>
      </c>
      <c r="K967" s="65" t="str">
        <f t="shared" si="1"/>
        <v>In</v>
      </c>
    </row>
    <row r="968">
      <c r="A968" s="62" t="s">
        <v>1106</v>
      </c>
      <c r="B968" s="63">
        <v>44306.0</v>
      </c>
      <c r="C968" s="62" t="s">
        <v>112</v>
      </c>
      <c r="D968" s="64">
        <v>0.0</v>
      </c>
      <c r="E968" s="62" t="s">
        <v>109</v>
      </c>
      <c r="F968" s="62" t="s">
        <v>110</v>
      </c>
      <c r="G968" s="64" t="s">
        <v>64</v>
      </c>
      <c r="H968" s="3" t="s">
        <v>131</v>
      </c>
      <c r="I968" s="65" t="str">
        <f>IFERROR(VLOOKUP(A968,'3. Call duration'!$A:$C,3,0),"--")</f>
        <v>--</v>
      </c>
      <c r="J968" s="65" t="str">
        <f t="array" ref="J968">XLOOKUP(H968,'2. Matching'!$A$2:$A$39,'2. Matching'!$B$2:$B$39,"--")</f>
        <v>Acquisition</v>
      </c>
      <c r="K968" s="65" t="str">
        <f t="shared" si="1"/>
        <v>In</v>
      </c>
    </row>
    <row r="969">
      <c r="A969" s="62" t="s">
        <v>1107</v>
      </c>
      <c r="B969" s="63">
        <v>44271.0</v>
      </c>
      <c r="C969" s="62" t="s">
        <v>108</v>
      </c>
      <c r="D969" s="64">
        <v>0.0</v>
      </c>
      <c r="E969" s="62" t="s">
        <v>109</v>
      </c>
      <c r="F969" s="62" t="s">
        <v>110</v>
      </c>
      <c r="G969" s="64" t="s">
        <v>63</v>
      </c>
      <c r="H969" s="3" t="s">
        <v>189</v>
      </c>
      <c r="I969" s="65">
        <f>IFERROR(VLOOKUP(A969,'3. Call duration'!$A:$C,3,0),"--")</f>
        <v>28.10152476</v>
      </c>
      <c r="J969" s="65" t="str">
        <f t="array" ref="J969">XLOOKUP(H969,'2. Matching'!$A$2:$A$39,'2. Matching'!$B$2:$B$39,"--")</f>
        <v>SEO</v>
      </c>
      <c r="K969" s="65" t="str">
        <f t="shared" si="1"/>
        <v>Out</v>
      </c>
    </row>
    <row r="970">
      <c r="A970" s="62" t="s">
        <v>1108</v>
      </c>
      <c r="B970" s="63">
        <v>44260.0</v>
      </c>
      <c r="C970" s="62" t="s">
        <v>112</v>
      </c>
      <c r="D970" s="64">
        <v>0.0</v>
      </c>
      <c r="E970" s="62" t="s">
        <v>109</v>
      </c>
      <c r="F970" s="62" t="s">
        <v>110</v>
      </c>
      <c r="G970" s="64" t="s">
        <v>63</v>
      </c>
      <c r="H970" s="3" t="s">
        <v>128</v>
      </c>
      <c r="I970" s="65" t="str">
        <f>IFERROR(VLOOKUP(A970,'3. Call duration'!$A:$C,3,0),"--")</f>
        <v>--</v>
      </c>
      <c r="J970" s="65" t="str">
        <f t="array" ref="J970">XLOOKUP(H970,'2. Matching'!$A$2:$A$39,'2. Matching'!$B$2:$B$39,"--")</f>
        <v>Acquisition</v>
      </c>
      <c r="K970" s="65" t="str">
        <f t="shared" si="1"/>
        <v>In</v>
      </c>
    </row>
    <row r="971">
      <c r="A971" s="62" t="s">
        <v>1109</v>
      </c>
      <c r="B971" s="63">
        <v>44223.0</v>
      </c>
      <c r="C971" s="62" t="s">
        <v>112</v>
      </c>
      <c r="D971" s="64">
        <v>0.0</v>
      </c>
      <c r="E971" s="62" t="s">
        <v>109</v>
      </c>
      <c r="F971" s="62" t="s">
        <v>115</v>
      </c>
      <c r="G971" s="64" t="s">
        <v>64</v>
      </c>
      <c r="H971" s="3" t="s">
        <v>175</v>
      </c>
      <c r="I971" s="65" t="str">
        <f>IFERROR(VLOOKUP(A971,'3. Call duration'!$A:$C,3,0),"--")</f>
        <v>--</v>
      </c>
      <c r="J971" s="65" t="str">
        <f t="array" ref="J971">XLOOKUP(H971,'2. Matching'!$A$2:$A$39,'2. Matching'!$B$2:$B$39,"--")</f>
        <v>SEO</v>
      </c>
      <c r="K971" s="65" t="str">
        <f t="shared" si="1"/>
        <v>In</v>
      </c>
    </row>
    <row r="972">
      <c r="A972" s="62" t="s">
        <v>1110</v>
      </c>
      <c r="B972" s="63">
        <v>44384.0</v>
      </c>
      <c r="C972" s="62" t="s">
        <v>112</v>
      </c>
      <c r="D972" s="64">
        <v>0.0</v>
      </c>
      <c r="E972" s="62" t="s">
        <v>109</v>
      </c>
      <c r="F972" s="62" t="s">
        <v>110</v>
      </c>
      <c r="G972" s="64" t="s">
        <v>60</v>
      </c>
      <c r="H972" s="3" t="s">
        <v>68</v>
      </c>
      <c r="I972" s="65" t="str">
        <f>IFERROR(VLOOKUP(A972,'3. Call duration'!$A:$C,3,0),"--")</f>
        <v>--</v>
      </c>
      <c r="J972" s="65" t="str">
        <f t="array" ref="J972">XLOOKUP(H972,'2. Matching'!$A$2:$A$39,'2. Matching'!$B$2:$B$39,"--")</f>
        <v>Acquisition</v>
      </c>
      <c r="K972" s="65" t="str">
        <f t="shared" si="1"/>
        <v>In</v>
      </c>
    </row>
    <row r="973">
      <c r="A973" s="62" t="s">
        <v>1111</v>
      </c>
      <c r="B973" s="63">
        <v>44348.0</v>
      </c>
      <c r="C973" s="62" t="s">
        <v>112</v>
      </c>
      <c r="D973" s="64">
        <v>0.0</v>
      </c>
      <c r="E973" s="62" t="s">
        <v>109</v>
      </c>
      <c r="F973" s="62" t="s">
        <v>115</v>
      </c>
      <c r="G973" s="64" t="s">
        <v>64</v>
      </c>
      <c r="H973" s="3" t="s">
        <v>185</v>
      </c>
      <c r="I973" s="65" t="str">
        <f>IFERROR(VLOOKUP(A973,'3. Call duration'!$A:$C,3,0),"--")</f>
        <v>--</v>
      </c>
      <c r="J973" s="65" t="str">
        <f t="array" ref="J973">XLOOKUP(H973,'2. Matching'!$A$2:$A$39,'2. Matching'!$B$2:$B$39,"--")</f>
        <v>SEO</v>
      </c>
      <c r="K973" s="65" t="str">
        <f t="shared" si="1"/>
        <v>In</v>
      </c>
    </row>
    <row r="974">
      <c r="A974" s="62" t="s">
        <v>1112</v>
      </c>
      <c r="B974" s="63">
        <v>44291.0</v>
      </c>
      <c r="C974" s="62" t="s">
        <v>108</v>
      </c>
      <c r="D974" s="64">
        <v>0.0</v>
      </c>
      <c r="E974" s="62" t="s">
        <v>109</v>
      </c>
      <c r="F974" s="62" t="s">
        <v>115</v>
      </c>
      <c r="G974" s="64" t="s">
        <v>64</v>
      </c>
      <c r="H974" s="3" t="s">
        <v>169</v>
      </c>
      <c r="I974" s="65">
        <f>IFERROR(VLOOKUP(A974,'3. Call duration'!$A:$C,3,0),"--")</f>
        <v>25.43375259</v>
      </c>
      <c r="J974" s="65" t="str">
        <f t="array" ref="J974">XLOOKUP(H974,'2. Matching'!$A$2:$A$39,'2. Matching'!$B$2:$B$39,"--")</f>
        <v>SEO</v>
      </c>
      <c r="K974" s="65" t="str">
        <f t="shared" si="1"/>
        <v>In</v>
      </c>
    </row>
    <row r="975">
      <c r="A975" s="62" t="s">
        <v>1113</v>
      </c>
      <c r="B975" s="63">
        <v>44280.0</v>
      </c>
      <c r="C975" s="62" t="s">
        <v>112</v>
      </c>
      <c r="D975" s="64">
        <v>0.0</v>
      </c>
      <c r="E975" s="62" t="s">
        <v>109</v>
      </c>
      <c r="F975" s="62" t="s">
        <v>110</v>
      </c>
      <c r="G975" s="64" t="s">
        <v>64</v>
      </c>
      <c r="H975" s="3" t="s">
        <v>52</v>
      </c>
      <c r="I975" s="65" t="str">
        <f>IFERROR(VLOOKUP(A975,'3. Call duration'!$A:$C,3,0),"--")</f>
        <v>--</v>
      </c>
      <c r="J975" s="65" t="str">
        <f t="array" ref="J975">XLOOKUP(H975,'2. Matching'!$A$2:$A$39,'2. Matching'!$B$2:$B$39,"--")</f>
        <v>Partnerships</v>
      </c>
      <c r="K975" s="65" t="str">
        <f t="shared" si="1"/>
        <v>In</v>
      </c>
    </row>
    <row r="976">
      <c r="A976" s="62" t="s">
        <v>1114</v>
      </c>
      <c r="B976" s="63">
        <v>44172.0</v>
      </c>
      <c r="C976" s="62" t="s">
        <v>112</v>
      </c>
      <c r="D976" s="64">
        <v>0.0</v>
      </c>
      <c r="E976" s="62" t="s">
        <v>109</v>
      </c>
      <c r="F976" s="62" t="s">
        <v>110</v>
      </c>
      <c r="G976" s="64" t="s">
        <v>64</v>
      </c>
      <c r="H976" s="3" t="s">
        <v>175</v>
      </c>
      <c r="I976" s="65" t="str">
        <f>IFERROR(VLOOKUP(A976,'3. Call duration'!$A:$C,3,0),"--")</f>
        <v>--</v>
      </c>
      <c r="J976" s="65" t="str">
        <f t="array" ref="J976">XLOOKUP(H976,'2. Matching'!$A$2:$A$39,'2. Matching'!$B$2:$B$39,"--")</f>
        <v>SEO</v>
      </c>
      <c r="K976" s="65" t="str">
        <f t="shared" si="1"/>
        <v>In</v>
      </c>
    </row>
    <row r="977">
      <c r="A977" s="62" t="s">
        <v>1115</v>
      </c>
      <c r="B977" s="63">
        <v>44217.0</v>
      </c>
      <c r="C977" s="62" t="s">
        <v>112</v>
      </c>
      <c r="D977" s="64">
        <v>0.0</v>
      </c>
      <c r="E977" s="62" t="s">
        <v>114</v>
      </c>
      <c r="F977" s="62" t="s">
        <v>110</v>
      </c>
      <c r="G977" s="64" t="s">
        <v>64</v>
      </c>
      <c r="H977" s="3" t="s">
        <v>139</v>
      </c>
      <c r="I977" s="65" t="str">
        <f>IFERROR(VLOOKUP(A977,'3. Call duration'!$A:$C,3,0),"--")</f>
        <v>--</v>
      </c>
      <c r="J977" s="65" t="str">
        <f t="array" ref="J977">XLOOKUP(H977,'2. Matching'!$A$2:$A$39,'2. Matching'!$B$2:$B$39,"--")</f>
        <v>Acquisition</v>
      </c>
      <c r="K977" s="65" t="str">
        <f t="shared" si="1"/>
        <v>In</v>
      </c>
    </row>
    <row r="978">
      <c r="A978" s="62" t="s">
        <v>1116</v>
      </c>
      <c r="B978" s="63">
        <v>44165.0</v>
      </c>
      <c r="C978" s="62" t="s">
        <v>108</v>
      </c>
      <c r="D978" s="64">
        <v>0.0</v>
      </c>
      <c r="E978" s="62" t="s">
        <v>109</v>
      </c>
      <c r="F978" s="62" t="s">
        <v>115</v>
      </c>
      <c r="G978" s="64" t="s">
        <v>62</v>
      </c>
      <c r="H978" s="3" t="s">
        <v>286</v>
      </c>
      <c r="I978" s="65">
        <f>IFERROR(VLOOKUP(A978,'3. Call duration'!$A:$C,3,0),"--")</f>
        <v>20.93755379</v>
      </c>
      <c r="J978" s="65" t="str">
        <f t="array" ref="J978">XLOOKUP(H978,'2. Matching'!$A$2:$A$39,'2. Matching'!$B$2:$B$39,"--")</f>
        <v>Farming</v>
      </c>
      <c r="K978" s="65" t="str">
        <f t="shared" si="1"/>
        <v>In</v>
      </c>
    </row>
    <row r="979">
      <c r="A979" s="62" t="s">
        <v>1117</v>
      </c>
      <c r="B979" s="63">
        <v>44266.0</v>
      </c>
      <c r="C979" s="62" t="s">
        <v>112</v>
      </c>
      <c r="D979" s="64">
        <v>0.0</v>
      </c>
      <c r="E979" s="62" t="s">
        <v>109</v>
      </c>
      <c r="F979" s="62" t="s">
        <v>110</v>
      </c>
      <c r="G979" s="64" t="s">
        <v>64</v>
      </c>
      <c r="H979" s="3" t="s">
        <v>139</v>
      </c>
      <c r="I979" s="65" t="str">
        <f>IFERROR(VLOOKUP(A979,'3. Call duration'!$A:$C,3,0),"--")</f>
        <v>--</v>
      </c>
      <c r="J979" s="65" t="str">
        <f t="array" ref="J979">XLOOKUP(H979,'2. Matching'!$A$2:$A$39,'2. Matching'!$B$2:$B$39,"--")</f>
        <v>Acquisition</v>
      </c>
      <c r="K979" s="65" t="str">
        <f t="shared" si="1"/>
        <v>In</v>
      </c>
    </row>
    <row r="980">
      <c r="A980" s="62" t="s">
        <v>1118</v>
      </c>
      <c r="B980" s="63">
        <v>44125.0</v>
      </c>
      <c r="C980" s="62" t="s">
        <v>112</v>
      </c>
      <c r="D980" s="64">
        <v>0.0</v>
      </c>
      <c r="E980" s="62" t="s">
        <v>114</v>
      </c>
      <c r="F980" s="62" t="s">
        <v>110</v>
      </c>
      <c r="G980" s="64" t="s">
        <v>62</v>
      </c>
      <c r="H980" s="3" t="s">
        <v>286</v>
      </c>
      <c r="I980" s="65" t="str">
        <f>IFERROR(VLOOKUP(A980,'3. Call duration'!$A:$C,3,0),"--")</f>
        <v>--</v>
      </c>
      <c r="J980" s="65" t="str">
        <f t="array" ref="J980">XLOOKUP(H980,'2. Matching'!$A$2:$A$39,'2. Matching'!$B$2:$B$39,"--")</f>
        <v>Farming</v>
      </c>
      <c r="K980" s="65" t="str">
        <f t="shared" si="1"/>
        <v>In</v>
      </c>
    </row>
    <row r="981">
      <c r="A981" s="62" t="s">
        <v>1119</v>
      </c>
      <c r="B981" s="63">
        <v>44295.0</v>
      </c>
      <c r="C981" s="62" t="s">
        <v>112</v>
      </c>
      <c r="D981" s="64">
        <v>0.0</v>
      </c>
      <c r="E981" s="62" t="s">
        <v>109</v>
      </c>
      <c r="F981" s="62" t="s">
        <v>110</v>
      </c>
      <c r="G981" s="64" t="s">
        <v>64</v>
      </c>
      <c r="H981" s="3" t="s">
        <v>52</v>
      </c>
      <c r="I981" s="65" t="str">
        <f>IFERROR(VLOOKUP(A981,'3. Call duration'!$A:$C,3,0),"--")</f>
        <v>--</v>
      </c>
      <c r="J981" s="65" t="str">
        <f t="array" ref="J981">XLOOKUP(H981,'2. Matching'!$A$2:$A$39,'2. Matching'!$B$2:$B$39,"--")</f>
        <v>Partnerships</v>
      </c>
      <c r="K981" s="65" t="str">
        <f t="shared" si="1"/>
        <v>In</v>
      </c>
    </row>
    <row r="982">
      <c r="A982" s="62" t="s">
        <v>1120</v>
      </c>
      <c r="B982" s="63">
        <v>44354.0</v>
      </c>
      <c r="C982" s="62" t="s">
        <v>108</v>
      </c>
      <c r="D982" s="64">
        <v>0.0</v>
      </c>
      <c r="E982" s="62" t="s">
        <v>109</v>
      </c>
      <c r="F982" s="62" t="s">
        <v>115</v>
      </c>
      <c r="G982" s="64" t="s">
        <v>60</v>
      </c>
      <c r="H982" s="3" t="s">
        <v>68</v>
      </c>
      <c r="I982" s="65">
        <f>IFERROR(VLOOKUP(A982,'3. Call duration'!$A:$C,3,0),"--")</f>
        <v>32.96836173</v>
      </c>
      <c r="J982" s="65" t="str">
        <f t="array" ref="J982">XLOOKUP(H982,'2. Matching'!$A$2:$A$39,'2. Matching'!$B$2:$B$39,"--")</f>
        <v>Acquisition</v>
      </c>
      <c r="K982" s="65" t="str">
        <f t="shared" si="1"/>
        <v>In</v>
      </c>
    </row>
    <row r="983">
      <c r="A983" s="62" t="s">
        <v>1121</v>
      </c>
      <c r="B983" s="63">
        <v>44378.0</v>
      </c>
      <c r="C983" s="62" t="s">
        <v>112</v>
      </c>
      <c r="D983" s="64">
        <v>0.0</v>
      </c>
      <c r="E983" s="62" t="s">
        <v>109</v>
      </c>
      <c r="F983" s="62" t="s">
        <v>110</v>
      </c>
      <c r="G983" s="64" t="s">
        <v>60</v>
      </c>
      <c r="H983" s="3" t="s">
        <v>67</v>
      </c>
      <c r="I983" s="65" t="str">
        <f>IFERROR(VLOOKUP(A983,'3. Call duration'!$A:$C,3,0),"--")</f>
        <v>--</v>
      </c>
      <c r="J983" s="65" t="str">
        <f t="array" ref="J983">XLOOKUP(H983,'2. Matching'!$A$2:$A$39,'2. Matching'!$B$2:$B$39,"--")</f>
        <v>Acquisition</v>
      </c>
      <c r="K983" s="65" t="str">
        <f t="shared" si="1"/>
        <v>In</v>
      </c>
    </row>
    <row r="984">
      <c r="A984" s="62" t="s">
        <v>1122</v>
      </c>
      <c r="B984" s="63">
        <v>44158.0</v>
      </c>
      <c r="C984" s="62" t="s">
        <v>108</v>
      </c>
      <c r="D984" s="64">
        <v>0.0</v>
      </c>
      <c r="E984" s="62" t="s">
        <v>114</v>
      </c>
      <c r="F984" s="62" t="s">
        <v>115</v>
      </c>
      <c r="G984" s="64" t="s">
        <v>64</v>
      </c>
      <c r="H984" s="3" t="s">
        <v>175</v>
      </c>
      <c r="I984" s="65">
        <f>IFERROR(VLOOKUP(A984,'3. Call duration'!$A:$C,3,0),"--")</f>
        <v>22.18696561</v>
      </c>
      <c r="J984" s="65" t="str">
        <f t="array" ref="J984">XLOOKUP(H984,'2. Matching'!$A$2:$A$39,'2. Matching'!$B$2:$B$39,"--")</f>
        <v>SEO</v>
      </c>
      <c r="K984" s="65" t="str">
        <f t="shared" si="1"/>
        <v>In</v>
      </c>
    </row>
    <row r="985">
      <c r="A985" s="62" t="s">
        <v>1123</v>
      </c>
      <c r="B985" s="63">
        <v>44172.0</v>
      </c>
      <c r="C985" s="62" t="s">
        <v>108</v>
      </c>
      <c r="D985" s="64">
        <v>0.0</v>
      </c>
      <c r="E985" s="62" t="s">
        <v>109</v>
      </c>
      <c r="F985" s="62" t="s">
        <v>115</v>
      </c>
      <c r="G985" s="64" t="s">
        <v>64</v>
      </c>
      <c r="H985" s="3" t="s">
        <v>175</v>
      </c>
      <c r="I985" s="65">
        <f>IFERROR(VLOOKUP(A985,'3. Call duration'!$A:$C,3,0),"--")</f>
        <v>26.4046873</v>
      </c>
      <c r="J985" s="65" t="str">
        <f t="array" ref="J985">XLOOKUP(H985,'2. Matching'!$A$2:$A$39,'2. Matching'!$B$2:$B$39,"--")</f>
        <v>SEO</v>
      </c>
      <c r="K985" s="65" t="str">
        <f t="shared" si="1"/>
        <v>In</v>
      </c>
    </row>
    <row r="986">
      <c r="A986" s="62" t="s">
        <v>1124</v>
      </c>
      <c r="B986" s="63">
        <v>44340.0</v>
      </c>
      <c r="C986" s="62" t="s">
        <v>119</v>
      </c>
      <c r="D986" s="64">
        <v>47.5</v>
      </c>
      <c r="E986" s="62" t="s">
        <v>109</v>
      </c>
      <c r="F986" s="62" t="s">
        <v>110</v>
      </c>
      <c r="G986" s="64" t="s">
        <v>59</v>
      </c>
      <c r="H986" s="3" t="s">
        <v>53</v>
      </c>
      <c r="I986" s="65">
        <f>IFERROR(VLOOKUP(A986,'3. Call duration'!$A:$C,3,0),"--")</f>
        <v>20.75618971</v>
      </c>
      <c r="J986" s="65" t="str">
        <f t="array" ref="J986">XLOOKUP(H986,'2. Matching'!$A$2:$A$39,'2. Matching'!$B$2:$B$39,"--")</f>
        <v>Partnerships</v>
      </c>
      <c r="K986" s="65" t="str">
        <f t="shared" si="1"/>
        <v>In</v>
      </c>
    </row>
    <row r="987">
      <c r="A987" s="62" t="s">
        <v>1125</v>
      </c>
      <c r="B987" s="63">
        <v>44154.0</v>
      </c>
      <c r="C987" s="62" t="s">
        <v>108</v>
      </c>
      <c r="D987" s="64">
        <v>0.0</v>
      </c>
      <c r="E987" s="62" t="s">
        <v>109</v>
      </c>
      <c r="F987" s="62" t="s">
        <v>110</v>
      </c>
      <c r="G987" s="64" t="s">
        <v>62</v>
      </c>
      <c r="H987" s="3" t="s">
        <v>294</v>
      </c>
      <c r="I987" s="65">
        <f>IFERROR(VLOOKUP(A987,'3. Call duration'!$A:$C,3,0),"--")</f>
        <v>10.82771747</v>
      </c>
      <c r="J987" s="65" t="str">
        <f t="array" ref="J987">XLOOKUP(H987,'2. Matching'!$A$2:$A$39,'2. Matching'!$B$2:$B$39,"--")</f>
        <v>Farming</v>
      </c>
      <c r="K987" s="65" t="str">
        <f t="shared" si="1"/>
        <v>In</v>
      </c>
    </row>
    <row r="988">
      <c r="A988" s="62" t="s">
        <v>1126</v>
      </c>
      <c r="B988" s="63">
        <v>44229.0</v>
      </c>
      <c r="C988" s="62" t="s">
        <v>112</v>
      </c>
      <c r="D988" s="64">
        <v>0.0</v>
      </c>
      <c r="E988" s="62" t="s">
        <v>109</v>
      </c>
      <c r="F988" s="62" t="s">
        <v>110</v>
      </c>
      <c r="G988" s="64" t="s">
        <v>64</v>
      </c>
      <c r="H988" s="3" t="s">
        <v>135</v>
      </c>
      <c r="I988" s="65" t="str">
        <f>IFERROR(VLOOKUP(A988,'3. Call duration'!$A:$C,3,0),"--")</f>
        <v>--</v>
      </c>
      <c r="J988" s="65" t="str">
        <f t="array" ref="J988">XLOOKUP(H988,'2. Matching'!$A$2:$A$39,'2. Matching'!$B$2:$B$39,"--")</f>
        <v>Acquisition</v>
      </c>
      <c r="K988" s="65" t="str">
        <f t="shared" si="1"/>
        <v>In</v>
      </c>
    </row>
    <row r="989">
      <c r="A989" s="62" t="s">
        <v>1127</v>
      </c>
      <c r="B989" s="63">
        <v>44371.0</v>
      </c>
      <c r="C989" s="62" t="s">
        <v>112</v>
      </c>
      <c r="D989" s="64">
        <v>0.0</v>
      </c>
      <c r="E989" s="62" t="s">
        <v>109</v>
      </c>
      <c r="F989" s="62" t="s">
        <v>115</v>
      </c>
      <c r="G989" s="64" t="s">
        <v>64</v>
      </c>
      <c r="H989" s="3" t="s">
        <v>116</v>
      </c>
      <c r="I989" s="65" t="str">
        <f>IFERROR(VLOOKUP(A989,'3. Call duration'!$A:$C,3,0),"--")</f>
        <v>--</v>
      </c>
      <c r="J989" s="65" t="str">
        <f t="array" ref="J989">XLOOKUP(H989,'2. Matching'!$A$2:$A$39,'2. Matching'!$B$2:$B$39,"--")</f>
        <v>Acquisition</v>
      </c>
      <c r="K989" s="65" t="str">
        <f t="shared" si="1"/>
        <v>In</v>
      </c>
    </row>
    <row r="990">
      <c r="A990" s="62" t="s">
        <v>1128</v>
      </c>
      <c r="B990" s="63">
        <v>44332.0</v>
      </c>
      <c r="C990" s="62" t="s">
        <v>119</v>
      </c>
      <c r="D990" s="64">
        <v>47.5</v>
      </c>
      <c r="E990" s="62" t="s">
        <v>109</v>
      </c>
      <c r="F990" s="62" t="s">
        <v>115</v>
      </c>
      <c r="G990" s="64" t="s">
        <v>59</v>
      </c>
      <c r="H990" s="3" t="s">
        <v>68</v>
      </c>
      <c r="I990" s="65">
        <f>IFERROR(VLOOKUP(A990,'3. Call duration'!$A:$C,3,0),"--")</f>
        <v>20.76355317</v>
      </c>
      <c r="J990" s="65" t="str">
        <f t="array" ref="J990">XLOOKUP(H990,'2. Matching'!$A$2:$A$39,'2. Matching'!$B$2:$B$39,"--")</f>
        <v>Acquisition</v>
      </c>
      <c r="K990" s="65" t="str">
        <f t="shared" si="1"/>
        <v>In</v>
      </c>
    </row>
    <row r="991">
      <c r="A991" s="62" t="s">
        <v>1129</v>
      </c>
      <c r="B991" s="63">
        <v>44347.0</v>
      </c>
      <c r="C991" s="62" t="s">
        <v>119</v>
      </c>
      <c r="D991" s="64">
        <v>47.5</v>
      </c>
      <c r="E991" s="62" t="s">
        <v>109</v>
      </c>
      <c r="F991" s="62" t="s">
        <v>115</v>
      </c>
      <c r="G991" s="64" t="s">
        <v>64</v>
      </c>
      <c r="H991" s="3" t="s">
        <v>54</v>
      </c>
      <c r="I991" s="65">
        <f>IFERROR(VLOOKUP(A991,'3. Call duration'!$A:$C,3,0),"--")</f>
        <v>20.79699201</v>
      </c>
      <c r="J991" s="65" t="str">
        <f t="array" ref="J991">XLOOKUP(H991,'2. Matching'!$A$2:$A$39,'2. Matching'!$B$2:$B$39,"--")</f>
        <v>Partnerships</v>
      </c>
      <c r="K991" s="65" t="str">
        <f t="shared" si="1"/>
        <v>In</v>
      </c>
    </row>
    <row r="992">
      <c r="A992" s="62" t="s">
        <v>1130</v>
      </c>
      <c r="B992" s="63">
        <v>44376.0</v>
      </c>
      <c r="C992" s="62" t="s">
        <v>112</v>
      </c>
      <c r="D992" s="64">
        <v>0.0</v>
      </c>
      <c r="E992" s="62" t="s">
        <v>109</v>
      </c>
      <c r="F992" s="62" t="s">
        <v>110</v>
      </c>
      <c r="G992" s="64" t="s">
        <v>63</v>
      </c>
      <c r="H992" s="3" t="s">
        <v>189</v>
      </c>
      <c r="I992" s="65" t="str">
        <f>IFERROR(VLOOKUP(A992,'3. Call duration'!$A:$C,3,0),"--")</f>
        <v>--</v>
      </c>
      <c r="J992" s="65" t="str">
        <f t="array" ref="J992">XLOOKUP(H992,'2. Matching'!$A$2:$A$39,'2. Matching'!$B$2:$B$39,"--")</f>
        <v>SEO</v>
      </c>
      <c r="K992" s="65" t="str">
        <f t="shared" si="1"/>
        <v>Out</v>
      </c>
    </row>
    <row r="993">
      <c r="A993" s="62" t="s">
        <v>1131</v>
      </c>
      <c r="B993" s="63">
        <v>44341.0</v>
      </c>
      <c r="C993" s="62" t="s">
        <v>119</v>
      </c>
      <c r="D993" s="64">
        <v>47.5</v>
      </c>
      <c r="E993" s="62" t="s">
        <v>109</v>
      </c>
      <c r="F993" s="62" t="s">
        <v>115</v>
      </c>
      <c r="G993" s="64" t="s">
        <v>64</v>
      </c>
      <c r="H993" s="3" t="s">
        <v>141</v>
      </c>
      <c r="I993" s="65">
        <f>IFERROR(VLOOKUP(A993,'3. Call duration'!$A:$C,3,0),"--")</f>
        <v>20.81466582</v>
      </c>
      <c r="J993" s="65" t="str">
        <f t="array" ref="J993">XLOOKUP(H993,'2. Matching'!$A$2:$A$39,'2. Matching'!$B$2:$B$39,"--")</f>
        <v>Acquisition</v>
      </c>
      <c r="K993" s="65" t="str">
        <f t="shared" si="1"/>
        <v>In</v>
      </c>
    </row>
    <row r="994">
      <c r="A994" s="62" t="s">
        <v>1132</v>
      </c>
      <c r="B994" s="63">
        <v>44155.0</v>
      </c>
      <c r="C994" s="62" t="s">
        <v>112</v>
      </c>
      <c r="D994" s="64">
        <v>0.0</v>
      </c>
      <c r="E994" s="62" t="s">
        <v>114</v>
      </c>
      <c r="F994" s="62" t="s">
        <v>110</v>
      </c>
      <c r="G994" s="64" t="s">
        <v>64</v>
      </c>
      <c r="H994" s="3" t="s">
        <v>175</v>
      </c>
      <c r="I994" s="65" t="str">
        <f>IFERROR(VLOOKUP(A994,'3. Call duration'!$A:$C,3,0),"--")</f>
        <v>--</v>
      </c>
      <c r="J994" s="65" t="str">
        <f t="array" ref="J994">XLOOKUP(H994,'2. Matching'!$A$2:$A$39,'2. Matching'!$B$2:$B$39,"--")</f>
        <v>SEO</v>
      </c>
      <c r="K994" s="65" t="str">
        <f t="shared" si="1"/>
        <v>In</v>
      </c>
    </row>
    <row r="995">
      <c r="A995" s="62" t="s">
        <v>1133</v>
      </c>
      <c r="B995" s="63">
        <v>44134.0</v>
      </c>
      <c r="C995" s="62" t="s">
        <v>112</v>
      </c>
      <c r="D995" s="64">
        <v>0.0</v>
      </c>
      <c r="E995" s="62" t="s">
        <v>109</v>
      </c>
      <c r="F995" s="62" t="s">
        <v>110</v>
      </c>
      <c r="G995" s="64" t="s">
        <v>64</v>
      </c>
      <c r="H995" s="3" t="s">
        <v>131</v>
      </c>
      <c r="I995" s="65" t="str">
        <f>IFERROR(VLOOKUP(A995,'3. Call duration'!$A:$C,3,0),"--")</f>
        <v>--</v>
      </c>
      <c r="J995" s="65" t="str">
        <f t="array" ref="J995">XLOOKUP(H995,'2. Matching'!$A$2:$A$39,'2. Matching'!$B$2:$B$39,"--")</f>
        <v>Acquisition</v>
      </c>
      <c r="K995" s="65" t="str">
        <f t="shared" si="1"/>
        <v>In</v>
      </c>
    </row>
    <row r="996">
      <c r="A996" s="62" t="s">
        <v>1134</v>
      </c>
      <c r="B996" s="63">
        <v>44340.0</v>
      </c>
      <c r="C996" s="62" t="s">
        <v>119</v>
      </c>
      <c r="D996" s="64">
        <v>47.5</v>
      </c>
      <c r="E996" s="62" t="s">
        <v>109</v>
      </c>
      <c r="F996" s="62" t="s">
        <v>110</v>
      </c>
      <c r="G996" s="64" t="s">
        <v>63</v>
      </c>
      <c r="H996" s="3" t="s">
        <v>128</v>
      </c>
      <c r="I996" s="65">
        <f>IFERROR(VLOOKUP(A996,'3. Call duration'!$A:$C,3,0),"--")</f>
        <v>20.9236866</v>
      </c>
      <c r="J996" s="65" t="str">
        <f t="array" ref="J996">XLOOKUP(H996,'2. Matching'!$A$2:$A$39,'2. Matching'!$B$2:$B$39,"--")</f>
        <v>Acquisition</v>
      </c>
      <c r="K996" s="65" t="str">
        <f t="shared" si="1"/>
        <v>In</v>
      </c>
    </row>
    <row r="997">
      <c r="A997" s="62" t="s">
        <v>1135</v>
      </c>
      <c r="B997" s="63">
        <v>44337.0</v>
      </c>
      <c r="C997" s="62" t="s">
        <v>119</v>
      </c>
      <c r="D997" s="64">
        <v>95.0</v>
      </c>
      <c r="E997" s="62" t="s">
        <v>114</v>
      </c>
      <c r="F997" s="62" t="s">
        <v>115</v>
      </c>
      <c r="G997" s="64" t="s">
        <v>64</v>
      </c>
      <c r="H997" s="3" t="s">
        <v>185</v>
      </c>
      <c r="I997" s="65">
        <f>IFERROR(VLOOKUP(A997,'3. Call duration'!$A:$C,3,0),"--")</f>
        <v>20.94173899</v>
      </c>
      <c r="J997" s="65" t="str">
        <f t="array" ref="J997">XLOOKUP(H997,'2. Matching'!$A$2:$A$39,'2. Matching'!$B$2:$B$39,"--")</f>
        <v>SEO</v>
      </c>
      <c r="K997" s="65" t="str">
        <f t="shared" si="1"/>
        <v>In</v>
      </c>
    </row>
    <row r="998">
      <c r="A998" s="62" t="s">
        <v>1136</v>
      </c>
      <c r="B998" s="63">
        <v>44320.0</v>
      </c>
      <c r="C998" s="62" t="s">
        <v>119</v>
      </c>
      <c r="D998" s="64">
        <v>47.5</v>
      </c>
      <c r="E998" s="62" t="s">
        <v>109</v>
      </c>
      <c r="F998" s="62" t="s">
        <v>110</v>
      </c>
      <c r="G998" s="64" t="s">
        <v>64</v>
      </c>
      <c r="H998" s="3" t="s">
        <v>49</v>
      </c>
      <c r="I998" s="65">
        <f>IFERROR(VLOOKUP(A998,'3. Call duration'!$A:$C,3,0),"--")</f>
        <v>20.94365402</v>
      </c>
      <c r="J998" s="65" t="str">
        <f t="array" ref="J998">XLOOKUP(H998,'2. Matching'!$A$2:$A$39,'2. Matching'!$B$2:$B$39,"--")</f>
        <v>Partnerships</v>
      </c>
      <c r="K998" s="65" t="str">
        <f t="shared" si="1"/>
        <v>In</v>
      </c>
    </row>
    <row r="999">
      <c r="A999" s="62" t="s">
        <v>1137</v>
      </c>
      <c r="B999" s="63">
        <v>44225.0</v>
      </c>
      <c r="C999" s="62" t="s">
        <v>108</v>
      </c>
      <c r="D999" s="64">
        <v>0.0</v>
      </c>
      <c r="E999" s="62" t="s">
        <v>114</v>
      </c>
      <c r="F999" s="62" t="s">
        <v>110</v>
      </c>
      <c r="G999" s="64" t="s">
        <v>64</v>
      </c>
      <c r="H999" s="3" t="s">
        <v>145</v>
      </c>
      <c r="I999" s="65" t="str">
        <f>IFERROR(VLOOKUP(A999,'3. Call duration'!$A:$C,3,0),"--")</f>
        <v>--</v>
      </c>
      <c r="J999" s="65" t="str">
        <f t="array" ref="J999">XLOOKUP(H999,'2. Matching'!$A$2:$A$39,'2. Matching'!$B$2:$B$39,"--")</f>
        <v>SEO</v>
      </c>
      <c r="K999" s="65" t="str">
        <f t="shared" si="1"/>
        <v>In</v>
      </c>
    </row>
    <row r="1000">
      <c r="A1000" s="62" t="s">
        <v>1138</v>
      </c>
      <c r="B1000" s="63">
        <v>44180.0</v>
      </c>
      <c r="C1000" s="62" t="s">
        <v>112</v>
      </c>
      <c r="D1000" s="64">
        <v>0.0</v>
      </c>
      <c r="E1000" s="62" t="s">
        <v>109</v>
      </c>
      <c r="F1000" s="62" t="s">
        <v>110</v>
      </c>
      <c r="G1000" s="64" t="s">
        <v>64</v>
      </c>
      <c r="H1000" s="3" t="s">
        <v>155</v>
      </c>
      <c r="I1000" s="65" t="str">
        <f>IFERROR(VLOOKUP(A1000,'3. Call duration'!$A:$C,3,0),"--")</f>
        <v>--</v>
      </c>
      <c r="J1000" s="65" t="str">
        <f t="array" ref="J1000">XLOOKUP(H1000,'2. Matching'!$A$2:$A$39,'2. Matching'!$B$2:$B$39,"--")</f>
        <v>SEO</v>
      </c>
      <c r="K1000" s="65" t="str">
        <f t="shared" si="1"/>
        <v>In</v>
      </c>
    </row>
    <row r="1001">
      <c r="A1001" s="62" t="s">
        <v>1139</v>
      </c>
      <c r="B1001" s="63">
        <v>44356.0</v>
      </c>
      <c r="C1001" s="62" t="s">
        <v>112</v>
      </c>
      <c r="D1001" s="64">
        <v>0.0</v>
      </c>
      <c r="E1001" s="62" t="s">
        <v>109</v>
      </c>
      <c r="F1001" s="62" t="s">
        <v>110</v>
      </c>
      <c r="G1001" s="64" t="s">
        <v>60</v>
      </c>
      <c r="H1001" s="3" t="s">
        <v>67</v>
      </c>
      <c r="I1001" s="65" t="str">
        <f>IFERROR(VLOOKUP(A1001,'3. Call duration'!$A:$C,3,0),"--")</f>
        <v>--</v>
      </c>
      <c r="J1001" s="65" t="str">
        <f t="array" ref="J1001">XLOOKUP(H1001,'2. Matching'!$A$2:$A$39,'2. Matching'!$B$2:$B$39,"--")</f>
        <v>Acquisition</v>
      </c>
      <c r="K1001" s="65" t="str">
        <f t="shared" si="1"/>
        <v>In</v>
      </c>
    </row>
    <row r="1002">
      <c r="A1002" s="62" t="s">
        <v>1140</v>
      </c>
      <c r="B1002" s="63">
        <v>44137.0</v>
      </c>
      <c r="C1002" s="62" t="s">
        <v>108</v>
      </c>
      <c r="D1002" s="64">
        <v>0.0</v>
      </c>
      <c r="E1002" s="62" t="s">
        <v>109</v>
      </c>
      <c r="F1002" s="62" t="s">
        <v>115</v>
      </c>
      <c r="G1002" s="64" t="s">
        <v>64</v>
      </c>
      <c r="H1002" s="3" t="s">
        <v>145</v>
      </c>
      <c r="I1002" s="65">
        <f>IFERROR(VLOOKUP(A1002,'3. Call duration'!$A:$C,3,0),"--")</f>
        <v>21.54291048</v>
      </c>
      <c r="J1002" s="65" t="str">
        <f t="array" ref="J1002">XLOOKUP(H1002,'2. Matching'!$A$2:$A$39,'2. Matching'!$B$2:$B$39,"--")</f>
        <v>SEO</v>
      </c>
      <c r="K1002" s="65" t="str">
        <f t="shared" si="1"/>
        <v>In</v>
      </c>
    </row>
    <row r="1003">
      <c r="A1003" s="62" t="s">
        <v>1141</v>
      </c>
      <c r="B1003" s="63">
        <v>44379.0</v>
      </c>
      <c r="C1003" s="62" t="s">
        <v>112</v>
      </c>
      <c r="D1003" s="64">
        <v>0.0</v>
      </c>
      <c r="E1003" s="62" t="s">
        <v>109</v>
      </c>
      <c r="F1003" s="62" t="s">
        <v>110</v>
      </c>
      <c r="G1003" s="64" t="s">
        <v>61</v>
      </c>
      <c r="H1003" s="3" t="s">
        <v>67</v>
      </c>
      <c r="I1003" s="65" t="str">
        <f>IFERROR(VLOOKUP(A1003,'3. Call duration'!$A:$C,3,0),"--")</f>
        <v>--</v>
      </c>
      <c r="J1003" s="65" t="str">
        <f t="array" ref="J1003">XLOOKUP(H1003,'2. Matching'!$A$2:$A$39,'2. Matching'!$B$2:$B$39,"--")</f>
        <v>Acquisition</v>
      </c>
      <c r="K1003" s="65" t="str">
        <f t="shared" si="1"/>
        <v>In</v>
      </c>
    </row>
    <row r="1004">
      <c r="A1004" s="62" t="s">
        <v>1142</v>
      </c>
      <c r="B1004" s="63">
        <v>44265.0</v>
      </c>
      <c r="C1004" s="62" t="s">
        <v>112</v>
      </c>
      <c r="D1004" s="64">
        <v>0.0</v>
      </c>
      <c r="E1004" s="62" t="s">
        <v>109</v>
      </c>
      <c r="F1004" s="62" t="s">
        <v>115</v>
      </c>
      <c r="G1004" s="64" t="s">
        <v>64</v>
      </c>
      <c r="H1004" s="3" t="s">
        <v>139</v>
      </c>
      <c r="I1004" s="65" t="str">
        <f>IFERROR(VLOOKUP(A1004,'3. Call duration'!$A:$C,3,0),"--")</f>
        <v>--</v>
      </c>
      <c r="J1004" s="65" t="str">
        <f t="array" ref="J1004">XLOOKUP(H1004,'2. Matching'!$A$2:$A$39,'2. Matching'!$B$2:$B$39,"--")</f>
        <v>Acquisition</v>
      </c>
      <c r="K1004" s="65" t="str">
        <f t="shared" si="1"/>
        <v>In</v>
      </c>
    </row>
    <row r="1005">
      <c r="A1005" s="62" t="s">
        <v>1143</v>
      </c>
      <c r="B1005" s="63">
        <v>44155.0</v>
      </c>
      <c r="C1005" s="62" t="s">
        <v>112</v>
      </c>
      <c r="D1005" s="64">
        <v>0.0</v>
      </c>
      <c r="E1005" s="62" t="s">
        <v>112</v>
      </c>
      <c r="F1005" s="62" t="s">
        <v>115</v>
      </c>
      <c r="G1005" s="64" t="s">
        <v>64</v>
      </c>
      <c r="H1005" s="3" t="s">
        <v>169</v>
      </c>
      <c r="I1005" s="65" t="str">
        <f>IFERROR(VLOOKUP(A1005,'3. Call duration'!$A:$C,3,0),"--")</f>
        <v>--</v>
      </c>
      <c r="J1005" s="65" t="str">
        <f t="array" ref="J1005">XLOOKUP(H1005,'2. Matching'!$A$2:$A$39,'2. Matching'!$B$2:$B$39,"--")</f>
        <v>SEO</v>
      </c>
      <c r="K1005" s="65" t="str">
        <f t="shared" si="1"/>
        <v>In</v>
      </c>
    </row>
    <row r="1006">
      <c r="A1006" s="62" t="s">
        <v>1144</v>
      </c>
      <c r="B1006" s="63">
        <v>44361.0</v>
      </c>
      <c r="C1006" s="62" t="s">
        <v>108</v>
      </c>
      <c r="D1006" s="64">
        <v>0.0</v>
      </c>
      <c r="E1006" s="62" t="s">
        <v>109</v>
      </c>
      <c r="F1006" s="62" t="s">
        <v>110</v>
      </c>
      <c r="G1006" s="64" t="s">
        <v>60</v>
      </c>
      <c r="H1006" s="3" t="s">
        <v>68</v>
      </c>
      <c r="I1006" s="65">
        <f>IFERROR(VLOOKUP(A1006,'3. Call duration'!$A:$C,3,0),"--")</f>
        <v>24.99514543</v>
      </c>
      <c r="J1006" s="65" t="str">
        <f t="array" ref="J1006">XLOOKUP(H1006,'2. Matching'!$A$2:$A$39,'2. Matching'!$B$2:$B$39,"--")</f>
        <v>Acquisition</v>
      </c>
      <c r="K1006" s="65" t="str">
        <f t="shared" si="1"/>
        <v>In</v>
      </c>
    </row>
    <row r="1007">
      <c r="A1007" s="62" t="s">
        <v>1145</v>
      </c>
      <c r="B1007" s="63">
        <v>44342.0</v>
      </c>
      <c r="C1007" s="62" t="s">
        <v>119</v>
      </c>
      <c r="D1007" s="64">
        <v>47.5</v>
      </c>
      <c r="E1007" s="62" t="s">
        <v>109</v>
      </c>
      <c r="F1007" s="62" t="s">
        <v>115</v>
      </c>
      <c r="G1007" s="64" t="s">
        <v>64</v>
      </c>
      <c r="H1007" s="3" t="s">
        <v>139</v>
      </c>
      <c r="I1007" s="65">
        <f>IFERROR(VLOOKUP(A1007,'3. Call duration'!$A:$C,3,0),"--")</f>
        <v>20.95980536</v>
      </c>
      <c r="J1007" s="65" t="str">
        <f t="array" ref="J1007">XLOOKUP(H1007,'2. Matching'!$A$2:$A$39,'2. Matching'!$B$2:$B$39,"--")</f>
        <v>Acquisition</v>
      </c>
      <c r="K1007" s="65" t="str">
        <f t="shared" si="1"/>
        <v>In</v>
      </c>
    </row>
    <row r="1008">
      <c r="A1008" s="62" t="s">
        <v>1146</v>
      </c>
      <c r="B1008" s="63">
        <v>44165.0</v>
      </c>
      <c r="C1008" s="62" t="s">
        <v>108</v>
      </c>
      <c r="D1008" s="64">
        <v>0.0</v>
      </c>
      <c r="E1008" s="62" t="s">
        <v>114</v>
      </c>
      <c r="F1008" s="62" t="s">
        <v>115</v>
      </c>
      <c r="G1008" s="64" t="s">
        <v>64</v>
      </c>
      <c r="H1008" s="3" t="s">
        <v>139</v>
      </c>
      <c r="I1008" s="65">
        <f>IFERROR(VLOOKUP(A1008,'3. Call duration'!$A:$C,3,0),"--")</f>
        <v>32.02368273</v>
      </c>
      <c r="J1008" s="65" t="str">
        <f t="array" ref="J1008">XLOOKUP(H1008,'2. Matching'!$A$2:$A$39,'2. Matching'!$B$2:$B$39,"--")</f>
        <v>Acquisition</v>
      </c>
      <c r="K1008" s="65" t="str">
        <f t="shared" si="1"/>
        <v>In</v>
      </c>
    </row>
    <row r="1009">
      <c r="A1009" s="62" t="s">
        <v>1147</v>
      </c>
      <c r="B1009" s="63">
        <v>44083.0</v>
      </c>
      <c r="C1009" s="62" t="s">
        <v>112</v>
      </c>
      <c r="D1009" s="64">
        <v>0.0</v>
      </c>
      <c r="E1009" s="62" t="s">
        <v>109</v>
      </c>
      <c r="F1009" s="62" t="s">
        <v>115</v>
      </c>
      <c r="G1009" s="64" t="s">
        <v>62</v>
      </c>
      <c r="H1009" s="3" t="s">
        <v>294</v>
      </c>
      <c r="I1009" s="65" t="str">
        <f>IFERROR(VLOOKUP(A1009,'3. Call duration'!$A:$C,3,0),"--")</f>
        <v>--</v>
      </c>
      <c r="J1009" s="65" t="str">
        <f t="array" ref="J1009">XLOOKUP(H1009,'2. Matching'!$A$2:$A$39,'2. Matching'!$B$2:$B$39,"--")</f>
        <v>Farming</v>
      </c>
      <c r="K1009" s="65" t="str">
        <f t="shared" si="1"/>
        <v>In</v>
      </c>
    </row>
    <row r="1010">
      <c r="A1010" s="62" t="s">
        <v>1148</v>
      </c>
      <c r="B1010" s="63">
        <v>44337.0</v>
      </c>
      <c r="C1010" s="62" t="s">
        <v>119</v>
      </c>
      <c r="D1010" s="64">
        <v>47.5</v>
      </c>
      <c r="E1010" s="62" t="s">
        <v>109</v>
      </c>
      <c r="F1010" s="62" t="s">
        <v>115</v>
      </c>
      <c r="G1010" s="64" t="s">
        <v>64</v>
      </c>
      <c r="H1010" s="3" t="s">
        <v>145</v>
      </c>
      <c r="I1010" s="65">
        <f>IFERROR(VLOOKUP(A1010,'3. Call duration'!$A:$C,3,0),"--")</f>
        <v>20.96805596</v>
      </c>
      <c r="J1010" s="65" t="str">
        <f t="array" ref="J1010">XLOOKUP(H1010,'2. Matching'!$A$2:$A$39,'2. Matching'!$B$2:$B$39,"--")</f>
        <v>SEO</v>
      </c>
      <c r="K1010" s="65" t="str">
        <f t="shared" si="1"/>
        <v>In</v>
      </c>
    </row>
    <row r="1011">
      <c r="A1011" s="62" t="s">
        <v>1149</v>
      </c>
      <c r="B1011" s="63">
        <v>44363.0</v>
      </c>
      <c r="C1011" s="62" t="s">
        <v>112</v>
      </c>
      <c r="D1011" s="64">
        <v>0.0</v>
      </c>
      <c r="E1011" s="62" t="s">
        <v>109</v>
      </c>
      <c r="F1011" s="62" t="s">
        <v>110</v>
      </c>
      <c r="G1011" s="64" t="s">
        <v>60</v>
      </c>
      <c r="H1011" s="3" t="s">
        <v>67</v>
      </c>
      <c r="I1011" s="65" t="str">
        <f>IFERROR(VLOOKUP(A1011,'3. Call duration'!$A:$C,3,0),"--")</f>
        <v>--</v>
      </c>
      <c r="J1011" s="65" t="str">
        <f t="array" ref="J1011">XLOOKUP(H1011,'2. Matching'!$A$2:$A$39,'2. Matching'!$B$2:$B$39,"--")</f>
        <v>Acquisition</v>
      </c>
      <c r="K1011" s="65" t="str">
        <f t="shared" si="1"/>
        <v>In</v>
      </c>
    </row>
    <row r="1012">
      <c r="A1012" s="62" t="s">
        <v>1150</v>
      </c>
      <c r="B1012" s="63">
        <v>44182.0</v>
      </c>
      <c r="C1012" s="62" t="s">
        <v>112</v>
      </c>
      <c r="D1012" s="64">
        <v>0.0</v>
      </c>
      <c r="E1012" s="62" t="s">
        <v>109</v>
      </c>
      <c r="F1012" s="62" t="s">
        <v>115</v>
      </c>
      <c r="G1012" s="64" t="s">
        <v>64</v>
      </c>
      <c r="H1012" s="3" t="s">
        <v>155</v>
      </c>
      <c r="I1012" s="65" t="str">
        <f>IFERROR(VLOOKUP(A1012,'3. Call duration'!$A:$C,3,0),"--")</f>
        <v>--</v>
      </c>
      <c r="J1012" s="65" t="str">
        <f t="array" ref="J1012">XLOOKUP(H1012,'2. Matching'!$A$2:$A$39,'2. Matching'!$B$2:$B$39,"--")</f>
        <v>SEO</v>
      </c>
      <c r="K1012" s="65" t="str">
        <f t="shared" si="1"/>
        <v>In</v>
      </c>
    </row>
    <row r="1013">
      <c r="A1013" s="62" t="s">
        <v>1151</v>
      </c>
      <c r="B1013" s="63">
        <v>44280.0</v>
      </c>
      <c r="C1013" s="62" t="s">
        <v>108</v>
      </c>
      <c r="D1013" s="64">
        <v>0.0</v>
      </c>
      <c r="E1013" s="62" t="s">
        <v>109</v>
      </c>
      <c r="F1013" s="62" t="s">
        <v>115</v>
      </c>
      <c r="G1013" s="64" t="s">
        <v>64</v>
      </c>
      <c r="H1013" s="3" t="s">
        <v>185</v>
      </c>
      <c r="I1013" s="65">
        <f>IFERROR(VLOOKUP(A1013,'3. Call duration'!$A:$C,3,0),"--")</f>
        <v>20.25107013</v>
      </c>
      <c r="J1013" s="65" t="str">
        <f t="array" ref="J1013">XLOOKUP(H1013,'2. Matching'!$A$2:$A$39,'2. Matching'!$B$2:$B$39,"--")</f>
        <v>SEO</v>
      </c>
      <c r="K1013" s="65" t="str">
        <f t="shared" si="1"/>
        <v>In</v>
      </c>
    </row>
    <row r="1014">
      <c r="A1014" s="62" t="s">
        <v>1152</v>
      </c>
      <c r="B1014" s="63">
        <v>44327.0</v>
      </c>
      <c r="C1014" s="62" t="s">
        <v>119</v>
      </c>
      <c r="D1014" s="64">
        <v>47.5</v>
      </c>
      <c r="E1014" s="62" t="s">
        <v>109</v>
      </c>
      <c r="F1014" s="62" t="s">
        <v>110</v>
      </c>
      <c r="G1014" s="64" t="s">
        <v>64</v>
      </c>
      <c r="H1014" s="3" t="s">
        <v>52</v>
      </c>
      <c r="I1014" s="65">
        <f>IFERROR(VLOOKUP(A1014,'3. Call duration'!$A:$C,3,0),"--")</f>
        <v>20.9692004</v>
      </c>
      <c r="J1014" s="65" t="str">
        <f t="array" ref="J1014">XLOOKUP(H1014,'2. Matching'!$A$2:$A$39,'2. Matching'!$B$2:$B$39,"--")</f>
        <v>Partnerships</v>
      </c>
      <c r="K1014" s="65" t="str">
        <f t="shared" si="1"/>
        <v>In</v>
      </c>
    </row>
    <row r="1015">
      <c r="A1015" s="62" t="s">
        <v>1153</v>
      </c>
      <c r="B1015" s="63">
        <v>44368.0</v>
      </c>
      <c r="C1015" s="62" t="s">
        <v>108</v>
      </c>
      <c r="D1015" s="64">
        <v>0.0</v>
      </c>
      <c r="E1015" s="62" t="s">
        <v>109</v>
      </c>
      <c r="F1015" s="62" t="s">
        <v>115</v>
      </c>
      <c r="G1015" s="64" t="s">
        <v>60</v>
      </c>
      <c r="H1015" s="3" t="s">
        <v>68</v>
      </c>
      <c r="I1015" s="65">
        <f>IFERROR(VLOOKUP(A1015,'3. Call duration'!$A:$C,3,0),"--")</f>
        <v>20.7519011</v>
      </c>
      <c r="J1015" s="65" t="str">
        <f t="array" ref="J1015">XLOOKUP(H1015,'2. Matching'!$A$2:$A$39,'2. Matching'!$B$2:$B$39,"--")</f>
        <v>Acquisition</v>
      </c>
      <c r="K1015" s="65" t="str">
        <f t="shared" si="1"/>
        <v>In</v>
      </c>
    </row>
    <row r="1016">
      <c r="A1016" s="62" t="s">
        <v>1154</v>
      </c>
      <c r="B1016" s="63">
        <v>44277.0</v>
      </c>
      <c r="C1016" s="62" t="s">
        <v>112</v>
      </c>
      <c r="D1016" s="64">
        <v>0.0</v>
      </c>
      <c r="E1016" s="62" t="s">
        <v>114</v>
      </c>
      <c r="F1016" s="62" t="s">
        <v>110</v>
      </c>
      <c r="G1016" s="64" t="s">
        <v>64</v>
      </c>
      <c r="H1016" s="3" t="s">
        <v>297</v>
      </c>
      <c r="I1016" s="65" t="str">
        <f>IFERROR(VLOOKUP(A1016,'3. Call duration'!$A:$C,3,0),"--")</f>
        <v>--</v>
      </c>
      <c r="J1016" s="65" t="str">
        <f t="array" ref="J1016">XLOOKUP(H1016,'2. Matching'!$A$2:$A$39,'2. Matching'!$B$2:$B$39,"--")</f>
        <v>Farming</v>
      </c>
      <c r="K1016" s="65" t="str">
        <f t="shared" si="1"/>
        <v>In</v>
      </c>
    </row>
    <row r="1017">
      <c r="A1017" s="62" t="s">
        <v>1155</v>
      </c>
      <c r="B1017" s="63">
        <v>44278.0</v>
      </c>
      <c r="C1017" s="62" t="s">
        <v>112</v>
      </c>
      <c r="D1017" s="64">
        <v>0.0</v>
      </c>
      <c r="E1017" s="62" t="s">
        <v>109</v>
      </c>
      <c r="F1017" s="62" t="s">
        <v>115</v>
      </c>
      <c r="G1017" s="64" t="s">
        <v>64</v>
      </c>
      <c r="H1017" s="3" t="s">
        <v>141</v>
      </c>
      <c r="I1017" s="65" t="str">
        <f>IFERROR(VLOOKUP(A1017,'3. Call duration'!$A:$C,3,0),"--")</f>
        <v>--</v>
      </c>
      <c r="J1017" s="65" t="str">
        <f t="array" ref="J1017">XLOOKUP(H1017,'2. Matching'!$A$2:$A$39,'2. Matching'!$B$2:$B$39,"--")</f>
        <v>Acquisition</v>
      </c>
      <c r="K1017" s="65" t="str">
        <f t="shared" si="1"/>
        <v>In</v>
      </c>
    </row>
    <row r="1018">
      <c r="A1018" s="62" t="s">
        <v>1156</v>
      </c>
      <c r="B1018" s="63">
        <v>44229.0</v>
      </c>
      <c r="C1018" s="62" t="s">
        <v>112</v>
      </c>
      <c r="D1018" s="64">
        <v>0.0</v>
      </c>
      <c r="E1018" s="62" t="s">
        <v>109</v>
      </c>
      <c r="F1018" s="62" t="s">
        <v>110</v>
      </c>
      <c r="G1018" s="64" t="s">
        <v>64</v>
      </c>
      <c r="H1018" s="3" t="s">
        <v>49</v>
      </c>
      <c r="I1018" s="65" t="str">
        <f>IFERROR(VLOOKUP(A1018,'3. Call duration'!$A:$C,3,0),"--")</f>
        <v>--</v>
      </c>
      <c r="J1018" s="65" t="str">
        <f t="array" ref="J1018">XLOOKUP(H1018,'2. Matching'!$A$2:$A$39,'2. Matching'!$B$2:$B$39,"--")</f>
        <v>Partnerships</v>
      </c>
      <c r="K1018" s="65" t="str">
        <f t="shared" si="1"/>
        <v>In</v>
      </c>
    </row>
    <row r="1019">
      <c r="A1019" s="62" t="s">
        <v>1157</v>
      </c>
      <c r="B1019" s="63">
        <v>44146.0</v>
      </c>
      <c r="C1019" s="62" t="s">
        <v>108</v>
      </c>
      <c r="D1019" s="64">
        <v>0.0</v>
      </c>
      <c r="E1019" s="62" t="s">
        <v>109</v>
      </c>
      <c r="F1019" s="62" t="s">
        <v>115</v>
      </c>
      <c r="G1019" s="64" t="s">
        <v>64</v>
      </c>
      <c r="H1019" s="3" t="s">
        <v>135</v>
      </c>
      <c r="I1019" s="65" t="str">
        <f>IFERROR(VLOOKUP(A1019,'3. Call duration'!$A:$C,3,0),"--")</f>
        <v>--</v>
      </c>
      <c r="J1019" s="65" t="str">
        <f t="array" ref="J1019">XLOOKUP(H1019,'2. Matching'!$A$2:$A$39,'2. Matching'!$B$2:$B$39,"--")</f>
        <v>Acquisition</v>
      </c>
      <c r="K1019" s="65" t="str">
        <f t="shared" si="1"/>
        <v>In</v>
      </c>
    </row>
    <row r="1020">
      <c r="A1020" s="62" t="s">
        <v>1158</v>
      </c>
      <c r="B1020" s="63">
        <v>44322.0</v>
      </c>
      <c r="C1020" s="62" t="s">
        <v>119</v>
      </c>
      <c r="D1020" s="64">
        <v>47.5</v>
      </c>
      <c r="E1020" s="62" t="s">
        <v>109</v>
      </c>
      <c r="F1020" s="62" t="s">
        <v>115</v>
      </c>
      <c r="G1020" s="64" t="s">
        <v>59</v>
      </c>
      <c r="H1020" s="3" t="s">
        <v>68</v>
      </c>
      <c r="I1020" s="65">
        <f>IFERROR(VLOOKUP(A1020,'3. Call duration'!$A:$C,3,0),"--")</f>
        <v>20.98152856</v>
      </c>
      <c r="J1020" s="65" t="str">
        <f t="array" ref="J1020">XLOOKUP(H1020,'2. Matching'!$A$2:$A$39,'2. Matching'!$B$2:$B$39,"--")</f>
        <v>Acquisition</v>
      </c>
      <c r="K1020" s="65" t="str">
        <f t="shared" si="1"/>
        <v>In</v>
      </c>
    </row>
    <row r="1021">
      <c r="A1021" s="62" t="s">
        <v>1159</v>
      </c>
      <c r="B1021" s="63">
        <v>44366.0</v>
      </c>
      <c r="C1021" s="62" t="s">
        <v>112</v>
      </c>
      <c r="D1021" s="64">
        <v>0.0</v>
      </c>
      <c r="E1021" s="62" t="s">
        <v>109</v>
      </c>
      <c r="F1021" s="62" t="s">
        <v>115</v>
      </c>
      <c r="G1021" s="64" t="s">
        <v>64</v>
      </c>
      <c r="H1021" s="3" t="s">
        <v>169</v>
      </c>
      <c r="I1021" s="65" t="str">
        <f>IFERROR(VLOOKUP(A1021,'3. Call duration'!$A:$C,3,0),"--")</f>
        <v>--</v>
      </c>
      <c r="J1021" s="65" t="str">
        <f t="array" ref="J1021">XLOOKUP(H1021,'2. Matching'!$A$2:$A$39,'2. Matching'!$B$2:$B$39,"--")</f>
        <v>SEO</v>
      </c>
      <c r="K1021" s="65" t="str">
        <f t="shared" si="1"/>
        <v>In</v>
      </c>
    </row>
    <row r="1022">
      <c r="A1022" s="62" t="s">
        <v>1160</v>
      </c>
      <c r="B1022" s="63">
        <v>44327.0</v>
      </c>
      <c r="C1022" s="62" t="s">
        <v>119</v>
      </c>
      <c r="D1022" s="64">
        <v>47.5</v>
      </c>
      <c r="E1022" s="62" t="s">
        <v>109</v>
      </c>
      <c r="F1022" s="62" t="s">
        <v>115</v>
      </c>
      <c r="G1022" s="64" t="s">
        <v>64</v>
      </c>
      <c r="H1022" s="3" t="s">
        <v>145</v>
      </c>
      <c r="I1022" s="65">
        <f>IFERROR(VLOOKUP(A1022,'3. Call duration'!$A:$C,3,0),"--")</f>
        <v>21.01281699</v>
      </c>
      <c r="J1022" s="65" t="str">
        <f t="array" ref="J1022">XLOOKUP(H1022,'2. Matching'!$A$2:$A$39,'2. Matching'!$B$2:$B$39,"--")</f>
        <v>SEO</v>
      </c>
      <c r="K1022" s="65" t="str">
        <f t="shared" si="1"/>
        <v>In</v>
      </c>
    </row>
    <row r="1023">
      <c r="A1023" s="62" t="s">
        <v>1161</v>
      </c>
      <c r="B1023" s="63">
        <v>44292.0</v>
      </c>
      <c r="C1023" s="62" t="s">
        <v>112</v>
      </c>
      <c r="D1023" s="64">
        <v>0.0</v>
      </c>
      <c r="E1023" s="62" t="s">
        <v>109</v>
      </c>
      <c r="F1023" s="62" t="s">
        <v>110</v>
      </c>
      <c r="G1023" s="64" t="s">
        <v>63</v>
      </c>
      <c r="H1023" s="3" t="s">
        <v>189</v>
      </c>
      <c r="I1023" s="65" t="str">
        <f>IFERROR(VLOOKUP(A1023,'3. Call duration'!$A:$C,3,0),"--")</f>
        <v>--</v>
      </c>
      <c r="J1023" s="65" t="str">
        <f t="array" ref="J1023">XLOOKUP(H1023,'2. Matching'!$A$2:$A$39,'2. Matching'!$B$2:$B$39,"--")</f>
        <v>SEO</v>
      </c>
      <c r="K1023" s="65" t="str">
        <f t="shared" si="1"/>
        <v>Out</v>
      </c>
    </row>
    <row r="1024">
      <c r="A1024" s="62" t="s">
        <v>1162</v>
      </c>
      <c r="B1024" s="63">
        <v>44378.0</v>
      </c>
      <c r="C1024" s="62" t="s">
        <v>112</v>
      </c>
      <c r="D1024" s="64">
        <v>0.0</v>
      </c>
      <c r="E1024" s="62" t="s">
        <v>109</v>
      </c>
      <c r="F1024" s="62" t="s">
        <v>110</v>
      </c>
      <c r="G1024" s="64" t="s">
        <v>60</v>
      </c>
      <c r="H1024" s="3" t="s">
        <v>67</v>
      </c>
      <c r="I1024" s="65" t="str">
        <f>IFERROR(VLOOKUP(A1024,'3. Call duration'!$A:$C,3,0),"--")</f>
        <v>--</v>
      </c>
      <c r="J1024" s="65" t="str">
        <f t="array" ref="J1024">XLOOKUP(H1024,'2. Matching'!$A$2:$A$39,'2. Matching'!$B$2:$B$39,"--")</f>
        <v>Acquisition</v>
      </c>
      <c r="K1024" s="65" t="str">
        <f t="shared" si="1"/>
        <v>In</v>
      </c>
    </row>
    <row r="1025">
      <c r="A1025" s="62" t="s">
        <v>1163</v>
      </c>
      <c r="B1025" s="63">
        <v>44368.0</v>
      </c>
      <c r="C1025" s="62" t="s">
        <v>108</v>
      </c>
      <c r="D1025" s="64">
        <v>0.0</v>
      </c>
      <c r="E1025" s="62" t="s">
        <v>109</v>
      </c>
      <c r="F1025" s="62" t="s">
        <v>115</v>
      </c>
      <c r="G1025" s="64" t="s">
        <v>59</v>
      </c>
      <c r="H1025" s="3" t="s">
        <v>68</v>
      </c>
      <c r="I1025" s="65">
        <f>IFERROR(VLOOKUP(A1025,'3. Call duration'!$A:$C,3,0),"--")</f>
        <v>32.75185719</v>
      </c>
      <c r="J1025" s="65" t="str">
        <f t="array" ref="J1025">XLOOKUP(H1025,'2. Matching'!$A$2:$A$39,'2. Matching'!$B$2:$B$39,"--")</f>
        <v>Acquisition</v>
      </c>
      <c r="K1025" s="65" t="str">
        <f t="shared" si="1"/>
        <v>In</v>
      </c>
    </row>
    <row r="1026">
      <c r="A1026" s="62" t="s">
        <v>1164</v>
      </c>
      <c r="B1026" s="63">
        <v>44172.0</v>
      </c>
      <c r="C1026" s="62" t="s">
        <v>112</v>
      </c>
      <c r="D1026" s="64">
        <v>0.0</v>
      </c>
      <c r="E1026" s="62" t="s">
        <v>114</v>
      </c>
      <c r="F1026" s="62" t="s">
        <v>115</v>
      </c>
      <c r="G1026" s="64" t="s">
        <v>64</v>
      </c>
      <c r="H1026" s="3" t="s">
        <v>155</v>
      </c>
      <c r="I1026" s="65" t="str">
        <f>IFERROR(VLOOKUP(A1026,'3. Call duration'!$A:$C,3,0),"--")</f>
        <v>--</v>
      </c>
      <c r="J1026" s="65" t="str">
        <f t="array" ref="J1026">XLOOKUP(H1026,'2. Matching'!$A$2:$A$39,'2. Matching'!$B$2:$B$39,"--")</f>
        <v>SEO</v>
      </c>
      <c r="K1026" s="65" t="str">
        <f t="shared" si="1"/>
        <v>In</v>
      </c>
    </row>
    <row r="1027">
      <c r="A1027" s="62" t="s">
        <v>1165</v>
      </c>
      <c r="B1027" s="63">
        <v>44259.0</v>
      </c>
      <c r="C1027" s="62" t="s">
        <v>112</v>
      </c>
      <c r="D1027" s="64">
        <v>0.0</v>
      </c>
      <c r="E1027" s="62" t="s">
        <v>114</v>
      </c>
      <c r="F1027" s="62" t="s">
        <v>110</v>
      </c>
      <c r="G1027" s="64" t="s">
        <v>64</v>
      </c>
      <c r="H1027" s="3" t="s">
        <v>155</v>
      </c>
      <c r="I1027" s="65" t="str">
        <f>IFERROR(VLOOKUP(A1027,'3. Call duration'!$A:$C,3,0),"--")</f>
        <v>--</v>
      </c>
      <c r="J1027" s="65" t="str">
        <f t="array" ref="J1027">XLOOKUP(H1027,'2. Matching'!$A$2:$A$39,'2. Matching'!$B$2:$B$39,"--")</f>
        <v>SEO</v>
      </c>
      <c r="K1027" s="65" t="str">
        <f t="shared" si="1"/>
        <v>In</v>
      </c>
    </row>
    <row r="1028">
      <c r="A1028" s="62" t="s">
        <v>1166</v>
      </c>
      <c r="B1028" s="63">
        <v>44223.0</v>
      </c>
      <c r="C1028" s="62" t="s">
        <v>112</v>
      </c>
      <c r="D1028" s="64">
        <v>0.0</v>
      </c>
      <c r="E1028" s="62" t="s">
        <v>109</v>
      </c>
      <c r="F1028" s="62" t="s">
        <v>110</v>
      </c>
      <c r="G1028" s="64" t="s">
        <v>64</v>
      </c>
      <c r="H1028" s="3" t="s">
        <v>164</v>
      </c>
      <c r="I1028" s="65" t="str">
        <f>IFERROR(VLOOKUP(A1028,'3. Call duration'!$A:$C,3,0),"--")</f>
        <v>--</v>
      </c>
      <c r="J1028" s="65" t="str">
        <f t="array" ref="J1028">XLOOKUP(H1028,'2. Matching'!$A$2:$A$39,'2. Matching'!$B$2:$B$39,"--")</f>
        <v>SEO</v>
      </c>
      <c r="K1028" s="65" t="str">
        <f t="shared" si="1"/>
        <v>In</v>
      </c>
    </row>
    <row r="1029">
      <c r="A1029" s="62" t="s">
        <v>1167</v>
      </c>
      <c r="B1029" s="63">
        <v>44346.0</v>
      </c>
      <c r="C1029" s="62" t="s">
        <v>119</v>
      </c>
      <c r="D1029" s="64">
        <v>47.5</v>
      </c>
      <c r="E1029" s="62" t="s">
        <v>109</v>
      </c>
      <c r="F1029" s="62" t="s">
        <v>115</v>
      </c>
      <c r="G1029" s="64" t="s">
        <v>64</v>
      </c>
      <c r="H1029" s="3" t="s">
        <v>139</v>
      </c>
      <c r="I1029" s="65">
        <f>IFERROR(VLOOKUP(A1029,'3. Call duration'!$A:$C,3,0),"--")</f>
        <v>21.04192566</v>
      </c>
      <c r="J1029" s="65" t="str">
        <f t="array" ref="J1029">XLOOKUP(H1029,'2. Matching'!$A$2:$A$39,'2. Matching'!$B$2:$B$39,"--")</f>
        <v>Acquisition</v>
      </c>
      <c r="K1029" s="65" t="str">
        <f t="shared" si="1"/>
        <v>In</v>
      </c>
    </row>
    <row r="1030">
      <c r="A1030" s="62" t="s">
        <v>1168</v>
      </c>
      <c r="B1030" s="63">
        <v>44206.0</v>
      </c>
      <c r="C1030" s="62" t="s">
        <v>108</v>
      </c>
      <c r="D1030" s="64">
        <v>0.0</v>
      </c>
      <c r="E1030" s="62" t="s">
        <v>109</v>
      </c>
      <c r="F1030" s="62" t="s">
        <v>115</v>
      </c>
      <c r="G1030" s="64" t="s">
        <v>64</v>
      </c>
      <c r="H1030" s="3" t="s">
        <v>139</v>
      </c>
      <c r="I1030" s="65">
        <f>IFERROR(VLOOKUP(A1030,'3. Call duration'!$A:$C,3,0),"--")</f>
        <v>26.56345548</v>
      </c>
      <c r="J1030" s="65" t="str">
        <f t="array" ref="J1030">XLOOKUP(H1030,'2. Matching'!$A$2:$A$39,'2. Matching'!$B$2:$B$39,"--")</f>
        <v>Acquisition</v>
      </c>
      <c r="K1030" s="65" t="str">
        <f t="shared" si="1"/>
        <v>In</v>
      </c>
    </row>
    <row r="1031">
      <c r="A1031" s="62" t="s">
        <v>1169</v>
      </c>
      <c r="B1031" s="63">
        <v>44092.0</v>
      </c>
      <c r="C1031" s="62" t="s">
        <v>108</v>
      </c>
      <c r="D1031" s="64">
        <v>0.0</v>
      </c>
      <c r="E1031" s="62" t="s">
        <v>109</v>
      </c>
      <c r="F1031" s="62" t="s">
        <v>115</v>
      </c>
      <c r="G1031" s="64" t="s">
        <v>64</v>
      </c>
      <c r="H1031" s="3" t="s">
        <v>131</v>
      </c>
      <c r="I1031" s="65">
        <f>IFERROR(VLOOKUP(A1031,'3. Call duration'!$A:$C,3,0),"--")</f>
        <v>33.20052466</v>
      </c>
      <c r="J1031" s="65" t="str">
        <f t="array" ref="J1031">XLOOKUP(H1031,'2. Matching'!$A$2:$A$39,'2. Matching'!$B$2:$B$39,"--")</f>
        <v>Acquisition</v>
      </c>
      <c r="K1031" s="65" t="str">
        <f t="shared" si="1"/>
        <v>In</v>
      </c>
    </row>
    <row r="1032">
      <c r="A1032" s="62" t="s">
        <v>1170</v>
      </c>
      <c r="B1032" s="63">
        <v>44263.0</v>
      </c>
      <c r="C1032" s="62" t="s">
        <v>112</v>
      </c>
      <c r="D1032" s="64">
        <v>0.0</v>
      </c>
      <c r="E1032" s="62" t="s">
        <v>109</v>
      </c>
      <c r="F1032" s="62" t="s">
        <v>110</v>
      </c>
      <c r="G1032" s="64" t="s">
        <v>64</v>
      </c>
      <c r="H1032" s="3" t="s">
        <v>169</v>
      </c>
      <c r="I1032" s="65" t="str">
        <f>IFERROR(VLOOKUP(A1032,'3. Call duration'!$A:$C,3,0),"--")</f>
        <v>--</v>
      </c>
      <c r="J1032" s="65" t="str">
        <f t="array" ref="J1032">XLOOKUP(H1032,'2. Matching'!$A$2:$A$39,'2. Matching'!$B$2:$B$39,"--")</f>
        <v>SEO</v>
      </c>
      <c r="K1032" s="65" t="str">
        <f t="shared" si="1"/>
        <v>In</v>
      </c>
    </row>
    <row r="1033">
      <c r="A1033" s="62" t="s">
        <v>1171</v>
      </c>
      <c r="B1033" s="63">
        <v>44064.0</v>
      </c>
      <c r="C1033" s="62" t="s">
        <v>108</v>
      </c>
      <c r="D1033" s="64">
        <v>0.0</v>
      </c>
      <c r="E1033" s="62" t="s">
        <v>109</v>
      </c>
      <c r="F1033" s="62" t="s">
        <v>110</v>
      </c>
      <c r="G1033" s="64" t="s">
        <v>64</v>
      </c>
      <c r="H1033" s="3" t="s">
        <v>150</v>
      </c>
      <c r="I1033" s="65">
        <f>IFERROR(VLOOKUP(A1033,'3. Call duration'!$A:$C,3,0),"--")</f>
        <v>26.1765662</v>
      </c>
      <c r="J1033" s="65" t="str">
        <f t="array" ref="J1033">XLOOKUP(H1033,'2. Matching'!$A$2:$A$39,'2. Matching'!$B$2:$B$39,"--")</f>
        <v>SEO</v>
      </c>
      <c r="K1033" s="65" t="str">
        <f t="shared" si="1"/>
        <v>In</v>
      </c>
    </row>
    <row r="1034">
      <c r="A1034" s="62" t="s">
        <v>1172</v>
      </c>
      <c r="B1034" s="63">
        <v>44126.0</v>
      </c>
      <c r="C1034" s="62" t="s">
        <v>108</v>
      </c>
      <c r="D1034" s="64">
        <v>0.0</v>
      </c>
      <c r="E1034" s="62" t="s">
        <v>114</v>
      </c>
      <c r="F1034" s="62" t="s">
        <v>110</v>
      </c>
      <c r="G1034" s="64" t="s">
        <v>64</v>
      </c>
      <c r="H1034" s="3" t="s">
        <v>155</v>
      </c>
      <c r="I1034" s="65">
        <f>IFERROR(VLOOKUP(A1034,'3. Call duration'!$A:$C,3,0),"--")</f>
        <v>27.68796824</v>
      </c>
      <c r="J1034" s="65" t="str">
        <f t="array" ref="J1034">XLOOKUP(H1034,'2. Matching'!$A$2:$A$39,'2. Matching'!$B$2:$B$39,"--")</f>
        <v>SEO</v>
      </c>
      <c r="K1034" s="65" t="str">
        <f t="shared" si="1"/>
        <v>In</v>
      </c>
    </row>
    <row r="1035">
      <c r="A1035" s="62" t="s">
        <v>1173</v>
      </c>
      <c r="B1035" s="63">
        <v>44356.0</v>
      </c>
      <c r="C1035" s="62" t="s">
        <v>112</v>
      </c>
      <c r="D1035" s="64">
        <v>0.0</v>
      </c>
      <c r="E1035" s="62" t="s">
        <v>109</v>
      </c>
      <c r="F1035" s="62" t="s">
        <v>110</v>
      </c>
      <c r="G1035" s="64" t="s">
        <v>60</v>
      </c>
      <c r="H1035" s="3" t="s">
        <v>67</v>
      </c>
      <c r="I1035" s="65" t="str">
        <f>IFERROR(VLOOKUP(A1035,'3. Call duration'!$A:$C,3,0),"--")</f>
        <v>--</v>
      </c>
      <c r="J1035" s="65" t="str">
        <f t="array" ref="J1035">XLOOKUP(H1035,'2. Matching'!$A$2:$A$39,'2. Matching'!$B$2:$B$39,"--")</f>
        <v>Acquisition</v>
      </c>
      <c r="K1035" s="65" t="str">
        <f t="shared" si="1"/>
        <v>In</v>
      </c>
    </row>
    <row r="1036">
      <c r="A1036" s="62" t="s">
        <v>1174</v>
      </c>
      <c r="B1036" s="63">
        <v>44235.0</v>
      </c>
      <c r="C1036" s="62" t="s">
        <v>108</v>
      </c>
      <c r="D1036" s="64">
        <v>0.0</v>
      </c>
      <c r="E1036" s="62" t="s">
        <v>109</v>
      </c>
      <c r="F1036" s="62" t="s">
        <v>115</v>
      </c>
      <c r="G1036" s="64" t="s">
        <v>64</v>
      </c>
      <c r="H1036" s="3" t="s">
        <v>139</v>
      </c>
      <c r="I1036" s="65" t="str">
        <f>IFERROR(VLOOKUP(A1036,'3. Call duration'!$A:$C,3,0),"--")</f>
        <v>--</v>
      </c>
      <c r="J1036" s="65" t="str">
        <f t="array" ref="J1036">XLOOKUP(H1036,'2. Matching'!$A$2:$A$39,'2. Matching'!$B$2:$B$39,"--")</f>
        <v>Acquisition</v>
      </c>
      <c r="K1036" s="65" t="str">
        <f t="shared" si="1"/>
        <v>In</v>
      </c>
    </row>
    <row r="1037">
      <c r="A1037" s="62" t="s">
        <v>1175</v>
      </c>
      <c r="B1037" s="63">
        <v>44351.0</v>
      </c>
      <c r="C1037" s="62" t="s">
        <v>112</v>
      </c>
      <c r="D1037" s="64">
        <v>0.0</v>
      </c>
      <c r="E1037" s="62" t="s">
        <v>109</v>
      </c>
      <c r="F1037" s="62" t="s">
        <v>110</v>
      </c>
      <c r="G1037" s="64" t="s">
        <v>63</v>
      </c>
      <c r="H1037" s="3" t="s">
        <v>128</v>
      </c>
      <c r="I1037" s="65" t="str">
        <f>IFERROR(VLOOKUP(A1037,'3. Call duration'!$A:$C,3,0),"--")</f>
        <v>--</v>
      </c>
      <c r="J1037" s="65" t="str">
        <f t="array" ref="J1037">XLOOKUP(H1037,'2. Matching'!$A$2:$A$39,'2. Matching'!$B$2:$B$39,"--")</f>
        <v>Acquisition</v>
      </c>
      <c r="K1037" s="65" t="str">
        <f t="shared" si="1"/>
        <v>In</v>
      </c>
    </row>
    <row r="1038">
      <c r="A1038" s="62" t="s">
        <v>1176</v>
      </c>
      <c r="B1038" s="63">
        <v>44221.0</v>
      </c>
      <c r="C1038" s="62" t="s">
        <v>112</v>
      </c>
      <c r="D1038" s="64">
        <v>0.0</v>
      </c>
      <c r="E1038" s="62" t="s">
        <v>109</v>
      </c>
      <c r="F1038" s="62" t="s">
        <v>110</v>
      </c>
      <c r="G1038" s="64" t="s">
        <v>64</v>
      </c>
      <c r="H1038" s="3" t="s">
        <v>175</v>
      </c>
      <c r="I1038" s="65" t="str">
        <f>IFERROR(VLOOKUP(A1038,'3. Call duration'!$A:$C,3,0),"--")</f>
        <v>--</v>
      </c>
      <c r="J1038" s="65" t="str">
        <f t="array" ref="J1038">XLOOKUP(H1038,'2. Matching'!$A$2:$A$39,'2. Matching'!$B$2:$B$39,"--")</f>
        <v>SEO</v>
      </c>
      <c r="K1038" s="65" t="str">
        <f t="shared" si="1"/>
        <v>In</v>
      </c>
    </row>
    <row r="1039">
      <c r="A1039" s="62" t="s">
        <v>1177</v>
      </c>
      <c r="B1039" s="63">
        <v>44356.0</v>
      </c>
      <c r="C1039" s="62" t="s">
        <v>108</v>
      </c>
      <c r="D1039" s="64">
        <v>0.0</v>
      </c>
      <c r="E1039" s="62" t="s">
        <v>114</v>
      </c>
      <c r="F1039" s="62" t="s">
        <v>110</v>
      </c>
      <c r="G1039" s="64" t="s">
        <v>59</v>
      </c>
      <c r="H1039" s="3" t="s">
        <v>68</v>
      </c>
      <c r="I1039" s="65">
        <f>IFERROR(VLOOKUP(A1039,'3. Call duration'!$A:$C,3,0),"--")</f>
        <v>32.71313123</v>
      </c>
      <c r="J1039" s="65" t="str">
        <f t="array" ref="J1039">XLOOKUP(H1039,'2. Matching'!$A$2:$A$39,'2. Matching'!$B$2:$B$39,"--")</f>
        <v>Acquisition</v>
      </c>
      <c r="K1039" s="65" t="str">
        <f t="shared" si="1"/>
        <v>In</v>
      </c>
    </row>
    <row r="1040">
      <c r="A1040" s="62" t="s">
        <v>1178</v>
      </c>
      <c r="B1040" s="63">
        <v>44202.0</v>
      </c>
      <c r="C1040" s="62" t="s">
        <v>108</v>
      </c>
      <c r="D1040" s="64">
        <v>0.0</v>
      </c>
      <c r="E1040" s="62" t="s">
        <v>109</v>
      </c>
      <c r="F1040" s="62" t="s">
        <v>110</v>
      </c>
      <c r="G1040" s="64" t="s">
        <v>64</v>
      </c>
      <c r="H1040" s="3" t="s">
        <v>131</v>
      </c>
      <c r="I1040" s="65">
        <f>IFERROR(VLOOKUP(A1040,'3. Call duration'!$A:$C,3,0),"--")</f>
        <v>24.14170882</v>
      </c>
      <c r="J1040" s="65" t="str">
        <f t="array" ref="J1040">XLOOKUP(H1040,'2. Matching'!$A$2:$A$39,'2. Matching'!$B$2:$B$39,"--")</f>
        <v>Acquisition</v>
      </c>
      <c r="K1040" s="65" t="str">
        <f t="shared" si="1"/>
        <v>In</v>
      </c>
    </row>
    <row r="1041">
      <c r="A1041" s="62" t="s">
        <v>1179</v>
      </c>
      <c r="B1041" s="63">
        <v>44392.0</v>
      </c>
      <c r="C1041" s="62" t="s">
        <v>112</v>
      </c>
      <c r="D1041" s="64">
        <v>0.0</v>
      </c>
      <c r="E1041" s="62" t="s">
        <v>109</v>
      </c>
      <c r="F1041" s="62" t="s">
        <v>115</v>
      </c>
      <c r="G1041" s="64" t="s">
        <v>59</v>
      </c>
      <c r="H1041" s="3" t="s">
        <v>68</v>
      </c>
      <c r="I1041" s="65" t="str">
        <f>IFERROR(VLOOKUP(A1041,'3. Call duration'!$A:$C,3,0),"--")</f>
        <v>--</v>
      </c>
      <c r="J1041" s="65" t="str">
        <f t="array" ref="J1041">XLOOKUP(H1041,'2. Matching'!$A$2:$A$39,'2. Matching'!$B$2:$B$39,"--")</f>
        <v>Acquisition</v>
      </c>
      <c r="K1041" s="65" t="str">
        <f t="shared" si="1"/>
        <v>In</v>
      </c>
    </row>
    <row r="1042">
      <c r="A1042" s="62" t="s">
        <v>1180</v>
      </c>
      <c r="B1042" s="63">
        <v>44251.0</v>
      </c>
      <c r="C1042" s="62" t="s">
        <v>112</v>
      </c>
      <c r="D1042" s="64">
        <v>0.0</v>
      </c>
      <c r="E1042" s="62" t="s">
        <v>109</v>
      </c>
      <c r="F1042" s="62" t="s">
        <v>110</v>
      </c>
      <c r="G1042" s="64" t="s">
        <v>64</v>
      </c>
      <c r="H1042" s="3" t="s">
        <v>297</v>
      </c>
      <c r="I1042" s="65" t="str">
        <f>IFERROR(VLOOKUP(A1042,'3. Call duration'!$A:$C,3,0),"--")</f>
        <v>--</v>
      </c>
      <c r="J1042" s="65" t="str">
        <f t="array" ref="J1042">XLOOKUP(H1042,'2. Matching'!$A$2:$A$39,'2. Matching'!$B$2:$B$39,"--")</f>
        <v>Farming</v>
      </c>
      <c r="K1042" s="65" t="str">
        <f t="shared" si="1"/>
        <v>In</v>
      </c>
    </row>
    <row r="1043">
      <c r="A1043" s="62" t="s">
        <v>1181</v>
      </c>
      <c r="B1043" s="63">
        <v>44384.0</v>
      </c>
      <c r="C1043" s="62" t="s">
        <v>112</v>
      </c>
      <c r="D1043" s="64">
        <v>0.0</v>
      </c>
      <c r="E1043" s="62" t="s">
        <v>109</v>
      </c>
      <c r="F1043" s="62" t="s">
        <v>110</v>
      </c>
      <c r="G1043" s="64" t="s">
        <v>60</v>
      </c>
      <c r="H1043" s="3" t="s">
        <v>68</v>
      </c>
      <c r="I1043" s="65" t="str">
        <f>IFERROR(VLOOKUP(A1043,'3. Call duration'!$A:$C,3,0),"--")</f>
        <v>--</v>
      </c>
      <c r="J1043" s="65" t="str">
        <f t="array" ref="J1043">XLOOKUP(H1043,'2. Matching'!$A$2:$A$39,'2. Matching'!$B$2:$B$39,"--")</f>
        <v>Acquisition</v>
      </c>
      <c r="K1043" s="65" t="str">
        <f t="shared" si="1"/>
        <v>In</v>
      </c>
    </row>
    <row r="1044">
      <c r="A1044" s="62" t="s">
        <v>1182</v>
      </c>
      <c r="B1044" s="63">
        <v>44372.0</v>
      </c>
      <c r="C1044" s="62" t="s">
        <v>108</v>
      </c>
      <c r="D1044" s="64">
        <v>0.0</v>
      </c>
      <c r="E1044" s="62" t="s">
        <v>109</v>
      </c>
      <c r="F1044" s="62" t="s">
        <v>110</v>
      </c>
      <c r="G1044" s="64" t="s">
        <v>64</v>
      </c>
      <c r="H1044" s="3" t="s">
        <v>221</v>
      </c>
      <c r="I1044" s="65">
        <f>IFERROR(VLOOKUP(A1044,'3. Call duration'!$A:$C,3,0),"--")</f>
        <v>12.98940499</v>
      </c>
      <c r="J1044" s="65" t="str">
        <f t="array" ref="J1044">XLOOKUP(H1044,'2. Matching'!$A$2:$A$39,'2. Matching'!$B$2:$B$39,"--")</f>
        <v>Farming</v>
      </c>
      <c r="K1044" s="65" t="str">
        <f t="shared" si="1"/>
        <v>In</v>
      </c>
    </row>
    <row r="1045">
      <c r="A1045" s="62" t="s">
        <v>1183</v>
      </c>
      <c r="B1045" s="63">
        <v>44342.0</v>
      </c>
      <c r="C1045" s="62" t="s">
        <v>119</v>
      </c>
      <c r="D1045" s="64">
        <v>47.5</v>
      </c>
      <c r="E1045" s="62" t="s">
        <v>109</v>
      </c>
      <c r="F1045" s="62" t="s">
        <v>110</v>
      </c>
      <c r="G1045" s="64" t="s">
        <v>64</v>
      </c>
      <c r="H1045" s="3" t="s">
        <v>171</v>
      </c>
      <c r="I1045" s="65">
        <f>IFERROR(VLOOKUP(A1045,'3. Call duration'!$A:$C,3,0),"--")</f>
        <v>21.04565654</v>
      </c>
      <c r="J1045" s="65" t="str">
        <f t="array" ref="J1045">XLOOKUP(H1045,'2. Matching'!$A$2:$A$39,'2. Matching'!$B$2:$B$39,"--")</f>
        <v>SEO</v>
      </c>
      <c r="K1045" s="65" t="str">
        <f t="shared" si="1"/>
        <v>In</v>
      </c>
    </row>
    <row r="1046">
      <c r="A1046" s="62" t="s">
        <v>1184</v>
      </c>
      <c r="B1046" s="63">
        <v>44337.0</v>
      </c>
      <c r="C1046" s="62" t="s">
        <v>119</v>
      </c>
      <c r="D1046" s="64">
        <v>47.5</v>
      </c>
      <c r="E1046" s="62" t="s">
        <v>109</v>
      </c>
      <c r="F1046" s="62" t="s">
        <v>115</v>
      </c>
      <c r="G1046" s="64" t="s">
        <v>63</v>
      </c>
      <c r="H1046" s="3" t="s">
        <v>183</v>
      </c>
      <c r="I1046" s="65">
        <f>IFERROR(VLOOKUP(A1046,'3. Call duration'!$A:$C,3,0),"--")</f>
        <v>21.05703911</v>
      </c>
      <c r="J1046" s="65" t="str">
        <f t="array" ref="J1046">XLOOKUP(H1046,'2. Matching'!$A$2:$A$39,'2. Matching'!$B$2:$B$39,"--")</f>
        <v>SEO</v>
      </c>
      <c r="K1046" s="65" t="str">
        <f t="shared" si="1"/>
        <v>In</v>
      </c>
    </row>
    <row r="1047">
      <c r="A1047" s="62" t="s">
        <v>1185</v>
      </c>
      <c r="B1047" s="63">
        <v>44370.0</v>
      </c>
      <c r="C1047" s="62" t="s">
        <v>112</v>
      </c>
      <c r="D1047" s="64">
        <v>0.0</v>
      </c>
      <c r="E1047" s="62" t="s">
        <v>109</v>
      </c>
      <c r="F1047" s="62" t="s">
        <v>110</v>
      </c>
      <c r="G1047" s="64" t="s">
        <v>63</v>
      </c>
      <c r="H1047" s="3" t="s">
        <v>228</v>
      </c>
      <c r="I1047" s="65" t="str">
        <f>IFERROR(VLOOKUP(A1047,'3. Call duration'!$A:$C,3,0),"--")</f>
        <v>--</v>
      </c>
      <c r="J1047" s="65" t="str">
        <f t="array" ref="J1047">XLOOKUP(H1047,'2. Matching'!$A$2:$A$39,'2. Matching'!$B$2:$B$39,"--")</f>
        <v>Farming</v>
      </c>
      <c r="K1047" s="65" t="str">
        <f t="shared" si="1"/>
        <v>In</v>
      </c>
    </row>
    <row r="1048">
      <c r="A1048" s="62" t="s">
        <v>1186</v>
      </c>
      <c r="B1048" s="63">
        <v>44348.0</v>
      </c>
      <c r="C1048" s="62" t="s">
        <v>112</v>
      </c>
      <c r="D1048" s="64">
        <v>0.0</v>
      </c>
      <c r="E1048" s="62" t="s">
        <v>109</v>
      </c>
      <c r="F1048" s="62" t="s">
        <v>110</v>
      </c>
      <c r="G1048" s="64" t="s">
        <v>60</v>
      </c>
      <c r="H1048" s="3" t="s">
        <v>68</v>
      </c>
      <c r="I1048" s="65" t="str">
        <f>IFERROR(VLOOKUP(A1048,'3. Call duration'!$A:$C,3,0),"--")</f>
        <v>--</v>
      </c>
      <c r="J1048" s="65" t="str">
        <f t="array" ref="J1048">XLOOKUP(H1048,'2. Matching'!$A$2:$A$39,'2. Matching'!$B$2:$B$39,"--")</f>
        <v>Acquisition</v>
      </c>
      <c r="K1048" s="65" t="str">
        <f t="shared" si="1"/>
        <v>In</v>
      </c>
    </row>
    <row r="1049">
      <c r="A1049" s="62" t="s">
        <v>1187</v>
      </c>
      <c r="B1049" s="63">
        <v>44354.0</v>
      </c>
      <c r="C1049" s="62" t="s">
        <v>112</v>
      </c>
      <c r="D1049" s="64">
        <v>0.0</v>
      </c>
      <c r="E1049" s="62" t="s">
        <v>114</v>
      </c>
      <c r="F1049" s="62" t="s">
        <v>110</v>
      </c>
      <c r="G1049" s="64" t="s">
        <v>60</v>
      </c>
      <c r="H1049" s="3" t="s">
        <v>67</v>
      </c>
      <c r="I1049" s="65" t="str">
        <f>IFERROR(VLOOKUP(A1049,'3. Call duration'!$A:$C,3,0),"--")</f>
        <v>--</v>
      </c>
      <c r="J1049" s="65" t="str">
        <f t="array" ref="J1049">XLOOKUP(H1049,'2. Matching'!$A$2:$A$39,'2. Matching'!$B$2:$B$39,"--")</f>
        <v>Acquisition</v>
      </c>
      <c r="K1049" s="65" t="str">
        <f t="shared" si="1"/>
        <v>In</v>
      </c>
    </row>
    <row r="1050">
      <c r="A1050" s="62" t="s">
        <v>1188</v>
      </c>
      <c r="B1050" s="63">
        <v>44331.0</v>
      </c>
      <c r="C1050" s="62" t="s">
        <v>119</v>
      </c>
      <c r="D1050" s="64">
        <v>47.5</v>
      </c>
      <c r="E1050" s="62" t="s">
        <v>109</v>
      </c>
      <c r="F1050" s="62" t="s">
        <v>115</v>
      </c>
      <c r="G1050" s="64" t="s">
        <v>64</v>
      </c>
      <c r="H1050" s="3" t="s">
        <v>139</v>
      </c>
      <c r="I1050" s="65">
        <f>IFERROR(VLOOKUP(A1050,'3. Call duration'!$A:$C,3,0),"--")</f>
        <v>21.11162788</v>
      </c>
      <c r="J1050" s="65" t="str">
        <f t="array" ref="J1050">XLOOKUP(H1050,'2. Matching'!$A$2:$A$39,'2. Matching'!$B$2:$B$39,"--")</f>
        <v>Acquisition</v>
      </c>
      <c r="K1050" s="65" t="str">
        <f t="shared" si="1"/>
        <v>In</v>
      </c>
    </row>
    <row r="1051">
      <c r="A1051" s="62" t="s">
        <v>1189</v>
      </c>
      <c r="B1051" s="63">
        <v>44326.0</v>
      </c>
      <c r="C1051" s="62" t="s">
        <v>119</v>
      </c>
      <c r="D1051" s="64">
        <v>47.5</v>
      </c>
      <c r="E1051" s="62" t="s">
        <v>109</v>
      </c>
      <c r="F1051" s="62" t="s">
        <v>110</v>
      </c>
      <c r="G1051" s="64" t="s">
        <v>59</v>
      </c>
      <c r="H1051" s="3" t="s">
        <v>68</v>
      </c>
      <c r="I1051" s="65">
        <f>IFERROR(VLOOKUP(A1051,'3. Call duration'!$A:$C,3,0),"--")</f>
        <v>21.16102831</v>
      </c>
      <c r="J1051" s="65" t="str">
        <f t="array" ref="J1051">XLOOKUP(H1051,'2. Matching'!$A$2:$A$39,'2. Matching'!$B$2:$B$39,"--")</f>
        <v>Acquisition</v>
      </c>
      <c r="K1051" s="65" t="str">
        <f t="shared" si="1"/>
        <v>In</v>
      </c>
    </row>
    <row r="1052">
      <c r="A1052" s="62" t="s">
        <v>1190</v>
      </c>
      <c r="B1052" s="63">
        <v>44328.0</v>
      </c>
      <c r="C1052" s="62" t="s">
        <v>119</v>
      </c>
      <c r="D1052" s="64">
        <v>47.5</v>
      </c>
      <c r="E1052" s="62" t="s">
        <v>109</v>
      </c>
      <c r="F1052" s="62" t="s">
        <v>115</v>
      </c>
      <c r="G1052" s="64" t="s">
        <v>64</v>
      </c>
      <c r="H1052" s="3" t="s">
        <v>169</v>
      </c>
      <c r="I1052" s="65">
        <f>IFERROR(VLOOKUP(A1052,'3. Call duration'!$A:$C,3,0),"--")</f>
        <v>21.17739039</v>
      </c>
      <c r="J1052" s="65" t="str">
        <f t="array" ref="J1052">XLOOKUP(H1052,'2. Matching'!$A$2:$A$39,'2. Matching'!$B$2:$B$39,"--")</f>
        <v>SEO</v>
      </c>
      <c r="K1052" s="65" t="str">
        <f t="shared" si="1"/>
        <v>In</v>
      </c>
    </row>
    <row r="1053">
      <c r="A1053" s="62" t="s">
        <v>1191</v>
      </c>
      <c r="B1053" s="63">
        <v>44362.0</v>
      </c>
      <c r="C1053" s="62" t="s">
        <v>108</v>
      </c>
      <c r="D1053" s="64">
        <v>0.0</v>
      </c>
      <c r="E1053" s="62" t="s">
        <v>109</v>
      </c>
      <c r="F1053" s="62" t="s">
        <v>115</v>
      </c>
      <c r="G1053" s="64" t="s">
        <v>64</v>
      </c>
      <c r="H1053" s="3" t="s">
        <v>185</v>
      </c>
      <c r="I1053" s="65">
        <f>IFERROR(VLOOKUP(A1053,'3. Call duration'!$A:$C,3,0),"--")</f>
        <v>25.36406151</v>
      </c>
      <c r="J1053" s="65" t="str">
        <f t="array" ref="J1053">XLOOKUP(H1053,'2. Matching'!$A$2:$A$39,'2. Matching'!$B$2:$B$39,"--")</f>
        <v>SEO</v>
      </c>
      <c r="K1053" s="65" t="str">
        <f t="shared" si="1"/>
        <v>In</v>
      </c>
    </row>
    <row r="1054">
      <c r="A1054" s="62" t="s">
        <v>1192</v>
      </c>
      <c r="B1054" s="63">
        <v>44333.0</v>
      </c>
      <c r="C1054" s="62" t="s">
        <v>119</v>
      </c>
      <c r="D1054" s="64">
        <v>47.5</v>
      </c>
      <c r="E1054" s="62" t="s">
        <v>109</v>
      </c>
      <c r="F1054" s="62" t="s">
        <v>110</v>
      </c>
      <c r="G1054" s="64" t="s">
        <v>64</v>
      </c>
      <c r="H1054" s="3" t="s">
        <v>139</v>
      </c>
      <c r="I1054" s="65">
        <f>IFERROR(VLOOKUP(A1054,'3. Call duration'!$A:$C,3,0),"--")</f>
        <v>21.17862919</v>
      </c>
      <c r="J1054" s="65" t="str">
        <f t="array" ref="J1054">XLOOKUP(H1054,'2. Matching'!$A$2:$A$39,'2. Matching'!$B$2:$B$39,"--")</f>
        <v>Acquisition</v>
      </c>
      <c r="K1054" s="65" t="str">
        <f t="shared" si="1"/>
        <v>In</v>
      </c>
    </row>
    <row r="1055">
      <c r="A1055" s="62" t="s">
        <v>1193</v>
      </c>
      <c r="B1055" s="63">
        <v>44159.0</v>
      </c>
      <c r="C1055" s="62" t="s">
        <v>112</v>
      </c>
      <c r="D1055" s="64">
        <v>0.0</v>
      </c>
      <c r="E1055" s="62" t="s">
        <v>109</v>
      </c>
      <c r="F1055" s="62" t="s">
        <v>115</v>
      </c>
      <c r="G1055" s="64" t="s">
        <v>64</v>
      </c>
      <c r="H1055" s="3" t="s">
        <v>175</v>
      </c>
      <c r="I1055" s="65" t="str">
        <f>IFERROR(VLOOKUP(A1055,'3. Call duration'!$A:$C,3,0),"--")</f>
        <v>--</v>
      </c>
      <c r="J1055" s="65" t="str">
        <f t="array" ref="J1055">XLOOKUP(H1055,'2. Matching'!$A$2:$A$39,'2. Matching'!$B$2:$B$39,"--")</f>
        <v>SEO</v>
      </c>
      <c r="K1055" s="65" t="str">
        <f t="shared" si="1"/>
        <v>In</v>
      </c>
    </row>
    <row r="1056">
      <c r="A1056" s="62" t="s">
        <v>1194</v>
      </c>
      <c r="B1056" s="63">
        <v>44363.0</v>
      </c>
      <c r="C1056" s="62" t="s">
        <v>112</v>
      </c>
      <c r="D1056" s="64">
        <v>0.0</v>
      </c>
      <c r="E1056" s="62" t="s">
        <v>109</v>
      </c>
      <c r="F1056" s="62" t="s">
        <v>115</v>
      </c>
      <c r="G1056" s="64" t="s">
        <v>64</v>
      </c>
      <c r="H1056" s="3" t="s">
        <v>171</v>
      </c>
      <c r="I1056" s="65" t="str">
        <f>IFERROR(VLOOKUP(A1056,'3. Call duration'!$A:$C,3,0),"--")</f>
        <v>--</v>
      </c>
      <c r="J1056" s="65" t="str">
        <f t="array" ref="J1056">XLOOKUP(H1056,'2. Matching'!$A$2:$A$39,'2. Matching'!$B$2:$B$39,"--")</f>
        <v>SEO</v>
      </c>
      <c r="K1056" s="65" t="str">
        <f t="shared" si="1"/>
        <v>In</v>
      </c>
    </row>
    <row r="1057">
      <c r="A1057" s="62" t="s">
        <v>1195</v>
      </c>
      <c r="B1057" s="63">
        <v>44278.0</v>
      </c>
      <c r="C1057" s="62" t="s">
        <v>112</v>
      </c>
      <c r="D1057" s="64">
        <v>0.0</v>
      </c>
      <c r="E1057" s="62" t="s">
        <v>109</v>
      </c>
      <c r="F1057" s="62" t="s">
        <v>110</v>
      </c>
      <c r="G1057" s="64" t="s">
        <v>62</v>
      </c>
      <c r="H1057" s="3" t="s">
        <v>203</v>
      </c>
      <c r="I1057" s="65" t="str">
        <f>IFERROR(VLOOKUP(A1057,'3. Call duration'!$A:$C,3,0),"--")</f>
        <v>--</v>
      </c>
      <c r="J1057" s="65" t="str">
        <f t="array" ref="J1057">XLOOKUP(H1057,'2. Matching'!$A$2:$A$39,'2. Matching'!$B$2:$B$39,"--")</f>
        <v>Farming</v>
      </c>
      <c r="K1057" s="65" t="str">
        <f t="shared" si="1"/>
        <v>In</v>
      </c>
    </row>
    <row r="1058">
      <c r="A1058" s="62" t="s">
        <v>1196</v>
      </c>
      <c r="B1058" s="63">
        <v>44354.0</v>
      </c>
      <c r="C1058" s="62" t="s">
        <v>112</v>
      </c>
      <c r="D1058" s="64">
        <v>0.0</v>
      </c>
      <c r="E1058" s="62" t="s">
        <v>109</v>
      </c>
      <c r="F1058" s="62" t="s">
        <v>110</v>
      </c>
      <c r="G1058" s="64" t="s">
        <v>60</v>
      </c>
      <c r="H1058" s="3" t="s">
        <v>67</v>
      </c>
      <c r="I1058" s="65" t="str">
        <f>IFERROR(VLOOKUP(A1058,'3. Call duration'!$A:$C,3,0),"--")</f>
        <v>--</v>
      </c>
      <c r="J1058" s="65" t="str">
        <f t="array" ref="J1058">XLOOKUP(H1058,'2. Matching'!$A$2:$A$39,'2. Matching'!$B$2:$B$39,"--")</f>
        <v>Acquisition</v>
      </c>
      <c r="K1058" s="65" t="str">
        <f t="shared" si="1"/>
        <v>In</v>
      </c>
    </row>
    <row r="1059">
      <c r="A1059" s="62" t="s">
        <v>1197</v>
      </c>
      <c r="B1059" s="63">
        <v>44280.0</v>
      </c>
      <c r="C1059" s="62" t="s">
        <v>108</v>
      </c>
      <c r="D1059" s="64">
        <v>0.0</v>
      </c>
      <c r="E1059" s="62" t="s">
        <v>109</v>
      </c>
      <c r="F1059" s="62" t="s">
        <v>115</v>
      </c>
      <c r="G1059" s="64" t="s">
        <v>64</v>
      </c>
      <c r="H1059" s="3" t="s">
        <v>52</v>
      </c>
      <c r="I1059" s="65">
        <f>IFERROR(VLOOKUP(A1059,'3. Call duration'!$A:$C,3,0),"--")</f>
        <v>19.50022077</v>
      </c>
      <c r="J1059" s="65" t="str">
        <f t="array" ref="J1059">XLOOKUP(H1059,'2. Matching'!$A$2:$A$39,'2. Matching'!$B$2:$B$39,"--")</f>
        <v>Partnerships</v>
      </c>
      <c r="K1059" s="65" t="str">
        <f t="shared" si="1"/>
        <v>In</v>
      </c>
    </row>
    <row r="1060">
      <c r="A1060" s="62" t="s">
        <v>1198</v>
      </c>
      <c r="B1060" s="63">
        <v>44371.0</v>
      </c>
      <c r="C1060" s="62" t="s">
        <v>108</v>
      </c>
      <c r="D1060" s="64">
        <v>0.0</v>
      </c>
      <c r="E1060" s="62" t="s">
        <v>109</v>
      </c>
      <c r="F1060" s="62" t="s">
        <v>110</v>
      </c>
      <c r="G1060" s="64" t="s">
        <v>60</v>
      </c>
      <c r="H1060" s="3" t="s">
        <v>67</v>
      </c>
      <c r="I1060" s="65">
        <f>IFERROR(VLOOKUP(A1060,'3. Call duration'!$A:$C,3,0),"--")</f>
        <v>39.39858287</v>
      </c>
      <c r="J1060" s="65" t="str">
        <f t="array" ref="J1060">XLOOKUP(H1060,'2. Matching'!$A$2:$A$39,'2. Matching'!$B$2:$B$39,"--")</f>
        <v>Acquisition</v>
      </c>
      <c r="K1060" s="65" t="str">
        <f t="shared" si="1"/>
        <v>In</v>
      </c>
    </row>
    <row r="1061">
      <c r="A1061" s="62" t="s">
        <v>1199</v>
      </c>
      <c r="B1061" s="63">
        <v>44376.0</v>
      </c>
      <c r="C1061" s="62" t="s">
        <v>112</v>
      </c>
      <c r="D1061" s="64">
        <v>0.0</v>
      </c>
      <c r="E1061" s="62" t="s">
        <v>109</v>
      </c>
      <c r="F1061" s="62" t="s">
        <v>110</v>
      </c>
      <c r="G1061" s="64" t="s">
        <v>62</v>
      </c>
      <c r="H1061" s="3" t="s">
        <v>286</v>
      </c>
      <c r="I1061" s="65" t="str">
        <f>IFERROR(VLOOKUP(A1061,'3. Call duration'!$A:$C,3,0),"--")</f>
        <v>--</v>
      </c>
      <c r="J1061" s="65" t="str">
        <f t="array" ref="J1061">XLOOKUP(H1061,'2. Matching'!$A$2:$A$39,'2. Matching'!$B$2:$B$39,"--")</f>
        <v>Farming</v>
      </c>
      <c r="K1061" s="65" t="str">
        <f t="shared" si="1"/>
        <v>In</v>
      </c>
    </row>
    <row r="1062">
      <c r="A1062" s="62" t="s">
        <v>1200</v>
      </c>
      <c r="B1062" s="63">
        <v>44292.0</v>
      </c>
      <c r="C1062" s="62" t="s">
        <v>112</v>
      </c>
      <c r="D1062" s="64">
        <v>0.0</v>
      </c>
      <c r="E1062" s="62" t="s">
        <v>109</v>
      </c>
      <c r="F1062" s="62" t="s">
        <v>115</v>
      </c>
      <c r="G1062" s="64" t="s">
        <v>62</v>
      </c>
      <c r="H1062" s="3" t="s">
        <v>286</v>
      </c>
      <c r="I1062" s="65" t="str">
        <f>IFERROR(VLOOKUP(A1062,'3. Call duration'!$A:$C,3,0),"--")</f>
        <v>--</v>
      </c>
      <c r="J1062" s="65" t="str">
        <f t="array" ref="J1062">XLOOKUP(H1062,'2. Matching'!$A$2:$A$39,'2. Matching'!$B$2:$B$39,"--")</f>
        <v>Farming</v>
      </c>
      <c r="K1062" s="65" t="str">
        <f t="shared" si="1"/>
        <v>In</v>
      </c>
    </row>
    <row r="1063">
      <c r="A1063" s="62" t="s">
        <v>1201</v>
      </c>
      <c r="B1063" s="63">
        <v>44347.0</v>
      </c>
      <c r="C1063" s="62" t="s">
        <v>119</v>
      </c>
      <c r="D1063" s="64">
        <v>47.5</v>
      </c>
      <c r="E1063" s="62" t="s">
        <v>109</v>
      </c>
      <c r="F1063" s="62" t="s">
        <v>110</v>
      </c>
      <c r="G1063" s="64" t="s">
        <v>64</v>
      </c>
      <c r="H1063" s="3" t="s">
        <v>175</v>
      </c>
      <c r="I1063" s="65">
        <f>IFERROR(VLOOKUP(A1063,'3. Call duration'!$A:$C,3,0),"--")</f>
        <v>21.22226255</v>
      </c>
      <c r="J1063" s="65" t="str">
        <f t="array" ref="J1063">XLOOKUP(H1063,'2. Matching'!$A$2:$A$39,'2. Matching'!$B$2:$B$39,"--")</f>
        <v>SEO</v>
      </c>
      <c r="K1063" s="65" t="str">
        <f t="shared" si="1"/>
        <v>In</v>
      </c>
    </row>
    <row r="1064">
      <c r="A1064" s="62" t="s">
        <v>1202</v>
      </c>
      <c r="B1064" s="63">
        <v>44182.0</v>
      </c>
      <c r="C1064" s="62" t="s">
        <v>112</v>
      </c>
      <c r="D1064" s="64">
        <v>0.0</v>
      </c>
      <c r="E1064" s="62" t="s">
        <v>109</v>
      </c>
      <c r="F1064" s="62" t="s">
        <v>115</v>
      </c>
      <c r="G1064" s="64" t="s">
        <v>64</v>
      </c>
      <c r="H1064" s="3" t="s">
        <v>164</v>
      </c>
      <c r="I1064" s="65" t="str">
        <f>IFERROR(VLOOKUP(A1064,'3. Call duration'!$A:$C,3,0),"--")</f>
        <v>--</v>
      </c>
      <c r="J1064" s="65" t="str">
        <f t="array" ref="J1064">XLOOKUP(H1064,'2. Matching'!$A$2:$A$39,'2. Matching'!$B$2:$B$39,"--")</f>
        <v>SEO</v>
      </c>
      <c r="K1064" s="65" t="str">
        <f t="shared" si="1"/>
        <v>In</v>
      </c>
    </row>
    <row r="1065">
      <c r="A1065" s="62" t="s">
        <v>1203</v>
      </c>
      <c r="B1065" s="63">
        <v>44228.0</v>
      </c>
      <c r="C1065" s="62" t="s">
        <v>112</v>
      </c>
      <c r="D1065" s="64">
        <v>0.0</v>
      </c>
      <c r="E1065" s="62" t="s">
        <v>109</v>
      </c>
      <c r="F1065" s="62" t="s">
        <v>115</v>
      </c>
      <c r="G1065" s="64" t="s">
        <v>64</v>
      </c>
      <c r="H1065" s="3" t="s">
        <v>185</v>
      </c>
      <c r="I1065" s="65" t="str">
        <f>IFERROR(VLOOKUP(A1065,'3. Call duration'!$A:$C,3,0),"--")</f>
        <v>--</v>
      </c>
      <c r="J1065" s="65" t="str">
        <f t="array" ref="J1065">XLOOKUP(H1065,'2. Matching'!$A$2:$A$39,'2. Matching'!$B$2:$B$39,"--")</f>
        <v>SEO</v>
      </c>
      <c r="K1065" s="65" t="str">
        <f t="shared" si="1"/>
        <v>In</v>
      </c>
    </row>
    <row r="1066">
      <c r="A1066" s="62" t="s">
        <v>1204</v>
      </c>
      <c r="B1066" s="63">
        <v>44366.0</v>
      </c>
      <c r="C1066" s="62" t="s">
        <v>112</v>
      </c>
      <c r="D1066" s="64">
        <v>0.0</v>
      </c>
      <c r="E1066" s="62" t="s">
        <v>109</v>
      </c>
      <c r="F1066" s="62" t="s">
        <v>115</v>
      </c>
      <c r="G1066" s="64" t="s">
        <v>64</v>
      </c>
      <c r="H1066" s="3" t="s">
        <v>169</v>
      </c>
      <c r="I1066" s="65" t="str">
        <f>IFERROR(VLOOKUP(A1066,'3. Call duration'!$A:$C,3,0),"--")</f>
        <v>--</v>
      </c>
      <c r="J1066" s="65" t="str">
        <f t="array" ref="J1066">XLOOKUP(H1066,'2. Matching'!$A$2:$A$39,'2. Matching'!$B$2:$B$39,"--")</f>
        <v>SEO</v>
      </c>
      <c r="K1066" s="65" t="str">
        <f t="shared" si="1"/>
        <v>In</v>
      </c>
    </row>
    <row r="1067">
      <c r="A1067" s="62" t="s">
        <v>1205</v>
      </c>
      <c r="B1067" s="63">
        <v>44225.0</v>
      </c>
      <c r="C1067" s="62" t="s">
        <v>108</v>
      </c>
      <c r="D1067" s="64">
        <v>0.0</v>
      </c>
      <c r="E1067" s="62" t="s">
        <v>114</v>
      </c>
      <c r="F1067" s="62" t="s">
        <v>110</v>
      </c>
      <c r="G1067" s="64" t="s">
        <v>64</v>
      </c>
      <c r="H1067" s="3" t="s">
        <v>145</v>
      </c>
      <c r="I1067" s="65">
        <f>IFERROR(VLOOKUP(A1067,'3. Call duration'!$A:$C,3,0),"--")</f>
        <v>33.50327403</v>
      </c>
      <c r="J1067" s="65" t="str">
        <f t="array" ref="J1067">XLOOKUP(H1067,'2. Matching'!$A$2:$A$39,'2. Matching'!$B$2:$B$39,"--")</f>
        <v>SEO</v>
      </c>
      <c r="K1067" s="65" t="str">
        <f t="shared" si="1"/>
        <v>In</v>
      </c>
    </row>
    <row r="1068">
      <c r="A1068" s="62" t="s">
        <v>1206</v>
      </c>
      <c r="B1068" s="63">
        <v>44293.0</v>
      </c>
      <c r="C1068" s="62" t="s">
        <v>112</v>
      </c>
      <c r="D1068" s="64">
        <v>0.0</v>
      </c>
      <c r="E1068" s="62" t="s">
        <v>109</v>
      </c>
      <c r="F1068" s="62" t="s">
        <v>115</v>
      </c>
      <c r="G1068" s="64" t="s">
        <v>63</v>
      </c>
      <c r="H1068" s="3" t="s">
        <v>128</v>
      </c>
      <c r="I1068" s="65" t="str">
        <f>IFERROR(VLOOKUP(A1068,'3. Call duration'!$A:$C,3,0),"--")</f>
        <v>--</v>
      </c>
      <c r="J1068" s="65" t="str">
        <f t="array" ref="J1068">XLOOKUP(H1068,'2. Matching'!$A$2:$A$39,'2. Matching'!$B$2:$B$39,"--")</f>
        <v>Acquisition</v>
      </c>
      <c r="K1068" s="65" t="str">
        <f t="shared" si="1"/>
        <v>In</v>
      </c>
    </row>
    <row r="1069">
      <c r="A1069" s="62" t="s">
        <v>1207</v>
      </c>
      <c r="B1069" s="63">
        <v>44309.0</v>
      </c>
      <c r="C1069" s="62" t="s">
        <v>112</v>
      </c>
      <c r="D1069" s="64">
        <v>0.0</v>
      </c>
      <c r="E1069" s="62" t="s">
        <v>109</v>
      </c>
      <c r="F1069" s="62" t="s">
        <v>110</v>
      </c>
      <c r="G1069" s="64" t="s">
        <v>64</v>
      </c>
      <c r="H1069" s="3" t="s">
        <v>116</v>
      </c>
      <c r="I1069" s="65" t="str">
        <f>IFERROR(VLOOKUP(A1069,'3. Call duration'!$A:$C,3,0),"--")</f>
        <v>--</v>
      </c>
      <c r="J1069" s="65" t="str">
        <f t="array" ref="J1069">XLOOKUP(H1069,'2. Matching'!$A$2:$A$39,'2. Matching'!$B$2:$B$39,"--")</f>
        <v>Acquisition</v>
      </c>
      <c r="K1069" s="65" t="str">
        <f t="shared" si="1"/>
        <v>In</v>
      </c>
    </row>
    <row r="1070">
      <c r="A1070" s="62" t="s">
        <v>1208</v>
      </c>
      <c r="B1070" s="63">
        <v>44244.0</v>
      </c>
      <c r="C1070" s="62" t="s">
        <v>112</v>
      </c>
      <c r="D1070" s="64">
        <v>0.0</v>
      </c>
      <c r="E1070" s="62" t="s">
        <v>109</v>
      </c>
      <c r="F1070" s="62" t="s">
        <v>115</v>
      </c>
      <c r="G1070" s="64" t="s">
        <v>112</v>
      </c>
      <c r="H1070" s="3"/>
      <c r="I1070" s="65" t="str">
        <f>IFERROR(VLOOKUP(A1070,'3. Call duration'!$A:$C,3,0),"--")</f>
        <v>--</v>
      </c>
      <c r="J1070" s="65" t="str">
        <f t="array" ref="J1070">XLOOKUP(H1070,'2. Matching'!$A$2:$A$39,'2. Matching'!$B$2:$B$39,"--")</f>
        <v>--</v>
      </c>
      <c r="K1070" s="65" t="str">
        <f t="shared" si="1"/>
        <v>In</v>
      </c>
    </row>
    <row r="1071">
      <c r="A1071" s="62" t="s">
        <v>1209</v>
      </c>
      <c r="B1071" s="63">
        <v>44378.0</v>
      </c>
      <c r="C1071" s="62" t="s">
        <v>112</v>
      </c>
      <c r="D1071" s="64">
        <v>0.0</v>
      </c>
      <c r="E1071" s="62" t="s">
        <v>109</v>
      </c>
      <c r="F1071" s="62" t="s">
        <v>110</v>
      </c>
      <c r="G1071" s="64" t="s">
        <v>60</v>
      </c>
      <c r="H1071" s="3" t="s">
        <v>67</v>
      </c>
      <c r="I1071" s="65" t="str">
        <f>IFERROR(VLOOKUP(A1071,'3. Call duration'!$A:$C,3,0),"--")</f>
        <v>--</v>
      </c>
      <c r="J1071" s="65" t="str">
        <f t="array" ref="J1071">XLOOKUP(H1071,'2. Matching'!$A$2:$A$39,'2. Matching'!$B$2:$B$39,"--")</f>
        <v>Acquisition</v>
      </c>
      <c r="K1071" s="65" t="str">
        <f t="shared" si="1"/>
        <v>In</v>
      </c>
    </row>
    <row r="1072">
      <c r="A1072" s="62" t="s">
        <v>1210</v>
      </c>
      <c r="B1072" s="63">
        <v>44392.0</v>
      </c>
      <c r="C1072" s="62" t="s">
        <v>112</v>
      </c>
      <c r="D1072" s="64">
        <v>0.0</v>
      </c>
      <c r="E1072" s="62" t="s">
        <v>114</v>
      </c>
      <c r="F1072" s="62" t="s">
        <v>110</v>
      </c>
      <c r="G1072" s="64" t="s">
        <v>60</v>
      </c>
      <c r="H1072" s="3" t="s">
        <v>67</v>
      </c>
      <c r="I1072" s="65" t="str">
        <f>IFERROR(VLOOKUP(A1072,'3. Call duration'!$A:$C,3,0),"--")</f>
        <v>--</v>
      </c>
      <c r="J1072" s="65" t="str">
        <f t="array" ref="J1072">XLOOKUP(H1072,'2. Matching'!$A$2:$A$39,'2. Matching'!$B$2:$B$39,"--")</f>
        <v>Acquisition</v>
      </c>
      <c r="K1072" s="65" t="str">
        <f t="shared" si="1"/>
        <v>In</v>
      </c>
    </row>
    <row r="1073">
      <c r="A1073" s="62" t="s">
        <v>1211</v>
      </c>
      <c r="B1073" s="63">
        <v>44327.0</v>
      </c>
      <c r="C1073" s="62" t="s">
        <v>119</v>
      </c>
      <c r="D1073" s="64">
        <v>47.5</v>
      </c>
      <c r="E1073" s="62" t="s">
        <v>109</v>
      </c>
      <c r="F1073" s="62" t="s">
        <v>115</v>
      </c>
      <c r="G1073" s="64" t="s">
        <v>64</v>
      </c>
      <c r="H1073" s="3" t="s">
        <v>49</v>
      </c>
      <c r="I1073" s="65">
        <f>IFERROR(VLOOKUP(A1073,'3. Call duration'!$A:$C,3,0),"--")</f>
        <v>21.23656141</v>
      </c>
      <c r="J1073" s="65" t="str">
        <f t="array" ref="J1073">XLOOKUP(H1073,'2. Matching'!$A$2:$A$39,'2. Matching'!$B$2:$B$39,"--")</f>
        <v>Partnerships</v>
      </c>
      <c r="K1073" s="65" t="str">
        <f t="shared" si="1"/>
        <v>In</v>
      </c>
    </row>
    <row r="1074">
      <c r="A1074" s="62" t="s">
        <v>1212</v>
      </c>
      <c r="B1074" s="63">
        <v>44357.0</v>
      </c>
      <c r="C1074" s="62" t="s">
        <v>112</v>
      </c>
      <c r="D1074" s="64">
        <v>0.0</v>
      </c>
      <c r="E1074" s="62" t="s">
        <v>114</v>
      </c>
      <c r="F1074" s="62" t="s">
        <v>115</v>
      </c>
      <c r="G1074" s="64" t="s">
        <v>63</v>
      </c>
      <c r="H1074" s="3" t="s">
        <v>228</v>
      </c>
      <c r="I1074" s="65" t="str">
        <f>IFERROR(VLOOKUP(A1074,'3. Call duration'!$A:$C,3,0),"--")</f>
        <v>--</v>
      </c>
      <c r="J1074" s="65" t="str">
        <f t="array" ref="J1074">XLOOKUP(H1074,'2. Matching'!$A$2:$A$39,'2. Matching'!$B$2:$B$39,"--")</f>
        <v>Farming</v>
      </c>
      <c r="K1074" s="65" t="str">
        <f t="shared" si="1"/>
        <v>In</v>
      </c>
    </row>
    <row r="1075">
      <c r="A1075" s="62" t="s">
        <v>1213</v>
      </c>
      <c r="B1075" s="63">
        <v>44200.0</v>
      </c>
      <c r="C1075" s="62" t="s">
        <v>108</v>
      </c>
      <c r="D1075" s="64">
        <v>0.0</v>
      </c>
      <c r="E1075" s="62" t="s">
        <v>109</v>
      </c>
      <c r="F1075" s="62" t="s">
        <v>115</v>
      </c>
      <c r="G1075" s="64" t="s">
        <v>64</v>
      </c>
      <c r="H1075" s="3" t="s">
        <v>221</v>
      </c>
      <c r="I1075" s="65">
        <f>IFERROR(VLOOKUP(A1075,'3. Call duration'!$A:$C,3,0),"--")</f>
        <v>33.12426283</v>
      </c>
      <c r="J1075" s="65" t="str">
        <f t="array" ref="J1075">XLOOKUP(H1075,'2. Matching'!$A$2:$A$39,'2. Matching'!$B$2:$B$39,"--")</f>
        <v>Farming</v>
      </c>
      <c r="K1075" s="65" t="str">
        <f t="shared" si="1"/>
        <v>In</v>
      </c>
    </row>
    <row r="1076">
      <c r="A1076" s="62" t="s">
        <v>1214</v>
      </c>
      <c r="B1076" s="63">
        <v>44238.0</v>
      </c>
      <c r="C1076" s="62" t="s">
        <v>112</v>
      </c>
      <c r="D1076" s="64">
        <v>0.0</v>
      </c>
      <c r="E1076" s="62" t="s">
        <v>109</v>
      </c>
      <c r="F1076" s="62" t="s">
        <v>110</v>
      </c>
      <c r="G1076" s="64" t="s">
        <v>64</v>
      </c>
      <c r="H1076" s="3" t="s">
        <v>171</v>
      </c>
      <c r="I1076" s="65" t="str">
        <f>IFERROR(VLOOKUP(A1076,'3. Call duration'!$A:$C,3,0),"--")</f>
        <v>--</v>
      </c>
      <c r="J1076" s="65" t="str">
        <f t="array" ref="J1076">XLOOKUP(H1076,'2. Matching'!$A$2:$A$39,'2. Matching'!$B$2:$B$39,"--")</f>
        <v>SEO</v>
      </c>
      <c r="K1076" s="65" t="str">
        <f t="shared" si="1"/>
        <v>In</v>
      </c>
    </row>
    <row r="1077">
      <c r="A1077" s="62" t="s">
        <v>1215</v>
      </c>
      <c r="B1077" s="63">
        <v>44230.0</v>
      </c>
      <c r="C1077" s="62" t="s">
        <v>112</v>
      </c>
      <c r="D1077" s="64">
        <v>0.0</v>
      </c>
      <c r="E1077" s="62" t="s">
        <v>109</v>
      </c>
      <c r="F1077" s="62" t="s">
        <v>115</v>
      </c>
      <c r="G1077" s="64" t="s">
        <v>112</v>
      </c>
      <c r="H1077" s="3" t="s">
        <v>51</v>
      </c>
      <c r="I1077" s="65" t="str">
        <f>IFERROR(VLOOKUP(A1077,'3. Call duration'!$A:$C,3,0),"--")</f>
        <v>--</v>
      </c>
      <c r="J1077" s="65" t="str">
        <f t="array" ref="J1077">XLOOKUP(H1077,'2. Matching'!$A$2:$A$39,'2. Matching'!$B$2:$B$39,"--")</f>
        <v>Partnerships</v>
      </c>
      <c r="K1077" s="65" t="str">
        <f t="shared" si="1"/>
        <v>In</v>
      </c>
    </row>
    <row r="1078">
      <c r="A1078" s="62" t="s">
        <v>1216</v>
      </c>
      <c r="B1078" s="63">
        <v>44350.0</v>
      </c>
      <c r="C1078" s="62" t="s">
        <v>112</v>
      </c>
      <c r="D1078" s="64">
        <v>0.0</v>
      </c>
      <c r="E1078" s="62" t="s">
        <v>109</v>
      </c>
      <c r="F1078" s="62" t="s">
        <v>110</v>
      </c>
      <c r="G1078" s="64" t="s">
        <v>64</v>
      </c>
      <c r="H1078" s="3" t="s">
        <v>155</v>
      </c>
      <c r="I1078" s="65" t="str">
        <f>IFERROR(VLOOKUP(A1078,'3. Call duration'!$A:$C,3,0),"--")</f>
        <v>--</v>
      </c>
      <c r="J1078" s="65" t="str">
        <f t="array" ref="J1078">XLOOKUP(H1078,'2. Matching'!$A$2:$A$39,'2. Matching'!$B$2:$B$39,"--")</f>
        <v>SEO</v>
      </c>
      <c r="K1078" s="65" t="str">
        <f t="shared" si="1"/>
        <v>In</v>
      </c>
    </row>
    <row r="1079">
      <c r="A1079" s="62" t="s">
        <v>1217</v>
      </c>
      <c r="B1079" s="63">
        <v>44215.0</v>
      </c>
      <c r="C1079" s="62" t="s">
        <v>112</v>
      </c>
      <c r="D1079" s="64">
        <v>0.0</v>
      </c>
      <c r="E1079" s="62" t="s">
        <v>109</v>
      </c>
      <c r="F1079" s="62" t="s">
        <v>115</v>
      </c>
      <c r="G1079" s="64" t="s">
        <v>64</v>
      </c>
      <c r="H1079" s="3" t="s">
        <v>175</v>
      </c>
      <c r="I1079" s="65" t="str">
        <f>IFERROR(VLOOKUP(A1079,'3. Call duration'!$A:$C,3,0),"--")</f>
        <v>--</v>
      </c>
      <c r="J1079" s="65" t="str">
        <f t="array" ref="J1079">XLOOKUP(H1079,'2. Matching'!$A$2:$A$39,'2. Matching'!$B$2:$B$39,"--")</f>
        <v>SEO</v>
      </c>
      <c r="K1079" s="65" t="str">
        <f t="shared" si="1"/>
        <v>In</v>
      </c>
    </row>
    <row r="1080">
      <c r="A1080" s="62" t="s">
        <v>1218</v>
      </c>
      <c r="B1080" s="63">
        <v>44293.0</v>
      </c>
      <c r="C1080" s="62" t="s">
        <v>112</v>
      </c>
      <c r="D1080" s="64">
        <v>0.0</v>
      </c>
      <c r="E1080" s="62" t="s">
        <v>109</v>
      </c>
      <c r="F1080" s="62" t="s">
        <v>110</v>
      </c>
      <c r="G1080" s="64" t="s">
        <v>64</v>
      </c>
      <c r="H1080" s="3" t="s">
        <v>175</v>
      </c>
      <c r="I1080" s="65" t="str">
        <f>IFERROR(VLOOKUP(A1080,'3. Call duration'!$A:$C,3,0),"--")</f>
        <v>--</v>
      </c>
      <c r="J1080" s="65" t="str">
        <f t="array" ref="J1080">XLOOKUP(H1080,'2. Matching'!$A$2:$A$39,'2. Matching'!$B$2:$B$39,"--")</f>
        <v>SEO</v>
      </c>
      <c r="K1080" s="65" t="str">
        <f t="shared" si="1"/>
        <v>In</v>
      </c>
    </row>
    <row r="1081">
      <c r="A1081" s="62" t="s">
        <v>1219</v>
      </c>
      <c r="B1081" s="63">
        <v>44176.0</v>
      </c>
      <c r="C1081" s="62" t="s">
        <v>108</v>
      </c>
      <c r="D1081" s="64">
        <v>0.0</v>
      </c>
      <c r="E1081" s="62" t="s">
        <v>109</v>
      </c>
      <c r="F1081" s="62" t="s">
        <v>115</v>
      </c>
      <c r="G1081" s="64" t="s">
        <v>64</v>
      </c>
      <c r="H1081" s="3" t="s">
        <v>169</v>
      </c>
      <c r="I1081" s="65">
        <f>IFERROR(VLOOKUP(A1081,'3. Call duration'!$A:$C,3,0),"--")</f>
        <v>24.943198</v>
      </c>
      <c r="J1081" s="65" t="str">
        <f t="array" ref="J1081">XLOOKUP(H1081,'2. Matching'!$A$2:$A$39,'2. Matching'!$B$2:$B$39,"--")</f>
        <v>SEO</v>
      </c>
      <c r="K1081" s="65" t="str">
        <f t="shared" si="1"/>
        <v>In</v>
      </c>
    </row>
    <row r="1082">
      <c r="A1082" s="62" t="s">
        <v>1220</v>
      </c>
      <c r="B1082" s="63">
        <v>44390.0</v>
      </c>
      <c r="C1082" s="62" t="s">
        <v>112</v>
      </c>
      <c r="D1082" s="64">
        <v>0.0</v>
      </c>
      <c r="E1082" s="62" t="s">
        <v>109</v>
      </c>
      <c r="F1082" s="62" t="s">
        <v>110</v>
      </c>
      <c r="G1082" s="64" t="s">
        <v>61</v>
      </c>
      <c r="H1082" s="3" t="s">
        <v>67</v>
      </c>
      <c r="I1082" s="65" t="str">
        <f>IFERROR(VLOOKUP(A1082,'3. Call duration'!$A:$C,3,0),"--")</f>
        <v>--</v>
      </c>
      <c r="J1082" s="65" t="str">
        <f t="array" ref="J1082">XLOOKUP(H1082,'2. Matching'!$A$2:$A$39,'2. Matching'!$B$2:$B$39,"--")</f>
        <v>Acquisition</v>
      </c>
      <c r="K1082" s="65" t="str">
        <f t="shared" si="1"/>
        <v>In</v>
      </c>
    </row>
    <row r="1083">
      <c r="A1083" s="62" t="s">
        <v>1221</v>
      </c>
      <c r="B1083" s="63">
        <v>44070.0</v>
      </c>
      <c r="C1083" s="62" t="s">
        <v>112</v>
      </c>
      <c r="D1083" s="64">
        <v>0.0</v>
      </c>
      <c r="E1083" s="62" t="s">
        <v>109</v>
      </c>
      <c r="F1083" s="62" t="s">
        <v>110</v>
      </c>
      <c r="G1083" s="64" t="s">
        <v>64</v>
      </c>
      <c r="H1083" s="3" t="s">
        <v>139</v>
      </c>
      <c r="I1083" s="65" t="str">
        <f>IFERROR(VLOOKUP(A1083,'3. Call duration'!$A:$C,3,0),"--")</f>
        <v>--</v>
      </c>
      <c r="J1083" s="65" t="str">
        <f t="array" ref="J1083">XLOOKUP(H1083,'2. Matching'!$A$2:$A$39,'2. Matching'!$B$2:$B$39,"--")</f>
        <v>Acquisition</v>
      </c>
      <c r="K1083" s="65" t="str">
        <f t="shared" si="1"/>
        <v>In</v>
      </c>
    </row>
    <row r="1084">
      <c r="A1084" s="62" t="s">
        <v>1222</v>
      </c>
      <c r="B1084" s="63">
        <v>44352.0</v>
      </c>
      <c r="C1084" s="62" t="s">
        <v>112</v>
      </c>
      <c r="D1084" s="64">
        <v>0.0</v>
      </c>
      <c r="E1084" s="62" t="s">
        <v>114</v>
      </c>
      <c r="F1084" s="62" t="s">
        <v>110</v>
      </c>
      <c r="G1084" s="64" t="s">
        <v>61</v>
      </c>
      <c r="H1084" s="3" t="s">
        <v>69</v>
      </c>
      <c r="I1084" s="65" t="str">
        <f>IFERROR(VLOOKUP(A1084,'3. Call duration'!$A:$C,3,0),"--")</f>
        <v>--</v>
      </c>
      <c r="J1084" s="65" t="str">
        <f t="array" ref="J1084">XLOOKUP(H1084,'2. Matching'!$A$2:$A$39,'2. Matching'!$B$2:$B$39,"--")</f>
        <v>Acquisition</v>
      </c>
      <c r="K1084" s="65" t="str">
        <f t="shared" si="1"/>
        <v>In</v>
      </c>
    </row>
    <row r="1085">
      <c r="A1085" s="62" t="s">
        <v>1223</v>
      </c>
      <c r="B1085" s="63">
        <v>44362.0</v>
      </c>
      <c r="C1085" s="62" t="s">
        <v>112</v>
      </c>
      <c r="D1085" s="64">
        <v>0.0</v>
      </c>
      <c r="E1085" s="62" t="s">
        <v>109</v>
      </c>
      <c r="F1085" s="62" t="s">
        <v>110</v>
      </c>
      <c r="G1085" s="64" t="s">
        <v>60</v>
      </c>
      <c r="H1085" s="3" t="s">
        <v>68</v>
      </c>
      <c r="I1085" s="65" t="str">
        <f>IFERROR(VLOOKUP(A1085,'3. Call duration'!$A:$C,3,0),"--")</f>
        <v>--</v>
      </c>
      <c r="J1085" s="65" t="str">
        <f t="array" ref="J1085">XLOOKUP(H1085,'2. Matching'!$A$2:$A$39,'2. Matching'!$B$2:$B$39,"--")</f>
        <v>Acquisition</v>
      </c>
      <c r="K1085" s="65" t="str">
        <f t="shared" si="1"/>
        <v>In</v>
      </c>
    </row>
    <row r="1086">
      <c r="A1086" s="62" t="s">
        <v>1224</v>
      </c>
      <c r="B1086" s="63">
        <v>44068.0</v>
      </c>
      <c r="C1086" s="62" t="s">
        <v>112</v>
      </c>
      <c r="D1086" s="64">
        <v>0.0</v>
      </c>
      <c r="E1086" s="62" t="s">
        <v>109</v>
      </c>
      <c r="F1086" s="62" t="s">
        <v>115</v>
      </c>
      <c r="G1086" s="64" t="s">
        <v>62</v>
      </c>
      <c r="H1086" s="3" t="s">
        <v>50</v>
      </c>
      <c r="I1086" s="65" t="str">
        <f>IFERROR(VLOOKUP(A1086,'3. Call duration'!$A:$C,3,0),"--")</f>
        <v>--</v>
      </c>
      <c r="J1086" s="65" t="str">
        <f t="array" ref="J1086">XLOOKUP(H1086,'2. Matching'!$A$2:$A$39,'2. Matching'!$B$2:$B$39,"--")</f>
        <v>Partnerships</v>
      </c>
      <c r="K1086" s="65" t="str">
        <f t="shared" si="1"/>
        <v>In</v>
      </c>
    </row>
    <row r="1087">
      <c r="A1087" s="62" t="s">
        <v>1225</v>
      </c>
      <c r="B1087" s="63">
        <v>44382.0</v>
      </c>
      <c r="C1087" s="62" t="s">
        <v>112</v>
      </c>
      <c r="D1087" s="64">
        <v>0.0</v>
      </c>
      <c r="E1087" s="62" t="s">
        <v>109</v>
      </c>
      <c r="F1087" s="62" t="s">
        <v>110</v>
      </c>
      <c r="G1087" s="64" t="s">
        <v>60</v>
      </c>
      <c r="H1087" s="3" t="s">
        <v>67</v>
      </c>
      <c r="I1087" s="65" t="str">
        <f>IFERROR(VLOOKUP(A1087,'3. Call duration'!$A:$C,3,0),"--")</f>
        <v>--</v>
      </c>
      <c r="J1087" s="65" t="str">
        <f t="array" ref="J1087">XLOOKUP(H1087,'2. Matching'!$A$2:$A$39,'2. Matching'!$B$2:$B$39,"--")</f>
        <v>Acquisition</v>
      </c>
      <c r="K1087" s="65" t="str">
        <f t="shared" si="1"/>
        <v>In</v>
      </c>
    </row>
    <row r="1088">
      <c r="A1088" s="62" t="s">
        <v>1226</v>
      </c>
      <c r="B1088" s="63">
        <v>44218.0</v>
      </c>
      <c r="C1088" s="62" t="s">
        <v>112</v>
      </c>
      <c r="D1088" s="64">
        <v>0.0</v>
      </c>
      <c r="E1088" s="62" t="s">
        <v>109</v>
      </c>
      <c r="F1088" s="62" t="s">
        <v>115</v>
      </c>
      <c r="G1088" s="64" t="s">
        <v>64</v>
      </c>
      <c r="H1088" s="3" t="s">
        <v>150</v>
      </c>
      <c r="I1088" s="65" t="str">
        <f>IFERROR(VLOOKUP(A1088,'3. Call duration'!$A:$C,3,0),"--")</f>
        <v>--</v>
      </c>
      <c r="J1088" s="65" t="str">
        <f t="array" ref="J1088">XLOOKUP(H1088,'2. Matching'!$A$2:$A$39,'2. Matching'!$B$2:$B$39,"--")</f>
        <v>SEO</v>
      </c>
      <c r="K1088" s="65" t="str">
        <f t="shared" si="1"/>
        <v>In</v>
      </c>
    </row>
    <row r="1089">
      <c r="A1089" s="62" t="s">
        <v>1227</v>
      </c>
      <c r="B1089" s="63">
        <v>44355.0</v>
      </c>
      <c r="C1089" s="62" t="s">
        <v>112</v>
      </c>
      <c r="D1089" s="64">
        <v>0.0</v>
      </c>
      <c r="E1089" s="62" t="s">
        <v>109</v>
      </c>
      <c r="F1089" s="62" t="s">
        <v>110</v>
      </c>
      <c r="G1089" s="64" t="s">
        <v>60</v>
      </c>
      <c r="H1089" s="3" t="s">
        <v>68</v>
      </c>
      <c r="I1089" s="65" t="str">
        <f>IFERROR(VLOOKUP(A1089,'3. Call duration'!$A:$C,3,0),"--")</f>
        <v>--</v>
      </c>
      <c r="J1089" s="65" t="str">
        <f t="array" ref="J1089">XLOOKUP(H1089,'2. Matching'!$A$2:$A$39,'2. Matching'!$B$2:$B$39,"--")</f>
        <v>Acquisition</v>
      </c>
      <c r="K1089" s="65" t="str">
        <f t="shared" si="1"/>
        <v>In</v>
      </c>
    </row>
    <row r="1090">
      <c r="A1090" s="62" t="s">
        <v>1228</v>
      </c>
      <c r="B1090" s="63">
        <v>44274.0</v>
      </c>
      <c r="C1090" s="62" t="s">
        <v>112</v>
      </c>
      <c r="D1090" s="64">
        <v>0.0</v>
      </c>
      <c r="E1090" s="62" t="s">
        <v>109</v>
      </c>
      <c r="F1090" s="62" t="s">
        <v>110</v>
      </c>
      <c r="G1090" s="64" t="s">
        <v>64</v>
      </c>
      <c r="H1090" s="3" t="s">
        <v>131</v>
      </c>
      <c r="I1090" s="65" t="str">
        <f>IFERROR(VLOOKUP(A1090,'3. Call duration'!$A:$C,3,0),"--")</f>
        <v>--</v>
      </c>
      <c r="J1090" s="65" t="str">
        <f t="array" ref="J1090">XLOOKUP(H1090,'2. Matching'!$A$2:$A$39,'2. Matching'!$B$2:$B$39,"--")</f>
        <v>Acquisition</v>
      </c>
      <c r="K1090" s="65" t="str">
        <f t="shared" si="1"/>
        <v>In</v>
      </c>
    </row>
    <row r="1091">
      <c r="A1091" s="62" t="s">
        <v>1229</v>
      </c>
      <c r="B1091" s="63">
        <v>44312.0</v>
      </c>
      <c r="C1091" s="62" t="s">
        <v>112</v>
      </c>
      <c r="D1091" s="64">
        <v>0.0</v>
      </c>
      <c r="E1091" s="62" t="s">
        <v>109</v>
      </c>
      <c r="F1091" s="62" t="s">
        <v>115</v>
      </c>
      <c r="G1091" s="64" t="s">
        <v>63</v>
      </c>
      <c r="H1091" s="3" t="s">
        <v>189</v>
      </c>
      <c r="I1091" s="65" t="str">
        <f>IFERROR(VLOOKUP(A1091,'3. Call duration'!$A:$C,3,0),"--")</f>
        <v>--</v>
      </c>
      <c r="J1091" s="65" t="str">
        <f t="array" ref="J1091">XLOOKUP(H1091,'2. Matching'!$A$2:$A$39,'2. Matching'!$B$2:$B$39,"--")</f>
        <v>SEO</v>
      </c>
      <c r="K1091" s="65" t="str">
        <f t="shared" si="1"/>
        <v>Out</v>
      </c>
    </row>
    <row r="1092">
      <c r="A1092" s="62" t="s">
        <v>1230</v>
      </c>
      <c r="B1092" s="63">
        <v>44376.0</v>
      </c>
      <c r="C1092" s="62" t="s">
        <v>112</v>
      </c>
      <c r="D1092" s="64">
        <v>0.0</v>
      </c>
      <c r="E1092" s="62" t="s">
        <v>109</v>
      </c>
      <c r="F1092" s="62" t="s">
        <v>110</v>
      </c>
      <c r="G1092" s="64" t="s">
        <v>60</v>
      </c>
      <c r="H1092" s="3" t="s">
        <v>70</v>
      </c>
      <c r="I1092" s="65" t="str">
        <f>IFERROR(VLOOKUP(A1092,'3. Call duration'!$A:$C,3,0),"--")</f>
        <v>--</v>
      </c>
      <c r="J1092" s="65" t="str">
        <f t="array" ref="J1092">XLOOKUP(H1092,'2. Matching'!$A$2:$A$39,'2. Matching'!$B$2:$B$39,"--")</f>
        <v>Farming</v>
      </c>
      <c r="K1092" s="65" t="str">
        <f t="shared" si="1"/>
        <v>In</v>
      </c>
    </row>
    <row r="1093">
      <c r="A1093" s="62" t="s">
        <v>1231</v>
      </c>
      <c r="B1093" s="63">
        <v>44267.0</v>
      </c>
      <c r="C1093" s="62" t="s">
        <v>112</v>
      </c>
      <c r="D1093" s="64">
        <v>0.0</v>
      </c>
      <c r="E1093" s="62" t="s">
        <v>109</v>
      </c>
      <c r="F1093" s="62" t="s">
        <v>110</v>
      </c>
      <c r="G1093" s="64" t="s">
        <v>64</v>
      </c>
      <c r="H1093" s="3" t="s">
        <v>54</v>
      </c>
      <c r="I1093" s="65" t="str">
        <f>IFERROR(VLOOKUP(A1093,'3. Call duration'!$A:$C,3,0),"--")</f>
        <v>--</v>
      </c>
      <c r="J1093" s="65" t="str">
        <f t="array" ref="J1093">XLOOKUP(H1093,'2. Matching'!$A$2:$A$39,'2. Matching'!$B$2:$B$39,"--")</f>
        <v>Partnerships</v>
      </c>
      <c r="K1093" s="65" t="str">
        <f t="shared" si="1"/>
        <v>In</v>
      </c>
    </row>
    <row r="1094">
      <c r="A1094" s="62" t="s">
        <v>1232</v>
      </c>
      <c r="B1094" s="63">
        <v>44212.0</v>
      </c>
      <c r="C1094" s="62" t="s">
        <v>108</v>
      </c>
      <c r="D1094" s="64">
        <v>0.0</v>
      </c>
      <c r="E1094" s="62" t="s">
        <v>109</v>
      </c>
      <c r="F1094" s="62" t="s">
        <v>115</v>
      </c>
      <c r="G1094" s="64" t="s">
        <v>64</v>
      </c>
      <c r="H1094" s="3" t="s">
        <v>164</v>
      </c>
      <c r="I1094" s="65" t="str">
        <f>IFERROR(VLOOKUP(A1094,'3. Call duration'!$A:$C,3,0),"--")</f>
        <v>--</v>
      </c>
      <c r="J1094" s="65" t="str">
        <f t="array" ref="J1094">XLOOKUP(H1094,'2. Matching'!$A$2:$A$39,'2. Matching'!$B$2:$B$39,"--")</f>
        <v>SEO</v>
      </c>
      <c r="K1094" s="65" t="str">
        <f t="shared" si="1"/>
        <v>In</v>
      </c>
    </row>
    <row r="1095">
      <c r="A1095" s="62" t="s">
        <v>1233</v>
      </c>
      <c r="B1095" s="63">
        <v>44182.0</v>
      </c>
      <c r="C1095" s="62" t="s">
        <v>112</v>
      </c>
      <c r="D1095" s="64">
        <v>0.0</v>
      </c>
      <c r="E1095" s="62" t="s">
        <v>109</v>
      </c>
      <c r="F1095" s="62" t="s">
        <v>110</v>
      </c>
      <c r="G1095" s="64" t="s">
        <v>64</v>
      </c>
      <c r="H1095" s="3" t="s">
        <v>131</v>
      </c>
      <c r="I1095" s="65" t="str">
        <f>IFERROR(VLOOKUP(A1095,'3. Call duration'!$A:$C,3,0),"--")</f>
        <v>--</v>
      </c>
      <c r="J1095" s="65" t="str">
        <f t="array" ref="J1095">XLOOKUP(H1095,'2. Matching'!$A$2:$A$39,'2. Matching'!$B$2:$B$39,"--")</f>
        <v>Acquisition</v>
      </c>
      <c r="K1095" s="65" t="str">
        <f t="shared" si="1"/>
        <v>In</v>
      </c>
    </row>
    <row r="1096">
      <c r="A1096" s="62" t="s">
        <v>1234</v>
      </c>
      <c r="B1096" s="63">
        <v>44315.0</v>
      </c>
      <c r="C1096" s="62" t="s">
        <v>112</v>
      </c>
      <c r="D1096" s="64">
        <v>0.0</v>
      </c>
      <c r="E1096" s="62" t="s">
        <v>109</v>
      </c>
      <c r="F1096" s="62" t="s">
        <v>115</v>
      </c>
      <c r="G1096" s="64" t="s">
        <v>112</v>
      </c>
      <c r="H1096" s="3" t="s">
        <v>51</v>
      </c>
      <c r="I1096" s="65" t="str">
        <f>IFERROR(VLOOKUP(A1096,'3. Call duration'!$A:$C,3,0),"--")</f>
        <v>--</v>
      </c>
      <c r="J1096" s="65" t="str">
        <f t="array" ref="J1096">XLOOKUP(H1096,'2. Matching'!$A$2:$A$39,'2. Matching'!$B$2:$B$39,"--")</f>
        <v>Partnerships</v>
      </c>
      <c r="K1096" s="65" t="str">
        <f t="shared" si="1"/>
        <v>In</v>
      </c>
    </row>
    <row r="1097">
      <c r="A1097" s="62" t="s">
        <v>1235</v>
      </c>
      <c r="B1097" s="63">
        <v>44351.0</v>
      </c>
      <c r="C1097" s="62" t="s">
        <v>112</v>
      </c>
      <c r="D1097" s="64">
        <v>0.0</v>
      </c>
      <c r="E1097" s="62" t="s">
        <v>109</v>
      </c>
      <c r="F1097" s="62" t="s">
        <v>110</v>
      </c>
      <c r="G1097" s="64" t="s">
        <v>60</v>
      </c>
      <c r="H1097" s="3" t="s">
        <v>67</v>
      </c>
      <c r="I1097" s="65" t="str">
        <f>IFERROR(VLOOKUP(A1097,'3. Call duration'!$A:$C,3,0),"--")</f>
        <v>--</v>
      </c>
      <c r="J1097" s="65" t="str">
        <f t="array" ref="J1097">XLOOKUP(H1097,'2. Matching'!$A$2:$A$39,'2. Matching'!$B$2:$B$39,"--")</f>
        <v>Acquisition</v>
      </c>
      <c r="K1097" s="65" t="str">
        <f t="shared" si="1"/>
        <v>In</v>
      </c>
    </row>
    <row r="1098">
      <c r="A1098" s="62" t="s">
        <v>1236</v>
      </c>
      <c r="B1098" s="63">
        <v>44264.0</v>
      </c>
      <c r="C1098" s="62" t="s">
        <v>108</v>
      </c>
      <c r="D1098" s="64">
        <v>0.0</v>
      </c>
      <c r="E1098" s="62" t="s">
        <v>109</v>
      </c>
      <c r="F1098" s="62" t="s">
        <v>110</v>
      </c>
      <c r="G1098" s="64" t="s">
        <v>63</v>
      </c>
      <c r="H1098" s="3" t="s">
        <v>189</v>
      </c>
      <c r="I1098" s="65">
        <f>IFERROR(VLOOKUP(A1098,'3. Call duration'!$A:$C,3,0),"--")</f>
        <v>42.45500094</v>
      </c>
      <c r="J1098" s="65" t="str">
        <f t="array" ref="J1098">XLOOKUP(H1098,'2. Matching'!$A$2:$A$39,'2. Matching'!$B$2:$B$39,"--")</f>
        <v>SEO</v>
      </c>
      <c r="K1098" s="65" t="str">
        <f t="shared" si="1"/>
        <v>Out</v>
      </c>
    </row>
    <row r="1099">
      <c r="A1099" s="62" t="s">
        <v>1237</v>
      </c>
      <c r="B1099" s="63">
        <v>44333.0</v>
      </c>
      <c r="C1099" s="62" t="s">
        <v>119</v>
      </c>
      <c r="D1099" s="64">
        <v>47.5</v>
      </c>
      <c r="E1099" s="62" t="s">
        <v>109</v>
      </c>
      <c r="F1099" s="62" t="s">
        <v>115</v>
      </c>
      <c r="G1099" s="64" t="s">
        <v>64</v>
      </c>
      <c r="H1099" s="3" t="s">
        <v>155</v>
      </c>
      <c r="I1099" s="65">
        <f>IFERROR(VLOOKUP(A1099,'3. Call duration'!$A:$C,3,0),"--")</f>
        <v>21.24547325</v>
      </c>
      <c r="J1099" s="65" t="str">
        <f t="array" ref="J1099">XLOOKUP(H1099,'2. Matching'!$A$2:$A$39,'2. Matching'!$B$2:$B$39,"--")</f>
        <v>SEO</v>
      </c>
      <c r="K1099" s="65" t="str">
        <f t="shared" si="1"/>
        <v>In</v>
      </c>
    </row>
    <row r="1100">
      <c r="A1100" s="62" t="s">
        <v>1238</v>
      </c>
      <c r="B1100" s="63">
        <v>44329.0</v>
      </c>
      <c r="C1100" s="62" t="s">
        <v>119</v>
      </c>
      <c r="D1100" s="64">
        <v>47.5</v>
      </c>
      <c r="E1100" s="62" t="s">
        <v>109</v>
      </c>
      <c r="F1100" s="62" t="s">
        <v>115</v>
      </c>
      <c r="G1100" s="64" t="s">
        <v>64</v>
      </c>
      <c r="H1100" s="3" t="s">
        <v>155</v>
      </c>
      <c r="I1100" s="65">
        <f>IFERROR(VLOOKUP(A1100,'3. Call duration'!$A:$C,3,0),"--")</f>
        <v>21.30241811</v>
      </c>
      <c r="J1100" s="65" t="str">
        <f t="array" ref="J1100">XLOOKUP(H1100,'2. Matching'!$A$2:$A$39,'2. Matching'!$B$2:$B$39,"--")</f>
        <v>SEO</v>
      </c>
      <c r="K1100" s="65" t="str">
        <f t="shared" si="1"/>
        <v>In</v>
      </c>
    </row>
    <row r="1101">
      <c r="A1101" s="62" t="s">
        <v>1239</v>
      </c>
      <c r="B1101" s="63">
        <v>44312.0</v>
      </c>
      <c r="C1101" s="62" t="s">
        <v>112</v>
      </c>
      <c r="D1101" s="64">
        <v>0.0</v>
      </c>
      <c r="E1101" s="62" t="s">
        <v>114</v>
      </c>
      <c r="F1101" s="62" t="s">
        <v>110</v>
      </c>
      <c r="G1101" s="64" t="s">
        <v>64</v>
      </c>
      <c r="H1101" s="3" t="s">
        <v>52</v>
      </c>
      <c r="I1101" s="65" t="str">
        <f>IFERROR(VLOOKUP(A1101,'3. Call duration'!$A:$C,3,0),"--")</f>
        <v>--</v>
      </c>
      <c r="J1101" s="65" t="str">
        <f t="array" ref="J1101">XLOOKUP(H1101,'2. Matching'!$A$2:$A$39,'2. Matching'!$B$2:$B$39,"--")</f>
        <v>Partnerships</v>
      </c>
      <c r="K1101" s="65" t="str">
        <f t="shared" si="1"/>
        <v>In</v>
      </c>
    </row>
    <row r="1102">
      <c r="A1102" s="62" t="s">
        <v>1240</v>
      </c>
      <c r="B1102" s="63">
        <v>44357.0</v>
      </c>
      <c r="C1102" s="62" t="s">
        <v>112</v>
      </c>
      <c r="D1102" s="64">
        <v>0.0</v>
      </c>
      <c r="E1102" s="62" t="s">
        <v>114</v>
      </c>
      <c r="F1102" s="62" t="s">
        <v>110</v>
      </c>
      <c r="G1102" s="64" t="s">
        <v>64</v>
      </c>
      <c r="H1102" s="3" t="s">
        <v>52</v>
      </c>
      <c r="I1102" s="65" t="str">
        <f>IFERROR(VLOOKUP(A1102,'3. Call duration'!$A:$C,3,0),"--")</f>
        <v>--</v>
      </c>
      <c r="J1102" s="65" t="str">
        <f t="array" ref="J1102">XLOOKUP(H1102,'2. Matching'!$A$2:$A$39,'2. Matching'!$B$2:$B$39,"--")</f>
        <v>Partnerships</v>
      </c>
      <c r="K1102" s="65" t="str">
        <f t="shared" si="1"/>
        <v>In</v>
      </c>
    </row>
    <row r="1103">
      <c r="A1103" s="62" t="s">
        <v>1241</v>
      </c>
      <c r="B1103" s="63">
        <v>44376.0</v>
      </c>
      <c r="C1103" s="62" t="s">
        <v>108</v>
      </c>
      <c r="D1103" s="64">
        <v>0.0</v>
      </c>
      <c r="E1103" s="62" t="s">
        <v>109</v>
      </c>
      <c r="F1103" s="62" t="s">
        <v>110</v>
      </c>
      <c r="G1103" s="64" t="s">
        <v>61</v>
      </c>
      <c r="H1103" s="3" t="s">
        <v>69</v>
      </c>
      <c r="I1103" s="65">
        <f>IFERROR(VLOOKUP(A1103,'3. Call duration'!$A:$C,3,0),"--")</f>
        <v>25.02686923</v>
      </c>
      <c r="J1103" s="65" t="str">
        <f t="array" ref="J1103">XLOOKUP(H1103,'2. Matching'!$A$2:$A$39,'2. Matching'!$B$2:$B$39,"--")</f>
        <v>Acquisition</v>
      </c>
      <c r="K1103" s="65" t="str">
        <f t="shared" si="1"/>
        <v>In</v>
      </c>
    </row>
    <row r="1104">
      <c r="A1104" s="62" t="s">
        <v>1242</v>
      </c>
      <c r="B1104" s="63">
        <v>44161.0</v>
      </c>
      <c r="C1104" s="62" t="s">
        <v>112</v>
      </c>
      <c r="D1104" s="64">
        <v>0.0</v>
      </c>
      <c r="E1104" s="62" t="s">
        <v>114</v>
      </c>
      <c r="F1104" s="62" t="s">
        <v>110</v>
      </c>
      <c r="G1104" s="64" t="s">
        <v>62</v>
      </c>
      <c r="H1104" s="3" t="s">
        <v>203</v>
      </c>
      <c r="I1104" s="65" t="str">
        <f>IFERROR(VLOOKUP(A1104,'3. Call duration'!$A:$C,3,0),"--")</f>
        <v>--</v>
      </c>
      <c r="J1104" s="65" t="str">
        <f t="array" ref="J1104">XLOOKUP(H1104,'2. Matching'!$A$2:$A$39,'2. Matching'!$B$2:$B$39,"--")</f>
        <v>Farming</v>
      </c>
      <c r="K1104" s="65" t="str">
        <f t="shared" si="1"/>
        <v>In</v>
      </c>
    </row>
    <row r="1105">
      <c r="A1105" s="62" t="s">
        <v>1243</v>
      </c>
      <c r="B1105" s="63">
        <v>44375.0</v>
      </c>
      <c r="C1105" s="62" t="s">
        <v>112</v>
      </c>
      <c r="D1105" s="64">
        <v>0.0</v>
      </c>
      <c r="E1105" s="62" t="s">
        <v>109</v>
      </c>
      <c r="F1105" s="62" t="s">
        <v>110</v>
      </c>
      <c r="G1105" s="64" t="s">
        <v>59</v>
      </c>
      <c r="H1105" s="3" t="s">
        <v>68</v>
      </c>
      <c r="I1105" s="65" t="str">
        <f>IFERROR(VLOOKUP(A1105,'3. Call duration'!$A:$C,3,0),"--")</f>
        <v>--</v>
      </c>
      <c r="J1105" s="65" t="str">
        <f t="array" ref="J1105">XLOOKUP(H1105,'2. Matching'!$A$2:$A$39,'2. Matching'!$B$2:$B$39,"--")</f>
        <v>Acquisition</v>
      </c>
      <c r="K1105" s="65" t="str">
        <f t="shared" si="1"/>
        <v>In</v>
      </c>
    </row>
    <row r="1106">
      <c r="A1106" s="62" t="s">
        <v>1244</v>
      </c>
      <c r="B1106" s="63">
        <v>44321.0</v>
      </c>
      <c r="C1106" s="62" t="s">
        <v>119</v>
      </c>
      <c r="D1106" s="64">
        <v>47.5</v>
      </c>
      <c r="E1106" s="62" t="s">
        <v>109</v>
      </c>
      <c r="F1106" s="62" t="s">
        <v>115</v>
      </c>
      <c r="G1106" s="64" t="s">
        <v>64</v>
      </c>
      <c r="H1106" s="3" t="s">
        <v>221</v>
      </c>
      <c r="I1106" s="65">
        <f>IFERROR(VLOOKUP(A1106,'3. Call duration'!$A:$C,3,0),"--")</f>
        <v>21.34336687</v>
      </c>
      <c r="J1106" s="65" t="str">
        <f t="array" ref="J1106">XLOOKUP(H1106,'2. Matching'!$A$2:$A$39,'2. Matching'!$B$2:$B$39,"--")</f>
        <v>Farming</v>
      </c>
      <c r="K1106" s="65" t="str">
        <f t="shared" si="1"/>
        <v>In</v>
      </c>
    </row>
    <row r="1107">
      <c r="A1107" s="62" t="s">
        <v>1245</v>
      </c>
      <c r="B1107" s="63">
        <v>44305.0</v>
      </c>
      <c r="C1107" s="62" t="s">
        <v>112</v>
      </c>
      <c r="D1107" s="64">
        <v>0.0</v>
      </c>
      <c r="E1107" s="62" t="s">
        <v>114</v>
      </c>
      <c r="F1107" s="62" t="s">
        <v>115</v>
      </c>
      <c r="G1107" s="64" t="s">
        <v>63</v>
      </c>
      <c r="H1107" s="3" t="s">
        <v>189</v>
      </c>
      <c r="I1107" s="65" t="str">
        <f>IFERROR(VLOOKUP(A1107,'3. Call duration'!$A:$C,3,0),"--")</f>
        <v>--</v>
      </c>
      <c r="J1107" s="65" t="str">
        <f t="array" ref="J1107">XLOOKUP(H1107,'2. Matching'!$A$2:$A$39,'2. Matching'!$B$2:$B$39,"--")</f>
        <v>SEO</v>
      </c>
      <c r="K1107" s="65" t="str">
        <f t="shared" si="1"/>
        <v>Out</v>
      </c>
    </row>
    <row r="1108">
      <c r="A1108" s="62" t="s">
        <v>1246</v>
      </c>
      <c r="B1108" s="63">
        <v>44331.0</v>
      </c>
      <c r="C1108" s="62" t="s">
        <v>119</v>
      </c>
      <c r="D1108" s="64">
        <v>47.5</v>
      </c>
      <c r="E1108" s="62" t="s">
        <v>109</v>
      </c>
      <c r="F1108" s="62" t="s">
        <v>115</v>
      </c>
      <c r="G1108" s="64" t="s">
        <v>64</v>
      </c>
      <c r="H1108" s="3" t="s">
        <v>49</v>
      </c>
      <c r="I1108" s="65">
        <f>IFERROR(VLOOKUP(A1108,'3. Call duration'!$A:$C,3,0),"--")</f>
        <v>21.40613324</v>
      </c>
      <c r="J1108" s="65" t="str">
        <f t="array" ref="J1108">XLOOKUP(H1108,'2. Matching'!$A$2:$A$39,'2. Matching'!$B$2:$B$39,"--")</f>
        <v>Partnerships</v>
      </c>
      <c r="K1108" s="65" t="str">
        <f t="shared" si="1"/>
        <v>In</v>
      </c>
    </row>
    <row r="1109">
      <c r="A1109" s="62" t="s">
        <v>1247</v>
      </c>
      <c r="B1109" s="63">
        <v>44385.0</v>
      </c>
      <c r="C1109" s="62" t="s">
        <v>108</v>
      </c>
      <c r="D1109" s="64">
        <v>0.0</v>
      </c>
      <c r="E1109" s="62" t="s">
        <v>109</v>
      </c>
      <c r="F1109" s="62" t="s">
        <v>110</v>
      </c>
      <c r="G1109" s="64" t="s">
        <v>61</v>
      </c>
      <c r="H1109" s="3" t="s">
        <v>67</v>
      </c>
      <c r="I1109" s="65">
        <f>IFERROR(VLOOKUP(A1109,'3. Call duration'!$A:$C,3,0),"--")</f>
        <v>20.14359835</v>
      </c>
      <c r="J1109" s="65" t="str">
        <f t="array" ref="J1109">XLOOKUP(H1109,'2. Matching'!$A$2:$A$39,'2. Matching'!$B$2:$B$39,"--")</f>
        <v>Acquisition</v>
      </c>
      <c r="K1109" s="65" t="str">
        <f t="shared" si="1"/>
        <v>In</v>
      </c>
    </row>
    <row r="1110">
      <c r="A1110" s="62" t="s">
        <v>1248</v>
      </c>
      <c r="B1110" s="63">
        <v>44345.0</v>
      </c>
      <c r="C1110" s="62" t="s">
        <v>119</v>
      </c>
      <c r="D1110" s="64">
        <v>47.5</v>
      </c>
      <c r="E1110" s="62" t="s">
        <v>109</v>
      </c>
      <c r="F1110" s="62" t="s">
        <v>115</v>
      </c>
      <c r="G1110" s="64" t="s">
        <v>64</v>
      </c>
      <c r="H1110" s="3" t="s">
        <v>55</v>
      </c>
      <c r="I1110" s="65">
        <f>IFERROR(VLOOKUP(A1110,'3. Call duration'!$A:$C,3,0),"--")</f>
        <v>21.40617823</v>
      </c>
      <c r="J1110" s="65" t="str">
        <f t="array" ref="J1110">XLOOKUP(H1110,'2. Matching'!$A$2:$A$39,'2. Matching'!$B$2:$B$39,"--")</f>
        <v>Partnerships</v>
      </c>
      <c r="K1110" s="65" t="str">
        <f t="shared" si="1"/>
        <v>In</v>
      </c>
    </row>
    <row r="1111">
      <c r="A1111" s="62" t="s">
        <v>1249</v>
      </c>
      <c r="B1111" s="63">
        <v>44274.0</v>
      </c>
      <c r="C1111" s="62" t="s">
        <v>112</v>
      </c>
      <c r="D1111" s="64">
        <v>0.0</v>
      </c>
      <c r="E1111" s="62" t="s">
        <v>109</v>
      </c>
      <c r="F1111" s="62" t="s">
        <v>110</v>
      </c>
      <c r="G1111" s="64" t="s">
        <v>64</v>
      </c>
      <c r="H1111" s="3" t="s">
        <v>185</v>
      </c>
      <c r="I1111" s="65" t="str">
        <f>IFERROR(VLOOKUP(A1111,'3. Call duration'!$A:$C,3,0),"--")</f>
        <v>--</v>
      </c>
      <c r="J1111" s="65" t="str">
        <f t="array" ref="J1111">XLOOKUP(H1111,'2. Matching'!$A$2:$A$39,'2. Matching'!$B$2:$B$39,"--")</f>
        <v>SEO</v>
      </c>
      <c r="K1111" s="65" t="str">
        <f t="shared" si="1"/>
        <v>In</v>
      </c>
    </row>
    <row r="1112">
      <c r="A1112" s="62" t="s">
        <v>1250</v>
      </c>
      <c r="B1112" s="63">
        <v>44329.0</v>
      </c>
      <c r="C1112" s="62" t="s">
        <v>108</v>
      </c>
      <c r="D1112" s="64">
        <v>0.0</v>
      </c>
      <c r="E1112" s="62" t="s">
        <v>109</v>
      </c>
      <c r="F1112" s="62" t="s">
        <v>115</v>
      </c>
      <c r="G1112" s="64" t="s">
        <v>59</v>
      </c>
      <c r="H1112" s="3" t="s">
        <v>68</v>
      </c>
      <c r="I1112" s="65">
        <f>IFERROR(VLOOKUP(A1112,'3. Call duration'!$A:$C,3,0),"--")</f>
        <v>21.46076704</v>
      </c>
      <c r="J1112" s="65" t="str">
        <f t="array" ref="J1112">XLOOKUP(H1112,'2. Matching'!$A$2:$A$39,'2. Matching'!$B$2:$B$39,"--")</f>
        <v>Acquisition</v>
      </c>
      <c r="K1112" s="65" t="str">
        <f t="shared" si="1"/>
        <v>In</v>
      </c>
    </row>
    <row r="1113">
      <c r="A1113" s="62" t="s">
        <v>1251</v>
      </c>
      <c r="B1113" s="63">
        <v>44382.0</v>
      </c>
      <c r="C1113" s="62" t="s">
        <v>108</v>
      </c>
      <c r="D1113" s="64">
        <v>0.0</v>
      </c>
      <c r="E1113" s="62" t="s">
        <v>109</v>
      </c>
      <c r="F1113" s="62" t="s">
        <v>115</v>
      </c>
      <c r="G1113" s="64" t="s">
        <v>59</v>
      </c>
      <c r="H1113" s="3" t="s">
        <v>68</v>
      </c>
      <c r="I1113" s="65">
        <f>IFERROR(VLOOKUP(A1113,'3. Call duration'!$A:$C,3,0),"--")</f>
        <v>32.90250957</v>
      </c>
      <c r="J1113" s="65" t="str">
        <f t="array" ref="J1113">XLOOKUP(H1113,'2. Matching'!$A$2:$A$39,'2. Matching'!$B$2:$B$39,"--")</f>
        <v>Acquisition</v>
      </c>
      <c r="K1113" s="65" t="str">
        <f t="shared" si="1"/>
        <v>In</v>
      </c>
    </row>
    <row r="1114">
      <c r="A1114" s="62" t="s">
        <v>1252</v>
      </c>
      <c r="B1114" s="63">
        <v>44393.0</v>
      </c>
      <c r="C1114" s="62" t="s">
        <v>112</v>
      </c>
      <c r="D1114" s="64">
        <v>0.0</v>
      </c>
      <c r="E1114" s="62" t="s">
        <v>114</v>
      </c>
      <c r="F1114" s="62" t="s">
        <v>110</v>
      </c>
      <c r="G1114" s="64" t="s">
        <v>61</v>
      </c>
      <c r="H1114" s="3" t="s">
        <v>67</v>
      </c>
      <c r="I1114" s="65" t="str">
        <f>IFERROR(VLOOKUP(A1114,'3. Call duration'!$A:$C,3,0),"--")</f>
        <v>--</v>
      </c>
      <c r="J1114" s="65" t="str">
        <f t="array" ref="J1114">XLOOKUP(H1114,'2. Matching'!$A$2:$A$39,'2. Matching'!$B$2:$B$39,"--")</f>
        <v>Acquisition</v>
      </c>
      <c r="K1114" s="65" t="str">
        <f t="shared" si="1"/>
        <v>In</v>
      </c>
    </row>
    <row r="1115">
      <c r="A1115" s="62" t="s">
        <v>1253</v>
      </c>
      <c r="B1115" s="63">
        <v>44341.0</v>
      </c>
      <c r="C1115" s="62" t="s">
        <v>119</v>
      </c>
      <c r="D1115" s="64">
        <v>47.5</v>
      </c>
      <c r="E1115" s="62" t="s">
        <v>109</v>
      </c>
      <c r="F1115" s="62" t="s">
        <v>110</v>
      </c>
      <c r="G1115" s="64" t="s">
        <v>63</v>
      </c>
      <c r="H1115" s="3" t="s">
        <v>189</v>
      </c>
      <c r="I1115" s="65">
        <f>IFERROR(VLOOKUP(A1115,'3. Call duration'!$A:$C,3,0),"--")</f>
        <v>21.47773567</v>
      </c>
      <c r="J1115" s="65" t="str">
        <f t="array" ref="J1115">XLOOKUP(H1115,'2. Matching'!$A$2:$A$39,'2. Matching'!$B$2:$B$39,"--")</f>
        <v>SEO</v>
      </c>
      <c r="K1115" s="65" t="str">
        <f t="shared" si="1"/>
        <v>Out</v>
      </c>
    </row>
    <row r="1116">
      <c r="A1116" s="62" t="s">
        <v>1254</v>
      </c>
      <c r="B1116" s="63">
        <v>44237.0</v>
      </c>
      <c r="C1116" s="62" t="s">
        <v>108</v>
      </c>
      <c r="D1116" s="64">
        <v>0.0</v>
      </c>
      <c r="E1116" s="62" t="s">
        <v>109</v>
      </c>
      <c r="F1116" s="62" t="s">
        <v>115</v>
      </c>
      <c r="G1116" s="64" t="s">
        <v>64</v>
      </c>
      <c r="H1116" s="3" t="s">
        <v>139</v>
      </c>
      <c r="I1116" s="65" t="str">
        <f>IFERROR(VLOOKUP(A1116,'3. Call duration'!$A:$C,3,0),"--")</f>
        <v>--</v>
      </c>
      <c r="J1116" s="65" t="str">
        <f t="array" ref="J1116">XLOOKUP(H1116,'2. Matching'!$A$2:$A$39,'2. Matching'!$B$2:$B$39,"--")</f>
        <v>Acquisition</v>
      </c>
      <c r="K1116" s="65" t="str">
        <f t="shared" si="1"/>
        <v>In</v>
      </c>
    </row>
    <row r="1117">
      <c r="A1117" s="62" t="s">
        <v>1255</v>
      </c>
      <c r="B1117" s="63">
        <v>44355.0</v>
      </c>
      <c r="C1117" s="62" t="s">
        <v>112</v>
      </c>
      <c r="D1117" s="64">
        <v>0.0</v>
      </c>
      <c r="E1117" s="62" t="s">
        <v>109</v>
      </c>
      <c r="F1117" s="62" t="s">
        <v>110</v>
      </c>
      <c r="G1117" s="64" t="s">
        <v>60</v>
      </c>
      <c r="H1117" s="3" t="s">
        <v>67</v>
      </c>
      <c r="I1117" s="65" t="str">
        <f>IFERROR(VLOOKUP(A1117,'3. Call duration'!$A:$C,3,0),"--")</f>
        <v>--</v>
      </c>
      <c r="J1117" s="65" t="str">
        <f t="array" ref="J1117">XLOOKUP(H1117,'2. Matching'!$A$2:$A$39,'2. Matching'!$B$2:$B$39,"--")</f>
        <v>Acquisition</v>
      </c>
      <c r="K1117" s="65" t="str">
        <f t="shared" si="1"/>
        <v>In</v>
      </c>
    </row>
    <row r="1118">
      <c r="A1118" s="62" t="s">
        <v>1256</v>
      </c>
      <c r="B1118" s="63">
        <v>44350.0</v>
      </c>
      <c r="C1118" s="62" t="s">
        <v>112</v>
      </c>
      <c r="D1118" s="64">
        <v>0.0</v>
      </c>
      <c r="E1118" s="62" t="s">
        <v>109</v>
      </c>
      <c r="F1118" s="62" t="s">
        <v>110</v>
      </c>
      <c r="G1118" s="64" t="s">
        <v>60</v>
      </c>
      <c r="H1118" s="3" t="s">
        <v>67</v>
      </c>
      <c r="I1118" s="65" t="str">
        <f>IFERROR(VLOOKUP(A1118,'3. Call duration'!$A:$C,3,0),"--")</f>
        <v>--</v>
      </c>
      <c r="J1118" s="65" t="str">
        <f t="array" ref="J1118">XLOOKUP(H1118,'2. Matching'!$A$2:$A$39,'2. Matching'!$B$2:$B$39,"--")</f>
        <v>Acquisition</v>
      </c>
      <c r="K1118" s="65" t="str">
        <f t="shared" si="1"/>
        <v>In</v>
      </c>
    </row>
    <row r="1119">
      <c r="A1119" s="62" t="s">
        <v>1257</v>
      </c>
      <c r="B1119" s="63">
        <v>44133.0</v>
      </c>
      <c r="C1119" s="62" t="s">
        <v>108</v>
      </c>
      <c r="D1119" s="64">
        <v>0.0</v>
      </c>
      <c r="E1119" s="62" t="s">
        <v>114</v>
      </c>
      <c r="F1119" s="62" t="s">
        <v>110</v>
      </c>
      <c r="G1119" s="64" t="s">
        <v>64</v>
      </c>
      <c r="H1119" s="3" t="s">
        <v>116</v>
      </c>
      <c r="I1119" s="65">
        <f>IFERROR(VLOOKUP(A1119,'3. Call duration'!$A:$C,3,0),"--")</f>
        <v>29.45392477</v>
      </c>
      <c r="J1119" s="65" t="str">
        <f t="array" ref="J1119">XLOOKUP(H1119,'2. Matching'!$A$2:$A$39,'2. Matching'!$B$2:$B$39,"--")</f>
        <v>Acquisition</v>
      </c>
      <c r="K1119" s="65" t="str">
        <f t="shared" si="1"/>
        <v>In</v>
      </c>
    </row>
    <row r="1120">
      <c r="A1120" s="62" t="s">
        <v>1258</v>
      </c>
      <c r="B1120" s="63">
        <v>44109.0</v>
      </c>
      <c r="C1120" s="62" t="s">
        <v>112</v>
      </c>
      <c r="D1120" s="64">
        <v>0.0</v>
      </c>
      <c r="E1120" s="62" t="s">
        <v>109</v>
      </c>
      <c r="F1120" s="62" t="s">
        <v>115</v>
      </c>
      <c r="G1120" s="64" t="s">
        <v>64</v>
      </c>
      <c r="H1120" s="3" t="s">
        <v>175</v>
      </c>
      <c r="I1120" s="65" t="str">
        <f>IFERROR(VLOOKUP(A1120,'3. Call duration'!$A:$C,3,0),"--")</f>
        <v>--</v>
      </c>
      <c r="J1120" s="65" t="str">
        <f t="array" ref="J1120">XLOOKUP(H1120,'2. Matching'!$A$2:$A$39,'2. Matching'!$B$2:$B$39,"--")</f>
        <v>SEO</v>
      </c>
      <c r="K1120" s="65" t="str">
        <f t="shared" si="1"/>
        <v>In</v>
      </c>
    </row>
    <row r="1121">
      <c r="A1121" s="62" t="s">
        <v>1259</v>
      </c>
      <c r="B1121" s="63">
        <v>44169.0</v>
      </c>
      <c r="C1121" s="62" t="s">
        <v>112</v>
      </c>
      <c r="D1121" s="64">
        <v>0.0</v>
      </c>
      <c r="E1121" s="62" t="s">
        <v>109</v>
      </c>
      <c r="F1121" s="62" t="s">
        <v>115</v>
      </c>
      <c r="G1121" s="64" t="s">
        <v>64</v>
      </c>
      <c r="H1121" s="3" t="s">
        <v>169</v>
      </c>
      <c r="I1121" s="65" t="str">
        <f>IFERROR(VLOOKUP(A1121,'3. Call duration'!$A:$C,3,0),"--")</f>
        <v>--</v>
      </c>
      <c r="J1121" s="65" t="str">
        <f t="array" ref="J1121">XLOOKUP(H1121,'2. Matching'!$A$2:$A$39,'2. Matching'!$B$2:$B$39,"--")</f>
        <v>SEO</v>
      </c>
      <c r="K1121" s="65" t="str">
        <f t="shared" si="1"/>
        <v>In</v>
      </c>
    </row>
    <row r="1122">
      <c r="A1122" s="62" t="s">
        <v>1260</v>
      </c>
      <c r="B1122" s="63">
        <v>44111.0</v>
      </c>
      <c r="C1122" s="62" t="s">
        <v>108</v>
      </c>
      <c r="D1122" s="64">
        <v>0.0</v>
      </c>
      <c r="E1122" s="62" t="s">
        <v>109</v>
      </c>
      <c r="F1122" s="62" t="s">
        <v>115</v>
      </c>
      <c r="G1122" s="64" t="s">
        <v>64</v>
      </c>
      <c r="H1122" s="3" t="s">
        <v>139</v>
      </c>
      <c r="I1122" s="65">
        <f>IFERROR(VLOOKUP(A1122,'3. Call duration'!$A:$C,3,0),"--")</f>
        <v>28.85622072</v>
      </c>
      <c r="J1122" s="65" t="str">
        <f t="array" ref="J1122">XLOOKUP(H1122,'2. Matching'!$A$2:$A$39,'2. Matching'!$B$2:$B$39,"--")</f>
        <v>Acquisition</v>
      </c>
      <c r="K1122" s="65" t="str">
        <f t="shared" si="1"/>
        <v>In</v>
      </c>
    </row>
    <row r="1123">
      <c r="A1123" s="62" t="s">
        <v>1261</v>
      </c>
      <c r="B1123" s="63">
        <v>44330.0</v>
      </c>
      <c r="C1123" s="62" t="s">
        <v>119</v>
      </c>
      <c r="D1123" s="64">
        <v>47.5</v>
      </c>
      <c r="E1123" s="62" t="s">
        <v>109</v>
      </c>
      <c r="F1123" s="62" t="s">
        <v>110</v>
      </c>
      <c r="G1123" s="64" t="s">
        <v>64</v>
      </c>
      <c r="H1123" s="3" t="s">
        <v>52</v>
      </c>
      <c r="I1123" s="65">
        <f>IFERROR(VLOOKUP(A1123,'3. Call duration'!$A:$C,3,0),"--")</f>
        <v>21.52307679</v>
      </c>
      <c r="J1123" s="65" t="str">
        <f t="array" ref="J1123">XLOOKUP(H1123,'2. Matching'!$A$2:$A$39,'2. Matching'!$B$2:$B$39,"--")</f>
        <v>Partnerships</v>
      </c>
      <c r="K1123" s="65" t="str">
        <f t="shared" si="1"/>
        <v>In</v>
      </c>
    </row>
    <row r="1124">
      <c r="A1124" s="62" t="s">
        <v>1262</v>
      </c>
      <c r="B1124" s="63">
        <v>44279.0</v>
      </c>
      <c r="C1124" s="62" t="s">
        <v>108</v>
      </c>
      <c r="D1124" s="64">
        <v>0.0</v>
      </c>
      <c r="E1124" s="62" t="s">
        <v>109</v>
      </c>
      <c r="F1124" s="62" t="s">
        <v>115</v>
      </c>
      <c r="G1124" s="64" t="s">
        <v>63</v>
      </c>
      <c r="H1124" s="3" t="s">
        <v>128</v>
      </c>
      <c r="I1124" s="65">
        <f>IFERROR(VLOOKUP(A1124,'3. Call duration'!$A:$C,3,0),"--")</f>
        <v>28.16053604</v>
      </c>
      <c r="J1124" s="65" t="str">
        <f t="array" ref="J1124">XLOOKUP(H1124,'2. Matching'!$A$2:$A$39,'2. Matching'!$B$2:$B$39,"--")</f>
        <v>Acquisition</v>
      </c>
      <c r="K1124" s="65" t="str">
        <f t="shared" si="1"/>
        <v>In</v>
      </c>
    </row>
    <row r="1125">
      <c r="A1125" s="62" t="s">
        <v>1263</v>
      </c>
      <c r="B1125" s="63">
        <v>44349.0</v>
      </c>
      <c r="C1125" s="62" t="s">
        <v>108</v>
      </c>
      <c r="D1125" s="64">
        <v>0.0</v>
      </c>
      <c r="E1125" s="62" t="s">
        <v>109</v>
      </c>
      <c r="F1125" s="62" t="s">
        <v>110</v>
      </c>
      <c r="G1125" s="64" t="s">
        <v>59</v>
      </c>
      <c r="H1125" s="3" t="s">
        <v>68</v>
      </c>
      <c r="I1125" s="65">
        <f>IFERROR(VLOOKUP(A1125,'3. Call duration'!$A:$C,3,0),"--")</f>
        <v>29.03507657</v>
      </c>
      <c r="J1125" s="65" t="str">
        <f t="array" ref="J1125">XLOOKUP(H1125,'2. Matching'!$A$2:$A$39,'2. Matching'!$B$2:$B$39,"--")</f>
        <v>Acquisition</v>
      </c>
      <c r="K1125" s="65" t="str">
        <f t="shared" si="1"/>
        <v>In</v>
      </c>
    </row>
    <row r="1126">
      <c r="A1126" s="62" t="s">
        <v>1264</v>
      </c>
      <c r="B1126" s="63">
        <v>44223.0</v>
      </c>
      <c r="C1126" s="62" t="s">
        <v>112</v>
      </c>
      <c r="D1126" s="64">
        <v>0.0</v>
      </c>
      <c r="E1126" s="62" t="s">
        <v>109</v>
      </c>
      <c r="F1126" s="62" t="s">
        <v>110</v>
      </c>
      <c r="G1126" s="64" t="s">
        <v>64</v>
      </c>
      <c r="H1126" s="3" t="s">
        <v>116</v>
      </c>
      <c r="I1126" s="65" t="str">
        <f>IFERROR(VLOOKUP(A1126,'3. Call duration'!$A:$C,3,0),"--")</f>
        <v>--</v>
      </c>
      <c r="J1126" s="65" t="str">
        <f t="array" ref="J1126">XLOOKUP(H1126,'2. Matching'!$A$2:$A$39,'2. Matching'!$B$2:$B$39,"--")</f>
        <v>Acquisition</v>
      </c>
      <c r="K1126" s="65" t="str">
        <f t="shared" si="1"/>
        <v>In</v>
      </c>
    </row>
    <row r="1127">
      <c r="A1127" s="62" t="s">
        <v>1265</v>
      </c>
      <c r="B1127" s="63">
        <v>44376.0</v>
      </c>
      <c r="C1127" s="62" t="s">
        <v>108</v>
      </c>
      <c r="D1127" s="64">
        <v>0.0</v>
      </c>
      <c r="E1127" s="62" t="s">
        <v>109</v>
      </c>
      <c r="F1127" s="62" t="s">
        <v>115</v>
      </c>
      <c r="G1127" s="64" t="s">
        <v>63</v>
      </c>
      <c r="H1127" s="3" t="s">
        <v>124</v>
      </c>
      <c r="I1127" s="65">
        <f>IFERROR(VLOOKUP(A1127,'3. Call duration'!$A:$C,3,0),"--")</f>
        <v>43.45822672</v>
      </c>
      <c r="J1127" s="65" t="str">
        <f t="array" ref="J1127">XLOOKUP(H1127,'2. Matching'!$A$2:$A$39,'2. Matching'!$B$2:$B$39,"--")</f>
        <v>Acquisition</v>
      </c>
      <c r="K1127" s="65" t="str">
        <f t="shared" si="1"/>
        <v>In</v>
      </c>
    </row>
    <row r="1128">
      <c r="A1128" s="62" t="s">
        <v>1266</v>
      </c>
      <c r="B1128" s="63">
        <v>44377.0</v>
      </c>
      <c r="C1128" s="62" t="s">
        <v>108</v>
      </c>
      <c r="D1128" s="64">
        <v>0.0</v>
      </c>
      <c r="E1128" s="62" t="s">
        <v>114</v>
      </c>
      <c r="F1128" s="62" t="s">
        <v>110</v>
      </c>
      <c r="G1128" s="64" t="s">
        <v>60</v>
      </c>
      <c r="H1128" s="3" t="s">
        <v>68</v>
      </c>
      <c r="I1128" s="65">
        <f>IFERROR(VLOOKUP(A1128,'3. Call duration'!$A:$C,3,0),"--")</f>
        <v>31.97603235</v>
      </c>
      <c r="J1128" s="65" t="str">
        <f t="array" ref="J1128">XLOOKUP(H1128,'2. Matching'!$A$2:$A$39,'2. Matching'!$B$2:$B$39,"--")</f>
        <v>Acquisition</v>
      </c>
      <c r="K1128" s="65" t="str">
        <f t="shared" si="1"/>
        <v>In</v>
      </c>
    </row>
    <row r="1129">
      <c r="A1129" s="62" t="s">
        <v>1267</v>
      </c>
      <c r="B1129" s="63">
        <v>44382.0</v>
      </c>
      <c r="C1129" s="62" t="s">
        <v>112</v>
      </c>
      <c r="D1129" s="64">
        <v>0.0</v>
      </c>
      <c r="E1129" s="62" t="s">
        <v>109</v>
      </c>
      <c r="F1129" s="62" t="s">
        <v>110</v>
      </c>
      <c r="G1129" s="64" t="s">
        <v>63</v>
      </c>
      <c r="H1129" s="3" t="s">
        <v>124</v>
      </c>
      <c r="I1129" s="65" t="str">
        <f>IFERROR(VLOOKUP(A1129,'3. Call duration'!$A:$C,3,0),"--")</f>
        <v>--</v>
      </c>
      <c r="J1129" s="65" t="str">
        <f t="array" ref="J1129">XLOOKUP(H1129,'2. Matching'!$A$2:$A$39,'2. Matching'!$B$2:$B$39,"--")</f>
        <v>Acquisition</v>
      </c>
      <c r="K1129" s="65" t="str">
        <f t="shared" si="1"/>
        <v>In</v>
      </c>
    </row>
    <row r="1130">
      <c r="A1130" s="62" t="s">
        <v>1268</v>
      </c>
      <c r="B1130" s="63">
        <v>44364.0</v>
      </c>
      <c r="C1130" s="62" t="s">
        <v>112</v>
      </c>
      <c r="D1130" s="64">
        <v>0.0</v>
      </c>
      <c r="E1130" s="62" t="s">
        <v>109</v>
      </c>
      <c r="F1130" s="62" t="s">
        <v>110</v>
      </c>
      <c r="G1130" s="64" t="s">
        <v>60</v>
      </c>
      <c r="H1130" s="3" t="s">
        <v>67</v>
      </c>
      <c r="I1130" s="65" t="str">
        <f>IFERROR(VLOOKUP(A1130,'3. Call duration'!$A:$C,3,0),"--")</f>
        <v>--</v>
      </c>
      <c r="J1130" s="65" t="str">
        <f t="array" ref="J1130">XLOOKUP(H1130,'2. Matching'!$A$2:$A$39,'2. Matching'!$B$2:$B$39,"--")</f>
        <v>Acquisition</v>
      </c>
      <c r="K1130" s="65" t="str">
        <f t="shared" si="1"/>
        <v>In</v>
      </c>
    </row>
    <row r="1131">
      <c r="A1131" s="62" t="s">
        <v>1269</v>
      </c>
      <c r="B1131" s="63">
        <v>44272.0</v>
      </c>
      <c r="C1131" s="62" t="s">
        <v>108</v>
      </c>
      <c r="D1131" s="64">
        <v>0.0</v>
      </c>
      <c r="E1131" s="62" t="s">
        <v>109</v>
      </c>
      <c r="F1131" s="62" t="s">
        <v>110</v>
      </c>
      <c r="G1131" s="64" t="s">
        <v>64</v>
      </c>
      <c r="H1131" s="3" t="s">
        <v>297</v>
      </c>
      <c r="I1131" s="65">
        <f>IFERROR(VLOOKUP(A1131,'3. Call duration'!$A:$C,3,0),"--")</f>
        <v>12.45937235</v>
      </c>
      <c r="J1131" s="65" t="str">
        <f t="array" ref="J1131">XLOOKUP(H1131,'2. Matching'!$A$2:$A$39,'2. Matching'!$B$2:$B$39,"--")</f>
        <v>Farming</v>
      </c>
      <c r="K1131" s="65" t="str">
        <f t="shared" si="1"/>
        <v>In</v>
      </c>
    </row>
    <row r="1132">
      <c r="A1132" s="62" t="s">
        <v>1270</v>
      </c>
      <c r="B1132" s="63">
        <v>44278.0</v>
      </c>
      <c r="C1132" s="62" t="s">
        <v>112</v>
      </c>
      <c r="D1132" s="64">
        <v>0.0</v>
      </c>
      <c r="E1132" s="62" t="s">
        <v>109</v>
      </c>
      <c r="F1132" s="62" t="s">
        <v>110</v>
      </c>
      <c r="G1132" s="64" t="s">
        <v>64</v>
      </c>
      <c r="H1132" s="3" t="s">
        <v>169</v>
      </c>
      <c r="I1132" s="65" t="str">
        <f>IFERROR(VLOOKUP(A1132,'3. Call duration'!$A:$C,3,0),"--")</f>
        <v>--</v>
      </c>
      <c r="J1132" s="65" t="str">
        <f t="array" ref="J1132">XLOOKUP(H1132,'2. Matching'!$A$2:$A$39,'2. Matching'!$B$2:$B$39,"--")</f>
        <v>SEO</v>
      </c>
      <c r="K1132" s="65" t="str">
        <f t="shared" si="1"/>
        <v>In</v>
      </c>
    </row>
    <row r="1133">
      <c r="A1133" s="62" t="s">
        <v>1271</v>
      </c>
      <c r="B1133" s="63">
        <v>44371.0</v>
      </c>
      <c r="C1133" s="62" t="s">
        <v>112</v>
      </c>
      <c r="D1133" s="64">
        <v>0.0</v>
      </c>
      <c r="E1133" s="62" t="s">
        <v>114</v>
      </c>
      <c r="F1133" s="62" t="s">
        <v>110</v>
      </c>
      <c r="G1133" s="64" t="s">
        <v>60</v>
      </c>
      <c r="H1133" s="3" t="s">
        <v>67</v>
      </c>
      <c r="I1133" s="65" t="str">
        <f>IFERROR(VLOOKUP(A1133,'3. Call duration'!$A:$C,3,0),"--")</f>
        <v>--</v>
      </c>
      <c r="J1133" s="65" t="str">
        <f t="array" ref="J1133">XLOOKUP(H1133,'2. Matching'!$A$2:$A$39,'2. Matching'!$B$2:$B$39,"--")</f>
        <v>Acquisition</v>
      </c>
      <c r="K1133" s="65" t="str">
        <f t="shared" si="1"/>
        <v>In</v>
      </c>
    </row>
    <row r="1134">
      <c r="A1134" s="62" t="s">
        <v>1272</v>
      </c>
      <c r="B1134" s="63">
        <v>44344.0</v>
      </c>
      <c r="C1134" s="62" t="s">
        <v>119</v>
      </c>
      <c r="D1134" s="64">
        <v>47.5</v>
      </c>
      <c r="E1134" s="62" t="s">
        <v>109</v>
      </c>
      <c r="F1134" s="62" t="s">
        <v>110</v>
      </c>
      <c r="G1134" s="64" t="s">
        <v>63</v>
      </c>
      <c r="H1134" s="3" t="s">
        <v>128</v>
      </c>
      <c r="I1134" s="65">
        <f>IFERROR(VLOOKUP(A1134,'3. Call duration'!$A:$C,3,0),"--")</f>
        <v>21.53926615</v>
      </c>
      <c r="J1134" s="65" t="str">
        <f t="array" ref="J1134">XLOOKUP(H1134,'2. Matching'!$A$2:$A$39,'2. Matching'!$B$2:$B$39,"--")</f>
        <v>Acquisition</v>
      </c>
      <c r="K1134" s="65" t="str">
        <f t="shared" si="1"/>
        <v>In</v>
      </c>
    </row>
    <row r="1135">
      <c r="A1135" s="62" t="s">
        <v>1273</v>
      </c>
      <c r="B1135" s="63">
        <v>44095.0</v>
      </c>
      <c r="C1135" s="62" t="s">
        <v>112</v>
      </c>
      <c r="D1135" s="64">
        <v>0.0</v>
      </c>
      <c r="E1135" s="62" t="s">
        <v>109</v>
      </c>
      <c r="F1135" s="62" t="s">
        <v>115</v>
      </c>
      <c r="G1135" s="64" t="s">
        <v>64</v>
      </c>
      <c r="H1135" s="3" t="s">
        <v>175</v>
      </c>
      <c r="I1135" s="65" t="str">
        <f>IFERROR(VLOOKUP(A1135,'3. Call duration'!$A:$C,3,0),"--")</f>
        <v>--</v>
      </c>
      <c r="J1135" s="65" t="str">
        <f t="array" ref="J1135">XLOOKUP(H1135,'2. Matching'!$A$2:$A$39,'2. Matching'!$B$2:$B$39,"--")</f>
        <v>SEO</v>
      </c>
      <c r="K1135" s="65" t="str">
        <f t="shared" si="1"/>
        <v>In</v>
      </c>
    </row>
    <row r="1136">
      <c r="A1136" s="62" t="s">
        <v>1274</v>
      </c>
      <c r="B1136" s="63">
        <v>44257.0</v>
      </c>
      <c r="C1136" s="62" t="s">
        <v>108</v>
      </c>
      <c r="D1136" s="64">
        <v>0.0</v>
      </c>
      <c r="E1136" s="62" t="s">
        <v>114</v>
      </c>
      <c r="F1136" s="62" t="s">
        <v>115</v>
      </c>
      <c r="G1136" s="64" t="s">
        <v>64</v>
      </c>
      <c r="H1136" s="3" t="s">
        <v>221</v>
      </c>
      <c r="I1136" s="65" t="str">
        <f>IFERROR(VLOOKUP(A1136,'3. Call duration'!$A:$C,3,0),"--")</f>
        <v>--</v>
      </c>
      <c r="J1136" s="65" t="str">
        <f t="array" ref="J1136">XLOOKUP(H1136,'2. Matching'!$A$2:$A$39,'2. Matching'!$B$2:$B$39,"--")</f>
        <v>Farming</v>
      </c>
      <c r="K1136" s="65" t="str">
        <f t="shared" si="1"/>
        <v>In</v>
      </c>
    </row>
    <row r="1137">
      <c r="A1137" s="62" t="s">
        <v>1275</v>
      </c>
      <c r="B1137" s="63">
        <v>44368.0</v>
      </c>
      <c r="C1137" s="62" t="s">
        <v>112</v>
      </c>
      <c r="D1137" s="64">
        <v>0.0</v>
      </c>
      <c r="E1137" s="62" t="s">
        <v>109</v>
      </c>
      <c r="F1137" s="62" t="s">
        <v>115</v>
      </c>
      <c r="G1137" s="64" t="s">
        <v>63</v>
      </c>
      <c r="H1137" s="3" t="s">
        <v>189</v>
      </c>
      <c r="I1137" s="65" t="str">
        <f>IFERROR(VLOOKUP(A1137,'3. Call duration'!$A:$C,3,0),"--")</f>
        <v>--</v>
      </c>
      <c r="J1137" s="65" t="str">
        <f t="array" ref="J1137">XLOOKUP(H1137,'2. Matching'!$A$2:$A$39,'2. Matching'!$B$2:$B$39,"--")</f>
        <v>SEO</v>
      </c>
      <c r="K1137" s="65" t="str">
        <f t="shared" si="1"/>
        <v>Out</v>
      </c>
    </row>
    <row r="1138">
      <c r="A1138" s="62" t="s">
        <v>1276</v>
      </c>
      <c r="B1138" s="63">
        <v>44295.0</v>
      </c>
      <c r="C1138" s="62" t="s">
        <v>112</v>
      </c>
      <c r="D1138" s="64">
        <v>0.0</v>
      </c>
      <c r="E1138" s="62" t="s">
        <v>109</v>
      </c>
      <c r="F1138" s="62" t="s">
        <v>115</v>
      </c>
      <c r="G1138" s="64" t="s">
        <v>64</v>
      </c>
      <c r="H1138" s="3" t="s">
        <v>221</v>
      </c>
      <c r="I1138" s="65" t="str">
        <f>IFERROR(VLOOKUP(A1138,'3. Call duration'!$A:$C,3,0),"--")</f>
        <v>--</v>
      </c>
      <c r="J1138" s="65" t="str">
        <f t="array" ref="J1138">XLOOKUP(H1138,'2. Matching'!$A$2:$A$39,'2. Matching'!$B$2:$B$39,"--")</f>
        <v>Farming</v>
      </c>
      <c r="K1138" s="65" t="str">
        <f t="shared" si="1"/>
        <v>In</v>
      </c>
    </row>
    <row r="1139">
      <c r="A1139" s="62" t="s">
        <v>1277</v>
      </c>
      <c r="B1139" s="63">
        <v>44070.0</v>
      </c>
      <c r="C1139" s="62" t="s">
        <v>112</v>
      </c>
      <c r="D1139" s="64">
        <v>0.0</v>
      </c>
      <c r="E1139" s="62" t="s">
        <v>109</v>
      </c>
      <c r="F1139" s="62" t="s">
        <v>115</v>
      </c>
      <c r="G1139" s="64" t="s">
        <v>64</v>
      </c>
      <c r="H1139" s="3" t="s">
        <v>164</v>
      </c>
      <c r="I1139" s="65" t="str">
        <f>IFERROR(VLOOKUP(A1139,'3. Call duration'!$A:$C,3,0),"--")</f>
        <v>--</v>
      </c>
      <c r="J1139" s="65" t="str">
        <f t="array" ref="J1139">XLOOKUP(H1139,'2. Matching'!$A$2:$A$39,'2. Matching'!$B$2:$B$39,"--")</f>
        <v>SEO</v>
      </c>
      <c r="K1139" s="65" t="str">
        <f t="shared" si="1"/>
        <v>In</v>
      </c>
    </row>
    <row r="1140">
      <c r="A1140" s="62" t="s">
        <v>1278</v>
      </c>
      <c r="B1140" s="63">
        <v>44305.0</v>
      </c>
      <c r="C1140" s="62" t="s">
        <v>108</v>
      </c>
      <c r="D1140" s="64">
        <v>0.0</v>
      </c>
      <c r="E1140" s="62" t="s">
        <v>114</v>
      </c>
      <c r="F1140" s="62" t="s">
        <v>115</v>
      </c>
      <c r="G1140" s="64" t="s">
        <v>64</v>
      </c>
      <c r="H1140" s="3" t="s">
        <v>221</v>
      </c>
      <c r="I1140" s="65">
        <f>IFERROR(VLOOKUP(A1140,'3. Call duration'!$A:$C,3,0),"--")</f>
        <v>30.65144036</v>
      </c>
      <c r="J1140" s="65" t="str">
        <f t="array" ref="J1140">XLOOKUP(H1140,'2. Matching'!$A$2:$A$39,'2. Matching'!$B$2:$B$39,"--")</f>
        <v>Farming</v>
      </c>
      <c r="K1140" s="65" t="str">
        <f t="shared" si="1"/>
        <v>In</v>
      </c>
    </row>
    <row r="1141">
      <c r="A1141" s="62" t="s">
        <v>1279</v>
      </c>
      <c r="B1141" s="63">
        <v>44362.0</v>
      </c>
      <c r="C1141" s="62" t="s">
        <v>108</v>
      </c>
      <c r="D1141" s="64">
        <v>0.0</v>
      </c>
      <c r="E1141" s="62" t="s">
        <v>109</v>
      </c>
      <c r="F1141" s="62" t="s">
        <v>110</v>
      </c>
      <c r="G1141" s="64" t="s">
        <v>63</v>
      </c>
      <c r="H1141" s="3" t="s">
        <v>183</v>
      </c>
      <c r="I1141" s="65" t="str">
        <f>IFERROR(VLOOKUP(A1141,'3. Call duration'!$A:$C,3,0),"--")</f>
        <v>--</v>
      </c>
      <c r="J1141" s="65" t="str">
        <f t="array" ref="J1141">XLOOKUP(H1141,'2. Matching'!$A$2:$A$39,'2. Matching'!$B$2:$B$39,"--")</f>
        <v>SEO</v>
      </c>
      <c r="K1141" s="65" t="str">
        <f t="shared" si="1"/>
        <v>In</v>
      </c>
    </row>
    <row r="1142">
      <c r="A1142" s="62" t="s">
        <v>1280</v>
      </c>
      <c r="B1142" s="63">
        <v>44376.0</v>
      </c>
      <c r="C1142" s="62" t="s">
        <v>108</v>
      </c>
      <c r="D1142" s="64">
        <v>0.0</v>
      </c>
      <c r="E1142" s="62" t="s">
        <v>109</v>
      </c>
      <c r="F1142" s="62" t="s">
        <v>110</v>
      </c>
      <c r="G1142" s="64" t="s">
        <v>59</v>
      </c>
      <c r="H1142" s="3" t="s">
        <v>68</v>
      </c>
      <c r="I1142" s="65">
        <f>IFERROR(VLOOKUP(A1142,'3. Call duration'!$A:$C,3,0),"--")</f>
        <v>30.35621283</v>
      </c>
      <c r="J1142" s="65" t="str">
        <f t="array" ref="J1142">XLOOKUP(H1142,'2. Matching'!$A$2:$A$39,'2. Matching'!$B$2:$B$39,"--")</f>
        <v>Acquisition</v>
      </c>
      <c r="K1142" s="65" t="str">
        <f t="shared" si="1"/>
        <v>In</v>
      </c>
    </row>
    <row r="1143">
      <c r="A1143" s="62" t="s">
        <v>1281</v>
      </c>
      <c r="B1143" s="63">
        <v>44267.0</v>
      </c>
      <c r="C1143" s="62" t="s">
        <v>112</v>
      </c>
      <c r="D1143" s="64">
        <v>0.0</v>
      </c>
      <c r="E1143" s="62" t="s">
        <v>109</v>
      </c>
      <c r="F1143" s="62" t="s">
        <v>110</v>
      </c>
      <c r="G1143" s="64" t="s">
        <v>62</v>
      </c>
      <c r="H1143" s="3" t="s">
        <v>203</v>
      </c>
      <c r="I1143" s="65" t="str">
        <f>IFERROR(VLOOKUP(A1143,'3. Call duration'!$A:$C,3,0),"--")</f>
        <v>--</v>
      </c>
      <c r="J1143" s="65" t="str">
        <f t="array" ref="J1143">XLOOKUP(H1143,'2. Matching'!$A$2:$A$39,'2. Matching'!$B$2:$B$39,"--")</f>
        <v>Farming</v>
      </c>
      <c r="K1143" s="65" t="str">
        <f t="shared" si="1"/>
        <v>In</v>
      </c>
    </row>
    <row r="1144">
      <c r="A1144" s="62" t="s">
        <v>1282</v>
      </c>
      <c r="B1144" s="63">
        <v>44293.0</v>
      </c>
      <c r="C1144" s="62" t="s">
        <v>112</v>
      </c>
      <c r="D1144" s="64">
        <v>0.0</v>
      </c>
      <c r="E1144" s="62" t="s">
        <v>109</v>
      </c>
      <c r="F1144" s="62" t="s">
        <v>110</v>
      </c>
      <c r="G1144" s="64" t="s">
        <v>64</v>
      </c>
      <c r="H1144" s="3" t="s">
        <v>185</v>
      </c>
      <c r="I1144" s="65" t="str">
        <f>IFERROR(VLOOKUP(A1144,'3. Call duration'!$A:$C,3,0),"--")</f>
        <v>--</v>
      </c>
      <c r="J1144" s="65" t="str">
        <f t="array" ref="J1144">XLOOKUP(H1144,'2. Matching'!$A$2:$A$39,'2. Matching'!$B$2:$B$39,"--")</f>
        <v>SEO</v>
      </c>
      <c r="K1144" s="65" t="str">
        <f t="shared" si="1"/>
        <v>In</v>
      </c>
    </row>
    <row r="1145">
      <c r="A1145" s="62" t="s">
        <v>1283</v>
      </c>
      <c r="B1145" s="63">
        <v>44322.0</v>
      </c>
      <c r="C1145" s="62" t="s">
        <v>119</v>
      </c>
      <c r="D1145" s="64">
        <v>47.5</v>
      </c>
      <c r="E1145" s="62" t="s">
        <v>109</v>
      </c>
      <c r="F1145" s="62" t="s">
        <v>115</v>
      </c>
      <c r="G1145" s="64" t="s">
        <v>64</v>
      </c>
      <c r="H1145" s="3" t="s">
        <v>55</v>
      </c>
      <c r="I1145" s="65">
        <f>IFERROR(VLOOKUP(A1145,'3. Call duration'!$A:$C,3,0),"--")</f>
        <v>21.57469136</v>
      </c>
      <c r="J1145" s="65" t="str">
        <f t="array" ref="J1145">XLOOKUP(H1145,'2. Matching'!$A$2:$A$39,'2. Matching'!$B$2:$B$39,"--")</f>
        <v>Partnerships</v>
      </c>
      <c r="K1145" s="65" t="str">
        <f t="shared" si="1"/>
        <v>In</v>
      </c>
    </row>
    <row r="1146">
      <c r="A1146" s="62" t="s">
        <v>1284</v>
      </c>
      <c r="B1146" s="63">
        <v>44201.0</v>
      </c>
      <c r="C1146" s="62" t="s">
        <v>112</v>
      </c>
      <c r="D1146" s="64">
        <v>0.0</v>
      </c>
      <c r="E1146" s="62" t="s">
        <v>109</v>
      </c>
      <c r="F1146" s="62" t="s">
        <v>115</v>
      </c>
      <c r="G1146" s="64" t="s">
        <v>64</v>
      </c>
      <c r="H1146" s="3" t="s">
        <v>185</v>
      </c>
      <c r="I1146" s="65" t="str">
        <f>IFERROR(VLOOKUP(A1146,'3. Call duration'!$A:$C,3,0),"--")</f>
        <v>--</v>
      </c>
      <c r="J1146" s="65" t="str">
        <f t="array" ref="J1146">XLOOKUP(H1146,'2. Matching'!$A$2:$A$39,'2. Matching'!$B$2:$B$39,"--")</f>
        <v>SEO</v>
      </c>
      <c r="K1146" s="65" t="str">
        <f t="shared" si="1"/>
        <v>In</v>
      </c>
    </row>
    <row r="1147">
      <c r="A1147" s="62" t="s">
        <v>1285</v>
      </c>
      <c r="B1147" s="63">
        <v>44183.0</v>
      </c>
      <c r="C1147" s="62" t="s">
        <v>112</v>
      </c>
      <c r="D1147" s="64">
        <v>0.0</v>
      </c>
      <c r="E1147" s="62" t="s">
        <v>109</v>
      </c>
      <c r="F1147" s="62" t="s">
        <v>115</v>
      </c>
      <c r="G1147" s="64" t="s">
        <v>64</v>
      </c>
      <c r="H1147" s="3" t="s">
        <v>139</v>
      </c>
      <c r="I1147" s="65" t="str">
        <f>IFERROR(VLOOKUP(A1147,'3. Call duration'!$A:$C,3,0),"--")</f>
        <v>--</v>
      </c>
      <c r="J1147" s="65" t="str">
        <f t="array" ref="J1147">XLOOKUP(H1147,'2. Matching'!$A$2:$A$39,'2. Matching'!$B$2:$B$39,"--")</f>
        <v>Acquisition</v>
      </c>
      <c r="K1147" s="65" t="str">
        <f t="shared" si="1"/>
        <v>In</v>
      </c>
    </row>
    <row r="1148">
      <c r="A1148" s="62" t="s">
        <v>1286</v>
      </c>
      <c r="B1148" s="63">
        <v>44267.0</v>
      </c>
      <c r="C1148" s="62" t="s">
        <v>108</v>
      </c>
      <c r="D1148" s="64">
        <v>0.0</v>
      </c>
      <c r="E1148" s="62" t="s">
        <v>109</v>
      </c>
      <c r="F1148" s="62" t="s">
        <v>110</v>
      </c>
      <c r="G1148" s="64" t="s">
        <v>64</v>
      </c>
      <c r="H1148" s="3" t="s">
        <v>131</v>
      </c>
      <c r="I1148" s="65">
        <f>IFERROR(VLOOKUP(A1148,'3. Call duration'!$A:$C,3,0),"--")</f>
        <v>47.83981183</v>
      </c>
      <c r="J1148" s="65" t="str">
        <f t="array" ref="J1148">XLOOKUP(H1148,'2. Matching'!$A$2:$A$39,'2. Matching'!$B$2:$B$39,"--")</f>
        <v>Acquisition</v>
      </c>
      <c r="K1148" s="65" t="str">
        <f t="shared" si="1"/>
        <v>In</v>
      </c>
    </row>
    <row r="1149">
      <c r="A1149" s="62" t="s">
        <v>1287</v>
      </c>
      <c r="B1149" s="63">
        <v>44363.0</v>
      </c>
      <c r="C1149" s="62" t="s">
        <v>112</v>
      </c>
      <c r="D1149" s="64">
        <v>0.0</v>
      </c>
      <c r="E1149" s="62" t="s">
        <v>114</v>
      </c>
      <c r="F1149" s="62" t="s">
        <v>110</v>
      </c>
      <c r="G1149" s="64" t="s">
        <v>64</v>
      </c>
      <c r="H1149" s="3" t="s">
        <v>52</v>
      </c>
      <c r="I1149" s="65" t="str">
        <f>IFERROR(VLOOKUP(A1149,'3. Call duration'!$A:$C,3,0),"--")</f>
        <v>--</v>
      </c>
      <c r="J1149" s="65" t="str">
        <f t="array" ref="J1149">XLOOKUP(H1149,'2. Matching'!$A$2:$A$39,'2. Matching'!$B$2:$B$39,"--")</f>
        <v>Partnerships</v>
      </c>
      <c r="K1149" s="65" t="str">
        <f t="shared" si="1"/>
        <v>In</v>
      </c>
    </row>
    <row r="1150">
      <c r="A1150" s="62" t="s">
        <v>1288</v>
      </c>
      <c r="B1150" s="63">
        <v>44379.0</v>
      </c>
      <c r="C1150" s="62" t="s">
        <v>112</v>
      </c>
      <c r="D1150" s="64">
        <v>0.0</v>
      </c>
      <c r="E1150" s="62" t="s">
        <v>109</v>
      </c>
      <c r="F1150" s="62" t="s">
        <v>110</v>
      </c>
      <c r="G1150" s="64" t="s">
        <v>61</v>
      </c>
      <c r="H1150" s="3" t="s">
        <v>69</v>
      </c>
      <c r="I1150" s="65" t="str">
        <f>IFERROR(VLOOKUP(A1150,'3. Call duration'!$A:$C,3,0),"--")</f>
        <v>--</v>
      </c>
      <c r="J1150" s="65" t="str">
        <f t="array" ref="J1150">XLOOKUP(H1150,'2. Matching'!$A$2:$A$39,'2. Matching'!$B$2:$B$39,"--")</f>
        <v>Acquisition</v>
      </c>
      <c r="K1150" s="65" t="str">
        <f t="shared" si="1"/>
        <v>In</v>
      </c>
    </row>
    <row r="1151">
      <c r="A1151" s="62" t="s">
        <v>1289</v>
      </c>
      <c r="B1151" s="63">
        <v>44084.0</v>
      </c>
      <c r="C1151" s="62" t="s">
        <v>108</v>
      </c>
      <c r="D1151" s="64">
        <v>0.0</v>
      </c>
      <c r="E1151" s="62" t="s">
        <v>109</v>
      </c>
      <c r="F1151" s="62" t="s">
        <v>115</v>
      </c>
      <c r="G1151" s="64" t="s">
        <v>64</v>
      </c>
      <c r="H1151" s="3" t="s">
        <v>139</v>
      </c>
      <c r="I1151" s="65">
        <f>IFERROR(VLOOKUP(A1151,'3. Call duration'!$A:$C,3,0),"--")</f>
        <v>27.27464759</v>
      </c>
      <c r="J1151" s="65" t="str">
        <f t="array" ref="J1151">XLOOKUP(H1151,'2. Matching'!$A$2:$A$39,'2. Matching'!$B$2:$B$39,"--")</f>
        <v>Acquisition</v>
      </c>
      <c r="K1151" s="65" t="str">
        <f t="shared" si="1"/>
        <v>In</v>
      </c>
    </row>
    <row r="1152">
      <c r="A1152" s="62" t="s">
        <v>1290</v>
      </c>
      <c r="B1152" s="63">
        <v>44228.0</v>
      </c>
      <c r="C1152" s="62" t="s">
        <v>108</v>
      </c>
      <c r="D1152" s="64">
        <v>0.0</v>
      </c>
      <c r="E1152" s="62" t="s">
        <v>109</v>
      </c>
      <c r="F1152" s="62" t="s">
        <v>115</v>
      </c>
      <c r="G1152" s="64" t="s">
        <v>63</v>
      </c>
      <c r="H1152" s="3" t="s">
        <v>189</v>
      </c>
      <c r="I1152" s="65">
        <f>IFERROR(VLOOKUP(A1152,'3. Call duration'!$A:$C,3,0),"--")</f>
        <v>31.97015933</v>
      </c>
      <c r="J1152" s="65" t="str">
        <f t="array" ref="J1152">XLOOKUP(H1152,'2. Matching'!$A$2:$A$39,'2. Matching'!$B$2:$B$39,"--")</f>
        <v>SEO</v>
      </c>
      <c r="K1152" s="65" t="str">
        <f t="shared" si="1"/>
        <v>Out</v>
      </c>
    </row>
    <row r="1153">
      <c r="A1153" s="62" t="s">
        <v>1291</v>
      </c>
      <c r="B1153" s="63">
        <v>44159.0</v>
      </c>
      <c r="C1153" s="62" t="s">
        <v>112</v>
      </c>
      <c r="D1153" s="64">
        <v>0.0</v>
      </c>
      <c r="E1153" s="62" t="s">
        <v>109</v>
      </c>
      <c r="F1153" s="62" t="s">
        <v>110</v>
      </c>
      <c r="G1153" s="64" t="s">
        <v>64</v>
      </c>
      <c r="H1153" s="3" t="s">
        <v>116</v>
      </c>
      <c r="I1153" s="65" t="str">
        <f>IFERROR(VLOOKUP(A1153,'3. Call duration'!$A:$C,3,0),"--")</f>
        <v>--</v>
      </c>
      <c r="J1153" s="65" t="str">
        <f t="array" ref="J1153">XLOOKUP(H1153,'2. Matching'!$A$2:$A$39,'2. Matching'!$B$2:$B$39,"--")</f>
        <v>Acquisition</v>
      </c>
      <c r="K1153" s="65" t="str">
        <f t="shared" si="1"/>
        <v>In</v>
      </c>
    </row>
    <row r="1154">
      <c r="A1154" s="62" t="s">
        <v>1292</v>
      </c>
      <c r="B1154" s="63">
        <v>44235.0</v>
      </c>
      <c r="C1154" s="62" t="s">
        <v>112</v>
      </c>
      <c r="D1154" s="64">
        <v>0.0</v>
      </c>
      <c r="E1154" s="62" t="s">
        <v>109</v>
      </c>
      <c r="F1154" s="62" t="s">
        <v>110</v>
      </c>
      <c r="G1154" s="64" t="s">
        <v>64</v>
      </c>
      <c r="H1154" s="3" t="s">
        <v>221</v>
      </c>
      <c r="I1154" s="65" t="str">
        <f>IFERROR(VLOOKUP(A1154,'3. Call duration'!$A:$C,3,0),"--")</f>
        <v>--</v>
      </c>
      <c r="J1154" s="65" t="str">
        <f t="array" ref="J1154">XLOOKUP(H1154,'2. Matching'!$A$2:$A$39,'2. Matching'!$B$2:$B$39,"--")</f>
        <v>Farming</v>
      </c>
      <c r="K1154" s="65" t="str">
        <f t="shared" si="1"/>
        <v>In</v>
      </c>
    </row>
    <row r="1155">
      <c r="A1155" s="62" t="s">
        <v>1293</v>
      </c>
      <c r="B1155" s="63">
        <v>44313.0</v>
      </c>
      <c r="C1155" s="62" t="s">
        <v>108</v>
      </c>
      <c r="D1155" s="64">
        <v>0.0</v>
      </c>
      <c r="E1155" s="62" t="s">
        <v>109</v>
      </c>
      <c r="F1155" s="62" t="s">
        <v>110</v>
      </c>
      <c r="G1155" s="64" t="s">
        <v>63</v>
      </c>
      <c r="H1155" s="3" t="s">
        <v>189</v>
      </c>
      <c r="I1155" s="65">
        <f>IFERROR(VLOOKUP(A1155,'3. Call duration'!$A:$C,3,0),"--")</f>
        <v>25.34980266</v>
      </c>
      <c r="J1155" s="65" t="str">
        <f t="array" ref="J1155">XLOOKUP(H1155,'2. Matching'!$A$2:$A$39,'2. Matching'!$B$2:$B$39,"--")</f>
        <v>SEO</v>
      </c>
      <c r="K1155" s="65" t="str">
        <f t="shared" si="1"/>
        <v>Out</v>
      </c>
    </row>
    <row r="1156">
      <c r="A1156" s="62" t="s">
        <v>1294</v>
      </c>
      <c r="B1156" s="63">
        <v>44354.0</v>
      </c>
      <c r="C1156" s="62" t="s">
        <v>112</v>
      </c>
      <c r="D1156" s="64">
        <v>0.0</v>
      </c>
      <c r="E1156" s="62" t="s">
        <v>109</v>
      </c>
      <c r="F1156" s="62" t="s">
        <v>110</v>
      </c>
      <c r="G1156" s="64" t="s">
        <v>64</v>
      </c>
      <c r="H1156" s="3" t="s">
        <v>54</v>
      </c>
      <c r="I1156" s="65" t="str">
        <f>IFERROR(VLOOKUP(A1156,'3. Call duration'!$A:$C,3,0),"--")</f>
        <v>--</v>
      </c>
      <c r="J1156" s="65" t="str">
        <f t="array" ref="J1156">XLOOKUP(H1156,'2. Matching'!$A$2:$A$39,'2. Matching'!$B$2:$B$39,"--")</f>
        <v>Partnerships</v>
      </c>
      <c r="K1156" s="65" t="str">
        <f t="shared" si="1"/>
        <v>In</v>
      </c>
    </row>
    <row r="1157">
      <c r="A1157" s="62" t="s">
        <v>1295</v>
      </c>
      <c r="B1157" s="63">
        <v>44301.0</v>
      </c>
      <c r="C1157" s="62" t="s">
        <v>112</v>
      </c>
      <c r="D1157" s="64">
        <v>0.0</v>
      </c>
      <c r="E1157" s="62" t="s">
        <v>109</v>
      </c>
      <c r="F1157" s="62" t="s">
        <v>110</v>
      </c>
      <c r="G1157" s="64" t="s">
        <v>63</v>
      </c>
      <c r="H1157" s="3" t="s">
        <v>189</v>
      </c>
      <c r="I1157" s="65" t="str">
        <f>IFERROR(VLOOKUP(A1157,'3. Call duration'!$A:$C,3,0),"--")</f>
        <v>--</v>
      </c>
      <c r="J1157" s="65" t="str">
        <f t="array" ref="J1157">XLOOKUP(H1157,'2. Matching'!$A$2:$A$39,'2. Matching'!$B$2:$B$39,"--")</f>
        <v>SEO</v>
      </c>
      <c r="K1157" s="65" t="str">
        <f t="shared" si="1"/>
        <v>Out</v>
      </c>
    </row>
    <row r="1158">
      <c r="A1158" s="62" t="s">
        <v>1296</v>
      </c>
      <c r="B1158" s="63">
        <v>44154.0</v>
      </c>
      <c r="C1158" s="62" t="s">
        <v>112</v>
      </c>
      <c r="D1158" s="64">
        <v>0.0</v>
      </c>
      <c r="E1158" s="62" t="s">
        <v>109</v>
      </c>
      <c r="F1158" s="62" t="s">
        <v>115</v>
      </c>
      <c r="G1158" s="64" t="s">
        <v>64</v>
      </c>
      <c r="H1158" s="3" t="s">
        <v>169</v>
      </c>
      <c r="I1158" s="65" t="str">
        <f>IFERROR(VLOOKUP(A1158,'3. Call duration'!$A:$C,3,0),"--")</f>
        <v>--</v>
      </c>
      <c r="J1158" s="65" t="str">
        <f t="array" ref="J1158">XLOOKUP(H1158,'2. Matching'!$A$2:$A$39,'2. Matching'!$B$2:$B$39,"--")</f>
        <v>SEO</v>
      </c>
      <c r="K1158" s="65" t="str">
        <f t="shared" si="1"/>
        <v>In</v>
      </c>
    </row>
    <row r="1159">
      <c r="A1159" s="62" t="s">
        <v>1297</v>
      </c>
      <c r="B1159" s="63">
        <v>44334.0</v>
      </c>
      <c r="C1159" s="62" t="s">
        <v>119</v>
      </c>
      <c r="D1159" s="64">
        <v>47.5</v>
      </c>
      <c r="E1159" s="62" t="s">
        <v>109</v>
      </c>
      <c r="F1159" s="62" t="s">
        <v>110</v>
      </c>
      <c r="G1159" s="64" t="s">
        <v>64</v>
      </c>
      <c r="H1159" s="3" t="s">
        <v>52</v>
      </c>
      <c r="I1159" s="65">
        <f>IFERROR(VLOOKUP(A1159,'3. Call duration'!$A:$C,3,0),"--")</f>
        <v>21.58446631</v>
      </c>
      <c r="J1159" s="65" t="str">
        <f t="array" ref="J1159">XLOOKUP(H1159,'2. Matching'!$A$2:$A$39,'2. Matching'!$B$2:$B$39,"--")</f>
        <v>Partnerships</v>
      </c>
      <c r="K1159" s="65" t="str">
        <f t="shared" si="1"/>
        <v>In</v>
      </c>
    </row>
    <row r="1160">
      <c r="A1160" s="62" t="s">
        <v>1298</v>
      </c>
      <c r="B1160" s="63">
        <v>44252.0</v>
      </c>
      <c r="C1160" s="62" t="s">
        <v>112</v>
      </c>
      <c r="D1160" s="64">
        <v>0.0</v>
      </c>
      <c r="E1160" s="62" t="s">
        <v>109</v>
      </c>
      <c r="F1160" s="62" t="s">
        <v>110</v>
      </c>
      <c r="G1160" s="64" t="s">
        <v>63</v>
      </c>
      <c r="H1160" s="3" t="s">
        <v>189</v>
      </c>
      <c r="I1160" s="65" t="str">
        <f>IFERROR(VLOOKUP(A1160,'3. Call duration'!$A:$C,3,0),"--")</f>
        <v>--</v>
      </c>
      <c r="J1160" s="65" t="str">
        <f t="array" ref="J1160">XLOOKUP(H1160,'2. Matching'!$A$2:$A$39,'2. Matching'!$B$2:$B$39,"--")</f>
        <v>SEO</v>
      </c>
      <c r="K1160" s="65" t="str">
        <f t="shared" si="1"/>
        <v>Out</v>
      </c>
    </row>
    <row r="1161">
      <c r="A1161" s="62" t="s">
        <v>1299</v>
      </c>
      <c r="B1161" s="63">
        <v>44280.0</v>
      </c>
      <c r="C1161" s="62" t="s">
        <v>112</v>
      </c>
      <c r="D1161" s="64">
        <v>0.0</v>
      </c>
      <c r="E1161" s="62" t="s">
        <v>109</v>
      </c>
      <c r="F1161" s="62" t="s">
        <v>110</v>
      </c>
      <c r="G1161" s="64" t="s">
        <v>64</v>
      </c>
      <c r="H1161" s="3" t="s">
        <v>145</v>
      </c>
      <c r="I1161" s="65" t="str">
        <f>IFERROR(VLOOKUP(A1161,'3. Call duration'!$A:$C,3,0),"--")</f>
        <v>--</v>
      </c>
      <c r="J1161" s="65" t="str">
        <f t="array" ref="J1161">XLOOKUP(H1161,'2. Matching'!$A$2:$A$39,'2. Matching'!$B$2:$B$39,"--")</f>
        <v>SEO</v>
      </c>
      <c r="K1161" s="65" t="str">
        <f t="shared" si="1"/>
        <v>In</v>
      </c>
    </row>
    <row r="1162">
      <c r="A1162" s="62" t="s">
        <v>1300</v>
      </c>
      <c r="B1162" s="63">
        <v>44375.0</v>
      </c>
      <c r="C1162" s="62" t="s">
        <v>108</v>
      </c>
      <c r="D1162" s="64">
        <v>0.0</v>
      </c>
      <c r="E1162" s="62" t="s">
        <v>109</v>
      </c>
      <c r="F1162" s="62" t="s">
        <v>110</v>
      </c>
      <c r="G1162" s="64" t="s">
        <v>60</v>
      </c>
      <c r="H1162" s="3" t="s">
        <v>68</v>
      </c>
      <c r="I1162" s="65">
        <f>IFERROR(VLOOKUP(A1162,'3. Call duration'!$A:$C,3,0),"--")</f>
        <v>24.38242857</v>
      </c>
      <c r="J1162" s="65" t="str">
        <f t="array" ref="J1162">XLOOKUP(H1162,'2. Matching'!$A$2:$A$39,'2. Matching'!$B$2:$B$39,"--")</f>
        <v>Acquisition</v>
      </c>
      <c r="K1162" s="65" t="str">
        <f t="shared" si="1"/>
        <v>In</v>
      </c>
    </row>
    <row r="1163">
      <c r="A1163" s="62" t="s">
        <v>1301</v>
      </c>
      <c r="B1163" s="63">
        <v>44340.0</v>
      </c>
      <c r="C1163" s="62" t="s">
        <v>119</v>
      </c>
      <c r="D1163" s="64">
        <v>47.5</v>
      </c>
      <c r="E1163" s="62" t="s">
        <v>109</v>
      </c>
      <c r="F1163" s="62" t="s">
        <v>115</v>
      </c>
      <c r="G1163" s="64" t="s">
        <v>64</v>
      </c>
      <c r="H1163" s="3" t="s">
        <v>139</v>
      </c>
      <c r="I1163" s="65">
        <f>IFERROR(VLOOKUP(A1163,'3. Call duration'!$A:$C,3,0),"--")</f>
        <v>21.58523045</v>
      </c>
      <c r="J1163" s="65" t="str">
        <f t="array" ref="J1163">XLOOKUP(H1163,'2. Matching'!$A$2:$A$39,'2. Matching'!$B$2:$B$39,"--")</f>
        <v>Acquisition</v>
      </c>
      <c r="K1163" s="65" t="str">
        <f t="shared" si="1"/>
        <v>In</v>
      </c>
    </row>
    <row r="1164">
      <c r="A1164" s="62" t="s">
        <v>1302</v>
      </c>
      <c r="B1164" s="63">
        <v>44376.0</v>
      </c>
      <c r="C1164" s="62" t="s">
        <v>108</v>
      </c>
      <c r="D1164" s="64">
        <v>0.0</v>
      </c>
      <c r="E1164" s="62" t="s">
        <v>109</v>
      </c>
      <c r="F1164" s="62" t="s">
        <v>115</v>
      </c>
      <c r="G1164" s="64" t="s">
        <v>59</v>
      </c>
      <c r="H1164" s="3" t="s">
        <v>68</v>
      </c>
      <c r="I1164" s="65">
        <f>IFERROR(VLOOKUP(A1164,'3. Call duration'!$A:$C,3,0),"--")</f>
        <v>13.89041146</v>
      </c>
      <c r="J1164" s="65" t="str">
        <f t="array" ref="J1164">XLOOKUP(H1164,'2. Matching'!$A$2:$A$39,'2. Matching'!$B$2:$B$39,"--")</f>
        <v>Acquisition</v>
      </c>
      <c r="K1164" s="65" t="str">
        <f t="shared" si="1"/>
        <v>In</v>
      </c>
    </row>
    <row r="1165">
      <c r="A1165" s="62" t="s">
        <v>1303</v>
      </c>
      <c r="B1165" s="63">
        <v>44379.0</v>
      </c>
      <c r="C1165" s="62" t="s">
        <v>112</v>
      </c>
      <c r="D1165" s="64">
        <v>0.0</v>
      </c>
      <c r="E1165" s="62" t="s">
        <v>109</v>
      </c>
      <c r="F1165" s="62" t="s">
        <v>110</v>
      </c>
      <c r="G1165" s="64" t="s">
        <v>60</v>
      </c>
      <c r="H1165" s="3" t="s">
        <v>67</v>
      </c>
      <c r="I1165" s="65" t="str">
        <f>IFERROR(VLOOKUP(A1165,'3. Call duration'!$A:$C,3,0),"--")</f>
        <v>--</v>
      </c>
      <c r="J1165" s="65" t="str">
        <f t="array" ref="J1165">XLOOKUP(H1165,'2. Matching'!$A$2:$A$39,'2. Matching'!$B$2:$B$39,"--")</f>
        <v>Acquisition</v>
      </c>
      <c r="K1165" s="65" t="str">
        <f t="shared" si="1"/>
        <v>In</v>
      </c>
    </row>
    <row r="1166">
      <c r="A1166" s="62" t="s">
        <v>1304</v>
      </c>
      <c r="B1166" s="63">
        <v>44328.0</v>
      </c>
      <c r="C1166" s="62" t="s">
        <v>108</v>
      </c>
      <c r="D1166" s="64">
        <v>0.0</v>
      </c>
      <c r="E1166" s="62" t="s">
        <v>109</v>
      </c>
      <c r="F1166" s="62" t="s">
        <v>115</v>
      </c>
      <c r="G1166" s="64" t="s">
        <v>59</v>
      </c>
      <c r="H1166" s="3" t="s">
        <v>68</v>
      </c>
      <c r="I1166" s="65">
        <f>IFERROR(VLOOKUP(A1166,'3. Call duration'!$A:$C,3,0),"--")</f>
        <v>21.58938166</v>
      </c>
      <c r="J1166" s="65" t="str">
        <f t="array" ref="J1166">XLOOKUP(H1166,'2. Matching'!$A$2:$A$39,'2. Matching'!$B$2:$B$39,"--")</f>
        <v>Acquisition</v>
      </c>
      <c r="K1166" s="65" t="str">
        <f t="shared" si="1"/>
        <v>In</v>
      </c>
    </row>
    <row r="1167">
      <c r="A1167" s="62" t="s">
        <v>1305</v>
      </c>
      <c r="B1167" s="63">
        <v>44361.0</v>
      </c>
      <c r="C1167" s="62" t="s">
        <v>112</v>
      </c>
      <c r="D1167" s="64">
        <v>0.0</v>
      </c>
      <c r="E1167" s="62" t="s">
        <v>114</v>
      </c>
      <c r="F1167" s="62" t="s">
        <v>110</v>
      </c>
      <c r="G1167" s="64" t="s">
        <v>61</v>
      </c>
      <c r="H1167" s="3" t="s">
        <v>68</v>
      </c>
      <c r="I1167" s="65" t="str">
        <f>IFERROR(VLOOKUP(A1167,'3. Call duration'!$A:$C,3,0),"--")</f>
        <v>--</v>
      </c>
      <c r="J1167" s="65" t="str">
        <f t="array" ref="J1167">XLOOKUP(H1167,'2. Matching'!$A$2:$A$39,'2. Matching'!$B$2:$B$39,"--")</f>
        <v>Acquisition</v>
      </c>
      <c r="K1167" s="65" t="str">
        <f t="shared" si="1"/>
        <v>In</v>
      </c>
    </row>
    <row r="1168">
      <c r="A1168" s="62" t="s">
        <v>1306</v>
      </c>
      <c r="B1168" s="63">
        <v>44375.0</v>
      </c>
      <c r="C1168" s="62" t="s">
        <v>112</v>
      </c>
      <c r="D1168" s="64">
        <v>0.0</v>
      </c>
      <c r="E1168" s="62" t="s">
        <v>114</v>
      </c>
      <c r="F1168" s="62" t="s">
        <v>110</v>
      </c>
      <c r="G1168" s="64" t="s">
        <v>60</v>
      </c>
      <c r="H1168" s="3" t="s">
        <v>68</v>
      </c>
      <c r="I1168" s="65" t="str">
        <f>IFERROR(VLOOKUP(A1168,'3. Call duration'!$A:$C,3,0),"--")</f>
        <v>--</v>
      </c>
      <c r="J1168" s="65" t="str">
        <f t="array" ref="J1168">XLOOKUP(H1168,'2. Matching'!$A$2:$A$39,'2. Matching'!$B$2:$B$39,"--")</f>
        <v>Acquisition</v>
      </c>
      <c r="K1168" s="65" t="str">
        <f t="shared" si="1"/>
        <v>In</v>
      </c>
    </row>
    <row r="1169">
      <c r="A1169" s="62" t="s">
        <v>1307</v>
      </c>
      <c r="B1169" s="63">
        <v>44321.0</v>
      </c>
      <c r="C1169" s="62" t="s">
        <v>119</v>
      </c>
      <c r="D1169" s="64">
        <v>47.5</v>
      </c>
      <c r="E1169" s="62" t="s">
        <v>109</v>
      </c>
      <c r="F1169" s="62" t="s">
        <v>115</v>
      </c>
      <c r="G1169" s="64" t="s">
        <v>64</v>
      </c>
      <c r="H1169" s="3" t="s">
        <v>164</v>
      </c>
      <c r="I1169" s="65">
        <f>IFERROR(VLOOKUP(A1169,'3. Call duration'!$A:$C,3,0),"--")</f>
        <v>21.59533954</v>
      </c>
      <c r="J1169" s="65" t="str">
        <f t="array" ref="J1169">XLOOKUP(H1169,'2. Matching'!$A$2:$A$39,'2. Matching'!$B$2:$B$39,"--")</f>
        <v>SEO</v>
      </c>
      <c r="K1169" s="65" t="str">
        <f t="shared" si="1"/>
        <v>In</v>
      </c>
    </row>
    <row r="1170">
      <c r="A1170" s="62" t="s">
        <v>1308</v>
      </c>
      <c r="B1170" s="63">
        <v>44251.0</v>
      </c>
      <c r="C1170" s="62" t="s">
        <v>112</v>
      </c>
      <c r="D1170" s="64">
        <v>0.0</v>
      </c>
      <c r="E1170" s="62" t="s">
        <v>114</v>
      </c>
      <c r="F1170" s="62" t="s">
        <v>110</v>
      </c>
      <c r="G1170" s="64" t="s">
        <v>63</v>
      </c>
      <c r="H1170" s="3" t="s">
        <v>189</v>
      </c>
      <c r="I1170" s="65" t="str">
        <f>IFERROR(VLOOKUP(A1170,'3. Call duration'!$A:$C,3,0),"--")</f>
        <v>--</v>
      </c>
      <c r="J1170" s="65" t="str">
        <f t="array" ref="J1170">XLOOKUP(H1170,'2. Matching'!$A$2:$A$39,'2. Matching'!$B$2:$B$39,"--")</f>
        <v>SEO</v>
      </c>
      <c r="K1170" s="65" t="str">
        <f t="shared" si="1"/>
        <v>Out</v>
      </c>
    </row>
    <row r="1171">
      <c r="A1171" s="62" t="s">
        <v>1309</v>
      </c>
      <c r="B1171" s="63">
        <v>44377.0</v>
      </c>
      <c r="C1171" s="62" t="s">
        <v>112</v>
      </c>
      <c r="D1171" s="64">
        <v>0.0</v>
      </c>
      <c r="E1171" s="62" t="s">
        <v>114</v>
      </c>
      <c r="F1171" s="62" t="s">
        <v>110</v>
      </c>
      <c r="G1171" s="64" t="s">
        <v>64</v>
      </c>
      <c r="H1171" s="3" t="s">
        <v>297</v>
      </c>
      <c r="I1171" s="65" t="str">
        <f>IFERROR(VLOOKUP(A1171,'3. Call duration'!$A:$C,3,0),"--")</f>
        <v>--</v>
      </c>
      <c r="J1171" s="65" t="str">
        <f t="array" ref="J1171">XLOOKUP(H1171,'2. Matching'!$A$2:$A$39,'2. Matching'!$B$2:$B$39,"--")</f>
        <v>Farming</v>
      </c>
      <c r="K1171" s="65" t="str">
        <f t="shared" si="1"/>
        <v>In</v>
      </c>
    </row>
    <row r="1172">
      <c r="A1172" s="62" t="s">
        <v>1310</v>
      </c>
      <c r="B1172" s="63">
        <v>44154.0</v>
      </c>
      <c r="C1172" s="62" t="s">
        <v>112</v>
      </c>
      <c r="D1172" s="64">
        <v>0.0</v>
      </c>
      <c r="E1172" s="62" t="s">
        <v>114</v>
      </c>
      <c r="F1172" s="62" t="s">
        <v>110</v>
      </c>
      <c r="G1172" s="64" t="s">
        <v>64</v>
      </c>
      <c r="H1172" s="3" t="s">
        <v>155</v>
      </c>
      <c r="I1172" s="65" t="str">
        <f>IFERROR(VLOOKUP(A1172,'3. Call duration'!$A:$C,3,0),"--")</f>
        <v>--</v>
      </c>
      <c r="J1172" s="65" t="str">
        <f t="array" ref="J1172">XLOOKUP(H1172,'2. Matching'!$A$2:$A$39,'2. Matching'!$B$2:$B$39,"--")</f>
        <v>SEO</v>
      </c>
      <c r="K1172" s="65" t="str">
        <f t="shared" si="1"/>
        <v>In</v>
      </c>
    </row>
    <row r="1173">
      <c r="A1173" s="62" t="s">
        <v>1311</v>
      </c>
      <c r="B1173" s="63">
        <v>44288.0</v>
      </c>
      <c r="C1173" s="62" t="s">
        <v>108</v>
      </c>
      <c r="D1173" s="64">
        <v>0.0</v>
      </c>
      <c r="E1173" s="62" t="s">
        <v>109</v>
      </c>
      <c r="F1173" s="62" t="s">
        <v>115</v>
      </c>
      <c r="G1173" s="64" t="s">
        <v>64</v>
      </c>
      <c r="H1173" s="3" t="s">
        <v>145</v>
      </c>
      <c r="I1173" s="65">
        <f>IFERROR(VLOOKUP(A1173,'3. Call duration'!$A:$C,3,0),"--")</f>
        <v>23.97177089</v>
      </c>
      <c r="J1173" s="65" t="str">
        <f t="array" ref="J1173">XLOOKUP(H1173,'2. Matching'!$A$2:$A$39,'2. Matching'!$B$2:$B$39,"--")</f>
        <v>SEO</v>
      </c>
      <c r="K1173" s="65" t="str">
        <f t="shared" si="1"/>
        <v>In</v>
      </c>
    </row>
    <row r="1174">
      <c r="A1174" s="62" t="s">
        <v>1312</v>
      </c>
      <c r="B1174" s="63">
        <v>44155.0</v>
      </c>
      <c r="C1174" s="62" t="s">
        <v>108</v>
      </c>
      <c r="D1174" s="64">
        <v>0.0</v>
      </c>
      <c r="E1174" s="62" t="s">
        <v>109</v>
      </c>
      <c r="F1174" s="62" t="s">
        <v>115</v>
      </c>
      <c r="G1174" s="64" t="s">
        <v>62</v>
      </c>
      <c r="H1174" s="3" t="s">
        <v>294</v>
      </c>
      <c r="I1174" s="65">
        <f>IFERROR(VLOOKUP(A1174,'3. Call duration'!$A:$C,3,0),"--")</f>
        <v>32.05706174</v>
      </c>
      <c r="J1174" s="65" t="str">
        <f t="array" ref="J1174">XLOOKUP(H1174,'2. Matching'!$A$2:$A$39,'2. Matching'!$B$2:$B$39,"--")</f>
        <v>Farming</v>
      </c>
      <c r="K1174" s="65" t="str">
        <f t="shared" si="1"/>
        <v>In</v>
      </c>
    </row>
    <row r="1175">
      <c r="A1175" s="62" t="s">
        <v>1313</v>
      </c>
      <c r="B1175" s="63">
        <v>44379.0</v>
      </c>
      <c r="C1175" s="62" t="s">
        <v>112</v>
      </c>
      <c r="D1175" s="64">
        <v>0.0</v>
      </c>
      <c r="E1175" s="62" t="s">
        <v>109</v>
      </c>
      <c r="F1175" s="62" t="s">
        <v>110</v>
      </c>
      <c r="G1175" s="64" t="s">
        <v>63</v>
      </c>
      <c r="H1175" s="3" t="s">
        <v>189</v>
      </c>
      <c r="I1175" s="65" t="str">
        <f>IFERROR(VLOOKUP(A1175,'3. Call duration'!$A:$C,3,0),"--")</f>
        <v>--</v>
      </c>
      <c r="J1175" s="65" t="str">
        <f t="array" ref="J1175">XLOOKUP(H1175,'2. Matching'!$A$2:$A$39,'2. Matching'!$B$2:$B$39,"--")</f>
        <v>SEO</v>
      </c>
      <c r="K1175" s="65" t="str">
        <f t="shared" si="1"/>
        <v>Out</v>
      </c>
    </row>
    <row r="1176">
      <c r="A1176" s="62" t="s">
        <v>1314</v>
      </c>
      <c r="B1176" s="63">
        <v>44375.0</v>
      </c>
      <c r="C1176" s="62" t="s">
        <v>112</v>
      </c>
      <c r="D1176" s="64">
        <v>0.0</v>
      </c>
      <c r="E1176" s="62" t="s">
        <v>109</v>
      </c>
      <c r="F1176" s="62" t="s">
        <v>115</v>
      </c>
      <c r="G1176" s="64" t="s">
        <v>63</v>
      </c>
      <c r="H1176" s="3" t="s">
        <v>124</v>
      </c>
      <c r="I1176" s="65" t="str">
        <f>IFERROR(VLOOKUP(A1176,'3. Call duration'!$A:$C,3,0),"--")</f>
        <v>--</v>
      </c>
      <c r="J1176" s="65" t="str">
        <f t="array" ref="J1176">XLOOKUP(H1176,'2. Matching'!$A$2:$A$39,'2. Matching'!$B$2:$B$39,"--")</f>
        <v>Acquisition</v>
      </c>
      <c r="K1176" s="65" t="str">
        <f t="shared" si="1"/>
        <v>In</v>
      </c>
    </row>
    <row r="1177">
      <c r="A1177" s="62" t="s">
        <v>1315</v>
      </c>
      <c r="B1177" s="63">
        <v>44223.0</v>
      </c>
      <c r="C1177" s="62" t="s">
        <v>112</v>
      </c>
      <c r="D1177" s="64">
        <v>0.0</v>
      </c>
      <c r="E1177" s="62" t="s">
        <v>109</v>
      </c>
      <c r="F1177" s="62" t="s">
        <v>115</v>
      </c>
      <c r="G1177" s="64" t="s">
        <v>64</v>
      </c>
      <c r="H1177" s="3" t="s">
        <v>169</v>
      </c>
      <c r="I1177" s="65" t="str">
        <f>IFERROR(VLOOKUP(A1177,'3. Call duration'!$A:$C,3,0),"--")</f>
        <v>--</v>
      </c>
      <c r="J1177" s="65" t="str">
        <f t="array" ref="J1177">XLOOKUP(H1177,'2. Matching'!$A$2:$A$39,'2. Matching'!$B$2:$B$39,"--")</f>
        <v>SEO</v>
      </c>
      <c r="K1177" s="65" t="str">
        <f t="shared" si="1"/>
        <v>In</v>
      </c>
    </row>
    <row r="1178">
      <c r="A1178" s="62" t="s">
        <v>1316</v>
      </c>
      <c r="B1178" s="63">
        <v>44230.0</v>
      </c>
      <c r="C1178" s="62" t="s">
        <v>112</v>
      </c>
      <c r="D1178" s="64">
        <v>0.0</v>
      </c>
      <c r="E1178" s="62" t="s">
        <v>109</v>
      </c>
      <c r="F1178" s="62" t="s">
        <v>115</v>
      </c>
      <c r="G1178" s="64" t="s">
        <v>64</v>
      </c>
      <c r="H1178" s="3" t="s">
        <v>175</v>
      </c>
      <c r="I1178" s="65" t="str">
        <f>IFERROR(VLOOKUP(A1178,'3. Call duration'!$A:$C,3,0),"--")</f>
        <v>--</v>
      </c>
      <c r="J1178" s="65" t="str">
        <f t="array" ref="J1178">XLOOKUP(H1178,'2. Matching'!$A$2:$A$39,'2. Matching'!$B$2:$B$39,"--")</f>
        <v>SEO</v>
      </c>
      <c r="K1178" s="65" t="str">
        <f t="shared" si="1"/>
        <v>In</v>
      </c>
    </row>
    <row r="1179">
      <c r="A1179" s="62" t="s">
        <v>1317</v>
      </c>
      <c r="B1179" s="63">
        <v>44271.0</v>
      </c>
      <c r="C1179" s="62" t="s">
        <v>112</v>
      </c>
      <c r="D1179" s="64">
        <v>0.0</v>
      </c>
      <c r="E1179" s="62" t="s">
        <v>109</v>
      </c>
      <c r="F1179" s="62" t="s">
        <v>110</v>
      </c>
      <c r="G1179" s="64" t="s">
        <v>64</v>
      </c>
      <c r="H1179" s="3" t="s">
        <v>131</v>
      </c>
      <c r="I1179" s="65" t="str">
        <f>IFERROR(VLOOKUP(A1179,'3. Call duration'!$A:$C,3,0),"--")</f>
        <v>--</v>
      </c>
      <c r="J1179" s="65" t="str">
        <f t="array" ref="J1179">XLOOKUP(H1179,'2. Matching'!$A$2:$A$39,'2. Matching'!$B$2:$B$39,"--")</f>
        <v>Acquisition</v>
      </c>
      <c r="K1179" s="65" t="str">
        <f t="shared" si="1"/>
        <v>In</v>
      </c>
    </row>
    <row r="1180">
      <c r="A1180" s="62" t="s">
        <v>1318</v>
      </c>
      <c r="B1180" s="63">
        <v>44069.0</v>
      </c>
      <c r="C1180" s="62" t="s">
        <v>112</v>
      </c>
      <c r="D1180" s="64">
        <v>0.0</v>
      </c>
      <c r="E1180" s="62" t="s">
        <v>109</v>
      </c>
      <c r="F1180" s="62" t="s">
        <v>115</v>
      </c>
      <c r="G1180" s="64" t="s">
        <v>64</v>
      </c>
      <c r="H1180" s="3" t="s">
        <v>139</v>
      </c>
      <c r="I1180" s="65" t="str">
        <f>IFERROR(VLOOKUP(A1180,'3. Call duration'!$A:$C,3,0),"--")</f>
        <v>--</v>
      </c>
      <c r="J1180" s="65" t="str">
        <f t="array" ref="J1180">XLOOKUP(H1180,'2. Matching'!$A$2:$A$39,'2. Matching'!$B$2:$B$39,"--")</f>
        <v>Acquisition</v>
      </c>
      <c r="K1180" s="65" t="str">
        <f t="shared" si="1"/>
        <v>In</v>
      </c>
    </row>
    <row r="1181">
      <c r="A1181" s="62" t="s">
        <v>1319</v>
      </c>
      <c r="B1181" s="63">
        <v>44336.0</v>
      </c>
      <c r="C1181" s="62" t="s">
        <v>119</v>
      </c>
      <c r="D1181" s="64">
        <v>47.5</v>
      </c>
      <c r="E1181" s="62" t="s">
        <v>109</v>
      </c>
      <c r="F1181" s="62" t="s">
        <v>110</v>
      </c>
      <c r="G1181" s="64" t="s">
        <v>64</v>
      </c>
      <c r="H1181" s="3" t="s">
        <v>169</v>
      </c>
      <c r="I1181" s="65">
        <f>IFERROR(VLOOKUP(A1181,'3. Call duration'!$A:$C,3,0),"--")</f>
        <v>21.59695933</v>
      </c>
      <c r="J1181" s="65" t="str">
        <f t="array" ref="J1181">XLOOKUP(H1181,'2. Matching'!$A$2:$A$39,'2. Matching'!$B$2:$B$39,"--")</f>
        <v>SEO</v>
      </c>
      <c r="K1181" s="65" t="str">
        <f t="shared" si="1"/>
        <v>In</v>
      </c>
    </row>
    <row r="1182">
      <c r="A1182" s="62" t="s">
        <v>1320</v>
      </c>
      <c r="B1182" s="63">
        <v>44385.0</v>
      </c>
      <c r="C1182" s="62" t="s">
        <v>112</v>
      </c>
      <c r="D1182" s="64">
        <v>0.0</v>
      </c>
      <c r="E1182" s="62" t="s">
        <v>109</v>
      </c>
      <c r="F1182" s="62" t="s">
        <v>115</v>
      </c>
      <c r="G1182" s="64" t="s">
        <v>64</v>
      </c>
      <c r="H1182" s="3" t="s">
        <v>169</v>
      </c>
      <c r="I1182" s="65" t="str">
        <f>IFERROR(VLOOKUP(A1182,'3. Call duration'!$A:$C,3,0),"--")</f>
        <v>--</v>
      </c>
      <c r="J1182" s="65" t="str">
        <f t="array" ref="J1182">XLOOKUP(H1182,'2. Matching'!$A$2:$A$39,'2. Matching'!$B$2:$B$39,"--")</f>
        <v>SEO</v>
      </c>
      <c r="K1182" s="65" t="str">
        <f t="shared" si="1"/>
        <v>In</v>
      </c>
    </row>
    <row r="1183">
      <c r="A1183" s="62" t="s">
        <v>1321</v>
      </c>
      <c r="B1183" s="63">
        <v>44210.0</v>
      </c>
      <c r="C1183" s="62" t="s">
        <v>112</v>
      </c>
      <c r="D1183" s="64">
        <v>0.0</v>
      </c>
      <c r="E1183" s="62" t="s">
        <v>109</v>
      </c>
      <c r="F1183" s="62" t="s">
        <v>115</v>
      </c>
      <c r="G1183" s="64" t="s">
        <v>64</v>
      </c>
      <c r="H1183" s="3" t="s">
        <v>150</v>
      </c>
      <c r="I1183" s="65" t="str">
        <f>IFERROR(VLOOKUP(A1183,'3. Call duration'!$A:$C,3,0),"--")</f>
        <v>--</v>
      </c>
      <c r="J1183" s="65" t="str">
        <f t="array" ref="J1183">XLOOKUP(H1183,'2. Matching'!$A$2:$A$39,'2. Matching'!$B$2:$B$39,"--")</f>
        <v>SEO</v>
      </c>
      <c r="K1183" s="65" t="str">
        <f t="shared" si="1"/>
        <v>In</v>
      </c>
    </row>
    <row r="1184">
      <c r="A1184" s="62" t="s">
        <v>1322</v>
      </c>
      <c r="B1184" s="63">
        <v>44321.0</v>
      </c>
      <c r="C1184" s="62" t="s">
        <v>119</v>
      </c>
      <c r="D1184" s="64">
        <v>47.5</v>
      </c>
      <c r="E1184" s="62" t="s">
        <v>109</v>
      </c>
      <c r="F1184" s="62" t="s">
        <v>115</v>
      </c>
      <c r="G1184" s="64" t="s">
        <v>63</v>
      </c>
      <c r="H1184" s="3" t="s">
        <v>189</v>
      </c>
      <c r="I1184" s="65">
        <f>IFERROR(VLOOKUP(A1184,'3. Call duration'!$A:$C,3,0),"--")</f>
        <v>21.5991916</v>
      </c>
      <c r="J1184" s="65" t="str">
        <f t="array" ref="J1184">XLOOKUP(H1184,'2. Matching'!$A$2:$A$39,'2. Matching'!$B$2:$B$39,"--")</f>
        <v>SEO</v>
      </c>
      <c r="K1184" s="65" t="str">
        <f t="shared" si="1"/>
        <v>Out</v>
      </c>
    </row>
    <row r="1185">
      <c r="A1185" s="62" t="s">
        <v>1323</v>
      </c>
      <c r="B1185" s="63">
        <v>44383.0</v>
      </c>
      <c r="C1185" s="62" t="s">
        <v>112</v>
      </c>
      <c r="D1185" s="64">
        <v>0.0</v>
      </c>
      <c r="E1185" s="62" t="s">
        <v>109</v>
      </c>
      <c r="F1185" s="62" t="s">
        <v>115</v>
      </c>
      <c r="G1185" s="64" t="s">
        <v>64</v>
      </c>
      <c r="H1185" s="3" t="s">
        <v>169</v>
      </c>
      <c r="I1185" s="65" t="str">
        <f>IFERROR(VLOOKUP(A1185,'3. Call duration'!$A:$C,3,0),"--")</f>
        <v>--</v>
      </c>
      <c r="J1185" s="65" t="str">
        <f t="array" ref="J1185">XLOOKUP(H1185,'2. Matching'!$A$2:$A$39,'2. Matching'!$B$2:$B$39,"--")</f>
        <v>SEO</v>
      </c>
      <c r="K1185" s="65" t="str">
        <f t="shared" si="1"/>
        <v>In</v>
      </c>
    </row>
    <row r="1186">
      <c r="A1186" s="62" t="s">
        <v>1324</v>
      </c>
      <c r="B1186" s="63">
        <v>44306.0</v>
      </c>
      <c r="C1186" s="62" t="s">
        <v>112</v>
      </c>
      <c r="D1186" s="64">
        <v>0.0</v>
      </c>
      <c r="E1186" s="62" t="s">
        <v>109</v>
      </c>
      <c r="F1186" s="62" t="s">
        <v>115</v>
      </c>
      <c r="G1186" s="64" t="s">
        <v>64</v>
      </c>
      <c r="H1186" s="3" t="s">
        <v>54</v>
      </c>
      <c r="I1186" s="65" t="str">
        <f>IFERROR(VLOOKUP(A1186,'3. Call duration'!$A:$C,3,0),"--")</f>
        <v>--</v>
      </c>
      <c r="J1186" s="65" t="str">
        <f t="array" ref="J1186">XLOOKUP(H1186,'2. Matching'!$A$2:$A$39,'2. Matching'!$B$2:$B$39,"--")</f>
        <v>Partnerships</v>
      </c>
      <c r="K1186" s="65" t="str">
        <f t="shared" si="1"/>
        <v>In</v>
      </c>
    </row>
    <row r="1187">
      <c r="A1187" s="62" t="s">
        <v>1325</v>
      </c>
      <c r="B1187" s="63">
        <v>44235.0</v>
      </c>
      <c r="C1187" s="62" t="s">
        <v>112</v>
      </c>
      <c r="D1187" s="64">
        <v>0.0</v>
      </c>
      <c r="E1187" s="62" t="s">
        <v>109</v>
      </c>
      <c r="F1187" s="62" t="s">
        <v>110</v>
      </c>
      <c r="G1187" s="64" t="s">
        <v>64</v>
      </c>
      <c r="H1187" s="3" t="s">
        <v>139</v>
      </c>
      <c r="I1187" s="65" t="str">
        <f>IFERROR(VLOOKUP(A1187,'3. Call duration'!$A:$C,3,0),"--")</f>
        <v>--</v>
      </c>
      <c r="J1187" s="65" t="str">
        <f t="array" ref="J1187">XLOOKUP(H1187,'2. Matching'!$A$2:$A$39,'2. Matching'!$B$2:$B$39,"--")</f>
        <v>Acquisition</v>
      </c>
      <c r="K1187" s="65" t="str">
        <f t="shared" si="1"/>
        <v>In</v>
      </c>
    </row>
    <row r="1188">
      <c r="A1188" s="62" t="s">
        <v>1326</v>
      </c>
      <c r="B1188" s="63">
        <v>44350.0</v>
      </c>
      <c r="C1188" s="62" t="s">
        <v>112</v>
      </c>
      <c r="D1188" s="64">
        <v>0.0</v>
      </c>
      <c r="E1188" s="62" t="s">
        <v>109</v>
      </c>
      <c r="F1188" s="62" t="s">
        <v>110</v>
      </c>
      <c r="G1188" s="64" t="s">
        <v>63</v>
      </c>
      <c r="H1188" s="3" t="s">
        <v>228</v>
      </c>
      <c r="I1188" s="65" t="str">
        <f>IFERROR(VLOOKUP(A1188,'3. Call duration'!$A:$C,3,0),"--")</f>
        <v>--</v>
      </c>
      <c r="J1188" s="65" t="str">
        <f t="array" ref="J1188">XLOOKUP(H1188,'2. Matching'!$A$2:$A$39,'2. Matching'!$B$2:$B$39,"--")</f>
        <v>Farming</v>
      </c>
      <c r="K1188" s="65" t="str">
        <f t="shared" si="1"/>
        <v>In</v>
      </c>
    </row>
    <row r="1189">
      <c r="A1189" s="62" t="s">
        <v>1327</v>
      </c>
      <c r="B1189" s="63">
        <v>44202.0</v>
      </c>
      <c r="C1189" s="62" t="s">
        <v>108</v>
      </c>
      <c r="D1189" s="64">
        <v>0.0</v>
      </c>
      <c r="E1189" s="62" t="s">
        <v>109</v>
      </c>
      <c r="F1189" s="62" t="s">
        <v>110</v>
      </c>
      <c r="G1189" s="64" t="s">
        <v>60</v>
      </c>
      <c r="H1189" s="3" t="s">
        <v>68</v>
      </c>
      <c r="I1189" s="65">
        <f>IFERROR(VLOOKUP(A1189,'3. Call duration'!$A:$C,3,0),"--")</f>
        <v>25.65704036</v>
      </c>
      <c r="J1189" s="65" t="str">
        <f t="array" ref="J1189">XLOOKUP(H1189,'2. Matching'!$A$2:$A$39,'2. Matching'!$B$2:$B$39,"--")</f>
        <v>Acquisition</v>
      </c>
      <c r="K1189" s="65" t="str">
        <f t="shared" si="1"/>
        <v>In</v>
      </c>
    </row>
    <row r="1190">
      <c r="A1190" s="62" t="s">
        <v>1328</v>
      </c>
      <c r="B1190" s="63">
        <v>44060.0</v>
      </c>
      <c r="C1190" s="62" t="s">
        <v>112</v>
      </c>
      <c r="D1190" s="64">
        <v>0.0</v>
      </c>
      <c r="E1190" s="62" t="s">
        <v>114</v>
      </c>
      <c r="F1190" s="62" t="s">
        <v>110</v>
      </c>
      <c r="G1190" s="64" t="s">
        <v>64</v>
      </c>
      <c r="H1190" s="3" t="s">
        <v>131</v>
      </c>
      <c r="I1190" s="65" t="str">
        <f>IFERROR(VLOOKUP(A1190,'3. Call duration'!$A:$C,3,0),"--")</f>
        <v>--</v>
      </c>
      <c r="J1190" s="65" t="str">
        <f t="array" ref="J1190">XLOOKUP(H1190,'2. Matching'!$A$2:$A$39,'2. Matching'!$B$2:$B$39,"--")</f>
        <v>Acquisition</v>
      </c>
      <c r="K1190" s="65" t="str">
        <f t="shared" si="1"/>
        <v>In</v>
      </c>
    </row>
    <row r="1191">
      <c r="A1191" s="62" t="s">
        <v>1329</v>
      </c>
      <c r="B1191" s="63">
        <v>44294.0</v>
      </c>
      <c r="C1191" s="62" t="s">
        <v>112</v>
      </c>
      <c r="D1191" s="64">
        <v>0.0</v>
      </c>
      <c r="E1191" s="62" t="s">
        <v>109</v>
      </c>
      <c r="F1191" s="62" t="s">
        <v>110</v>
      </c>
      <c r="G1191" s="64" t="s">
        <v>64</v>
      </c>
      <c r="H1191" s="3" t="s">
        <v>185</v>
      </c>
      <c r="I1191" s="65" t="str">
        <f>IFERROR(VLOOKUP(A1191,'3. Call duration'!$A:$C,3,0),"--")</f>
        <v>--</v>
      </c>
      <c r="J1191" s="65" t="str">
        <f t="array" ref="J1191">XLOOKUP(H1191,'2. Matching'!$A$2:$A$39,'2. Matching'!$B$2:$B$39,"--")</f>
        <v>SEO</v>
      </c>
      <c r="K1191" s="65" t="str">
        <f t="shared" si="1"/>
        <v>In</v>
      </c>
    </row>
    <row r="1192">
      <c r="A1192" s="62" t="s">
        <v>1330</v>
      </c>
      <c r="B1192" s="63">
        <v>44372.0</v>
      </c>
      <c r="C1192" s="62" t="s">
        <v>112</v>
      </c>
      <c r="D1192" s="64">
        <v>0.0</v>
      </c>
      <c r="E1192" s="62" t="s">
        <v>109</v>
      </c>
      <c r="F1192" s="62" t="s">
        <v>115</v>
      </c>
      <c r="G1192" s="64" t="s">
        <v>64</v>
      </c>
      <c r="H1192" s="3" t="s">
        <v>141</v>
      </c>
      <c r="I1192" s="65" t="str">
        <f>IFERROR(VLOOKUP(A1192,'3. Call duration'!$A:$C,3,0),"--")</f>
        <v>--</v>
      </c>
      <c r="J1192" s="65" t="str">
        <f t="array" ref="J1192">XLOOKUP(H1192,'2. Matching'!$A$2:$A$39,'2. Matching'!$B$2:$B$39,"--")</f>
        <v>Acquisition</v>
      </c>
      <c r="K1192" s="65" t="str">
        <f t="shared" si="1"/>
        <v>In</v>
      </c>
    </row>
    <row r="1193">
      <c r="A1193" s="62" t="s">
        <v>1331</v>
      </c>
      <c r="B1193" s="63">
        <v>44278.0</v>
      </c>
      <c r="C1193" s="62" t="s">
        <v>112</v>
      </c>
      <c r="D1193" s="64">
        <v>0.0</v>
      </c>
      <c r="E1193" s="62" t="s">
        <v>109</v>
      </c>
      <c r="F1193" s="62" t="s">
        <v>110</v>
      </c>
      <c r="G1193" s="64" t="s">
        <v>64</v>
      </c>
      <c r="H1193" s="3" t="s">
        <v>185</v>
      </c>
      <c r="I1193" s="65" t="str">
        <f>IFERROR(VLOOKUP(A1193,'3. Call duration'!$A:$C,3,0),"--")</f>
        <v>--</v>
      </c>
      <c r="J1193" s="65" t="str">
        <f t="array" ref="J1193">XLOOKUP(H1193,'2. Matching'!$A$2:$A$39,'2. Matching'!$B$2:$B$39,"--")</f>
        <v>SEO</v>
      </c>
      <c r="K1193" s="65" t="str">
        <f t="shared" si="1"/>
        <v>In</v>
      </c>
    </row>
    <row r="1194">
      <c r="A1194" s="62" t="s">
        <v>1332</v>
      </c>
      <c r="B1194" s="63">
        <v>44357.0</v>
      </c>
      <c r="C1194" s="62" t="s">
        <v>108</v>
      </c>
      <c r="D1194" s="64">
        <v>0.0</v>
      </c>
      <c r="E1194" s="62" t="s">
        <v>109</v>
      </c>
      <c r="F1194" s="62" t="s">
        <v>110</v>
      </c>
      <c r="G1194" s="64" t="s">
        <v>63</v>
      </c>
      <c r="H1194" s="3" t="s">
        <v>228</v>
      </c>
      <c r="I1194" s="65">
        <f>IFERROR(VLOOKUP(A1194,'3. Call duration'!$A:$C,3,0),"--")</f>
        <v>21.38802212</v>
      </c>
      <c r="J1194" s="65" t="str">
        <f t="array" ref="J1194">XLOOKUP(H1194,'2. Matching'!$A$2:$A$39,'2. Matching'!$B$2:$B$39,"--")</f>
        <v>Farming</v>
      </c>
      <c r="K1194" s="65" t="str">
        <f t="shared" si="1"/>
        <v>In</v>
      </c>
    </row>
    <row r="1195">
      <c r="A1195" s="62" t="s">
        <v>1333</v>
      </c>
      <c r="B1195" s="63">
        <v>44361.0</v>
      </c>
      <c r="C1195" s="62" t="s">
        <v>112</v>
      </c>
      <c r="D1195" s="64">
        <v>0.0</v>
      </c>
      <c r="E1195" s="62" t="s">
        <v>109</v>
      </c>
      <c r="F1195" s="62" t="s">
        <v>110</v>
      </c>
      <c r="G1195" s="64" t="s">
        <v>64</v>
      </c>
      <c r="H1195" s="3" t="s">
        <v>52</v>
      </c>
      <c r="I1195" s="65" t="str">
        <f>IFERROR(VLOOKUP(A1195,'3. Call duration'!$A:$C,3,0),"--")</f>
        <v>--</v>
      </c>
      <c r="J1195" s="65" t="str">
        <f t="array" ref="J1195">XLOOKUP(H1195,'2. Matching'!$A$2:$A$39,'2. Matching'!$B$2:$B$39,"--")</f>
        <v>Partnerships</v>
      </c>
      <c r="K1195" s="65" t="str">
        <f t="shared" si="1"/>
        <v>In</v>
      </c>
    </row>
    <row r="1196">
      <c r="A1196" s="62" t="s">
        <v>1334</v>
      </c>
      <c r="B1196" s="63">
        <v>44376.0</v>
      </c>
      <c r="C1196" s="62" t="s">
        <v>108</v>
      </c>
      <c r="D1196" s="64">
        <v>0.0</v>
      </c>
      <c r="E1196" s="62" t="s">
        <v>109</v>
      </c>
      <c r="F1196" s="62" t="s">
        <v>115</v>
      </c>
      <c r="G1196" s="64" t="s">
        <v>63</v>
      </c>
      <c r="H1196" s="3" t="s">
        <v>124</v>
      </c>
      <c r="I1196" s="65">
        <f>IFERROR(VLOOKUP(A1196,'3. Call duration'!$A:$C,3,0),"--")</f>
        <v>23.63472715</v>
      </c>
      <c r="J1196" s="65" t="str">
        <f t="array" ref="J1196">XLOOKUP(H1196,'2. Matching'!$A$2:$A$39,'2. Matching'!$B$2:$B$39,"--")</f>
        <v>Acquisition</v>
      </c>
      <c r="K1196" s="65" t="str">
        <f t="shared" si="1"/>
        <v>In</v>
      </c>
    </row>
    <row r="1197">
      <c r="A1197" s="62" t="s">
        <v>1335</v>
      </c>
      <c r="B1197" s="63">
        <v>44259.0</v>
      </c>
      <c r="C1197" s="62" t="s">
        <v>108</v>
      </c>
      <c r="D1197" s="64">
        <v>0.0</v>
      </c>
      <c r="E1197" s="62" t="s">
        <v>109</v>
      </c>
      <c r="F1197" s="62" t="s">
        <v>115</v>
      </c>
      <c r="G1197" s="64" t="s">
        <v>64</v>
      </c>
      <c r="H1197" s="3" t="s">
        <v>139</v>
      </c>
      <c r="I1197" s="65" t="str">
        <f>IFERROR(VLOOKUP(A1197,'3. Call duration'!$A:$C,3,0),"--")</f>
        <v>--</v>
      </c>
      <c r="J1197" s="65" t="str">
        <f t="array" ref="J1197">XLOOKUP(H1197,'2. Matching'!$A$2:$A$39,'2. Matching'!$B$2:$B$39,"--")</f>
        <v>Acquisition</v>
      </c>
      <c r="K1197" s="65" t="str">
        <f t="shared" si="1"/>
        <v>In</v>
      </c>
    </row>
    <row r="1198">
      <c r="A1198" s="62" t="s">
        <v>1336</v>
      </c>
      <c r="B1198" s="63">
        <v>44123.0</v>
      </c>
      <c r="C1198" s="62" t="s">
        <v>112</v>
      </c>
      <c r="D1198" s="64">
        <v>0.0</v>
      </c>
      <c r="E1198" s="62" t="s">
        <v>109</v>
      </c>
      <c r="F1198" s="62" t="s">
        <v>110</v>
      </c>
      <c r="G1198" s="64" t="s">
        <v>62</v>
      </c>
      <c r="H1198" s="3" t="s">
        <v>203</v>
      </c>
      <c r="I1198" s="65" t="str">
        <f>IFERROR(VLOOKUP(A1198,'3. Call duration'!$A:$C,3,0),"--")</f>
        <v>--</v>
      </c>
      <c r="J1198" s="65" t="str">
        <f t="array" ref="J1198">XLOOKUP(H1198,'2. Matching'!$A$2:$A$39,'2. Matching'!$B$2:$B$39,"--")</f>
        <v>Farming</v>
      </c>
      <c r="K1198" s="65" t="str">
        <f t="shared" si="1"/>
        <v>In</v>
      </c>
    </row>
    <row r="1199">
      <c r="A1199" s="62" t="s">
        <v>1337</v>
      </c>
      <c r="B1199" s="63">
        <v>44232.0</v>
      </c>
      <c r="C1199" s="62" t="s">
        <v>108</v>
      </c>
      <c r="D1199" s="64">
        <v>0.0</v>
      </c>
      <c r="E1199" s="62" t="s">
        <v>109</v>
      </c>
      <c r="F1199" s="62" t="s">
        <v>115</v>
      </c>
      <c r="G1199" s="64" t="s">
        <v>64</v>
      </c>
      <c r="H1199" s="3" t="s">
        <v>164</v>
      </c>
      <c r="I1199" s="65">
        <f>IFERROR(VLOOKUP(A1199,'3. Call duration'!$A:$C,3,0),"--")</f>
        <v>25.01748807</v>
      </c>
      <c r="J1199" s="65" t="str">
        <f t="array" ref="J1199">XLOOKUP(H1199,'2. Matching'!$A$2:$A$39,'2. Matching'!$B$2:$B$39,"--")</f>
        <v>SEO</v>
      </c>
      <c r="K1199" s="65" t="str">
        <f t="shared" si="1"/>
        <v>In</v>
      </c>
    </row>
    <row r="1200">
      <c r="A1200" s="62" t="s">
        <v>1338</v>
      </c>
      <c r="B1200" s="63">
        <v>44324.0</v>
      </c>
      <c r="C1200" s="62" t="s">
        <v>119</v>
      </c>
      <c r="D1200" s="64">
        <v>47.5</v>
      </c>
      <c r="E1200" s="62" t="s">
        <v>109</v>
      </c>
      <c r="F1200" s="62" t="s">
        <v>115</v>
      </c>
      <c r="G1200" s="64" t="s">
        <v>64</v>
      </c>
      <c r="H1200" s="3" t="s">
        <v>49</v>
      </c>
      <c r="I1200" s="65">
        <f>IFERROR(VLOOKUP(A1200,'3. Call duration'!$A:$C,3,0),"--")</f>
        <v>21.63605648</v>
      </c>
      <c r="J1200" s="65" t="str">
        <f t="array" ref="J1200">XLOOKUP(H1200,'2. Matching'!$A$2:$A$39,'2. Matching'!$B$2:$B$39,"--")</f>
        <v>Partnerships</v>
      </c>
      <c r="K1200" s="65" t="str">
        <f t="shared" si="1"/>
        <v>In</v>
      </c>
    </row>
    <row r="1201">
      <c r="A1201" s="62" t="s">
        <v>1339</v>
      </c>
      <c r="B1201" s="63">
        <v>44287.0</v>
      </c>
      <c r="C1201" s="62" t="s">
        <v>112</v>
      </c>
      <c r="D1201" s="64">
        <v>0.0</v>
      </c>
      <c r="E1201" s="62" t="s">
        <v>109</v>
      </c>
      <c r="F1201" s="62" t="s">
        <v>110</v>
      </c>
      <c r="G1201" s="64" t="s">
        <v>64</v>
      </c>
      <c r="H1201" s="3" t="s">
        <v>297</v>
      </c>
      <c r="I1201" s="65" t="str">
        <f>IFERROR(VLOOKUP(A1201,'3. Call duration'!$A:$C,3,0),"--")</f>
        <v>--</v>
      </c>
      <c r="J1201" s="65" t="str">
        <f t="array" ref="J1201">XLOOKUP(H1201,'2. Matching'!$A$2:$A$39,'2. Matching'!$B$2:$B$39,"--")</f>
        <v>Farming</v>
      </c>
      <c r="K1201" s="65" t="str">
        <f t="shared" si="1"/>
        <v>In</v>
      </c>
    </row>
    <row r="1202">
      <c r="A1202" s="62" t="s">
        <v>1340</v>
      </c>
      <c r="B1202" s="63">
        <v>44342.0</v>
      </c>
      <c r="C1202" s="62" t="s">
        <v>119</v>
      </c>
      <c r="D1202" s="64">
        <v>47.5</v>
      </c>
      <c r="E1202" s="62" t="s">
        <v>109</v>
      </c>
      <c r="F1202" s="62" t="s">
        <v>115</v>
      </c>
      <c r="G1202" s="64" t="s">
        <v>64</v>
      </c>
      <c r="H1202" s="3" t="s">
        <v>139</v>
      </c>
      <c r="I1202" s="65">
        <f>IFERROR(VLOOKUP(A1202,'3. Call duration'!$A:$C,3,0),"--")</f>
        <v>21.70441583</v>
      </c>
      <c r="J1202" s="65" t="str">
        <f t="array" ref="J1202">XLOOKUP(H1202,'2. Matching'!$A$2:$A$39,'2. Matching'!$B$2:$B$39,"--")</f>
        <v>Acquisition</v>
      </c>
      <c r="K1202" s="65" t="str">
        <f t="shared" si="1"/>
        <v>In</v>
      </c>
    </row>
    <row r="1203">
      <c r="A1203" s="62" t="s">
        <v>1341</v>
      </c>
      <c r="B1203" s="63">
        <v>44273.0</v>
      </c>
      <c r="C1203" s="62" t="s">
        <v>112</v>
      </c>
      <c r="D1203" s="64">
        <v>0.0</v>
      </c>
      <c r="E1203" s="62" t="s">
        <v>109</v>
      </c>
      <c r="F1203" s="62" t="s">
        <v>115</v>
      </c>
      <c r="G1203" s="64" t="s">
        <v>60</v>
      </c>
      <c r="H1203" s="3" t="s">
        <v>68</v>
      </c>
      <c r="I1203" s="65" t="str">
        <f>IFERROR(VLOOKUP(A1203,'3. Call duration'!$A:$C,3,0),"--")</f>
        <v>--</v>
      </c>
      <c r="J1203" s="65" t="str">
        <f t="array" ref="J1203">XLOOKUP(H1203,'2. Matching'!$A$2:$A$39,'2. Matching'!$B$2:$B$39,"--")</f>
        <v>Acquisition</v>
      </c>
      <c r="K1203" s="65" t="str">
        <f t="shared" si="1"/>
        <v>In</v>
      </c>
    </row>
    <row r="1204">
      <c r="A1204" s="62" t="s">
        <v>1342</v>
      </c>
      <c r="B1204" s="63">
        <v>44229.0</v>
      </c>
      <c r="C1204" s="62" t="s">
        <v>112</v>
      </c>
      <c r="D1204" s="64">
        <v>0.0</v>
      </c>
      <c r="E1204" s="62" t="s">
        <v>109</v>
      </c>
      <c r="F1204" s="62" t="s">
        <v>110</v>
      </c>
      <c r="G1204" s="64" t="s">
        <v>64</v>
      </c>
      <c r="H1204" s="3" t="s">
        <v>139</v>
      </c>
      <c r="I1204" s="65" t="str">
        <f>IFERROR(VLOOKUP(A1204,'3. Call duration'!$A:$C,3,0),"--")</f>
        <v>--</v>
      </c>
      <c r="J1204" s="65" t="str">
        <f t="array" ref="J1204">XLOOKUP(H1204,'2. Matching'!$A$2:$A$39,'2. Matching'!$B$2:$B$39,"--")</f>
        <v>Acquisition</v>
      </c>
      <c r="K1204" s="65" t="str">
        <f t="shared" si="1"/>
        <v>In</v>
      </c>
    </row>
    <row r="1205">
      <c r="A1205" s="62" t="s">
        <v>1343</v>
      </c>
      <c r="B1205" s="63">
        <v>44343.0</v>
      </c>
      <c r="C1205" s="62" t="s">
        <v>119</v>
      </c>
      <c r="D1205" s="64">
        <v>47.5</v>
      </c>
      <c r="E1205" s="62" t="s">
        <v>109</v>
      </c>
      <c r="F1205" s="62" t="s">
        <v>115</v>
      </c>
      <c r="G1205" s="64" t="s">
        <v>64</v>
      </c>
      <c r="H1205" s="3" t="s">
        <v>169</v>
      </c>
      <c r="I1205" s="65">
        <f>IFERROR(VLOOKUP(A1205,'3. Call duration'!$A:$C,3,0),"--")</f>
        <v>21.71033177</v>
      </c>
      <c r="J1205" s="65" t="str">
        <f t="array" ref="J1205">XLOOKUP(H1205,'2. Matching'!$A$2:$A$39,'2. Matching'!$B$2:$B$39,"--")</f>
        <v>SEO</v>
      </c>
      <c r="K1205" s="65" t="str">
        <f t="shared" si="1"/>
        <v>In</v>
      </c>
    </row>
    <row r="1206">
      <c r="A1206" s="62" t="s">
        <v>1344</v>
      </c>
      <c r="B1206" s="63">
        <v>44376.0</v>
      </c>
      <c r="C1206" s="62" t="s">
        <v>112</v>
      </c>
      <c r="D1206" s="64">
        <v>0.0</v>
      </c>
      <c r="E1206" s="62" t="s">
        <v>109</v>
      </c>
      <c r="F1206" s="62" t="s">
        <v>110</v>
      </c>
      <c r="G1206" s="64" t="s">
        <v>60</v>
      </c>
      <c r="H1206" s="3" t="s">
        <v>67</v>
      </c>
      <c r="I1206" s="65" t="str">
        <f>IFERROR(VLOOKUP(A1206,'3. Call duration'!$A:$C,3,0),"--")</f>
        <v>--</v>
      </c>
      <c r="J1206" s="65" t="str">
        <f t="array" ref="J1206">XLOOKUP(H1206,'2. Matching'!$A$2:$A$39,'2. Matching'!$B$2:$B$39,"--")</f>
        <v>Acquisition</v>
      </c>
      <c r="K1206" s="65" t="str">
        <f t="shared" si="1"/>
        <v>In</v>
      </c>
    </row>
    <row r="1207">
      <c r="A1207" s="62" t="s">
        <v>1345</v>
      </c>
      <c r="B1207" s="63">
        <v>44198.0</v>
      </c>
      <c r="C1207" s="62" t="s">
        <v>112</v>
      </c>
      <c r="D1207" s="64">
        <v>0.0</v>
      </c>
      <c r="E1207" s="62" t="s">
        <v>109</v>
      </c>
      <c r="F1207" s="62" t="s">
        <v>115</v>
      </c>
      <c r="G1207" s="64" t="s">
        <v>64</v>
      </c>
      <c r="H1207" s="3" t="s">
        <v>139</v>
      </c>
      <c r="I1207" s="65" t="str">
        <f>IFERROR(VLOOKUP(A1207,'3. Call duration'!$A:$C,3,0),"--")</f>
        <v>--</v>
      </c>
      <c r="J1207" s="65" t="str">
        <f t="array" ref="J1207">XLOOKUP(H1207,'2. Matching'!$A$2:$A$39,'2. Matching'!$B$2:$B$39,"--")</f>
        <v>Acquisition</v>
      </c>
      <c r="K1207" s="65" t="str">
        <f t="shared" si="1"/>
        <v>In</v>
      </c>
    </row>
    <row r="1208">
      <c r="A1208" s="62" t="s">
        <v>1346</v>
      </c>
      <c r="B1208" s="63">
        <v>44375.0</v>
      </c>
      <c r="C1208" s="62" t="s">
        <v>112</v>
      </c>
      <c r="D1208" s="64">
        <v>0.0</v>
      </c>
      <c r="E1208" s="62" t="s">
        <v>109</v>
      </c>
      <c r="F1208" s="62" t="s">
        <v>110</v>
      </c>
      <c r="G1208" s="64" t="s">
        <v>63</v>
      </c>
      <c r="H1208" s="3" t="s">
        <v>228</v>
      </c>
      <c r="I1208" s="65" t="str">
        <f>IFERROR(VLOOKUP(A1208,'3. Call duration'!$A:$C,3,0),"--")</f>
        <v>--</v>
      </c>
      <c r="J1208" s="65" t="str">
        <f t="array" ref="J1208">XLOOKUP(H1208,'2. Matching'!$A$2:$A$39,'2. Matching'!$B$2:$B$39,"--")</f>
        <v>Farming</v>
      </c>
      <c r="K1208" s="65" t="str">
        <f t="shared" si="1"/>
        <v>In</v>
      </c>
    </row>
    <row r="1209">
      <c r="A1209" s="62" t="s">
        <v>1347</v>
      </c>
      <c r="B1209" s="63">
        <v>44375.0</v>
      </c>
      <c r="C1209" s="62" t="s">
        <v>108</v>
      </c>
      <c r="D1209" s="64">
        <v>0.0</v>
      </c>
      <c r="E1209" s="62" t="s">
        <v>109</v>
      </c>
      <c r="F1209" s="62" t="s">
        <v>110</v>
      </c>
      <c r="G1209" s="64" t="s">
        <v>61</v>
      </c>
      <c r="H1209" s="3" t="s">
        <v>67</v>
      </c>
      <c r="I1209" s="65">
        <f>IFERROR(VLOOKUP(A1209,'3. Call duration'!$A:$C,3,0),"--")</f>
        <v>43.40000479</v>
      </c>
      <c r="J1209" s="65" t="str">
        <f t="array" ref="J1209">XLOOKUP(H1209,'2. Matching'!$A$2:$A$39,'2. Matching'!$B$2:$B$39,"--")</f>
        <v>Acquisition</v>
      </c>
      <c r="K1209" s="65" t="str">
        <f t="shared" si="1"/>
        <v>In</v>
      </c>
    </row>
    <row r="1210">
      <c r="A1210" s="62" t="s">
        <v>1348</v>
      </c>
      <c r="B1210" s="63">
        <v>44230.0</v>
      </c>
      <c r="C1210" s="62" t="s">
        <v>108</v>
      </c>
      <c r="D1210" s="64">
        <v>0.0</v>
      </c>
      <c r="E1210" s="62" t="s">
        <v>109</v>
      </c>
      <c r="F1210" s="62" t="s">
        <v>110</v>
      </c>
      <c r="G1210" s="64" t="s">
        <v>63</v>
      </c>
      <c r="H1210" s="3" t="s">
        <v>189</v>
      </c>
      <c r="I1210" s="65">
        <f>IFERROR(VLOOKUP(A1210,'3. Call duration'!$A:$C,3,0),"--")</f>
        <v>13.17201313</v>
      </c>
      <c r="J1210" s="65" t="str">
        <f t="array" ref="J1210">XLOOKUP(H1210,'2. Matching'!$A$2:$A$39,'2. Matching'!$B$2:$B$39,"--")</f>
        <v>SEO</v>
      </c>
      <c r="K1210" s="65" t="str">
        <f t="shared" si="1"/>
        <v>Out</v>
      </c>
    </row>
    <row r="1211">
      <c r="A1211" s="62" t="s">
        <v>1349</v>
      </c>
      <c r="B1211" s="63">
        <v>44368.0</v>
      </c>
      <c r="C1211" s="62" t="s">
        <v>112</v>
      </c>
      <c r="D1211" s="64">
        <v>0.0</v>
      </c>
      <c r="E1211" s="62" t="s">
        <v>109</v>
      </c>
      <c r="F1211" s="62" t="s">
        <v>110</v>
      </c>
      <c r="G1211" s="64" t="s">
        <v>60</v>
      </c>
      <c r="H1211" s="3" t="s">
        <v>68</v>
      </c>
      <c r="I1211" s="65" t="str">
        <f>IFERROR(VLOOKUP(A1211,'3. Call duration'!$A:$C,3,0),"--")</f>
        <v>--</v>
      </c>
      <c r="J1211" s="65" t="str">
        <f t="array" ref="J1211">XLOOKUP(H1211,'2. Matching'!$A$2:$A$39,'2. Matching'!$B$2:$B$39,"--")</f>
        <v>Acquisition</v>
      </c>
      <c r="K1211" s="65" t="str">
        <f t="shared" si="1"/>
        <v>In</v>
      </c>
    </row>
    <row r="1212">
      <c r="A1212" s="62" t="s">
        <v>1350</v>
      </c>
      <c r="B1212" s="63">
        <v>44340.0</v>
      </c>
      <c r="C1212" s="62" t="s">
        <v>119</v>
      </c>
      <c r="D1212" s="64">
        <v>47.5</v>
      </c>
      <c r="E1212" s="62" t="s">
        <v>109</v>
      </c>
      <c r="F1212" s="62" t="s">
        <v>110</v>
      </c>
      <c r="G1212" s="64" t="s">
        <v>59</v>
      </c>
      <c r="H1212" s="3" t="s">
        <v>68</v>
      </c>
      <c r="I1212" s="65">
        <f>IFERROR(VLOOKUP(A1212,'3. Call duration'!$A:$C,3,0),"--")</f>
        <v>21.72225633</v>
      </c>
      <c r="J1212" s="65" t="str">
        <f t="array" ref="J1212">XLOOKUP(H1212,'2. Matching'!$A$2:$A$39,'2. Matching'!$B$2:$B$39,"--")</f>
        <v>Acquisition</v>
      </c>
      <c r="K1212" s="65" t="str">
        <f t="shared" si="1"/>
        <v>In</v>
      </c>
    </row>
    <row r="1213">
      <c r="A1213" s="62" t="s">
        <v>1351</v>
      </c>
      <c r="B1213" s="63">
        <v>44335.0</v>
      </c>
      <c r="C1213" s="62" t="s">
        <v>119</v>
      </c>
      <c r="D1213" s="64">
        <v>47.5</v>
      </c>
      <c r="E1213" s="62" t="s">
        <v>109</v>
      </c>
      <c r="F1213" s="62" t="s">
        <v>115</v>
      </c>
      <c r="G1213" s="64" t="s">
        <v>64</v>
      </c>
      <c r="H1213" s="3" t="s">
        <v>141</v>
      </c>
      <c r="I1213" s="65">
        <f>IFERROR(VLOOKUP(A1213,'3. Call duration'!$A:$C,3,0),"--")</f>
        <v>21.72874407</v>
      </c>
      <c r="J1213" s="65" t="str">
        <f t="array" ref="J1213">XLOOKUP(H1213,'2. Matching'!$A$2:$A$39,'2. Matching'!$B$2:$B$39,"--")</f>
        <v>Acquisition</v>
      </c>
      <c r="K1213" s="65" t="str">
        <f t="shared" si="1"/>
        <v>In</v>
      </c>
    </row>
    <row r="1214">
      <c r="A1214" s="62" t="s">
        <v>1352</v>
      </c>
      <c r="B1214" s="63">
        <v>44252.0</v>
      </c>
      <c r="C1214" s="62" t="s">
        <v>112</v>
      </c>
      <c r="D1214" s="64">
        <v>0.0</v>
      </c>
      <c r="E1214" s="62" t="s">
        <v>109</v>
      </c>
      <c r="F1214" s="62" t="s">
        <v>115</v>
      </c>
      <c r="G1214" s="64" t="s">
        <v>63</v>
      </c>
      <c r="H1214" s="3" t="s">
        <v>128</v>
      </c>
      <c r="I1214" s="65" t="str">
        <f>IFERROR(VLOOKUP(A1214,'3. Call duration'!$A:$C,3,0),"--")</f>
        <v>--</v>
      </c>
      <c r="J1214" s="65" t="str">
        <f t="array" ref="J1214">XLOOKUP(H1214,'2. Matching'!$A$2:$A$39,'2. Matching'!$B$2:$B$39,"--")</f>
        <v>Acquisition</v>
      </c>
      <c r="K1214" s="65" t="str">
        <f t="shared" si="1"/>
        <v>In</v>
      </c>
    </row>
    <row r="1215">
      <c r="A1215" s="62" t="s">
        <v>1353</v>
      </c>
      <c r="B1215" s="63">
        <v>44141.0</v>
      </c>
      <c r="C1215" s="62" t="s">
        <v>108</v>
      </c>
      <c r="D1215" s="64">
        <v>0.0</v>
      </c>
      <c r="E1215" s="62" t="s">
        <v>109</v>
      </c>
      <c r="F1215" s="62" t="s">
        <v>115</v>
      </c>
      <c r="G1215" s="64" t="s">
        <v>64</v>
      </c>
      <c r="H1215" s="3" t="s">
        <v>175</v>
      </c>
      <c r="I1215" s="65">
        <f>IFERROR(VLOOKUP(A1215,'3. Call duration'!$A:$C,3,0),"--")</f>
        <v>22.97369774</v>
      </c>
      <c r="J1215" s="65" t="str">
        <f t="array" ref="J1215">XLOOKUP(H1215,'2. Matching'!$A$2:$A$39,'2. Matching'!$B$2:$B$39,"--")</f>
        <v>SEO</v>
      </c>
      <c r="K1215" s="65" t="str">
        <f t="shared" si="1"/>
        <v>In</v>
      </c>
    </row>
    <row r="1216">
      <c r="A1216" s="62" t="s">
        <v>1354</v>
      </c>
      <c r="B1216" s="63">
        <v>44309.0</v>
      </c>
      <c r="C1216" s="62" t="s">
        <v>112</v>
      </c>
      <c r="D1216" s="64">
        <v>0.0</v>
      </c>
      <c r="E1216" s="62" t="s">
        <v>109</v>
      </c>
      <c r="F1216" s="62" t="s">
        <v>110</v>
      </c>
      <c r="G1216" s="64" t="s">
        <v>61</v>
      </c>
      <c r="H1216" s="3" t="s">
        <v>69</v>
      </c>
      <c r="I1216" s="65" t="str">
        <f>IFERROR(VLOOKUP(A1216,'3. Call duration'!$A:$C,3,0),"--")</f>
        <v>--</v>
      </c>
      <c r="J1216" s="65" t="str">
        <f t="array" ref="J1216">XLOOKUP(H1216,'2. Matching'!$A$2:$A$39,'2. Matching'!$B$2:$B$39,"--")</f>
        <v>Acquisition</v>
      </c>
      <c r="K1216" s="65" t="str">
        <f t="shared" si="1"/>
        <v>In</v>
      </c>
    </row>
    <row r="1217">
      <c r="A1217" s="62" t="s">
        <v>1355</v>
      </c>
      <c r="B1217" s="63">
        <v>44208.0</v>
      </c>
      <c r="C1217" s="62" t="s">
        <v>112</v>
      </c>
      <c r="D1217" s="64">
        <v>0.0</v>
      </c>
      <c r="E1217" s="62" t="s">
        <v>114</v>
      </c>
      <c r="F1217" s="62" t="s">
        <v>115</v>
      </c>
      <c r="G1217" s="64" t="s">
        <v>64</v>
      </c>
      <c r="H1217" s="3" t="s">
        <v>116</v>
      </c>
      <c r="I1217" s="65" t="str">
        <f>IFERROR(VLOOKUP(A1217,'3. Call duration'!$A:$C,3,0),"--")</f>
        <v>--</v>
      </c>
      <c r="J1217" s="65" t="str">
        <f t="array" ref="J1217">XLOOKUP(H1217,'2. Matching'!$A$2:$A$39,'2. Matching'!$B$2:$B$39,"--")</f>
        <v>Acquisition</v>
      </c>
      <c r="K1217" s="65" t="str">
        <f t="shared" si="1"/>
        <v>In</v>
      </c>
    </row>
    <row r="1218">
      <c r="A1218" s="62" t="s">
        <v>1356</v>
      </c>
      <c r="B1218" s="63">
        <v>44272.0</v>
      </c>
      <c r="C1218" s="62" t="s">
        <v>108</v>
      </c>
      <c r="D1218" s="64">
        <v>0.0</v>
      </c>
      <c r="E1218" s="62" t="s">
        <v>109</v>
      </c>
      <c r="F1218" s="62" t="s">
        <v>110</v>
      </c>
      <c r="G1218" s="64" t="s">
        <v>64</v>
      </c>
      <c r="H1218" s="3" t="s">
        <v>185</v>
      </c>
      <c r="I1218" s="65">
        <f>IFERROR(VLOOKUP(A1218,'3. Call duration'!$A:$C,3,0),"--")</f>
        <v>20.61650342</v>
      </c>
      <c r="J1218" s="65" t="str">
        <f t="array" ref="J1218">XLOOKUP(H1218,'2. Matching'!$A$2:$A$39,'2. Matching'!$B$2:$B$39,"--")</f>
        <v>SEO</v>
      </c>
      <c r="K1218" s="65" t="str">
        <f t="shared" si="1"/>
        <v>In</v>
      </c>
    </row>
    <row r="1219">
      <c r="A1219" s="62" t="s">
        <v>1357</v>
      </c>
      <c r="B1219" s="63">
        <v>44231.0</v>
      </c>
      <c r="C1219" s="62" t="s">
        <v>112</v>
      </c>
      <c r="D1219" s="64">
        <v>0.0</v>
      </c>
      <c r="E1219" s="62" t="s">
        <v>109</v>
      </c>
      <c r="F1219" s="62" t="s">
        <v>110</v>
      </c>
      <c r="G1219" s="64" t="s">
        <v>63</v>
      </c>
      <c r="H1219" s="3" t="s">
        <v>189</v>
      </c>
      <c r="I1219" s="65" t="str">
        <f>IFERROR(VLOOKUP(A1219,'3. Call duration'!$A:$C,3,0),"--")</f>
        <v>--</v>
      </c>
      <c r="J1219" s="65" t="str">
        <f t="array" ref="J1219">XLOOKUP(H1219,'2. Matching'!$A$2:$A$39,'2. Matching'!$B$2:$B$39,"--")</f>
        <v>SEO</v>
      </c>
      <c r="K1219" s="65" t="str">
        <f t="shared" si="1"/>
        <v>Out</v>
      </c>
    </row>
    <row r="1220">
      <c r="A1220" s="62" t="s">
        <v>1358</v>
      </c>
      <c r="B1220" s="63">
        <v>44351.0</v>
      </c>
      <c r="C1220" s="62" t="s">
        <v>108</v>
      </c>
      <c r="D1220" s="64">
        <v>0.0</v>
      </c>
      <c r="E1220" s="62" t="s">
        <v>114</v>
      </c>
      <c r="F1220" s="62" t="s">
        <v>110</v>
      </c>
      <c r="G1220" s="64" t="s">
        <v>60</v>
      </c>
      <c r="H1220" s="3" t="s">
        <v>67</v>
      </c>
      <c r="I1220" s="65" t="str">
        <f>IFERROR(VLOOKUP(A1220,'3. Call duration'!$A:$C,3,0),"--")</f>
        <v>--</v>
      </c>
      <c r="J1220" s="65" t="str">
        <f t="array" ref="J1220">XLOOKUP(H1220,'2. Matching'!$A$2:$A$39,'2. Matching'!$B$2:$B$39,"--")</f>
        <v>Acquisition</v>
      </c>
      <c r="K1220" s="65" t="str">
        <f t="shared" si="1"/>
        <v>In</v>
      </c>
    </row>
    <row r="1221">
      <c r="A1221" s="62" t="s">
        <v>1359</v>
      </c>
      <c r="B1221" s="63">
        <v>44330.0</v>
      </c>
      <c r="C1221" s="62" t="s">
        <v>119</v>
      </c>
      <c r="D1221" s="64">
        <v>47.5</v>
      </c>
      <c r="E1221" s="62" t="s">
        <v>109</v>
      </c>
      <c r="F1221" s="62" t="s">
        <v>115</v>
      </c>
      <c r="G1221" s="64" t="s">
        <v>64</v>
      </c>
      <c r="H1221" s="3" t="s">
        <v>52</v>
      </c>
      <c r="I1221" s="65">
        <f>IFERROR(VLOOKUP(A1221,'3. Call duration'!$A:$C,3,0),"--")</f>
        <v>21.73792221</v>
      </c>
      <c r="J1221" s="65" t="str">
        <f t="array" ref="J1221">XLOOKUP(H1221,'2. Matching'!$A$2:$A$39,'2. Matching'!$B$2:$B$39,"--")</f>
        <v>Partnerships</v>
      </c>
      <c r="K1221" s="65" t="str">
        <f t="shared" si="1"/>
        <v>In</v>
      </c>
    </row>
    <row r="1222">
      <c r="A1222" s="62" t="s">
        <v>1360</v>
      </c>
      <c r="B1222" s="63">
        <v>44265.0</v>
      </c>
      <c r="C1222" s="62" t="s">
        <v>112</v>
      </c>
      <c r="D1222" s="64">
        <v>0.0</v>
      </c>
      <c r="E1222" s="62" t="s">
        <v>109</v>
      </c>
      <c r="F1222" s="62" t="s">
        <v>110</v>
      </c>
      <c r="G1222" s="64" t="s">
        <v>64</v>
      </c>
      <c r="H1222" s="3" t="s">
        <v>145</v>
      </c>
      <c r="I1222" s="65" t="str">
        <f>IFERROR(VLOOKUP(A1222,'3. Call duration'!$A:$C,3,0),"--")</f>
        <v>--</v>
      </c>
      <c r="J1222" s="65" t="str">
        <f t="array" ref="J1222">XLOOKUP(H1222,'2. Matching'!$A$2:$A$39,'2. Matching'!$B$2:$B$39,"--")</f>
        <v>SEO</v>
      </c>
      <c r="K1222" s="65" t="str">
        <f t="shared" si="1"/>
        <v>In</v>
      </c>
    </row>
    <row r="1223">
      <c r="A1223" s="62" t="s">
        <v>1361</v>
      </c>
      <c r="B1223" s="63">
        <v>44335.0</v>
      </c>
      <c r="C1223" s="62" t="s">
        <v>108</v>
      </c>
      <c r="D1223" s="64">
        <v>0.0</v>
      </c>
      <c r="E1223" s="62" t="s">
        <v>109</v>
      </c>
      <c r="F1223" s="62" t="s">
        <v>110</v>
      </c>
      <c r="G1223" s="64" t="s">
        <v>59</v>
      </c>
      <c r="H1223" s="3" t="s">
        <v>68</v>
      </c>
      <c r="I1223" s="65">
        <f>IFERROR(VLOOKUP(A1223,'3. Call duration'!$A:$C,3,0),"--")</f>
        <v>21.74005039</v>
      </c>
      <c r="J1223" s="65" t="str">
        <f t="array" ref="J1223">XLOOKUP(H1223,'2. Matching'!$A$2:$A$39,'2. Matching'!$B$2:$B$39,"--")</f>
        <v>Acquisition</v>
      </c>
      <c r="K1223" s="65" t="str">
        <f t="shared" si="1"/>
        <v>In</v>
      </c>
    </row>
    <row r="1224">
      <c r="A1224" s="62" t="s">
        <v>1362</v>
      </c>
      <c r="B1224" s="63">
        <v>44365.0</v>
      </c>
      <c r="C1224" s="62" t="s">
        <v>112</v>
      </c>
      <c r="D1224" s="64">
        <v>0.0</v>
      </c>
      <c r="E1224" s="62" t="s">
        <v>114</v>
      </c>
      <c r="F1224" s="62" t="s">
        <v>110</v>
      </c>
      <c r="G1224" s="64" t="s">
        <v>59</v>
      </c>
      <c r="H1224" s="3" t="s">
        <v>68</v>
      </c>
      <c r="I1224" s="65" t="str">
        <f>IFERROR(VLOOKUP(A1224,'3. Call duration'!$A:$C,3,0),"--")</f>
        <v>--</v>
      </c>
      <c r="J1224" s="65" t="str">
        <f t="array" ref="J1224">XLOOKUP(H1224,'2. Matching'!$A$2:$A$39,'2. Matching'!$B$2:$B$39,"--")</f>
        <v>Acquisition</v>
      </c>
      <c r="K1224" s="65" t="str">
        <f t="shared" si="1"/>
        <v>In</v>
      </c>
    </row>
    <row r="1225">
      <c r="A1225" s="62" t="s">
        <v>1363</v>
      </c>
      <c r="B1225" s="63">
        <v>44195.0</v>
      </c>
      <c r="C1225" s="62" t="s">
        <v>108</v>
      </c>
      <c r="D1225" s="64">
        <v>0.0</v>
      </c>
      <c r="E1225" s="62" t="s">
        <v>109</v>
      </c>
      <c r="F1225" s="62" t="s">
        <v>115</v>
      </c>
      <c r="G1225" s="64" t="s">
        <v>64</v>
      </c>
      <c r="H1225" s="3" t="s">
        <v>139</v>
      </c>
      <c r="I1225" s="65">
        <f>IFERROR(VLOOKUP(A1225,'3. Call duration'!$A:$C,3,0),"--")</f>
        <v>24.91446886</v>
      </c>
      <c r="J1225" s="65" t="str">
        <f t="array" ref="J1225">XLOOKUP(H1225,'2. Matching'!$A$2:$A$39,'2. Matching'!$B$2:$B$39,"--")</f>
        <v>Acquisition</v>
      </c>
      <c r="K1225" s="65" t="str">
        <f t="shared" si="1"/>
        <v>In</v>
      </c>
    </row>
    <row r="1226">
      <c r="A1226" s="62" t="s">
        <v>1364</v>
      </c>
      <c r="B1226" s="63">
        <v>44369.0</v>
      </c>
      <c r="C1226" s="62" t="s">
        <v>108</v>
      </c>
      <c r="D1226" s="64">
        <v>0.0</v>
      </c>
      <c r="E1226" s="62" t="s">
        <v>114</v>
      </c>
      <c r="F1226" s="62" t="s">
        <v>110</v>
      </c>
      <c r="G1226" s="64" t="s">
        <v>60</v>
      </c>
      <c r="H1226" s="3" t="s">
        <v>67</v>
      </c>
      <c r="I1226" s="65">
        <f>IFERROR(VLOOKUP(A1226,'3. Call duration'!$A:$C,3,0),"--")</f>
        <v>33.03989916</v>
      </c>
      <c r="J1226" s="65" t="str">
        <f t="array" ref="J1226">XLOOKUP(H1226,'2. Matching'!$A$2:$A$39,'2. Matching'!$B$2:$B$39,"--")</f>
        <v>Acquisition</v>
      </c>
      <c r="K1226" s="65" t="str">
        <f t="shared" si="1"/>
        <v>In</v>
      </c>
    </row>
    <row r="1227">
      <c r="A1227" s="62" t="s">
        <v>1365</v>
      </c>
      <c r="B1227" s="63">
        <v>44362.0</v>
      </c>
      <c r="C1227" s="62" t="s">
        <v>108</v>
      </c>
      <c r="D1227" s="64">
        <v>0.0</v>
      </c>
      <c r="E1227" s="62" t="s">
        <v>109</v>
      </c>
      <c r="F1227" s="62" t="s">
        <v>110</v>
      </c>
      <c r="G1227" s="64" t="s">
        <v>64</v>
      </c>
      <c r="H1227" s="3" t="s">
        <v>116</v>
      </c>
      <c r="I1227" s="65">
        <f>IFERROR(VLOOKUP(A1227,'3. Call duration'!$A:$C,3,0),"--")</f>
        <v>11.70714703</v>
      </c>
      <c r="J1227" s="65" t="str">
        <f t="array" ref="J1227">XLOOKUP(H1227,'2. Matching'!$A$2:$A$39,'2. Matching'!$B$2:$B$39,"--")</f>
        <v>Acquisition</v>
      </c>
      <c r="K1227" s="65" t="str">
        <f t="shared" si="1"/>
        <v>In</v>
      </c>
    </row>
    <row r="1228">
      <c r="A1228" s="62" t="s">
        <v>1366</v>
      </c>
      <c r="B1228" s="63">
        <v>44195.0</v>
      </c>
      <c r="C1228" s="62" t="s">
        <v>112</v>
      </c>
      <c r="D1228" s="64">
        <v>0.0</v>
      </c>
      <c r="E1228" s="62" t="s">
        <v>109</v>
      </c>
      <c r="F1228" s="62" t="s">
        <v>110</v>
      </c>
      <c r="G1228" s="64" t="s">
        <v>64</v>
      </c>
      <c r="H1228" s="3" t="s">
        <v>145</v>
      </c>
      <c r="I1228" s="65" t="str">
        <f>IFERROR(VLOOKUP(A1228,'3. Call duration'!$A:$C,3,0),"--")</f>
        <v>--</v>
      </c>
      <c r="J1228" s="65" t="str">
        <f t="array" ref="J1228">XLOOKUP(H1228,'2. Matching'!$A$2:$A$39,'2. Matching'!$B$2:$B$39,"--")</f>
        <v>SEO</v>
      </c>
      <c r="K1228" s="65" t="str">
        <f t="shared" si="1"/>
        <v>In</v>
      </c>
    </row>
    <row r="1229">
      <c r="A1229" s="62" t="s">
        <v>1367</v>
      </c>
      <c r="B1229" s="63">
        <v>44273.0</v>
      </c>
      <c r="C1229" s="62" t="s">
        <v>112</v>
      </c>
      <c r="D1229" s="64">
        <v>0.0</v>
      </c>
      <c r="E1229" s="62" t="s">
        <v>109</v>
      </c>
      <c r="F1229" s="62" t="s">
        <v>110</v>
      </c>
      <c r="G1229" s="64" t="s">
        <v>63</v>
      </c>
      <c r="H1229" s="3" t="s">
        <v>128</v>
      </c>
      <c r="I1229" s="65" t="str">
        <f>IFERROR(VLOOKUP(A1229,'3. Call duration'!$A:$C,3,0),"--")</f>
        <v>--</v>
      </c>
      <c r="J1229" s="65" t="str">
        <f t="array" ref="J1229">XLOOKUP(H1229,'2. Matching'!$A$2:$A$39,'2. Matching'!$B$2:$B$39,"--")</f>
        <v>Acquisition</v>
      </c>
      <c r="K1229" s="65" t="str">
        <f t="shared" si="1"/>
        <v>In</v>
      </c>
    </row>
    <row r="1230">
      <c r="A1230" s="62" t="s">
        <v>1368</v>
      </c>
      <c r="B1230" s="63">
        <v>44350.0</v>
      </c>
      <c r="C1230" s="62" t="s">
        <v>108</v>
      </c>
      <c r="D1230" s="64">
        <v>0.0</v>
      </c>
      <c r="E1230" s="62" t="s">
        <v>109</v>
      </c>
      <c r="F1230" s="62" t="s">
        <v>110</v>
      </c>
      <c r="G1230" s="64" t="s">
        <v>59</v>
      </c>
      <c r="H1230" s="3" t="s">
        <v>68</v>
      </c>
      <c r="I1230" s="65">
        <f>IFERROR(VLOOKUP(A1230,'3. Call duration'!$A:$C,3,0),"--")</f>
        <v>30.37710151</v>
      </c>
      <c r="J1230" s="65" t="str">
        <f t="array" ref="J1230">XLOOKUP(H1230,'2. Matching'!$A$2:$A$39,'2. Matching'!$B$2:$B$39,"--")</f>
        <v>Acquisition</v>
      </c>
      <c r="K1230" s="65" t="str">
        <f t="shared" si="1"/>
        <v>In</v>
      </c>
    </row>
    <row r="1231">
      <c r="A1231" s="62" t="s">
        <v>1369</v>
      </c>
      <c r="B1231" s="63">
        <v>44237.0</v>
      </c>
      <c r="C1231" s="62" t="s">
        <v>108</v>
      </c>
      <c r="D1231" s="64">
        <v>0.0</v>
      </c>
      <c r="E1231" s="62" t="s">
        <v>109</v>
      </c>
      <c r="F1231" s="62" t="s">
        <v>115</v>
      </c>
      <c r="G1231" s="64" t="s">
        <v>64</v>
      </c>
      <c r="H1231" s="3" t="s">
        <v>155</v>
      </c>
      <c r="I1231" s="65">
        <f>IFERROR(VLOOKUP(A1231,'3. Call duration'!$A:$C,3,0),"--")</f>
        <v>33.07048965</v>
      </c>
      <c r="J1231" s="65" t="str">
        <f t="array" ref="J1231">XLOOKUP(H1231,'2. Matching'!$A$2:$A$39,'2. Matching'!$B$2:$B$39,"--")</f>
        <v>SEO</v>
      </c>
      <c r="K1231" s="65" t="str">
        <f t="shared" si="1"/>
        <v>In</v>
      </c>
    </row>
    <row r="1232">
      <c r="A1232" s="62" t="s">
        <v>1370</v>
      </c>
      <c r="B1232" s="63">
        <v>44075.0</v>
      </c>
      <c r="C1232" s="62" t="s">
        <v>112</v>
      </c>
      <c r="D1232" s="64">
        <v>0.0</v>
      </c>
      <c r="E1232" s="62" t="s">
        <v>109</v>
      </c>
      <c r="F1232" s="62" t="s">
        <v>115</v>
      </c>
      <c r="G1232" s="64" t="s">
        <v>64</v>
      </c>
      <c r="H1232" s="3" t="s">
        <v>135</v>
      </c>
      <c r="I1232" s="65" t="str">
        <f>IFERROR(VLOOKUP(A1232,'3. Call duration'!$A:$C,3,0),"--")</f>
        <v>--</v>
      </c>
      <c r="J1232" s="65" t="str">
        <f t="array" ref="J1232">XLOOKUP(H1232,'2. Matching'!$A$2:$A$39,'2. Matching'!$B$2:$B$39,"--")</f>
        <v>Acquisition</v>
      </c>
      <c r="K1232" s="65" t="str">
        <f t="shared" si="1"/>
        <v>In</v>
      </c>
    </row>
    <row r="1233">
      <c r="A1233" s="62" t="s">
        <v>1371</v>
      </c>
      <c r="B1233" s="63">
        <v>44279.0</v>
      </c>
      <c r="C1233" s="62" t="s">
        <v>108</v>
      </c>
      <c r="D1233" s="64">
        <v>0.0</v>
      </c>
      <c r="E1233" s="62" t="s">
        <v>109</v>
      </c>
      <c r="F1233" s="62" t="s">
        <v>110</v>
      </c>
      <c r="G1233" s="64" t="s">
        <v>64</v>
      </c>
      <c r="H1233" s="3" t="s">
        <v>52</v>
      </c>
      <c r="I1233" s="65">
        <f>IFERROR(VLOOKUP(A1233,'3. Call duration'!$A:$C,3,0),"--")</f>
        <v>21.89196098</v>
      </c>
      <c r="J1233" s="65" t="str">
        <f t="array" ref="J1233">XLOOKUP(H1233,'2. Matching'!$A$2:$A$39,'2. Matching'!$B$2:$B$39,"--")</f>
        <v>Partnerships</v>
      </c>
      <c r="K1233" s="65" t="str">
        <f t="shared" si="1"/>
        <v>In</v>
      </c>
    </row>
    <row r="1234">
      <c r="A1234" s="62" t="s">
        <v>1372</v>
      </c>
      <c r="B1234" s="63">
        <v>44350.0</v>
      </c>
      <c r="C1234" s="62" t="s">
        <v>108</v>
      </c>
      <c r="D1234" s="64">
        <v>0.0</v>
      </c>
      <c r="E1234" s="62" t="s">
        <v>109</v>
      </c>
      <c r="F1234" s="62" t="s">
        <v>110</v>
      </c>
      <c r="G1234" s="64" t="s">
        <v>60</v>
      </c>
      <c r="H1234" s="3" t="s">
        <v>68</v>
      </c>
      <c r="I1234" s="65" t="str">
        <f>IFERROR(VLOOKUP(A1234,'3. Call duration'!$A:$C,3,0),"--")</f>
        <v>--</v>
      </c>
      <c r="J1234" s="65" t="str">
        <f t="array" ref="J1234">XLOOKUP(H1234,'2. Matching'!$A$2:$A$39,'2. Matching'!$B$2:$B$39,"--")</f>
        <v>Acquisition</v>
      </c>
      <c r="K1234" s="65" t="str">
        <f t="shared" si="1"/>
        <v>In</v>
      </c>
    </row>
    <row r="1235">
      <c r="A1235" s="62" t="s">
        <v>1373</v>
      </c>
      <c r="B1235" s="63">
        <v>44319.0</v>
      </c>
      <c r="C1235" s="62" t="s">
        <v>108</v>
      </c>
      <c r="D1235" s="64">
        <v>0.0</v>
      </c>
      <c r="E1235" s="62" t="s">
        <v>109</v>
      </c>
      <c r="F1235" s="62" t="s">
        <v>115</v>
      </c>
      <c r="G1235" s="64" t="s">
        <v>64</v>
      </c>
      <c r="H1235" s="3" t="s">
        <v>145</v>
      </c>
      <c r="I1235" s="65">
        <f>IFERROR(VLOOKUP(A1235,'3. Call duration'!$A:$C,3,0),"--")</f>
        <v>21.80227635</v>
      </c>
      <c r="J1235" s="65" t="str">
        <f t="array" ref="J1235">XLOOKUP(H1235,'2. Matching'!$A$2:$A$39,'2. Matching'!$B$2:$B$39,"--")</f>
        <v>SEO</v>
      </c>
      <c r="K1235" s="65" t="str">
        <f t="shared" si="1"/>
        <v>In</v>
      </c>
    </row>
    <row r="1236">
      <c r="A1236" s="62" t="s">
        <v>1374</v>
      </c>
      <c r="B1236" s="63">
        <v>44111.0</v>
      </c>
      <c r="C1236" s="62" t="s">
        <v>108</v>
      </c>
      <c r="D1236" s="64">
        <v>0.0</v>
      </c>
      <c r="E1236" s="62" t="s">
        <v>109</v>
      </c>
      <c r="F1236" s="62" t="s">
        <v>115</v>
      </c>
      <c r="G1236" s="64" t="s">
        <v>64</v>
      </c>
      <c r="H1236" s="3" t="s">
        <v>139</v>
      </c>
      <c r="I1236" s="65">
        <f>IFERROR(VLOOKUP(A1236,'3. Call duration'!$A:$C,3,0),"--")</f>
        <v>26.25014458</v>
      </c>
      <c r="J1236" s="65" t="str">
        <f t="array" ref="J1236">XLOOKUP(H1236,'2. Matching'!$A$2:$A$39,'2. Matching'!$B$2:$B$39,"--")</f>
        <v>Acquisition</v>
      </c>
      <c r="K1236" s="65" t="str">
        <f t="shared" si="1"/>
        <v>In</v>
      </c>
    </row>
    <row r="1237">
      <c r="A1237" s="62" t="s">
        <v>1375</v>
      </c>
      <c r="B1237" s="63">
        <v>44331.0</v>
      </c>
      <c r="C1237" s="62" t="s">
        <v>119</v>
      </c>
      <c r="D1237" s="64">
        <v>47.5</v>
      </c>
      <c r="E1237" s="62" t="s">
        <v>109</v>
      </c>
      <c r="F1237" s="62" t="s">
        <v>110</v>
      </c>
      <c r="G1237" s="64" t="s">
        <v>59</v>
      </c>
      <c r="H1237" s="3" t="s">
        <v>68</v>
      </c>
      <c r="I1237" s="65">
        <f>IFERROR(VLOOKUP(A1237,'3. Call duration'!$A:$C,3,0),"--")</f>
        <v>21.81620181</v>
      </c>
      <c r="J1237" s="65" t="str">
        <f t="array" ref="J1237">XLOOKUP(H1237,'2. Matching'!$A$2:$A$39,'2. Matching'!$B$2:$B$39,"--")</f>
        <v>Acquisition</v>
      </c>
      <c r="K1237" s="65" t="str">
        <f t="shared" si="1"/>
        <v>In</v>
      </c>
    </row>
    <row r="1238">
      <c r="A1238" s="62" t="s">
        <v>1376</v>
      </c>
      <c r="B1238" s="63">
        <v>44376.0</v>
      </c>
      <c r="C1238" s="62" t="s">
        <v>112</v>
      </c>
      <c r="D1238" s="64">
        <v>0.0</v>
      </c>
      <c r="E1238" s="62" t="s">
        <v>109</v>
      </c>
      <c r="F1238" s="62" t="s">
        <v>110</v>
      </c>
      <c r="G1238" s="64" t="s">
        <v>61</v>
      </c>
      <c r="H1238" s="3" t="s">
        <v>67</v>
      </c>
      <c r="I1238" s="65" t="str">
        <f>IFERROR(VLOOKUP(A1238,'3. Call duration'!$A:$C,3,0),"--")</f>
        <v>--</v>
      </c>
      <c r="J1238" s="65" t="str">
        <f t="array" ref="J1238">XLOOKUP(H1238,'2. Matching'!$A$2:$A$39,'2. Matching'!$B$2:$B$39,"--")</f>
        <v>Acquisition</v>
      </c>
      <c r="K1238" s="65" t="str">
        <f t="shared" si="1"/>
        <v>In</v>
      </c>
    </row>
    <row r="1239">
      <c r="A1239" s="62" t="s">
        <v>1377</v>
      </c>
      <c r="B1239" s="63">
        <v>44384.0</v>
      </c>
      <c r="C1239" s="62" t="s">
        <v>108</v>
      </c>
      <c r="D1239" s="64">
        <v>0.0</v>
      </c>
      <c r="E1239" s="62" t="s">
        <v>114</v>
      </c>
      <c r="F1239" s="62" t="s">
        <v>115</v>
      </c>
      <c r="G1239" s="64" t="s">
        <v>64</v>
      </c>
      <c r="H1239" s="3" t="s">
        <v>139</v>
      </c>
      <c r="I1239" s="65">
        <f>IFERROR(VLOOKUP(A1239,'3. Call duration'!$A:$C,3,0),"--")</f>
        <v>30.22171165</v>
      </c>
      <c r="J1239" s="65" t="str">
        <f t="array" ref="J1239">XLOOKUP(H1239,'2. Matching'!$A$2:$A$39,'2. Matching'!$B$2:$B$39,"--")</f>
        <v>Acquisition</v>
      </c>
      <c r="K1239" s="65" t="str">
        <f t="shared" si="1"/>
        <v>In</v>
      </c>
    </row>
    <row r="1240">
      <c r="A1240" s="62" t="s">
        <v>1378</v>
      </c>
      <c r="B1240" s="63">
        <v>44376.0</v>
      </c>
      <c r="C1240" s="62" t="s">
        <v>112</v>
      </c>
      <c r="D1240" s="64">
        <v>0.0</v>
      </c>
      <c r="E1240" s="62" t="s">
        <v>109</v>
      </c>
      <c r="F1240" s="62" t="s">
        <v>110</v>
      </c>
      <c r="G1240" s="64" t="s">
        <v>60</v>
      </c>
      <c r="H1240" s="3" t="s">
        <v>68</v>
      </c>
      <c r="I1240" s="65" t="str">
        <f>IFERROR(VLOOKUP(A1240,'3. Call duration'!$A:$C,3,0),"--")</f>
        <v>--</v>
      </c>
      <c r="J1240" s="65" t="str">
        <f t="array" ref="J1240">XLOOKUP(H1240,'2. Matching'!$A$2:$A$39,'2. Matching'!$B$2:$B$39,"--")</f>
        <v>Acquisition</v>
      </c>
      <c r="K1240" s="65" t="str">
        <f t="shared" si="1"/>
        <v>In</v>
      </c>
    </row>
    <row r="1241">
      <c r="A1241" s="62" t="s">
        <v>1379</v>
      </c>
      <c r="B1241" s="63">
        <v>44277.0</v>
      </c>
      <c r="C1241" s="62" t="s">
        <v>112</v>
      </c>
      <c r="D1241" s="64">
        <v>0.0</v>
      </c>
      <c r="E1241" s="62" t="s">
        <v>109</v>
      </c>
      <c r="F1241" s="62" t="s">
        <v>110</v>
      </c>
      <c r="G1241" s="64" t="s">
        <v>64</v>
      </c>
      <c r="H1241" s="3" t="s">
        <v>169</v>
      </c>
      <c r="I1241" s="65" t="str">
        <f>IFERROR(VLOOKUP(A1241,'3. Call duration'!$A:$C,3,0),"--")</f>
        <v>--</v>
      </c>
      <c r="J1241" s="65" t="str">
        <f t="array" ref="J1241">XLOOKUP(H1241,'2. Matching'!$A$2:$A$39,'2. Matching'!$B$2:$B$39,"--")</f>
        <v>SEO</v>
      </c>
      <c r="K1241" s="65" t="str">
        <f t="shared" si="1"/>
        <v>In</v>
      </c>
    </row>
    <row r="1242">
      <c r="A1242" s="62" t="s">
        <v>1380</v>
      </c>
      <c r="B1242" s="63">
        <v>44347.0</v>
      </c>
      <c r="C1242" s="62" t="s">
        <v>119</v>
      </c>
      <c r="D1242" s="64">
        <v>47.5</v>
      </c>
      <c r="E1242" s="62" t="s">
        <v>109</v>
      </c>
      <c r="F1242" s="62" t="s">
        <v>110</v>
      </c>
      <c r="G1242" s="64" t="s">
        <v>64</v>
      </c>
      <c r="H1242" s="3" t="s">
        <v>54</v>
      </c>
      <c r="I1242" s="65">
        <f>IFERROR(VLOOKUP(A1242,'3. Call duration'!$A:$C,3,0),"--")</f>
        <v>21.95431908</v>
      </c>
      <c r="J1242" s="65" t="str">
        <f t="array" ref="J1242">XLOOKUP(H1242,'2. Matching'!$A$2:$A$39,'2. Matching'!$B$2:$B$39,"--")</f>
        <v>Partnerships</v>
      </c>
      <c r="K1242" s="65" t="str">
        <f t="shared" si="1"/>
        <v>In</v>
      </c>
    </row>
    <row r="1243">
      <c r="A1243" s="62" t="s">
        <v>1381</v>
      </c>
      <c r="B1243" s="63">
        <v>44265.0</v>
      </c>
      <c r="C1243" s="62" t="s">
        <v>108</v>
      </c>
      <c r="D1243" s="64">
        <v>0.0</v>
      </c>
      <c r="E1243" s="62" t="s">
        <v>109</v>
      </c>
      <c r="F1243" s="62" t="s">
        <v>115</v>
      </c>
      <c r="G1243" s="64" t="s">
        <v>64</v>
      </c>
      <c r="H1243" s="3" t="s">
        <v>175</v>
      </c>
      <c r="I1243" s="65">
        <f>IFERROR(VLOOKUP(A1243,'3. Call duration'!$A:$C,3,0),"--")</f>
        <v>32.70603533</v>
      </c>
      <c r="J1243" s="65" t="str">
        <f t="array" ref="J1243">XLOOKUP(H1243,'2. Matching'!$A$2:$A$39,'2. Matching'!$B$2:$B$39,"--")</f>
        <v>SEO</v>
      </c>
      <c r="K1243" s="65" t="str">
        <f t="shared" si="1"/>
        <v>In</v>
      </c>
    </row>
    <row r="1244">
      <c r="A1244" s="62" t="s">
        <v>1382</v>
      </c>
      <c r="B1244" s="63">
        <v>44286.0</v>
      </c>
      <c r="C1244" s="62" t="s">
        <v>112</v>
      </c>
      <c r="D1244" s="64">
        <v>0.0</v>
      </c>
      <c r="E1244" s="62" t="s">
        <v>109</v>
      </c>
      <c r="F1244" s="62" t="s">
        <v>110</v>
      </c>
      <c r="G1244" s="64" t="s">
        <v>64</v>
      </c>
      <c r="H1244" s="3" t="s">
        <v>297</v>
      </c>
      <c r="I1244" s="65" t="str">
        <f>IFERROR(VLOOKUP(A1244,'3. Call duration'!$A:$C,3,0),"--")</f>
        <v>--</v>
      </c>
      <c r="J1244" s="65" t="str">
        <f t="array" ref="J1244">XLOOKUP(H1244,'2. Matching'!$A$2:$A$39,'2. Matching'!$B$2:$B$39,"--")</f>
        <v>Farming</v>
      </c>
      <c r="K1244" s="65" t="str">
        <f t="shared" si="1"/>
        <v>In</v>
      </c>
    </row>
    <row r="1245">
      <c r="A1245" s="62" t="s">
        <v>1383</v>
      </c>
      <c r="B1245" s="63">
        <v>44223.0</v>
      </c>
      <c r="C1245" s="62" t="s">
        <v>108</v>
      </c>
      <c r="D1245" s="64">
        <v>0.0</v>
      </c>
      <c r="E1245" s="62" t="s">
        <v>114</v>
      </c>
      <c r="F1245" s="62" t="s">
        <v>115</v>
      </c>
      <c r="G1245" s="64" t="s">
        <v>64</v>
      </c>
      <c r="H1245" s="3" t="s">
        <v>70</v>
      </c>
      <c r="I1245" s="65">
        <f>IFERROR(VLOOKUP(A1245,'3. Call duration'!$A:$C,3,0),"--")</f>
        <v>12.55090401</v>
      </c>
      <c r="J1245" s="65" t="str">
        <f t="array" ref="J1245">XLOOKUP(H1245,'2. Matching'!$A$2:$A$39,'2. Matching'!$B$2:$B$39,"--")</f>
        <v>Farming</v>
      </c>
      <c r="K1245" s="65" t="str">
        <f t="shared" si="1"/>
        <v>In</v>
      </c>
    </row>
    <row r="1246">
      <c r="A1246" s="62" t="s">
        <v>1384</v>
      </c>
      <c r="B1246" s="63">
        <v>44354.0</v>
      </c>
      <c r="C1246" s="62" t="s">
        <v>108</v>
      </c>
      <c r="D1246" s="64">
        <v>0.0</v>
      </c>
      <c r="E1246" s="62" t="s">
        <v>114</v>
      </c>
      <c r="F1246" s="62" t="s">
        <v>110</v>
      </c>
      <c r="G1246" s="64" t="s">
        <v>60</v>
      </c>
      <c r="H1246" s="3" t="s">
        <v>67</v>
      </c>
      <c r="I1246" s="65">
        <f>IFERROR(VLOOKUP(A1246,'3. Call duration'!$A:$C,3,0),"--")</f>
        <v>23.94685079</v>
      </c>
      <c r="J1246" s="65" t="str">
        <f t="array" ref="J1246">XLOOKUP(H1246,'2. Matching'!$A$2:$A$39,'2. Matching'!$B$2:$B$39,"--")</f>
        <v>Acquisition</v>
      </c>
      <c r="K1246" s="65" t="str">
        <f t="shared" si="1"/>
        <v>In</v>
      </c>
    </row>
    <row r="1247">
      <c r="A1247" s="62" t="s">
        <v>1385</v>
      </c>
      <c r="B1247" s="63">
        <v>44372.0</v>
      </c>
      <c r="C1247" s="62" t="s">
        <v>112</v>
      </c>
      <c r="D1247" s="64">
        <v>0.0</v>
      </c>
      <c r="E1247" s="62" t="s">
        <v>109</v>
      </c>
      <c r="F1247" s="62" t="s">
        <v>110</v>
      </c>
      <c r="G1247" s="64" t="s">
        <v>64</v>
      </c>
      <c r="H1247" s="3" t="s">
        <v>116</v>
      </c>
      <c r="I1247" s="65" t="str">
        <f>IFERROR(VLOOKUP(A1247,'3. Call duration'!$A:$C,3,0),"--")</f>
        <v>--</v>
      </c>
      <c r="J1247" s="65" t="str">
        <f t="array" ref="J1247">XLOOKUP(H1247,'2. Matching'!$A$2:$A$39,'2. Matching'!$B$2:$B$39,"--")</f>
        <v>Acquisition</v>
      </c>
      <c r="K1247" s="65" t="str">
        <f t="shared" si="1"/>
        <v>In</v>
      </c>
    </row>
    <row r="1248">
      <c r="A1248" s="62" t="s">
        <v>1386</v>
      </c>
      <c r="B1248" s="63">
        <v>44377.0</v>
      </c>
      <c r="C1248" s="62" t="s">
        <v>112</v>
      </c>
      <c r="D1248" s="64">
        <v>0.0</v>
      </c>
      <c r="E1248" s="62" t="s">
        <v>109</v>
      </c>
      <c r="F1248" s="62" t="s">
        <v>115</v>
      </c>
      <c r="G1248" s="64" t="s">
        <v>59</v>
      </c>
      <c r="H1248" s="3" t="s">
        <v>68</v>
      </c>
      <c r="I1248" s="65" t="str">
        <f>IFERROR(VLOOKUP(A1248,'3. Call duration'!$A:$C,3,0),"--")</f>
        <v>--</v>
      </c>
      <c r="J1248" s="65" t="str">
        <f t="array" ref="J1248">XLOOKUP(H1248,'2. Matching'!$A$2:$A$39,'2. Matching'!$B$2:$B$39,"--")</f>
        <v>Acquisition</v>
      </c>
      <c r="K1248" s="65" t="str">
        <f t="shared" si="1"/>
        <v>In</v>
      </c>
    </row>
    <row r="1249">
      <c r="A1249" s="62" t="s">
        <v>1387</v>
      </c>
      <c r="B1249" s="63">
        <v>44228.0</v>
      </c>
      <c r="C1249" s="62" t="s">
        <v>108</v>
      </c>
      <c r="D1249" s="64">
        <v>0.0</v>
      </c>
      <c r="E1249" s="62" t="s">
        <v>109</v>
      </c>
      <c r="F1249" s="62" t="s">
        <v>115</v>
      </c>
      <c r="G1249" s="64" t="s">
        <v>64</v>
      </c>
      <c r="H1249" s="3" t="s">
        <v>150</v>
      </c>
      <c r="I1249" s="65">
        <f>IFERROR(VLOOKUP(A1249,'3. Call duration'!$A:$C,3,0),"--")</f>
        <v>21.91413184</v>
      </c>
      <c r="J1249" s="65" t="str">
        <f t="array" ref="J1249">XLOOKUP(H1249,'2. Matching'!$A$2:$A$39,'2. Matching'!$B$2:$B$39,"--")</f>
        <v>SEO</v>
      </c>
      <c r="K1249" s="65" t="str">
        <f t="shared" si="1"/>
        <v>In</v>
      </c>
    </row>
    <row r="1250">
      <c r="A1250" s="62" t="s">
        <v>1388</v>
      </c>
      <c r="B1250" s="63">
        <v>44226.0</v>
      </c>
      <c r="C1250" s="62" t="s">
        <v>108</v>
      </c>
      <c r="D1250" s="64">
        <v>0.0</v>
      </c>
      <c r="E1250" s="62" t="s">
        <v>109</v>
      </c>
      <c r="F1250" s="62" t="s">
        <v>115</v>
      </c>
      <c r="G1250" s="64" t="s">
        <v>64</v>
      </c>
      <c r="H1250" s="3" t="s">
        <v>139</v>
      </c>
      <c r="I1250" s="65">
        <f>IFERROR(VLOOKUP(A1250,'3. Call duration'!$A:$C,3,0),"--")</f>
        <v>40.97083048</v>
      </c>
      <c r="J1250" s="65" t="str">
        <f t="array" ref="J1250">XLOOKUP(H1250,'2. Matching'!$A$2:$A$39,'2. Matching'!$B$2:$B$39,"--")</f>
        <v>Acquisition</v>
      </c>
      <c r="K1250" s="65" t="str">
        <f t="shared" si="1"/>
        <v>In</v>
      </c>
    </row>
    <row r="1251">
      <c r="A1251" s="62" t="s">
        <v>1389</v>
      </c>
      <c r="B1251" s="63">
        <v>44208.0</v>
      </c>
      <c r="C1251" s="62" t="s">
        <v>112</v>
      </c>
      <c r="D1251" s="64">
        <v>0.0</v>
      </c>
      <c r="E1251" s="62" t="s">
        <v>109</v>
      </c>
      <c r="F1251" s="62" t="s">
        <v>115</v>
      </c>
      <c r="G1251" s="64" t="s">
        <v>64</v>
      </c>
      <c r="H1251" s="3" t="s">
        <v>169</v>
      </c>
      <c r="I1251" s="65" t="str">
        <f>IFERROR(VLOOKUP(A1251,'3. Call duration'!$A:$C,3,0),"--")</f>
        <v>--</v>
      </c>
      <c r="J1251" s="65" t="str">
        <f t="array" ref="J1251">XLOOKUP(H1251,'2. Matching'!$A$2:$A$39,'2. Matching'!$B$2:$B$39,"--")</f>
        <v>SEO</v>
      </c>
      <c r="K1251" s="65" t="str">
        <f t="shared" si="1"/>
        <v>In</v>
      </c>
    </row>
    <row r="1252">
      <c r="A1252" s="62" t="s">
        <v>1390</v>
      </c>
      <c r="B1252" s="63">
        <v>44384.0</v>
      </c>
      <c r="C1252" s="62" t="s">
        <v>112</v>
      </c>
      <c r="D1252" s="64">
        <v>0.0</v>
      </c>
      <c r="E1252" s="62" t="s">
        <v>109</v>
      </c>
      <c r="F1252" s="62" t="s">
        <v>110</v>
      </c>
      <c r="G1252" s="64" t="s">
        <v>60</v>
      </c>
      <c r="H1252" s="3" t="s">
        <v>67</v>
      </c>
      <c r="I1252" s="65" t="str">
        <f>IFERROR(VLOOKUP(A1252,'3. Call duration'!$A:$C,3,0),"--")</f>
        <v>--</v>
      </c>
      <c r="J1252" s="65" t="str">
        <f t="array" ref="J1252">XLOOKUP(H1252,'2. Matching'!$A$2:$A$39,'2. Matching'!$B$2:$B$39,"--")</f>
        <v>Acquisition</v>
      </c>
      <c r="K1252" s="65" t="str">
        <f t="shared" si="1"/>
        <v>In</v>
      </c>
    </row>
    <row r="1253">
      <c r="A1253" s="62" t="s">
        <v>1391</v>
      </c>
      <c r="B1253" s="63">
        <v>44372.0</v>
      </c>
      <c r="C1253" s="62" t="s">
        <v>112</v>
      </c>
      <c r="D1253" s="64">
        <v>0.0</v>
      </c>
      <c r="E1253" s="62" t="s">
        <v>109</v>
      </c>
      <c r="F1253" s="62" t="s">
        <v>110</v>
      </c>
      <c r="G1253" s="64" t="s">
        <v>60</v>
      </c>
      <c r="H1253" s="3" t="s">
        <v>68</v>
      </c>
      <c r="I1253" s="65" t="str">
        <f>IFERROR(VLOOKUP(A1253,'3. Call duration'!$A:$C,3,0),"--")</f>
        <v>--</v>
      </c>
      <c r="J1253" s="65" t="str">
        <f t="array" ref="J1253">XLOOKUP(H1253,'2. Matching'!$A$2:$A$39,'2. Matching'!$B$2:$B$39,"--")</f>
        <v>Acquisition</v>
      </c>
      <c r="K1253" s="65" t="str">
        <f t="shared" si="1"/>
        <v>In</v>
      </c>
    </row>
    <row r="1254">
      <c r="A1254" s="62" t="s">
        <v>1392</v>
      </c>
      <c r="B1254" s="63">
        <v>44319.0</v>
      </c>
      <c r="C1254" s="62" t="s">
        <v>119</v>
      </c>
      <c r="D1254" s="64">
        <v>47.5</v>
      </c>
      <c r="E1254" s="62" t="s">
        <v>109</v>
      </c>
      <c r="F1254" s="62" t="s">
        <v>115</v>
      </c>
      <c r="G1254" s="64" t="s">
        <v>64</v>
      </c>
      <c r="H1254" s="3" t="s">
        <v>116</v>
      </c>
      <c r="I1254" s="65">
        <f>IFERROR(VLOOKUP(A1254,'3. Call duration'!$A:$C,3,0),"--")</f>
        <v>21.96458737</v>
      </c>
      <c r="J1254" s="65" t="str">
        <f t="array" ref="J1254">XLOOKUP(H1254,'2. Matching'!$A$2:$A$39,'2. Matching'!$B$2:$B$39,"--")</f>
        <v>Acquisition</v>
      </c>
      <c r="K1254" s="65" t="str">
        <f t="shared" si="1"/>
        <v>In</v>
      </c>
    </row>
    <row r="1255">
      <c r="A1255" s="62" t="s">
        <v>1393</v>
      </c>
      <c r="B1255" s="63">
        <v>44176.0</v>
      </c>
      <c r="C1255" s="62" t="s">
        <v>112</v>
      </c>
      <c r="D1255" s="64">
        <v>0.0</v>
      </c>
      <c r="E1255" s="62" t="s">
        <v>109</v>
      </c>
      <c r="F1255" s="62" t="s">
        <v>115</v>
      </c>
      <c r="G1255" s="64" t="s">
        <v>64</v>
      </c>
      <c r="H1255" s="3" t="s">
        <v>175</v>
      </c>
      <c r="I1255" s="65" t="str">
        <f>IFERROR(VLOOKUP(A1255,'3. Call duration'!$A:$C,3,0),"--")</f>
        <v>--</v>
      </c>
      <c r="J1255" s="65" t="str">
        <f t="array" ref="J1255">XLOOKUP(H1255,'2. Matching'!$A$2:$A$39,'2. Matching'!$B$2:$B$39,"--")</f>
        <v>SEO</v>
      </c>
      <c r="K1255" s="65" t="str">
        <f t="shared" si="1"/>
        <v>In</v>
      </c>
    </row>
    <row r="1256">
      <c r="A1256" s="62" t="s">
        <v>1394</v>
      </c>
      <c r="B1256" s="63">
        <v>44274.0</v>
      </c>
      <c r="C1256" s="62" t="s">
        <v>108</v>
      </c>
      <c r="D1256" s="64">
        <v>0.0</v>
      </c>
      <c r="E1256" s="62" t="s">
        <v>109</v>
      </c>
      <c r="F1256" s="62" t="s">
        <v>115</v>
      </c>
      <c r="G1256" s="64" t="s">
        <v>64</v>
      </c>
      <c r="H1256" s="3" t="s">
        <v>169</v>
      </c>
      <c r="I1256" s="65" t="str">
        <f>IFERROR(VLOOKUP(A1256,'3. Call duration'!$A:$C,3,0),"--")</f>
        <v>--</v>
      </c>
      <c r="J1256" s="65" t="str">
        <f t="array" ref="J1256">XLOOKUP(H1256,'2. Matching'!$A$2:$A$39,'2. Matching'!$B$2:$B$39,"--")</f>
        <v>SEO</v>
      </c>
      <c r="K1256" s="65" t="str">
        <f t="shared" si="1"/>
        <v>In</v>
      </c>
    </row>
    <row r="1257">
      <c r="A1257" s="62" t="s">
        <v>1395</v>
      </c>
      <c r="B1257" s="63">
        <v>44350.0</v>
      </c>
      <c r="C1257" s="62" t="s">
        <v>112</v>
      </c>
      <c r="D1257" s="64">
        <v>0.0</v>
      </c>
      <c r="E1257" s="62" t="s">
        <v>114</v>
      </c>
      <c r="F1257" s="62" t="s">
        <v>110</v>
      </c>
      <c r="G1257" s="64" t="s">
        <v>64</v>
      </c>
      <c r="H1257" s="3" t="s">
        <v>131</v>
      </c>
      <c r="I1257" s="65" t="str">
        <f>IFERROR(VLOOKUP(A1257,'3. Call duration'!$A:$C,3,0),"--")</f>
        <v>--</v>
      </c>
      <c r="J1257" s="65" t="str">
        <f t="array" ref="J1257">XLOOKUP(H1257,'2. Matching'!$A$2:$A$39,'2. Matching'!$B$2:$B$39,"--")</f>
        <v>Acquisition</v>
      </c>
      <c r="K1257" s="65" t="str">
        <f t="shared" si="1"/>
        <v>In</v>
      </c>
    </row>
    <row r="1258">
      <c r="A1258" s="62" t="s">
        <v>1396</v>
      </c>
      <c r="B1258" s="63">
        <v>44070.0</v>
      </c>
      <c r="C1258" s="62" t="s">
        <v>108</v>
      </c>
      <c r="D1258" s="64">
        <v>0.0</v>
      </c>
      <c r="E1258" s="62" t="s">
        <v>109</v>
      </c>
      <c r="F1258" s="62" t="s">
        <v>115</v>
      </c>
      <c r="G1258" s="64" t="s">
        <v>64</v>
      </c>
      <c r="H1258" s="3" t="s">
        <v>169</v>
      </c>
      <c r="I1258" s="65">
        <f>IFERROR(VLOOKUP(A1258,'3. Call duration'!$A:$C,3,0),"--")</f>
        <v>32.46499893</v>
      </c>
      <c r="J1258" s="65" t="str">
        <f t="array" ref="J1258">XLOOKUP(H1258,'2. Matching'!$A$2:$A$39,'2. Matching'!$B$2:$B$39,"--")</f>
        <v>SEO</v>
      </c>
      <c r="K1258" s="65" t="str">
        <f t="shared" si="1"/>
        <v>In</v>
      </c>
    </row>
    <row r="1259">
      <c r="A1259" s="62" t="s">
        <v>1397</v>
      </c>
      <c r="B1259" s="63">
        <v>44222.0</v>
      </c>
      <c r="C1259" s="62" t="s">
        <v>112</v>
      </c>
      <c r="D1259" s="64">
        <v>0.0</v>
      </c>
      <c r="E1259" s="62" t="s">
        <v>109</v>
      </c>
      <c r="F1259" s="62" t="s">
        <v>115</v>
      </c>
      <c r="G1259" s="64" t="s">
        <v>64</v>
      </c>
      <c r="H1259" s="3" t="s">
        <v>171</v>
      </c>
      <c r="I1259" s="65" t="str">
        <f>IFERROR(VLOOKUP(A1259,'3. Call duration'!$A:$C,3,0),"--")</f>
        <v>--</v>
      </c>
      <c r="J1259" s="65" t="str">
        <f t="array" ref="J1259">XLOOKUP(H1259,'2. Matching'!$A$2:$A$39,'2. Matching'!$B$2:$B$39,"--")</f>
        <v>SEO</v>
      </c>
      <c r="K1259" s="65" t="str">
        <f t="shared" si="1"/>
        <v>In</v>
      </c>
    </row>
    <row r="1260">
      <c r="A1260" s="62" t="s">
        <v>1398</v>
      </c>
      <c r="B1260" s="63">
        <v>44351.0</v>
      </c>
      <c r="C1260" s="62" t="s">
        <v>108</v>
      </c>
      <c r="D1260" s="64">
        <v>0.0</v>
      </c>
      <c r="E1260" s="62" t="s">
        <v>114</v>
      </c>
      <c r="F1260" s="62" t="s">
        <v>110</v>
      </c>
      <c r="G1260" s="64" t="s">
        <v>60</v>
      </c>
      <c r="H1260" s="3" t="s">
        <v>67</v>
      </c>
      <c r="I1260" s="65" t="str">
        <f>IFERROR(VLOOKUP(A1260,'3. Call duration'!$A:$C,3,0),"--")</f>
        <v>--</v>
      </c>
      <c r="J1260" s="65" t="str">
        <f t="array" ref="J1260">XLOOKUP(H1260,'2. Matching'!$A$2:$A$39,'2. Matching'!$B$2:$B$39,"--")</f>
        <v>Acquisition</v>
      </c>
      <c r="K1260" s="65" t="str">
        <f t="shared" si="1"/>
        <v>In</v>
      </c>
    </row>
    <row r="1261">
      <c r="A1261" s="62" t="s">
        <v>1399</v>
      </c>
      <c r="B1261" s="63">
        <v>44262.0</v>
      </c>
      <c r="C1261" s="62" t="s">
        <v>112</v>
      </c>
      <c r="D1261" s="64">
        <v>0.0</v>
      </c>
      <c r="E1261" s="62" t="s">
        <v>114</v>
      </c>
      <c r="F1261" s="62" t="s">
        <v>110</v>
      </c>
      <c r="G1261" s="64" t="s">
        <v>64</v>
      </c>
      <c r="H1261" s="3" t="s">
        <v>139</v>
      </c>
      <c r="I1261" s="65" t="str">
        <f>IFERROR(VLOOKUP(A1261,'3. Call duration'!$A:$C,3,0),"--")</f>
        <v>--</v>
      </c>
      <c r="J1261" s="65" t="str">
        <f t="array" ref="J1261">XLOOKUP(H1261,'2. Matching'!$A$2:$A$39,'2. Matching'!$B$2:$B$39,"--")</f>
        <v>Acquisition</v>
      </c>
      <c r="K1261" s="65" t="str">
        <f t="shared" si="1"/>
        <v>In</v>
      </c>
    </row>
    <row r="1262">
      <c r="A1262" s="62" t="s">
        <v>1400</v>
      </c>
      <c r="B1262" s="63">
        <v>44294.0</v>
      </c>
      <c r="C1262" s="62" t="s">
        <v>112</v>
      </c>
      <c r="D1262" s="64">
        <v>0.0</v>
      </c>
      <c r="E1262" s="62" t="s">
        <v>114</v>
      </c>
      <c r="F1262" s="62" t="s">
        <v>115</v>
      </c>
      <c r="G1262" s="64" t="s">
        <v>64</v>
      </c>
      <c r="H1262" s="3" t="s">
        <v>116</v>
      </c>
      <c r="I1262" s="65" t="str">
        <f>IFERROR(VLOOKUP(A1262,'3. Call duration'!$A:$C,3,0),"--")</f>
        <v>--</v>
      </c>
      <c r="J1262" s="65" t="str">
        <f t="array" ref="J1262">XLOOKUP(H1262,'2. Matching'!$A$2:$A$39,'2. Matching'!$B$2:$B$39,"--")</f>
        <v>Acquisition</v>
      </c>
      <c r="K1262" s="65" t="str">
        <f t="shared" si="1"/>
        <v>In</v>
      </c>
    </row>
    <row r="1263">
      <c r="A1263" s="62" t="s">
        <v>1401</v>
      </c>
      <c r="B1263" s="63">
        <v>44347.0</v>
      </c>
      <c r="C1263" s="62" t="s">
        <v>119</v>
      </c>
      <c r="D1263" s="64">
        <v>47.5</v>
      </c>
      <c r="E1263" s="62" t="s">
        <v>109</v>
      </c>
      <c r="F1263" s="62" t="s">
        <v>110</v>
      </c>
      <c r="G1263" s="64" t="s">
        <v>64</v>
      </c>
      <c r="H1263" s="3" t="s">
        <v>175</v>
      </c>
      <c r="I1263" s="65">
        <f>IFERROR(VLOOKUP(A1263,'3. Call duration'!$A:$C,3,0),"--")</f>
        <v>21.98491102</v>
      </c>
      <c r="J1263" s="65" t="str">
        <f t="array" ref="J1263">XLOOKUP(H1263,'2. Matching'!$A$2:$A$39,'2. Matching'!$B$2:$B$39,"--")</f>
        <v>SEO</v>
      </c>
      <c r="K1263" s="65" t="str">
        <f t="shared" si="1"/>
        <v>In</v>
      </c>
    </row>
    <row r="1264">
      <c r="A1264" s="62" t="s">
        <v>1402</v>
      </c>
      <c r="B1264" s="63">
        <v>44396.0</v>
      </c>
      <c r="C1264" s="62" t="s">
        <v>112</v>
      </c>
      <c r="D1264" s="64">
        <v>0.0</v>
      </c>
      <c r="E1264" s="62" t="s">
        <v>109</v>
      </c>
      <c r="F1264" s="62" t="s">
        <v>115</v>
      </c>
      <c r="G1264" s="64" t="s">
        <v>59</v>
      </c>
      <c r="H1264" s="3" t="s">
        <v>53</v>
      </c>
      <c r="I1264" s="65" t="str">
        <f>IFERROR(VLOOKUP(A1264,'3. Call duration'!$A:$C,3,0),"--")</f>
        <v>--</v>
      </c>
      <c r="J1264" s="65" t="str">
        <f t="array" ref="J1264">XLOOKUP(H1264,'2. Matching'!$A$2:$A$39,'2. Matching'!$B$2:$B$39,"--")</f>
        <v>Partnerships</v>
      </c>
      <c r="K1264" s="65" t="str">
        <f t="shared" si="1"/>
        <v>In</v>
      </c>
    </row>
    <row r="1265">
      <c r="A1265" s="62" t="s">
        <v>1403</v>
      </c>
      <c r="B1265" s="63">
        <v>44085.0</v>
      </c>
      <c r="C1265" s="62" t="s">
        <v>112</v>
      </c>
      <c r="D1265" s="64">
        <v>0.0</v>
      </c>
      <c r="E1265" s="62" t="s">
        <v>109</v>
      </c>
      <c r="F1265" s="62" t="s">
        <v>110</v>
      </c>
      <c r="G1265" s="64" t="s">
        <v>60</v>
      </c>
      <c r="H1265" s="3" t="s">
        <v>69</v>
      </c>
      <c r="I1265" s="65" t="str">
        <f>IFERROR(VLOOKUP(A1265,'3. Call duration'!$A:$C,3,0),"--")</f>
        <v>--</v>
      </c>
      <c r="J1265" s="65" t="str">
        <f t="array" ref="J1265">XLOOKUP(H1265,'2. Matching'!$A$2:$A$39,'2. Matching'!$B$2:$B$39,"--")</f>
        <v>Acquisition</v>
      </c>
      <c r="K1265" s="65" t="str">
        <f t="shared" si="1"/>
        <v>In</v>
      </c>
    </row>
    <row r="1266">
      <c r="A1266" s="62" t="s">
        <v>1404</v>
      </c>
      <c r="B1266" s="63">
        <v>44193.0</v>
      </c>
      <c r="C1266" s="62" t="s">
        <v>108</v>
      </c>
      <c r="D1266" s="64">
        <v>0.0</v>
      </c>
      <c r="E1266" s="62" t="s">
        <v>109</v>
      </c>
      <c r="F1266" s="62" t="s">
        <v>115</v>
      </c>
      <c r="G1266" s="64" t="s">
        <v>64</v>
      </c>
      <c r="H1266" s="3" t="s">
        <v>175</v>
      </c>
      <c r="I1266" s="65">
        <f>IFERROR(VLOOKUP(A1266,'3. Call duration'!$A:$C,3,0),"--")</f>
        <v>26.20581572</v>
      </c>
      <c r="J1266" s="65" t="str">
        <f t="array" ref="J1266">XLOOKUP(H1266,'2. Matching'!$A$2:$A$39,'2. Matching'!$B$2:$B$39,"--")</f>
        <v>SEO</v>
      </c>
      <c r="K1266" s="65" t="str">
        <f t="shared" si="1"/>
        <v>In</v>
      </c>
    </row>
    <row r="1267">
      <c r="A1267" s="62" t="s">
        <v>1405</v>
      </c>
      <c r="B1267" s="63">
        <v>44368.0</v>
      </c>
      <c r="C1267" s="62" t="s">
        <v>108</v>
      </c>
      <c r="D1267" s="64">
        <v>0.0</v>
      </c>
      <c r="E1267" s="62" t="s">
        <v>109</v>
      </c>
      <c r="F1267" s="62" t="s">
        <v>110</v>
      </c>
      <c r="G1267" s="64" t="s">
        <v>64</v>
      </c>
      <c r="H1267" s="3" t="s">
        <v>116</v>
      </c>
      <c r="I1267" s="65">
        <f>IFERROR(VLOOKUP(A1267,'3. Call duration'!$A:$C,3,0),"--")</f>
        <v>32.25081904</v>
      </c>
      <c r="J1267" s="65" t="str">
        <f t="array" ref="J1267">XLOOKUP(H1267,'2. Matching'!$A$2:$A$39,'2. Matching'!$B$2:$B$39,"--")</f>
        <v>Acquisition</v>
      </c>
      <c r="K1267" s="65" t="str">
        <f t="shared" si="1"/>
        <v>In</v>
      </c>
    </row>
    <row r="1268">
      <c r="A1268" s="62" t="s">
        <v>1406</v>
      </c>
      <c r="B1268" s="63">
        <v>44279.0</v>
      </c>
      <c r="C1268" s="62" t="s">
        <v>112</v>
      </c>
      <c r="D1268" s="64">
        <v>0.0</v>
      </c>
      <c r="E1268" s="62" t="s">
        <v>109</v>
      </c>
      <c r="F1268" s="62" t="s">
        <v>110</v>
      </c>
      <c r="G1268" s="64" t="s">
        <v>64</v>
      </c>
      <c r="H1268" s="3" t="s">
        <v>145</v>
      </c>
      <c r="I1268" s="65" t="str">
        <f>IFERROR(VLOOKUP(A1268,'3. Call duration'!$A:$C,3,0),"--")</f>
        <v>--</v>
      </c>
      <c r="J1268" s="65" t="str">
        <f t="array" ref="J1268">XLOOKUP(H1268,'2. Matching'!$A$2:$A$39,'2. Matching'!$B$2:$B$39,"--")</f>
        <v>SEO</v>
      </c>
      <c r="K1268" s="65" t="str">
        <f t="shared" si="1"/>
        <v>In</v>
      </c>
    </row>
    <row r="1269">
      <c r="A1269" s="62" t="s">
        <v>1407</v>
      </c>
      <c r="B1269" s="63">
        <v>44377.0</v>
      </c>
      <c r="C1269" s="62" t="s">
        <v>112</v>
      </c>
      <c r="D1269" s="64">
        <v>0.0</v>
      </c>
      <c r="E1269" s="62" t="s">
        <v>109</v>
      </c>
      <c r="F1269" s="62" t="s">
        <v>110</v>
      </c>
      <c r="G1269" s="64" t="s">
        <v>64</v>
      </c>
      <c r="H1269" s="3" t="s">
        <v>297</v>
      </c>
      <c r="I1269" s="65" t="str">
        <f>IFERROR(VLOOKUP(A1269,'3. Call duration'!$A:$C,3,0),"--")</f>
        <v>--</v>
      </c>
      <c r="J1269" s="65" t="str">
        <f t="array" ref="J1269">XLOOKUP(H1269,'2. Matching'!$A$2:$A$39,'2. Matching'!$B$2:$B$39,"--")</f>
        <v>Farming</v>
      </c>
      <c r="K1269" s="65" t="str">
        <f t="shared" si="1"/>
        <v>In</v>
      </c>
    </row>
    <row r="1270">
      <c r="A1270" s="62" t="s">
        <v>1408</v>
      </c>
      <c r="B1270" s="63">
        <v>44382.0</v>
      </c>
      <c r="C1270" s="62" t="s">
        <v>112</v>
      </c>
      <c r="D1270" s="64">
        <v>0.0</v>
      </c>
      <c r="E1270" s="62" t="s">
        <v>109</v>
      </c>
      <c r="F1270" s="62" t="s">
        <v>115</v>
      </c>
      <c r="G1270" s="64" t="s">
        <v>59</v>
      </c>
      <c r="H1270" s="3" t="s">
        <v>68</v>
      </c>
      <c r="I1270" s="65" t="str">
        <f>IFERROR(VLOOKUP(A1270,'3. Call duration'!$A:$C,3,0),"--")</f>
        <v>--</v>
      </c>
      <c r="J1270" s="65" t="str">
        <f t="array" ref="J1270">XLOOKUP(H1270,'2. Matching'!$A$2:$A$39,'2. Matching'!$B$2:$B$39,"--")</f>
        <v>Acquisition</v>
      </c>
      <c r="K1270" s="65" t="str">
        <f t="shared" si="1"/>
        <v>In</v>
      </c>
    </row>
    <row r="1271">
      <c r="A1271" s="62" t="s">
        <v>1409</v>
      </c>
      <c r="B1271" s="63">
        <v>44376.0</v>
      </c>
      <c r="C1271" s="62" t="s">
        <v>112</v>
      </c>
      <c r="D1271" s="64">
        <v>0.0</v>
      </c>
      <c r="E1271" s="62" t="s">
        <v>109</v>
      </c>
      <c r="F1271" s="62" t="s">
        <v>110</v>
      </c>
      <c r="G1271" s="64" t="s">
        <v>59</v>
      </c>
      <c r="H1271" s="3" t="s">
        <v>68</v>
      </c>
      <c r="I1271" s="65" t="str">
        <f>IFERROR(VLOOKUP(A1271,'3. Call duration'!$A:$C,3,0),"--")</f>
        <v>--</v>
      </c>
      <c r="J1271" s="65" t="str">
        <f t="array" ref="J1271">XLOOKUP(H1271,'2. Matching'!$A$2:$A$39,'2. Matching'!$B$2:$B$39,"--")</f>
        <v>Acquisition</v>
      </c>
      <c r="K1271" s="65" t="str">
        <f t="shared" si="1"/>
        <v>In</v>
      </c>
    </row>
    <row r="1272">
      <c r="A1272" s="62" t="s">
        <v>1410</v>
      </c>
      <c r="B1272" s="63">
        <v>44358.0</v>
      </c>
      <c r="C1272" s="62" t="s">
        <v>112</v>
      </c>
      <c r="D1272" s="64">
        <v>0.0</v>
      </c>
      <c r="E1272" s="62" t="s">
        <v>109</v>
      </c>
      <c r="F1272" s="62" t="s">
        <v>115</v>
      </c>
      <c r="G1272" s="64" t="s">
        <v>64</v>
      </c>
      <c r="H1272" s="3" t="s">
        <v>297</v>
      </c>
      <c r="I1272" s="65" t="str">
        <f>IFERROR(VLOOKUP(A1272,'3. Call duration'!$A:$C,3,0),"--")</f>
        <v>--</v>
      </c>
      <c r="J1272" s="65" t="str">
        <f t="array" ref="J1272">XLOOKUP(H1272,'2. Matching'!$A$2:$A$39,'2. Matching'!$B$2:$B$39,"--")</f>
        <v>Farming</v>
      </c>
      <c r="K1272" s="65" t="str">
        <f t="shared" si="1"/>
        <v>In</v>
      </c>
    </row>
    <row r="1273">
      <c r="A1273" s="62" t="s">
        <v>1411</v>
      </c>
      <c r="B1273" s="63">
        <v>44151.0</v>
      </c>
      <c r="C1273" s="62" t="s">
        <v>108</v>
      </c>
      <c r="D1273" s="64">
        <v>0.0</v>
      </c>
      <c r="E1273" s="62" t="s">
        <v>109</v>
      </c>
      <c r="F1273" s="62" t="s">
        <v>110</v>
      </c>
      <c r="G1273" s="64" t="s">
        <v>64</v>
      </c>
      <c r="H1273" s="3" t="s">
        <v>171</v>
      </c>
      <c r="I1273" s="65">
        <f>IFERROR(VLOOKUP(A1273,'3. Call duration'!$A:$C,3,0),"--")</f>
        <v>26.44112875</v>
      </c>
      <c r="J1273" s="65" t="str">
        <f t="array" ref="J1273">XLOOKUP(H1273,'2. Matching'!$A$2:$A$39,'2. Matching'!$B$2:$B$39,"--")</f>
        <v>SEO</v>
      </c>
      <c r="K1273" s="65" t="str">
        <f t="shared" si="1"/>
        <v>In</v>
      </c>
    </row>
    <row r="1274">
      <c r="A1274" s="62" t="s">
        <v>1412</v>
      </c>
      <c r="B1274" s="63">
        <v>44319.0</v>
      </c>
      <c r="C1274" s="62" t="s">
        <v>119</v>
      </c>
      <c r="D1274" s="64">
        <v>47.5</v>
      </c>
      <c r="E1274" s="62" t="s">
        <v>109</v>
      </c>
      <c r="F1274" s="62" t="s">
        <v>110</v>
      </c>
      <c r="G1274" s="64" t="s">
        <v>64</v>
      </c>
      <c r="H1274" s="3" t="s">
        <v>297</v>
      </c>
      <c r="I1274" s="65">
        <f>IFERROR(VLOOKUP(A1274,'3. Call duration'!$A:$C,3,0),"--")</f>
        <v>22.00942024</v>
      </c>
      <c r="J1274" s="65" t="str">
        <f t="array" ref="J1274">XLOOKUP(H1274,'2. Matching'!$A$2:$A$39,'2. Matching'!$B$2:$B$39,"--")</f>
        <v>Farming</v>
      </c>
      <c r="K1274" s="65" t="str">
        <f t="shared" si="1"/>
        <v>In</v>
      </c>
    </row>
    <row r="1275">
      <c r="A1275" s="62" t="s">
        <v>1413</v>
      </c>
      <c r="B1275" s="63">
        <v>44205.0</v>
      </c>
      <c r="C1275" s="62" t="s">
        <v>112</v>
      </c>
      <c r="D1275" s="64">
        <v>0.0</v>
      </c>
      <c r="E1275" s="62" t="s">
        <v>109</v>
      </c>
      <c r="F1275" s="62" t="s">
        <v>110</v>
      </c>
      <c r="G1275" s="64" t="s">
        <v>64</v>
      </c>
      <c r="H1275" s="3" t="s">
        <v>171</v>
      </c>
      <c r="I1275" s="65" t="str">
        <f>IFERROR(VLOOKUP(A1275,'3. Call duration'!$A:$C,3,0),"--")</f>
        <v>--</v>
      </c>
      <c r="J1275" s="65" t="str">
        <f t="array" ref="J1275">XLOOKUP(H1275,'2. Matching'!$A$2:$A$39,'2. Matching'!$B$2:$B$39,"--")</f>
        <v>SEO</v>
      </c>
      <c r="K1275" s="65" t="str">
        <f t="shared" si="1"/>
        <v>In</v>
      </c>
    </row>
    <row r="1276">
      <c r="A1276" s="62" t="s">
        <v>1414</v>
      </c>
      <c r="B1276" s="63">
        <v>44357.0</v>
      </c>
      <c r="C1276" s="62" t="s">
        <v>112</v>
      </c>
      <c r="D1276" s="64">
        <v>0.0</v>
      </c>
      <c r="E1276" s="62" t="s">
        <v>109</v>
      </c>
      <c r="F1276" s="62" t="s">
        <v>110</v>
      </c>
      <c r="G1276" s="64" t="s">
        <v>64</v>
      </c>
      <c r="H1276" s="3" t="s">
        <v>171</v>
      </c>
      <c r="I1276" s="65" t="str">
        <f>IFERROR(VLOOKUP(A1276,'3. Call duration'!$A:$C,3,0),"--")</f>
        <v>--</v>
      </c>
      <c r="J1276" s="65" t="str">
        <f t="array" ref="J1276">XLOOKUP(H1276,'2. Matching'!$A$2:$A$39,'2. Matching'!$B$2:$B$39,"--")</f>
        <v>SEO</v>
      </c>
      <c r="K1276" s="65" t="str">
        <f t="shared" si="1"/>
        <v>In</v>
      </c>
    </row>
    <row r="1277">
      <c r="A1277" s="62" t="s">
        <v>1415</v>
      </c>
      <c r="B1277" s="63">
        <v>44238.0</v>
      </c>
      <c r="C1277" s="62" t="s">
        <v>112</v>
      </c>
      <c r="D1277" s="64">
        <v>0.0</v>
      </c>
      <c r="E1277" s="62" t="s">
        <v>109</v>
      </c>
      <c r="F1277" s="62" t="s">
        <v>110</v>
      </c>
      <c r="G1277" s="64" t="s">
        <v>64</v>
      </c>
      <c r="H1277" s="3" t="s">
        <v>297</v>
      </c>
      <c r="I1277" s="65" t="str">
        <f>IFERROR(VLOOKUP(A1277,'3. Call duration'!$A:$C,3,0),"--")</f>
        <v>--</v>
      </c>
      <c r="J1277" s="65" t="str">
        <f t="array" ref="J1277">XLOOKUP(H1277,'2. Matching'!$A$2:$A$39,'2. Matching'!$B$2:$B$39,"--")</f>
        <v>Farming</v>
      </c>
      <c r="K1277" s="65" t="str">
        <f t="shared" si="1"/>
        <v>In</v>
      </c>
    </row>
    <row r="1278">
      <c r="A1278" s="62" t="s">
        <v>1416</v>
      </c>
      <c r="B1278" s="63">
        <v>44342.0</v>
      </c>
      <c r="C1278" s="62" t="s">
        <v>119</v>
      </c>
      <c r="D1278" s="64">
        <v>47.5</v>
      </c>
      <c r="E1278" s="62" t="s">
        <v>109</v>
      </c>
      <c r="F1278" s="62" t="s">
        <v>115</v>
      </c>
      <c r="G1278" s="64" t="s">
        <v>59</v>
      </c>
      <c r="H1278" s="3" t="s">
        <v>68</v>
      </c>
      <c r="I1278" s="65">
        <f>IFERROR(VLOOKUP(A1278,'3. Call duration'!$A:$C,3,0),"--")</f>
        <v>22.01028846</v>
      </c>
      <c r="J1278" s="65" t="str">
        <f t="array" ref="J1278">XLOOKUP(H1278,'2. Matching'!$A$2:$A$39,'2. Matching'!$B$2:$B$39,"--")</f>
        <v>Acquisition</v>
      </c>
      <c r="K1278" s="65" t="str">
        <f t="shared" si="1"/>
        <v>In</v>
      </c>
    </row>
    <row r="1279">
      <c r="A1279" s="62" t="s">
        <v>1417</v>
      </c>
      <c r="B1279" s="63">
        <v>44381.0</v>
      </c>
      <c r="C1279" s="62" t="s">
        <v>112</v>
      </c>
      <c r="D1279" s="64">
        <v>0.0</v>
      </c>
      <c r="E1279" s="62" t="s">
        <v>109</v>
      </c>
      <c r="F1279" s="62" t="s">
        <v>115</v>
      </c>
      <c r="G1279" s="64" t="s">
        <v>59</v>
      </c>
      <c r="H1279" s="3" t="s">
        <v>68</v>
      </c>
      <c r="I1279" s="65" t="str">
        <f>IFERROR(VLOOKUP(A1279,'3. Call duration'!$A:$C,3,0),"--")</f>
        <v>--</v>
      </c>
      <c r="J1279" s="65" t="str">
        <f t="array" ref="J1279">XLOOKUP(H1279,'2. Matching'!$A$2:$A$39,'2. Matching'!$B$2:$B$39,"--")</f>
        <v>Acquisition</v>
      </c>
      <c r="K1279" s="65" t="str">
        <f t="shared" si="1"/>
        <v>In</v>
      </c>
    </row>
    <row r="1280">
      <c r="A1280" s="62" t="s">
        <v>1418</v>
      </c>
      <c r="B1280" s="63">
        <v>44277.0</v>
      </c>
      <c r="C1280" s="62" t="s">
        <v>112</v>
      </c>
      <c r="D1280" s="64">
        <v>0.0</v>
      </c>
      <c r="E1280" s="62" t="s">
        <v>114</v>
      </c>
      <c r="F1280" s="62" t="s">
        <v>110</v>
      </c>
      <c r="G1280" s="64" t="s">
        <v>64</v>
      </c>
      <c r="H1280" s="3" t="s">
        <v>297</v>
      </c>
      <c r="I1280" s="65" t="str">
        <f>IFERROR(VLOOKUP(A1280,'3. Call duration'!$A:$C,3,0),"--")</f>
        <v>--</v>
      </c>
      <c r="J1280" s="65" t="str">
        <f t="array" ref="J1280">XLOOKUP(H1280,'2. Matching'!$A$2:$A$39,'2. Matching'!$B$2:$B$39,"--")</f>
        <v>Farming</v>
      </c>
      <c r="K1280" s="65" t="str">
        <f t="shared" si="1"/>
        <v>In</v>
      </c>
    </row>
    <row r="1281">
      <c r="A1281" s="62" t="s">
        <v>1419</v>
      </c>
      <c r="B1281" s="63">
        <v>44371.0</v>
      </c>
      <c r="C1281" s="62" t="s">
        <v>112</v>
      </c>
      <c r="D1281" s="64">
        <v>0.0</v>
      </c>
      <c r="E1281" s="62" t="s">
        <v>109</v>
      </c>
      <c r="F1281" s="62" t="s">
        <v>115</v>
      </c>
      <c r="G1281" s="64" t="s">
        <v>60</v>
      </c>
      <c r="H1281" s="3" t="s">
        <v>68</v>
      </c>
      <c r="I1281" s="65" t="str">
        <f>IFERROR(VLOOKUP(A1281,'3. Call duration'!$A:$C,3,0),"--")</f>
        <v>--</v>
      </c>
      <c r="J1281" s="65" t="str">
        <f t="array" ref="J1281">XLOOKUP(H1281,'2. Matching'!$A$2:$A$39,'2. Matching'!$B$2:$B$39,"--")</f>
        <v>Acquisition</v>
      </c>
      <c r="K1281" s="65" t="str">
        <f t="shared" si="1"/>
        <v>In</v>
      </c>
    </row>
    <row r="1282">
      <c r="A1282" s="62" t="s">
        <v>1420</v>
      </c>
      <c r="B1282" s="63">
        <v>44347.0</v>
      </c>
      <c r="C1282" s="62" t="s">
        <v>119</v>
      </c>
      <c r="D1282" s="64">
        <v>47.5</v>
      </c>
      <c r="E1282" s="62" t="s">
        <v>109</v>
      </c>
      <c r="F1282" s="62" t="s">
        <v>110</v>
      </c>
      <c r="G1282" s="64" t="s">
        <v>64</v>
      </c>
      <c r="H1282" s="3" t="s">
        <v>54</v>
      </c>
      <c r="I1282" s="65">
        <f>IFERROR(VLOOKUP(A1282,'3. Call duration'!$A:$C,3,0),"--")</f>
        <v>22.07431277</v>
      </c>
      <c r="J1282" s="65" t="str">
        <f t="array" ref="J1282">XLOOKUP(H1282,'2. Matching'!$A$2:$A$39,'2. Matching'!$B$2:$B$39,"--")</f>
        <v>Partnerships</v>
      </c>
      <c r="K1282" s="65" t="str">
        <f t="shared" si="1"/>
        <v>In</v>
      </c>
    </row>
    <row r="1283">
      <c r="A1283" s="62" t="s">
        <v>1421</v>
      </c>
      <c r="B1283" s="63">
        <v>44119.0</v>
      </c>
      <c r="C1283" s="62" t="s">
        <v>108</v>
      </c>
      <c r="D1283" s="64">
        <v>0.0</v>
      </c>
      <c r="E1283" s="62" t="s">
        <v>109</v>
      </c>
      <c r="F1283" s="62" t="s">
        <v>110</v>
      </c>
      <c r="G1283" s="64" t="s">
        <v>64</v>
      </c>
      <c r="H1283" s="3" t="s">
        <v>139</v>
      </c>
      <c r="I1283" s="65">
        <f>IFERROR(VLOOKUP(A1283,'3. Call duration'!$A:$C,3,0),"--")</f>
        <v>26.14229779</v>
      </c>
      <c r="J1283" s="65" t="str">
        <f t="array" ref="J1283">XLOOKUP(H1283,'2. Matching'!$A$2:$A$39,'2. Matching'!$B$2:$B$39,"--")</f>
        <v>Acquisition</v>
      </c>
      <c r="K1283" s="65" t="str">
        <f t="shared" si="1"/>
        <v>In</v>
      </c>
    </row>
    <row r="1284">
      <c r="A1284" s="62" t="s">
        <v>1422</v>
      </c>
      <c r="B1284" s="63">
        <v>44344.0</v>
      </c>
      <c r="C1284" s="62" t="s">
        <v>119</v>
      </c>
      <c r="D1284" s="64">
        <v>47.5</v>
      </c>
      <c r="E1284" s="62" t="s">
        <v>109</v>
      </c>
      <c r="F1284" s="62" t="s">
        <v>115</v>
      </c>
      <c r="G1284" s="64" t="s">
        <v>64</v>
      </c>
      <c r="H1284" s="3" t="s">
        <v>52</v>
      </c>
      <c r="I1284" s="65">
        <f>IFERROR(VLOOKUP(A1284,'3. Call duration'!$A:$C,3,0),"--")</f>
        <v>22.09913464</v>
      </c>
      <c r="J1284" s="65" t="str">
        <f t="array" ref="J1284">XLOOKUP(H1284,'2. Matching'!$A$2:$A$39,'2. Matching'!$B$2:$B$39,"--")</f>
        <v>Partnerships</v>
      </c>
      <c r="K1284" s="65" t="str">
        <f t="shared" si="1"/>
        <v>In</v>
      </c>
    </row>
    <row r="1285">
      <c r="A1285" s="62" t="s">
        <v>1423</v>
      </c>
      <c r="B1285" s="63">
        <v>44356.0</v>
      </c>
      <c r="C1285" s="62" t="s">
        <v>108</v>
      </c>
      <c r="D1285" s="64">
        <v>0.0</v>
      </c>
      <c r="E1285" s="62" t="s">
        <v>109</v>
      </c>
      <c r="F1285" s="62" t="s">
        <v>110</v>
      </c>
      <c r="G1285" s="64" t="s">
        <v>64</v>
      </c>
      <c r="H1285" s="3" t="s">
        <v>131</v>
      </c>
      <c r="I1285" s="65">
        <f>IFERROR(VLOOKUP(A1285,'3. Call duration'!$A:$C,3,0),"--")</f>
        <v>26.78713234</v>
      </c>
      <c r="J1285" s="65" t="str">
        <f t="array" ref="J1285">XLOOKUP(H1285,'2. Matching'!$A$2:$A$39,'2. Matching'!$B$2:$B$39,"--")</f>
        <v>Acquisition</v>
      </c>
      <c r="K1285" s="65" t="str">
        <f t="shared" si="1"/>
        <v>In</v>
      </c>
    </row>
    <row r="1286">
      <c r="A1286" s="62" t="s">
        <v>1424</v>
      </c>
      <c r="B1286" s="63">
        <v>44375.0</v>
      </c>
      <c r="C1286" s="62" t="s">
        <v>112</v>
      </c>
      <c r="D1286" s="64">
        <v>0.0</v>
      </c>
      <c r="E1286" s="62" t="s">
        <v>109</v>
      </c>
      <c r="F1286" s="62" t="s">
        <v>115</v>
      </c>
      <c r="G1286" s="64" t="s">
        <v>59</v>
      </c>
      <c r="H1286" s="3" t="s">
        <v>68</v>
      </c>
      <c r="I1286" s="65" t="str">
        <f>IFERROR(VLOOKUP(A1286,'3. Call duration'!$A:$C,3,0),"--")</f>
        <v>--</v>
      </c>
      <c r="J1286" s="65" t="str">
        <f t="array" ref="J1286">XLOOKUP(H1286,'2. Matching'!$A$2:$A$39,'2. Matching'!$B$2:$B$39,"--")</f>
        <v>Acquisition</v>
      </c>
      <c r="K1286" s="65" t="str">
        <f t="shared" si="1"/>
        <v>In</v>
      </c>
    </row>
    <row r="1287">
      <c r="A1287" s="62" t="s">
        <v>1425</v>
      </c>
      <c r="B1287" s="63">
        <v>44236.0</v>
      </c>
      <c r="C1287" s="62" t="s">
        <v>108</v>
      </c>
      <c r="D1287" s="64">
        <v>0.0</v>
      </c>
      <c r="E1287" s="62" t="s">
        <v>109</v>
      </c>
      <c r="F1287" s="62" t="s">
        <v>115</v>
      </c>
      <c r="G1287" s="64" t="s">
        <v>64</v>
      </c>
      <c r="H1287" s="3" t="s">
        <v>49</v>
      </c>
      <c r="I1287" s="65">
        <f>IFERROR(VLOOKUP(A1287,'3. Call duration'!$A:$C,3,0),"--")</f>
        <v>20.67446651</v>
      </c>
      <c r="J1287" s="65" t="str">
        <f t="array" ref="J1287">XLOOKUP(H1287,'2. Matching'!$A$2:$A$39,'2. Matching'!$B$2:$B$39,"--")</f>
        <v>Partnerships</v>
      </c>
      <c r="K1287" s="65" t="str">
        <f t="shared" si="1"/>
        <v>In</v>
      </c>
    </row>
    <row r="1288">
      <c r="A1288" s="62" t="s">
        <v>1426</v>
      </c>
      <c r="B1288" s="63">
        <v>44245.0</v>
      </c>
      <c r="C1288" s="62" t="s">
        <v>112</v>
      </c>
      <c r="D1288" s="64">
        <v>0.0</v>
      </c>
      <c r="E1288" s="62" t="s">
        <v>109</v>
      </c>
      <c r="F1288" s="62" t="s">
        <v>110</v>
      </c>
      <c r="G1288" s="64" t="s">
        <v>64</v>
      </c>
      <c r="H1288" s="3" t="s">
        <v>297</v>
      </c>
      <c r="I1288" s="65" t="str">
        <f>IFERROR(VLOOKUP(A1288,'3. Call duration'!$A:$C,3,0),"--")</f>
        <v>--</v>
      </c>
      <c r="J1288" s="65" t="str">
        <f t="array" ref="J1288">XLOOKUP(H1288,'2. Matching'!$A$2:$A$39,'2. Matching'!$B$2:$B$39,"--")</f>
        <v>Farming</v>
      </c>
      <c r="K1288" s="65" t="str">
        <f t="shared" si="1"/>
        <v>In</v>
      </c>
    </row>
    <row r="1289">
      <c r="A1289" s="62" t="s">
        <v>1427</v>
      </c>
      <c r="B1289" s="63">
        <v>44358.0</v>
      </c>
      <c r="C1289" s="62" t="s">
        <v>112</v>
      </c>
      <c r="D1289" s="64">
        <v>0.0</v>
      </c>
      <c r="E1289" s="62" t="s">
        <v>109</v>
      </c>
      <c r="F1289" s="62" t="s">
        <v>110</v>
      </c>
      <c r="G1289" s="64" t="s">
        <v>64</v>
      </c>
      <c r="H1289" s="3" t="s">
        <v>297</v>
      </c>
      <c r="I1289" s="65" t="str">
        <f>IFERROR(VLOOKUP(A1289,'3. Call duration'!$A:$C,3,0),"--")</f>
        <v>--</v>
      </c>
      <c r="J1289" s="65" t="str">
        <f t="array" ref="J1289">XLOOKUP(H1289,'2. Matching'!$A$2:$A$39,'2. Matching'!$B$2:$B$39,"--")</f>
        <v>Farming</v>
      </c>
      <c r="K1289" s="65" t="str">
        <f t="shared" si="1"/>
        <v>In</v>
      </c>
    </row>
    <row r="1290">
      <c r="A1290" s="62" t="s">
        <v>1428</v>
      </c>
      <c r="B1290" s="63">
        <v>44371.0</v>
      </c>
      <c r="C1290" s="62" t="s">
        <v>112</v>
      </c>
      <c r="D1290" s="64">
        <v>0.0</v>
      </c>
      <c r="E1290" s="62" t="s">
        <v>109</v>
      </c>
      <c r="F1290" s="62" t="s">
        <v>115</v>
      </c>
      <c r="G1290" s="64" t="s">
        <v>64</v>
      </c>
      <c r="H1290" s="3" t="s">
        <v>116</v>
      </c>
      <c r="I1290" s="65" t="str">
        <f>IFERROR(VLOOKUP(A1290,'3. Call duration'!$A:$C,3,0),"--")</f>
        <v>--</v>
      </c>
      <c r="J1290" s="65" t="str">
        <f t="array" ref="J1290">XLOOKUP(H1290,'2. Matching'!$A$2:$A$39,'2. Matching'!$B$2:$B$39,"--")</f>
        <v>Acquisition</v>
      </c>
      <c r="K1290" s="65" t="str">
        <f t="shared" si="1"/>
        <v>In</v>
      </c>
    </row>
    <row r="1291">
      <c r="A1291" s="62" t="s">
        <v>1429</v>
      </c>
      <c r="B1291" s="63">
        <v>44322.0</v>
      </c>
      <c r="C1291" s="62" t="s">
        <v>119</v>
      </c>
      <c r="D1291" s="64">
        <v>47.5</v>
      </c>
      <c r="E1291" s="62" t="s">
        <v>109</v>
      </c>
      <c r="F1291" s="62" t="s">
        <v>110</v>
      </c>
      <c r="G1291" s="64" t="s">
        <v>64</v>
      </c>
      <c r="H1291" s="3" t="s">
        <v>49</v>
      </c>
      <c r="I1291" s="65">
        <f>IFERROR(VLOOKUP(A1291,'3. Call duration'!$A:$C,3,0),"--")</f>
        <v>22.11126853</v>
      </c>
      <c r="J1291" s="65" t="str">
        <f t="array" ref="J1291">XLOOKUP(H1291,'2. Matching'!$A$2:$A$39,'2. Matching'!$B$2:$B$39,"--")</f>
        <v>Partnerships</v>
      </c>
      <c r="K1291" s="65" t="str">
        <f t="shared" si="1"/>
        <v>In</v>
      </c>
    </row>
    <row r="1292">
      <c r="A1292" s="62" t="s">
        <v>1430</v>
      </c>
      <c r="B1292" s="63">
        <v>44305.0</v>
      </c>
      <c r="C1292" s="62" t="s">
        <v>108</v>
      </c>
      <c r="D1292" s="64">
        <v>0.0</v>
      </c>
      <c r="E1292" s="62" t="s">
        <v>109</v>
      </c>
      <c r="F1292" s="62" t="s">
        <v>110</v>
      </c>
      <c r="G1292" s="64" t="s">
        <v>64</v>
      </c>
      <c r="H1292" s="3" t="s">
        <v>52</v>
      </c>
      <c r="I1292" s="65">
        <f>IFERROR(VLOOKUP(A1292,'3. Call duration'!$A:$C,3,0),"--")</f>
        <v>18.35048876</v>
      </c>
      <c r="J1292" s="65" t="str">
        <f t="array" ref="J1292">XLOOKUP(H1292,'2. Matching'!$A$2:$A$39,'2. Matching'!$B$2:$B$39,"--")</f>
        <v>Partnerships</v>
      </c>
      <c r="K1292" s="65" t="str">
        <f t="shared" si="1"/>
        <v>In</v>
      </c>
    </row>
    <row r="1293">
      <c r="A1293" s="62" t="s">
        <v>1431</v>
      </c>
      <c r="B1293" s="63">
        <v>44272.0</v>
      </c>
      <c r="C1293" s="62" t="s">
        <v>112</v>
      </c>
      <c r="D1293" s="64">
        <v>0.0</v>
      </c>
      <c r="E1293" s="62" t="s">
        <v>112</v>
      </c>
      <c r="F1293" s="62" t="s">
        <v>110</v>
      </c>
      <c r="G1293" s="64" t="s">
        <v>64</v>
      </c>
      <c r="H1293" s="3" t="s">
        <v>52</v>
      </c>
      <c r="I1293" s="65" t="str">
        <f>IFERROR(VLOOKUP(A1293,'3. Call duration'!$A:$C,3,0),"--")</f>
        <v>--</v>
      </c>
      <c r="J1293" s="65" t="str">
        <f t="array" ref="J1293">XLOOKUP(H1293,'2. Matching'!$A$2:$A$39,'2. Matching'!$B$2:$B$39,"--")</f>
        <v>Partnerships</v>
      </c>
      <c r="K1293" s="65" t="str">
        <f t="shared" si="1"/>
        <v>In</v>
      </c>
    </row>
    <row r="1294">
      <c r="A1294" s="62" t="s">
        <v>1432</v>
      </c>
      <c r="B1294" s="63">
        <v>44235.0</v>
      </c>
      <c r="C1294" s="62" t="s">
        <v>112</v>
      </c>
      <c r="D1294" s="64">
        <v>0.0</v>
      </c>
      <c r="E1294" s="62" t="s">
        <v>109</v>
      </c>
      <c r="F1294" s="62" t="s">
        <v>110</v>
      </c>
      <c r="G1294" s="64" t="s">
        <v>64</v>
      </c>
      <c r="H1294" s="3" t="s">
        <v>49</v>
      </c>
      <c r="I1294" s="65" t="str">
        <f>IFERROR(VLOOKUP(A1294,'3. Call duration'!$A:$C,3,0),"--")</f>
        <v>--</v>
      </c>
      <c r="J1294" s="65" t="str">
        <f t="array" ref="J1294">XLOOKUP(H1294,'2. Matching'!$A$2:$A$39,'2. Matching'!$B$2:$B$39,"--")</f>
        <v>Partnerships</v>
      </c>
      <c r="K1294" s="65" t="str">
        <f t="shared" si="1"/>
        <v>In</v>
      </c>
    </row>
    <row r="1295">
      <c r="A1295" s="62" t="s">
        <v>1433</v>
      </c>
      <c r="B1295" s="63">
        <v>44390.0</v>
      </c>
      <c r="C1295" s="62" t="s">
        <v>112</v>
      </c>
      <c r="D1295" s="64">
        <v>0.0</v>
      </c>
      <c r="E1295" s="62" t="s">
        <v>114</v>
      </c>
      <c r="F1295" s="62" t="s">
        <v>110</v>
      </c>
      <c r="G1295" s="64" t="s">
        <v>60</v>
      </c>
      <c r="H1295" s="3" t="s">
        <v>67</v>
      </c>
      <c r="I1295" s="65" t="str">
        <f>IFERROR(VLOOKUP(A1295,'3. Call duration'!$A:$C,3,0),"--")</f>
        <v>--</v>
      </c>
      <c r="J1295" s="65" t="str">
        <f t="array" ref="J1295">XLOOKUP(H1295,'2. Matching'!$A$2:$A$39,'2. Matching'!$B$2:$B$39,"--")</f>
        <v>Acquisition</v>
      </c>
      <c r="K1295" s="65" t="str">
        <f t="shared" si="1"/>
        <v>In</v>
      </c>
    </row>
    <row r="1296">
      <c r="A1296" s="62" t="s">
        <v>1434</v>
      </c>
      <c r="B1296" s="63">
        <v>44244.0</v>
      </c>
      <c r="C1296" s="62" t="s">
        <v>112</v>
      </c>
      <c r="D1296" s="64">
        <v>0.0</v>
      </c>
      <c r="E1296" s="62" t="s">
        <v>109</v>
      </c>
      <c r="F1296" s="62" t="s">
        <v>110</v>
      </c>
      <c r="G1296" s="64" t="s">
        <v>64</v>
      </c>
      <c r="H1296" s="3" t="s">
        <v>145</v>
      </c>
      <c r="I1296" s="65" t="str">
        <f>IFERROR(VLOOKUP(A1296,'3. Call duration'!$A:$C,3,0),"--")</f>
        <v>--</v>
      </c>
      <c r="J1296" s="65" t="str">
        <f t="array" ref="J1296">XLOOKUP(H1296,'2. Matching'!$A$2:$A$39,'2. Matching'!$B$2:$B$39,"--")</f>
        <v>SEO</v>
      </c>
      <c r="K1296" s="65" t="str">
        <f t="shared" si="1"/>
        <v>In</v>
      </c>
    </row>
    <row r="1297">
      <c r="A1297" s="62" t="s">
        <v>1435</v>
      </c>
      <c r="B1297" s="63">
        <v>44251.0</v>
      </c>
      <c r="C1297" s="62" t="s">
        <v>112</v>
      </c>
      <c r="D1297" s="64">
        <v>0.0</v>
      </c>
      <c r="E1297" s="62" t="s">
        <v>109</v>
      </c>
      <c r="F1297" s="62" t="s">
        <v>110</v>
      </c>
      <c r="G1297" s="64" t="s">
        <v>64</v>
      </c>
      <c r="H1297" s="3" t="s">
        <v>131</v>
      </c>
      <c r="I1297" s="65" t="str">
        <f>IFERROR(VLOOKUP(A1297,'3. Call duration'!$A:$C,3,0),"--")</f>
        <v>--</v>
      </c>
      <c r="J1297" s="65" t="str">
        <f t="array" ref="J1297">XLOOKUP(H1297,'2. Matching'!$A$2:$A$39,'2. Matching'!$B$2:$B$39,"--")</f>
        <v>Acquisition</v>
      </c>
      <c r="K1297" s="65" t="str">
        <f t="shared" si="1"/>
        <v>In</v>
      </c>
    </row>
    <row r="1298">
      <c r="A1298" s="62" t="s">
        <v>1436</v>
      </c>
      <c r="B1298" s="63">
        <v>44370.0</v>
      </c>
      <c r="C1298" s="62" t="s">
        <v>108</v>
      </c>
      <c r="D1298" s="64">
        <v>0.0</v>
      </c>
      <c r="E1298" s="62" t="s">
        <v>109</v>
      </c>
      <c r="F1298" s="62" t="s">
        <v>115</v>
      </c>
      <c r="G1298" s="64" t="s">
        <v>63</v>
      </c>
      <c r="H1298" s="3" t="s">
        <v>124</v>
      </c>
      <c r="I1298" s="65">
        <f>IFERROR(VLOOKUP(A1298,'3. Call duration'!$A:$C,3,0),"--")</f>
        <v>23.66438652</v>
      </c>
      <c r="J1298" s="65" t="str">
        <f t="array" ref="J1298">XLOOKUP(H1298,'2. Matching'!$A$2:$A$39,'2. Matching'!$B$2:$B$39,"--")</f>
        <v>Acquisition</v>
      </c>
      <c r="K1298" s="65" t="str">
        <f t="shared" si="1"/>
        <v>In</v>
      </c>
    </row>
    <row r="1299">
      <c r="A1299" s="62" t="s">
        <v>1437</v>
      </c>
      <c r="B1299" s="63">
        <v>44264.0</v>
      </c>
      <c r="C1299" s="62" t="s">
        <v>108</v>
      </c>
      <c r="D1299" s="64">
        <v>0.0</v>
      </c>
      <c r="E1299" s="62" t="s">
        <v>109</v>
      </c>
      <c r="F1299" s="62" t="s">
        <v>115</v>
      </c>
      <c r="G1299" s="64" t="s">
        <v>64</v>
      </c>
      <c r="H1299" s="3" t="s">
        <v>55</v>
      </c>
      <c r="I1299" s="65">
        <f>IFERROR(VLOOKUP(A1299,'3. Call duration'!$A:$C,3,0),"--")</f>
        <v>20.33875711</v>
      </c>
      <c r="J1299" s="65" t="str">
        <f t="array" ref="J1299">XLOOKUP(H1299,'2. Matching'!$A$2:$A$39,'2. Matching'!$B$2:$B$39,"--")</f>
        <v>Partnerships</v>
      </c>
      <c r="K1299" s="65" t="str">
        <f t="shared" si="1"/>
        <v>In</v>
      </c>
    </row>
    <row r="1300">
      <c r="A1300" s="62" t="s">
        <v>1438</v>
      </c>
      <c r="B1300" s="63">
        <v>44155.0</v>
      </c>
      <c r="C1300" s="62" t="s">
        <v>112</v>
      </c>
      <c r="D1300" s="64">
        <v>0.0</v>
      </c>
      <c r="E1300" s="62" t="s">
        <v>109</v>
      </c>
      <c r="F1300" s="62" t="s">
        <v>110</v>
      </c>
      <c r="G1300" s="64" t="s">
        <v>64</v>
      </c>
      <c r="H1300" s="3" t="s">
        <v>175</v>
      </c>
      <c r="I1300" s="65" t="str">
        <f>IFERROR(VLOOKUP(A1300,'3. Call duration'!$A:$C,3,0),"--")</f>
        <v>--</v>
      </c>
      <c r="J1300" s="65" t="str">
        <f t="array" ref="J1300">XLOOKUP(H1300,'2. Matching'!$A$2:$A$39,'2. Matching'!$B$2:$B$39,"--")</f>
        <v>SEO</v>
      </c>
      <c r="K1300" s="65" t="str">
        <f t="shared" si="1"/>
        <v>In</v>
      </c>
    </row>
    <row r="1301">
      <c r="A1301" s="62" t="s">
        <v>1439</v>
      </c>
      <c r="B1301" s="63">
        <v>44375.0</v>
      </c>
      <c r="C1301" s="62" t="s">
        <v>108</v>
      </c>
      <c r="D1301" s="64">
        <v>0.0</v>
      </c>
      <c r="E1301" s="62" t="s">
        <v>109</v>
      </c>
      <c r="F1301" s="62" t="s">
        <v>110</v>
      </c>
      <c r="G1301" s="64" t="s">
        <v>59</v>
      </c>
      <c r="H1301" s="3" t="s">
        <v>68</v>
      </c>
      <c r="I1301" s="65">
        <f>IFERROR(VLOOKUP(A1301,'3. Call duration'!$A:$C,3,0),"--")</f>
        <v>23.35427225</v>
      </c>
      <c r="J1301" s="65" t="str">
        <f t="array" ref="J1301">XLOOKUP(H1301,'2. Matching'!$A$2:$A$39,'2. Matching'!$B$2:$B$39,"--")</f>
        <v>Acquisition</v>
      </c>
      <c r="K1301" s="65" t="str">
        <f t="shared" si="1"/>
        <v>In</v>
      </c>
    </row>
    <row r="1302">
      <c r="A1302" s="62" t="s">
        <v>1440</v>
      </c>
      <c r="B1302" s="63">
        <v>44322.0</v>
      </c>
      <c r="C1302" s="62" t="s">
        <v>108</v>
      </c>
      <c r="D1302" s="64">
        <v>0.0</v>
      </c>
      <c r="E1302" s="62" t="s">
        <v>109</v>
      </c>
      <c r="F1302" s="62" t="s">
        <v>115</v>
      </c>
      <c r="G1302" s="64" t="s">
        <v>64</v>
      </c>
      <c r="H1302" s="3" t="s">
        <v>169</v>
      </c>
      <c r="I1302" s="65">
        <f>IFERROR(VLOOKUP(A1302,'3. Call duration'!$A:$C,3,0),"--")</f>
        <v>22.11296081</v>
      </c>
      <c r="J1302" s="65" t="str">
        <f t="array" ref="J1302">XLOOKUP(H1302,'2. Matching'!$A$2:$A$39,'2. Matching'!$B$2:$B$39,"--")</f>
        <v>SEO</v>
      </c>
      <c r="K1302" s="65" t="str">
        <f t="shared" si="1"/>
        <v>In</v>
      </c>
    </row>
    <row r="1303">
      <c r="A1303" s="62" t="s">
        <v>1441</v>
      </c>
      <c r="B1303" s="63">
        <v>44209.0</v>
      </c>
      <c r="C1303" s="62" t="s">
        <v>112</v>
      </c>
      <c r="D1303" s="64">
        <v>0.0</v>
      </c>
      <c r="E1303" s="62" t="s">
        <v>109</v>
      </c>
      <c r="F1303" s="62" t="s">
        <v>115</v>
      </c>
      <c r="G1303" s="64" t="s">
        <v>64</v>
      </c>
      <c r="H1303" s="3" t="s">
        <v>139</v>
      </c>
      <c r="I1303" s="65" t="str">
        <f>IFERROR(VLOOKUP(A1303,'3. Call duration'!$A:$C,3,0),"--")</f>
        <v>--</v>
      </c>
      <c r="J1303" s="65" t="str">
        <f t="array" ref="J1303">XLOOKUP(H1303,'2. Matching'!$A$2:$A$39,'2. Matching'!$B$2:$B$39,"--")</f>
        <v>Acquisition</v>
      </c>
      <c r="K1303" s="65" t="str">
        <f t="shared" si="1"/>
        <v>In</v>
      </c>
    </row>
    <row r="1304">
      <c r="A1304" s="62" t="s">
        <v>1442</v>
      </c>
      <c r="B1304" s="63">
        <v>44383.0</v>
      </c>
      <c r="C1304" s="62" t="s">
        <v>112</v>
      </c>
      <c r="D1304" s="64">
        <v>0.0</v>
      </c>
      <c r="E1304" s="62" t="s">
        <v>109</v>
      </c>
      <c r="F1304" s="62" t="s">
        <v>110</v>
      </c>
      <c r="G1304" s="64" t="s">
        <v>61</v>
      </c>
      <c r="H1304" s="3" t="s">
        <v>69</v>
      </c>
      <c r="I1304" s="65" t="str">
        <f>IFERROR(VLOOKUP(A1304,'3. Call duration'!$A:$C,3,0),"--")</f>
        <v>--</v>
      </c>
      <c r="J1304" s="65" t="str">
        <f t="array" ref="J1304">XLOOKUP(H1304,'2. Matching'!$A$2:$A$39,'2. Matching'!$B$2:$B$39,"--")</f>
        <v>Acquisition</v>
      </c>
      <c r="K1304" s="65" t="str">
        <f t="shared" si="1"/>
        <v>In</v>
      </c>
    </row>
    <row r="1305">
      <c r="A1305" s="62" t="s">
        <v>1443</v>
      </c>
      <c r="B1305" s="63">
        <v>44396.0</v>
      </c>
      <c r="C1305" s="62" t="s">
        <v>112</v>
      </c>
      <c r="D1305" s="64">
        <v>0.0</v>
      </c>
      <c r="E1305" s="62" t="s">
        <v>109</v>
      </c>
      <c r="F1305" s="62" t="s">
        <v>110</v>
      </c>
      <c r="G1305" s="64" t="s">
        <v>61</v>
      </c>
      <c r="H1305" s="3" t="s">
        <v>67</v>
      </c>
      <c r="I1305" s="65" t="str">
        <f>IFERROR(VLOOKUP(A1305,'3. Call duration'!$A:$C,3,0),"--")</f>
        <v>--</v>
      </c>
      <c r="J1305" s="65" t="str">
        <f t="array" ref="J1305">XLOOKUP(H1305,'2. Matching'!$A$2:$A$39,'2. Matching'!$B$2:$B$39,"--")</f>
        <v>Acquisition</v>
      </c>
      <c r="K1305" s="65" t="str">
        <f t="shared" si="1"/>
        <v>In</v>
      </c>
    </row>
    <row r="1306">
      <c r="A1306" s="62" t="s">
        <v>1444</v>
      </c>
      <c r="B1306" s="63">
        <v>44281.0</v>
      </c>
      <c r="C1306" s="62" t="s">
        <v>112</v>
      </c>
      <c r="D1306" s="64">
        <v>0.0</v>
      </c>
      <c r="E1306" s="62" t="s">
        <v>109</v>
      </c>
      <c r="F1306" s="62" t="s">
        <v>110</v>
      </c>
      <c r="G1306" s="64" t="s">
        <v>64</v>
      </c>
      <c r="H1306" s="3" t="s">
        <v>49</v>
      </c>
      <c r="I1306" s="65" t="str">
        <f>IFERROR(VLOOKUP(A1306,'3. Call duration'!$A:$C,3,0),"--")</f>
        <v>--</v>
      </c>
      <c r="J1306" s="65" t="str">
        <f t="array" ref="J1306">XLOOKUP(H1306,'2. Matching'!$A$2:$A$39,'2. Matching'!$B$2:$B$39,"--")</f>
        <v>Partnerships</v>
      </c>
      <c r="K1306" s="65" t="str">
        <f t="shared" si="1"/>
        <v>In</v>
      </c>
    </row>
    <row r="1307">
      <c r="A1307" s="62" t="s">
        <v>1445</v>
      </c>
      <c r="B1307" s="63">
        <v>44062.0</v>
      </c>
      <c r="C1307" s="62" t="s">
        <v>108</v>
      </c>
      <c r="D1307" s="64">
        <v>0.0</v>
      </c>
      <c r="E1307" s="62" t="s">
        <v>109</v>
      </c>
      <c r="F1307" s="62" t="s">
        <v>115</v>
      </c>
      <c r="G1307" s="64" t="s">
        <v>64</v>
      </c>
      <c r="H1307" s="3" t="s">
        <v>131</v>
      </c>
      <c r="I1307" s="65">
        <f>IFERROR(VLOOKUP(A1307,'3. Call duration'!$A:$C,3,0),"--")</f>
        <v>27.99072817</v>
      </c>
      <c r="J1307" s="65" t="str">
        <f t="array" ref="J1307">XLOOKUP(H1307,'2. Matching'!$A$2:$A$39,'2. Matching'!$B$2:$B$39,"--")</f>
        <v>Acquisition</v>
      </c>
      <c r="K1307" s="65" t="str">
        <f t="shared" si="1"/>
        <v>In</v>
      </c>
    </row>
    <row r="1308">
      <c r="A1308" s="62" t="s">
        <v>1446</v>
      </c>
      <c r="B1308" s="63">
        <v>44370.0</v>
      </c>
      <c r="C1308" s="62" t="s">
        <v>112</v>
      </c>
      <c r="D1308" s="64">
        <v>0.0</v>
      </c>
      <c r="E1308" s="62" t="s">
        <v>114</v>
      </c>
      <c r="F1308" s="62" t="s">
        <v>110</v>
      </c>
      <c r="G1308" s="64" t="s">
        <v>60</v>
      </c>
      <c r="H1308" s="3" t="s">
        <v>67</v>
      </c>
      <c r="I1308" s="65" t="str">
        <f>IFERROR(VLOOKUP(A1308,'3. Call duration'!$A:$C,3,0),"--")</f>
        <v>--</v>
      </c>
      <c r="J1308" s="65" t="str">
        <f t="array" ref="J1308">XLOOKUP(H1308,'2. Matching'!$A$2:$A$39,'2. Matching'!$B$2:$B$39,"--")</f>
        <v>Acquisition</v>
      </c>
      <c r="K1308" s="65" t="str">
        <f t="shared" si="1"/>
        <v>In</v>
      </c>
    </row>
    <row r="1309">
      <c r="A1309" s="62" t="s">
        <v>1447</v>
      </c>
      <c r="B1309" s="63">
        <v>44336.0</v>
      </c>
      <c r="C1309" s="62" t="s">
        <v>108</v>
      </c>
      <c r="D1309" s="64">
        <v>0.0</v>
      </c>
      <c r="E1309" s="62" t="s">
        <v>109</v>
      </c>
      <c r="F1309" s="62" t="s">
        <v>115</v>
      </c>
      <c r="G1309" s="64" t="s">
        <v>64</v>
      </c>
      <c r="H1309" s="3" t="s">
        <v>54</v>
      </c>
      <c r="I1309" s="65">
        <f>IFERROR(VLOOKUP(A1309,'3. Call duration'!$A:$C,3,0),"--")</f>
        <v>22.13945359</v>
      </c>
      <c r="J1309" s="65" t="str">
        <f t="array" ref="J1309">XLOOKUP(H1309,'2. Matching'!$A$2:$A$39,'2. Matching'!$B$2:$B$39,"--")</f>
        <v>Partnerships</v>
      </c>
      <c r="K1309" s="65" t="str">
        <f t="shared" si="1"/>
        <v>In</v>
      </c>
    </row>
    <row r="1310">
      <c r="A1310" s="62" t="s">
        <v>1448</v>
      </c>
      <c r="B1310" s="63">
        <v>44394.0</v>
      </c>
      <c r="C1310" s="62" t="s">
        <v>112</v>
      </c>
      <c r="D1310" s="64">
        <v>0.0</v>
      </c>
      <c r="E1310" s="62" t="s">
        <v>109</v>
      </c>
      <c r="F1310" s="62" t="s">
        <v>110</v>
      </c>
      <c r="G1310" s="64" t="s">
        <v>61</v>
      </c>
      <c r="H1310" s="3" t="s">
        <v>67</v>
      </c>
      <c r="I1310" s="65" t="str">
        <f>IFERROR(VLOOKUP(A1310,'3. Call duration'!$A:$C,3,0),"--")</f>
        <v>--</v>
      </c>
      <c r="J1310" s="65" t="str">
        <f t="array" ref="J1310">XLOOKUP(H1310,'2. Matching'!$A$2:$A$39,'2. Matching'!$B$2:$B$39,"--")</f>
        <v>Acquisition</v>
      </c>
      <c r="K1310" s="65" t="str">
        <f t="shared" si="1"/>
        <v>In</v>
      </c>
    </row>
    <row r="1311">
      <c r="A1311" s="62" t="s">
        <v>1449</v>
      </c>
      <c r="B1311" s="63">
        <v>44359.0</v>
      </c>
      <c r="C1311" s="62" t="s">
        <v>112</v>
      </c>
      <c r="D1311" s="64">
        <v>0.0</v>
      </c>
      <c r="E1311" s="62" t="s">
        <v>114</v>
      </c>
      <c r="F1311" s="62" t="s">
        <v>110</v>
      </c>
      <c r="G1311" s="64" t="s">
        <v>60</v>
      </c>
      <c r="H1311" s="3" t="s">
        <v>67</v>
      </c>
      <c r="I1311" s="65" t="str">
        <f>IFERROR(VLOOKUP(A1311,'3. Call duration'!$A:$C,3,0),"--")</f>
        <v>--</v>
      </c>
      <c r="J1311" s="65" t="str">
        <f t="array" ref="J1311">XLOOKUP(H1311,'2. Matching'!$A$2:$A$39,'2. Matching'!$B$2:$B$39,"--")</f>
        <v>Acquisition</v>
      </c>
      <c r="K1311" s="65" t="str">
        <f t="shared" si="1"/>
        <v>In</v>
      </c>
    </row>
    <row r="1312">
      <c r="A1312" s="62" t="s">
        <v>1450</v>
      </c>
      <c r="B1312" s="63">
        <v>44105.0</v>
      </c>
      <c r="C1312" s="62" t="s">
        <v>108</v>
      </c>
      <c r="D1312" s="64">
        <v>0.0</v>
      </c>
      <c r="E1312" s="62" t="s">
        <v>114</v>
      </c>
      <c r="F1312" s="62" t="s">
        <v>115</v>
      </c>
      <c r="G1312" s="64" t="s">
        <v>64</v>
      </c>
      <c r="H1312" s="3" t="s">
        <v>139</v>
      </c>
      <c r="I1312" s="65">
        <f>IFERROR(VLOOKUP(A1312,'3. Call duration'!$A:$C,3,0),"--")</f>
        <v>32.32625282</v>
      </c>
      <c r="J1312" s="65" t="str">
        <f t="array" ref="J1312">XLOOKUP(H1312,'2. Matching'!$A$2:$A$39,'2. Matching'!$B$2:$B$39,"--")</f>
        <v>Acquisition</v>
      </c>
      <c r="K1312" s="65" t="str">
        <f t="shared" si="1"/>
        <v>In</v>
      </c>
    </row>
    <row r="1313">
      <c r="A1313" s="62" t="s">
        <v>1451</v>
      </c>
      <c r="B1313" s="63">
        <v>44357.0</v>
      </c>
      <c r="C1313" s="62" t="s">
        <v>108</v>
      </c>
      <c r="D1313" s="64">
        <v>0.0</v>
      </c>
      <c r="E1313" s="62" t="s">
        <v>109</v>
      </c>
      <c r="F1313" s="62" t="s">
        <v>115</v>
      </c>
      <c r="G1313" s="64" t="s">
        <v>64</v>
      </c>
      <c r="H1313" s="3" t="s">
        <v>185</v>
      </c>
      <c r="I1313" s="65">
        <f>IFERROR(VLOOKUP(A1313,'3. Call duration'!$A:$C,3,0),"--")</f>
        <v>29.02111724</v>
      </c>
      <c r="J1313" s="65" t="str">
        <f t="array" ref="J1313">XLOOKUP(H1313,'2. Matching'!$A$2:$A$39,'2. Matching'!$B$2:$B$39,"--")</f>
        <v>SEO</v>
      </c>
      <c r="K1313" s="65" t="str">
        <f t="shared" si="1"/>
        <v>In</v>
      </c>
    </row>
    <row r="1314">
      <c r="A1314" s="62" t="s">
        <v>1452</v>
      </c>
      <c r="B1314" s="63">
        <v>44368.0</v>
      </c>
      <c r="C1314" s="62" t="s">
        <v>108</v>
      </c>
      <c r="D1314" s="64">
        <v>0.0</v>
      </c>
      <c r="E1314" s="62" t="s">
        <v>114</v>
      </c>
      <c r="F1314" s="62" t="s">
        <v>110</v>
      </c>
      <c r="G1314" s="64" t="s">
        <v>60</v>
      </c>
      <c r="H1314" s="3" t="s">
        <v>67</v>
      </c>
      <c r="I1314" s="65">
        <f>IFERROR(VLOOKUP(A1314,'3. Call duration'!$A:$C,3,0),"--")</f>
        <v>29.36981737</v>
      </c>
      <c r="J1314" s="65" t="str">
        <f t="array" ref="J1314">XLOOKUP(H1314,'2. Matching'!$A$2:$A$39,'2. Matching'!$B$2:$B$39,"--")</f>
        <v>Acquisition</v>
      </c>
      <c r="K1314" s="65" t="str">
        <f t="shared" si="1"/>
        <v>In</v>
      </c>
    </row>
    <row r="1315">
      <c r="A1315" s="62" t="s">
        <v>1453</v>
      </c>
      <c r="B1315" s="63">
        <v>44236.0</v>
      </c>
      <c r="C1315" s="62" t="s">
        <v>108</v>
      </c>
      <c r="D1315" s="64">
        <v>0.0</v>
      </c>
      <c r="E1315" s="62" t="s">
        <v>109</v>
      </c>
      <c r="F1315" s="62" t="s">
        <v>115</v>
      </c>
      <c r="G1315" s="64" t="s">
        <v>64</v>
      </c>
      <c r="H1315" s="3" t="s">
        <v>155</v>
      </c>
      <c r="I1315" s="65">
        <f>IFERROR(VLOOKUP(A1315,'3. Call duration'!$A:$C,3,0),"--")</f>
        <v>20.82405456</v>
      </c>
      <c r="J1315" s="65" t="str">
        <f t="array" ref="J1315">XLOOKUP(H1315,'2. Matching'!$A$2:$A$39,'2. Matching'!$B$2:$B$39,"--")</f>
        <v>SEO</v>
      </c>
      <c r="K1315" s="65" t="str">
        <f t="shared" si="1"/>
        <v>In</v>
      </c>
    </row>
    <row r="1316">
      <c r="A1316" s="62" t="s">
        <v>1454</v>
      </c>
      <c r="B1316" s="63">
        <v>44356.0</v>
      </c>
      <c r="C1316" s="62" t="s">
        <v>112</v>
      </c>
      <c r="D1316" s="64">
        <v>0.0</v>
      </c>
      <c r="E1316" s="62" t="s">
        <v>109</v>
      </c>
      <c r="F1316" s="62" t="s">
        <v>110</v>
      </c>
      <c r="G1316" s="64" t="s">
        <v>63</v>
      </c>
      <c r="H1316" s="3" t="s">
        <v>124</v>
      </c>
      <c r="I1316" s="65" t="str">
        <f>IFERROR(VLOOKUP(A1316,'3. Call duration'!$A:$C,3,0),"--")</f>
        <v>--</v>
      </c>
      <c r="J1316" s="65" t="str">
        <f t="array" ref="J1316">XLOOKUP(H1316,'2. Matching'!$A$2:$A$39,'2. Matching'!$B$2:$B$39,"--")</f>
        <v>Acquisition</v>
      </c>
      <c r="K1316" s="65" t="str">
        <f t="shared" si="1"/>
        <v>In</v>
      </c>
    </row>
    <row r="1317">
      <c r="A1317" s="62" t="s">
        <v>1455</v>
      </c>
      <c r="B1317" s="63">
        <v>44263.0</v>
      </c>
      <c r="C1317" s="62" t="s">
        <v>112</v>
      </c>
      <c r="D1317" s="64">
        <v>0.0</v>
      </c>
      <c r="E1317" s="62" t="s">
        <v>114</v>
      </c>
      <c r="F1317" s="62" t="s">
        <v>115</v>
      </c>
      <c r="G1317" s="64" t="s">
        <v>64</v>
      </c>
      <c r="H1317" s="3" t="s">
        <v>155</v>
      </c>
      <c r="I1317" s="65" t="str">
        <f>IFERROR(VLOOKUP(A1317,'3. Call duration'!$A:$C,3,0),"--")</f>
        <v>--</v>
      </c>
      <c r="J1317" s="65" t="str">
        <f t="array" ref="J1317">XLOOKUP(H1317,'2. Matching'!$A$2:$A$39,'2. Matching'!$B$2:$B$39,"--")</f>
        <v>SEO</v>
      </c>
      <c r="K1317" s="65" t="str">
        <f t="shared" si="1"/>
        <v>In</v>
      </c>
    </row>
    <row r="1318">
      <c r="A1318" s="62" t="s">
        <v>1456</v>
      </c>
      <c r="B1318" s="63">
        <v>44273.0</v>
      </c>
      <c r="C1318" s="62" t="s">
        <v>108</v>
      </c>
      <c r="D1318" s="64">
        <v>0.0</v>
      </c>
      <c r="E1318" s="62" t="s">
        <v>109</v>
      </c>
      <c r="F1318" s="62" t="s">
        <v>110</v>
      </c>
      <c r="G1318" s="64" t="s">
        <v>64</v>
      </c>
      <c r="H1318" s="3" t="s">
        <v>185</v>
      </c>
      <c r="I1318" s="65" t="str">
        <f>IFERROR(VLOOKUP(A1318,'3. Call duration'!$A:$C,3,0),"--")</f>
        <v>--</v>
      </c>
      <c r="J1318" s="65" t="str">
        <f t="array" ref="J1318">XLOOKUP(H1318,'2. Matching'!$A$2:$A$39,'2. Matching'!$B$2:$B$39,"--")</f>
        <v>SEO</v>
      </c>
      <c r="K1318" s="65" t="str">
        <f t="shared" si="1"/>
        <v>In</v>
      </c>
    </row>
    <row r="1319">
      <c r="A1319" s="62" t="s">
        <v>1457</v>
      </c>
      <c r="B1319" s="63">
        <v>44375.0</v>
      </c>
      <c r="C1319" s="62" t="s">
        <v>108</v>
      </c>
      <c r="D1319" s="64">
        <v>0.0</v>
      </c>
      <c r="E1319" s="62" t="s">
        <v>109</v>
      </c>
      <c r="F1319" s="62" t="s">
        <v>110</v>
      </c>
      <c r="G1319" s="64" t="s">
        <v>61</v>
      </c>
      <c r="H1319" s="3" t="s">
        <v>67</v>
      </c>
      <c r="I1319" s="65">
        <f>IFERROR(VLOOKUP(A1319,'3. Call duration'!$A:$C,3,0),"--")</f>
        <v>30.45418771</v>
      </c>
      <c r="J1319" s="65" t="str">
        <f t="array" ref="J1319">XLOOKUP(H1319,'2. Matching'!$A$2:$A$39,'2. Matching'!$B$2:$B$39,"--")</f>
        <v>Acquisition</v>
      </c>
      <c r="K1319" s="65" t="str">
        <f t="shared" si="1"/>
        <v>In</v>
      </c>
    </row>
    <row r="1320">
      <c r="A1320" s="62" t="s">
        <v>1458</v>
      </c>
      <c r="B1320" s="63">
        <v>44117.0</v>
      </c>
      <c r="C1320" s="62" t="s">
        <v>112</v>
      </c>
      <c r="D1320" s="64">
        <v>0.0</v>
      </c>
      <c r="E1320" s="62" t="s">
        <v>109</v>
      </c>
      <c r="F1320" s="62" t="s">
        <v>110</v>
      </c>
      <c r="G1320" s="64" t="s">
        <v>64</v>
      </c>
      <c r="H1320" s="3" t="s">
        <v>164</v>
      </c>
      <c r="I1320" s="65" t="str">
        <f>IFERROR(VLOOKUP(A1320,'3. Call duration'!$A:$C,3,0),"--")</f>
        <v>--</v>
      </c>
      <c r="J1320" s="65" t="str">
        <f t="array" ref="J1320">XLOOKUP(H1320,'2. Matching'!$A$2:$A$39,'2. Matching'!$B$2:$B$39,"--")</f>
        <v>SEO</v>
      </c>
      <c r="K1320" s="65" t="str">
        <f t="shared" si="1"/>
        <v>In</v>
      </c>
    </row>
    <row r="1321">
      <c r="A1321" s="62" t="s">
        <v>1459</v>
      </c>
      <c r="B1321" s="63">
        <v>44343.0</v>
      </c>
      <c r="C1321" s="62" t="s">
        <v>119</v>
      </c>
      <c r="D1321" s="64">
        <v>47.5</v>
      </c>
      <c r="E1321" s="62" t="s">
        <v>109</v>
      </c>
      <c r="F1321" s="62" t="s">
        <v>110</v>
      </c>
      <c r="G1321" s="64" t="s">
        <v>64</v>
      </c>
      <c r="H1321" s="3" t="s">
        <v>171</v>
      </c>
      <c r="I1321" s="65">
        <f>IFERROR(VLOOKUP(A1321,'3. Call duration'!$A:$C,3,0),"--")</f>
        <v>22.15120703</v>
      </c>
      <c r="J1321" s="65" t="str">
        <f t="array" ref="J1321">XLOOKUP(H1321,'2. Matching'!$A$2:$A$39,'2. Matching'!$B$2:$B$39,"--")</f>
        <v>SEO</v>
      </c>
      <c r="K1321" s="65" t="str">
        <f t="shared" si="1"/>
        <v>In</v>
      </c>
    </row>
    <row r="1322">
      <c r="A1322" s="62" t="s">
        <v>1460</v>
      </c>
      <c r="B1322" s="63">
        <v>44231.0</v>
      </c>
      <c r="C1322" s="62" t="s">
        <v>112</v>
      </c>
      <c r="D1322" s="64">
        <v>0.0</v>
      </c>
      <c r="E1322" s="62" t="s">
        <v>109</v>
      </c>
      <c r="F1322" s="62" t="s">
        <v>110</v>
      </c>
      <c r="G1322" s="64" t="s">
        <v>64</v>
      </c>
      <c r="H1322" s="3" t="s">
        <v>135</v>
      </c>
      <c r="I1322" s="65" t="str">
        <f>IFERROR(VLOOKUP(A1322,'3. Call duration'!$A:$C,3,0),"--")</f>
        <v>--</v>
      </c>
      <c r="J1322" s="65" t="str">
        <f t="array" ref="J1322">XLOOKUP(H1322,'2. Matching'!$A$2:$A$39,'2. Matching'!$B$2:$B$39,"--")</f>
        <v>Acquisition</v>
      </c>
      <c r="K1322" s="65" t="str">
        <f t="shared" si="1"/>
        <v>In</v>
      </c>
    </row>
    <row r="1323">
      <c r="A1323" s="62" t="s">
        <v>1461</v>
      </c>
      <c r="B1323" s="63">
        <v>44377.0</v>
      </c>
      <c r="C1323" s="62" t="s">
        <v>108</v>
      </c>
      <c r="D1323" s="64">
        <v>0.0</v>
      </c>
      <c r="E1323" s="62" t="s">
        <v>109</v>
      </c>
      <c r="F1323" s="62" t="s">
        <v>115</v>
      </c>
      <c r="G1323" s="64" t="s">
        <v>64</v>
      </c>
      <c r="H1323" s="3" t="s">
        <v>116</v>
      </c>
      <c r="I1323" s="65">
        <f>IFERROR(VLOOKUP(A1323,'3. Call duration'!$A:$C,3,0),"--")</f>
        <v>29.23101243</v>
      </c>
      <c r="J1323" s="65" t="str">
        <f t="array" ref="J1323">XLOOKUP(H1323,'2. Matching'!$A$2:$A$39,'2. Matching'!$B$2:$B$39,"--")</f>
        <v>Acquisition</v>
      </c>
      <c r="K1323" s="65" t="str">
        <f t="shared" si="1"/>
        <v>In</v>
      </c>
    </row>
    <row r="1324">
      <c r="A1324" s="62" t="s">
        <v>1462</v>
      </c>
      <c r="B1324" s="63">
        <v>44267.0</v>
      </c>
      <c r="C1324" s="62" t="s">
        <v>112</v>
      </c>
      <c r="D1324" s="64">
        <v>0.0</v>
      </c>
      <c r="E1324" s="62" t="s">
        <v>109</v>
      </c>
      <c r="F1324" s="62" t="s">
        <v>110</v>
      </c>
      <c r="G1324" s="64" t="s">
        <v>64</v>
      </c>
      <c r="H1324" s="3" t="s">
        <v>175</v>
      </c>
      <c r="I1324" s="65" t="str">
        <f>IFERROR(VLOOKUP(A1324,'3. Call duration'!$A:$C,3,0),"--")</f>
        <v>--</v>
      </c>
      <c r="J1324" s="65" t="str">
        <f t="array" ref="J1324">XLOOKUP(H1324,'2. Matching'!$A$2:$A$39,'2. Matching'!$B$2:$B$39,"--")</f>
        <v>SEO</v>
      </c>
      <c r="K1324" s="65" t="str">
        <f t="shared" si="1"/>
        <v>In</v>
      </c>
    </row>
    <row r="1325">
      <c r="A1325" s="62" t="s">
        <v>1463</v>
      </c>
      <c r="B1325" s="63">
        <v>44357.0</v>
      </c>
      <c r="C1325" s="62" t="s">
        <v>112</v>
      </c>
      <c r="D1325" s="64">
        <v>0.0</v>
      </c>
      <c r="E1325" s="62" t="s">
        <v>109</v>
      </c>
      <c r="F1325" s="62" t="s">
        <v>115</v>
      </c>
      <c r="G1325" s="64" t="s">
        <v>64</v>
      </c>
      <c r="H1325" s="3" t="s">
        <v>54</v>
      </c>
      <c r="I1325" s="65" t="str">
        <f>IFERROR(VLOOKUP(A1325,'3. Call duration'!$A:$C,3,0),"--")</f>
        <v>--</v>
      </c>
      <c r="J1325" s="65" t="str">
        <f t="array" ref="J1325">XLOOKUP(H1325,'2. Matching'!$A$2:$A$39,'2. Matching'!$B$2:$B$39,"--")</f>
        <v>Partnerships</v>
      </c>
      <c r="K1325" s="65" t="str">
        <f t="shared" si="1"/>
        <v>In</v>
      </c>
    </row>
    <row r="1326">
      <c r="A1326" s="62" t="s">
        <v>1464</v>
      </c>
      <c r="B1326" s="63">
        <v>44380.0</v>
      </c>
      <c r="C1326" s="62" t="s">
        <v>112</v>
      </c>
      <c r="D1326" s="64">
        <v>0.0</v>
      </c>
      <c r="E1326" s="62" t="s">
        <v>109</v>
      </c>
      <c r="F1326" s="62" t="s">
        <v>110</v>
      </c>
      <c r="G1326" s="64" t="s">
        <v>60</v>
      </c>
      <c r="H1326" s="3" t="s">
        <v>67</v>
      </c>
      <c r="I1326" s="65" t="str">
        <f>IFERROR(VLOOKUP(A1326,'3. Call duration'!$A:$C,3,0),"--")</f>
        <v>--</v>
      </c>
      <c r="J1326" s="65" t="str">
        <f t="array" ref="J1326">XLOOKUP(H1326,'2. Matching'!$A$2:$A$39,'2. Matching'!$B$2:$B$39,"--")</f>
        <v>Acquisition</v>
      </c>
      <c r="K1326" s="65" t="str">
        <f t="shared" si="1"/>
        <v>In</v>
      </c>
    </row>
    <row r="1327">
      <c r="A1327" s="62" t="s">
        <v>1465</v>
      </c>
      <c r="B1327" s="63">
        <v>44351.0</v>
      </c>
      <c r="C1327" s="62" t="s">
        <v>112</v>
      </c>
      <c r="D1327" s="64">
        <v>0.0</v>
      </c>
      <c r="E1327" s="62" t="s">
        <v>109</v>
      </c>
      <c r="F1327" s="62" t="s">
        <v>110</v>
      </c>
      <c r="G1327" s="64" t="s">
        <v>60</v>
      </c>
      <c r="H1327" s="3" t="s">
        <v>67</v>
      </c>
      <c r="I1327" s="65" t="str">
        <f>IFERROR(VLOOKUP(A1327,'3. Call duration'!$A:$C,3,0),"--")</f>
        <v>--</v>
      </c>
      <c r="J1327" s="65" t="str">
        <f t="array" ref="J1327">XLOOKUP(H1327,'2. Matching'!$A$2:$A$39,'2. Matching'!$B$2:$B$39,"--")</f>
        <v>Acquisition</v>
      </c>
      <c r="K1327" s="65" t="str">
        <f t="shared" si="1"/>
        <v>In</v>
      </c>
    </row>
    <row r="1328">
      <c r="A1328" s="62" t="s">
        <v>1466</v>
      </c>
      <c r="B1328" s="63">
        <v>44361.0</v>
      </c>
      <c r="C1328" s="62" t="s">
        <v>112</v>
      </c>
      <c r="D1328" s="64">
        <v>0.0</v>
      </c>
      <c r="E1328" s="62" t="s">
        <v>114</v>
      </c>
      <c r="F1328" s="62" t="s">
        <v>110</v>
      </c>
      <c r="G1328" s="64" t="s">
        <v>60</v>
      </c>
      <c r="H1328" s="3" t="s">
        <v>67</v>
      </c>
      <c r="I1328" s="65" t="str">
        <f>IFERROR(VLOOKUP(A1328,'3. Call duration'!$A:$C,3,0),"--")</f>
        <v>--</v>
      </c>
      <c r="J1328" s="65" t="str">
        <f t="array" ref="J1328">XLOOKUP(H1328,'2. Matching'!$A$2:$A$39,'2. Matching'!$B$2:$B$39,"--")</f>
        <v>Acquisition</v>
      </c>
      <c r="K1328" s="65" t="str">
        <f t="shared" si="1"/>
        <v>In</v>
      </c>
    </row>
    <row r="1329">
      <c r="A1329" s="62" t="s">
        <v>1467</v>
      </c>
      <c r="B1329" s="63">
        <v>44386.0</v>
      </c>
      <c r="C1329" s="62" t="s">
        <v>108</v>
      </c>
      <c r="D1329" s="64">
        <v>0.0</v>
      </c>
      <c r="E1329" s="62" t="s">
        <v>114</v>
      </c>
      <c r="F1329" s="62" t="s">
        <v>115</v>
      </c>
      <c r="G1329" s="64" t="s">
        <v>63</v>
      </c>
      <c r="H1329" s="3" t="s">
        <v>228</v>
      </c>
      <c r="I1329" s="65">
        <f>IFERROR(VLOOKUP(A1329,'3. Call duration'!$A:$C,3,0),"--")</f>
        <v>32.23632261</v>
      </c>
      <c r="J1329" s="65" t="str">
        <f t="array" ref="J1329">XLOOKUP(H1329,'2. Matching'!$A$2:$A$39,'2. Matching'!$B$2:$B$39,"--")</f>
        <v>Farming</v>
      </c>
      <c r="K1329" s="65" t="str">
        <f t="shared" si="1"/>
        <v>In</v>
      </c>
    </row>
    <row r="1330">
      <c r="A1330" s="62" t="s">
        <v>1468</v>
      </c>
      <c r="B1330" s="63">
        <v>44224.0</v>
      </c>
      <c r="C1330" s="62" t="s">
        <v>112</v>
      </c>
      <c r="D1330" s="64">
        <v>0.0</v>
      </c>
      <c r="E1330" s="62" t="s">
        <v>109</v>
      </c>
      <c r="F1330" s="62" t="s">
        <v>115</v>
      </c>
      <c r="G1330" s="64" t="s">
        <v>64</v>
      </c>
      <c r="H1330" s="3" t="s">
        <v>131</v>
      </c>
      <c r="I1330" s="65" t="str">
        <f>IFERROR(VLOOKUP(A1330,'3. Call duration'!$A:$C,3,0),"--")</f>
        <v>--</v>
      </c>
      <c r="J1330" s="65" t="str">
        <f t="array" ref="J1330">XLOOKUP(H1330,'2. Matching'!$A$2:$A$39,'2. Matching'!$B$2:$B$39,"--")</f>
        <v>Acquisition</v>
      </c>
      <c r="K1330" s="65" t="str">
        <f t="shared" si="1"/>
        <v>In</v>
      </c>
    </row>
    <row r="1331">
      <c r="A1331" s="62" t="s">
        <v>1469</v>
      </c>
      <c r="B1331" s="63">
        <v>44098.0</v>
      </c>
      <c r="C1331" s="62" t="s">
        <v>108</v>
      </c>
      <c r="D1331" s="64">
        <v>0.0</v>
      </c>
      <c r="E1331" s="62" t="s">
        <v>114</v>
      </c>
      <c r="F1331" s="62" t="s">
        <v>115</v>
      </c>
      <c r="G1331" s="64" t="s">
        <v>64</v>
      </c>
      <c r="H1331" s="3" t="s">
        <v>139</v>
      </c>
      <c r="I1331" s="65">
        <f>IFERROR(VLOOKUP(A1331,'3. Call duration'!$A:$C,3,0),"--")</f>
        <v>26.94117017</v>
      </c>
      <c r="J1331" s="65" t="str">
        <f t="array" ref="J1331">XLOOKUP(H1331,'2. Matching'!$A$2:$A$39,'2. Matching'!$B$2:$B$39,"--")</f>
        <v>Acquisition</v>
      </c>
      <c r="K1331" s="65" t="str">
        <f t="shared" si="1"/>
        <v>In</v>
      </c>
    </row>
    <row r="1332">
      <c r="A1332" s="62" t="s">
        <v>1470</v>
      </c>
      <c r="B1332" s="63">
        <v>44278.0</v>
      </c>
      <c r="C1332" s="62" t="s">
        <v>112</v>
      </c>
      <c r="D1332" s="64">
        <v>0.0</v>
      </c>
      <c r="E1332" s="62" t="s">
        <v>109</v>
      </c>
      <c r="F1332" s="62" t="s">
        <v>115</v>
      </c>
      <c r="G1332" s="64" t="s">
        <v>64</v>
      </c>
      <c r="H1332" s="3" t="s">
        <v>116</v>
      </c>
      <c r="I1332" s="65" t="str">
        <f>IFERROR(VLOOKUP(A1332,'3. Call duration'!$A:$C,3,0),"--")</f>
        <v>--</v>
      </c>
      <c r="J1332" s="65" t="str">
        <f t="array" ref="J1332">XLOOKUP(H1332,'2. Matching'!$A$2:$A$39,'2. Matching'!$B$2:$B$39,"--")</f>
        <v>Acquisition</v>
      </c>
      <c r="K1332" s="65" t="str">
        <f t="shared" si="1"/>
        <v>In</v>
      </c>
    </row>
    <row r="1333">
      <c r="A1333" s="62" t="s">
        <v>1471</v>
      </c>
      <c r="B1333" s="63">
        <v>44392.0</v>
      </c>
      <c r="C1333" s="62" t="s">
        <v>112</v>
      </c>
      <c r="D1333" s="64">
        <v>0.0</v>
      </c>
      <c r="E1333" s="62" t="s">
        <v>109</v>
      </c>
      <c r="F1333" s="62" t="s">
        <v>110</v>
      </c>
      <c r="G1333" s="64" t="s">
        <v>61</v>
      </c>
      <c r="H1333" s="3" t="s">
        <v>67</v>
      </c>
      <c r="I1333" s="65" t="str">
        <f>IFERROR(VLOOKUP(A1333,'3. Call duration'!$A:$C,3,0),"--")</f>
        <v>--</v>
      </c>
      <c r="J1333" s="65" t="str">
        <f t="array" ref="J1333">XLOOKUP(H1333,'2. Matching'!$A$2:$A$39,'2. Matching'!$B$2:$B$39,"--")</f>
        <v>Acquisition</v>
      </c>
      <c r="K1333" s="65" t="str">
        <f t="shared" si="1"/>
        <v>In</v>
      </c>
    </row>
    <row r="1334">
      <c r="A1334" s="62" t="s">
        <v>1472</v>
      </c>
      <c r="B1334" s="63">
        <v>44235.0</v>
      </c>
      <c r="C1334" s="62" t="s">
        <v>112</v>
      </c>
      <c r="D1334" s="64">
        <v>0.0</v>
      </c>
      <c r="E1334" s="62" t="s">
        <v>109</v>
      </c>
      <c r="F1334" s="62" t="s">
        <v>115</v>
      </c>
      <c r="G1334" s="64" t="s">
        <v>64</v>
      </c>
      <c r="H1334" s="3" t="s">
        <v>131</v>
      </c>
      <c r="I1334" s="65" t="str">
        <f>IFERROR(VLOOKUP(A1334,'3. Call duration'!$A:$C,3,0),"--")</f>
        <v>--</v>
      </c>
      <c r="J1334" s="65" t="str">
        <f t="array" ref="J1334">XLOOKUP(H1334,'2. Matching'!$A$2:$A$39,'2. Matching'!$B$2:$B$39,"--")</f>
        <v>Acquisition</v>
      </c>
      <c r="K1334" s="65" t="str">
        <f t="shared" si="1"/>
        <v>In</v>
      </c>
    </row>
    <row r="1335">
      <c r="A1335" s="62" t="s">
        <v>1473</v>
      </c>
      <c r="B1335" s="63">
        <v>44341.0</v>
      </c>
      <c r="C1335" s="62" t="s">
        <v>119</v>
      </c>
      <c r="D1335" s="64">
        <v>47.5</v>
      </c>
      <c r="E1335" s="62" t="s">
        <v>109</v>
      </c>
      <c r="F1335" s="62" t="s">
        <v>110</v>
      </c>
      <c r="G1335" s="64" t="s">
        <v>64</v>
      </c>
      <c r="H1335" s="3" t="s">
        <v>171</v>
      </c>
      <c r="I1335" s="65">
        <f>IFERROR(VLOOKUP(A1335,'3. Call duration'!$A:$C,3,0),"--")</f>
        <v>22.17415298</v>
      </c>
      <c r="J1335" s="65" t="str">
        <f t="array" ref="J1335">XLOOKUP(H1335,'2. Matching'!$A$2:$A$39,'2. Matching'!$B$2:$B$39,"--")</f>
        <v>SEO</v>
      </c>
      <c r="K1335" s="65" t="str">
        <f t="shared" si="1"/>
        <v>In</v>
      </c>
    </row>
    <row r="1336">
      <c r="A1336" s="62" t="s">
        <v>1474</v>
      </c>
      <c r="B1336" s="63">
        <v>44127.0</v>
      </c>
      <c r="C1336" s="62" t="s">
        <v>108</v>
      </c>
      <c r="D1336" s="64">
        <v>0.0</v>
      </c>
      <c r="E1336" s="62" t="s">
        <v>109</v>
      </c>
      <c r="F1336" s="62" t="s">
        <v>115</v>
      </c>
      <c r="G1336" s="64" t="s">
        <v>64</v>
      </c>
      <c r="H1336" s="3" t="s">
        <v>139</v>
      </c>
      <c r="I1336" s="65">
        <f>IFERROR(VLOOKUP(A1336,'3. Call duration'!$A:$C,3,0),"--")</f>
        <v>22.14271063</v>
      </c>
      <c r="J1336" s="65" t="str">
        <f t="array" ref="J1336">XLOOKUP(H1336,'2. Matching'!$A$2:$A$39,'2. Matching'!$B$2:$B$39,"--")</f>
        <v>Acquisition</v>
      </c>
      <c r="K1336" s="65" t="str">
        <f t="shared" si="1"/>
        <v>In</v>
      </c>
    </row>
    <row r="1337">
      <c r="A1337" s="62" t="s">
        <v>1475</v>
      </c>
      <c r="B1337" s="63">
        <v>44152.0</v>
      </c>
      <c r="C1337" s="62" t="s">
        <v>112</v>
      </c>
      <c r="D1337" s="64">
        <v>0.0</v>
      </c>
      <c r="E1337" s="62" t="s">
        <v>109</v>
      </c>
      <c r="F1337" s="62" t="s">
        <v>110</v>
      </c>
      <c r="G1337" s="64" t="s">
        <v>64</v>
      </c>
      <c r="H1337" s="3" t="s">
        <v>131</v>
      </c>
      <c r="I1337" s="65" t="str">
        <f>IFERROR(VLOOKUP(A1337,'3. Call duration'!$A:$C,3,0),"--")</f>
        <v>--</v>
      </c>
      <c r="J1337" s="65" t="str">
        <f t="array" ref="J1337">XLOOKUP(H1337,'2. Matching'!$A$2:$A$39,'2. Matching'!$B$2:$B$39,"--")</f>
        <v>Acquisition</v>
      </c>
      <c r="K1337" s="65" t="str">
        <f t="shared" si="1"/>
        <v>In</v>
      </c>
    </row>
    <row r="1338">
      <c r="A1338" s="62" t="s">
        <v>1476</v>
      </c>
      <c r="B1338" s="63">
        <v>44266.0</v>
      </c>
      <c r="C1338" s="62" t="s">
        <v>108</v>
      </c>
      <c r="D1338" s="64">
        <v>0.0</v>
      </c>
      <c r="E1338" s="62" t="s">
        <v>114</v>
      </c>
      <c r="F1338" s="62" t="s">
        <v>115</v>
      </c>
      <c r="G1338" s="64" t="s">
        <v>64</v>
      </c>
      <c r="H1338" s="3" t="s">
        <v>155</v>
      </c>
      <c r="I1338" s="65">
        <f>IFERROR(VLOOKUP(A1338,'3. Call duration'!$A:$C,3,0),"--")</f>
        <v>27.01152108</v>
      </c>
      <c r="J1338" s="65" t="str">
        <f t="array" ref="J1338">XLOOKUP(H1338,'2. Matching'!$A$2:$A$39,'2. Matching'!$B$2:$B$39,"--")</f>
        <v>SEO</v>
      </c>
      <c r="K1338" s="65" t="str">
        <f t="shared" si="1"/>
        <v>In</v>
      </c>
    </row>
    <row r="1339">
      <c r="A1339" s="62" t="s">
        <v>1477</v>
      </c>
      <c r="B1339" s="63">
        <v>44148.0</v>
      </c>
      <c r="C1339" s="62" t="s">
        <v>112</v>
      </c>
      <c r="D1339" s="64">
        <v>0.0</v>
      </c>
      <c r="E1339" s="62" t="s">
        <v>109</v>
      </c>
      <c r="F1339" s="62" t="s">
        <v>115</v>
      </c>
      <c r="G1339" s="64" t="s">
        <v>64</v>
      </c>
      <c r="H1339" s="3" t="s">
        <v>131</v>
      </c>
      <c r="I1339" s="65" t="str">
        <f>IFERROR(VLOOKUP(A1339,'3. Call duration'!$A:$C,3,0),"--")</f>
        <v>--</v>
      </c>
      <c r="J1339" s="65" t="str">
        <f t="array" ref="J1339">XLOOKUP(H1339,'2. Matching'!$A$2:$A$39,'2. Matching'!$B$2:$B$39,"--")</f>
        <v>Acquisition</v>
      </c>
      <c r="K1339" s="65" t="str">
        <f t="shared" si="1"/>
        <v>In</v>
      </c>
    </row>
    <row r="1340">
      <c r="A1340" s="62" t="s">
        <v>1478</v>
      </c>
      <c r="B1340" s="63">
        <v>44347.0</v>
      </c>
      <c r="C1340" s="62" t="s">
        <v>119</v>
      </c>
      <c r="D1340" s="64">
        <v>47.5</v>
      </c>
      <c r="E1340" s="62" t="s">
        <v>109</v>
      </c>
      <c r="F1340" s="62" t="s">
        <v>110</v>
      </c>
      <c r="G1340" s="64" t="s">
        <v>64</v>
      </c>
      <c r="H1340" s="3" t="s">
        <v>297</v>
      </c>
      <c r="I1340" s="65">
        <f>IFERROR(VLOOKUP(A1340,'3. Call duration'!$A:$C,3,0),"--")</f>
        <v>22.2221846</v>
      </c>
      <c r="J1340" s="65" t="str">
        <f t="array" ref="J1340">XLOOKUP(H1340,'2. Matching'!$A$2:$A$39,'2. Matching'!$B$2:$B$39,"--")</f>
        <v>Farming</v>
      </c>
      <c r="K1340" s="65" t="str">
        <f t="shared" si="1"/>
        <v>In</v>
      </c>
    </row>
    <row r="1341">
      <c r="A1341" s="62" t="s">
        <v>1479</v>
      </c>
      <c r="B1341" s="63">
        <v>44229.0</v>
      </c>
      <c r="C1341" s="62" t="s">
        <v>112</v>
      </c>
      <c r="D1341" s="64">
        <v>0.0</v>
      </c>
      <c r="E1341" s="62" t="s">
        <v>114</v>
      </c>
      <c r="F1341" s="62" t="s">
        <v>110</v>
      </c>
      <c r="G1341" s="64" t="s">
        <v>63</v>
      </c>
      <c r="H1341" s="3" t="s">
        <v>189</v>
      </c>
      <c r="I1341" s="65" t="str">
        <f>IFERROR(VLOOKUP(A1341,'3. Call duration'!$A:$C,3,0),"--")</f>
        <v>--</v>
      </c>
      <c r="J1341" s="65" t="str">
        <f t="array" ref="J1341">XLOOKUP(H1341,'2. Matching'!$A$2:$A$39,'2. Matching'!$B$2:$B$39,"--")</f>
        <v>SEO</v>
      </c>
      <c r="K1341" s="65" t="str">
        <f t="shared" si="1"/>
        <v>Out</v>
      </c>
    </row>
    <row r="1342">
      <c r="A1342" s="62" t="s">
        <v>1480</v>
      </c>
      <c r="B1342" s="63">
        <v>44061.0</v>
      </c>
      <c r="C1342" s="62" t="s">
        <v>108</v>
      </c>
      <c r="D1342" s="64">
        <v>0.0</v>
      </c>
      <c r="E1342" s="62" t="s">
        <v>109</v>
      </c>
      <c r="F1342" s="62" t="s">
        <v>115</v>
      </c>
      <c r="G1342" s="64" t="s">
        <v>64</v>
      </c>
      <c r="H1342" s="3" t="s">
        <v>169</v>
      </c>
      <c r="I1342" s="65">
        <f>IFERROR(VLOOKUP(A1342,'3. Call duration'!$A:$C,3,0),"--")</f>
        <v>33.2559378</v>
      </c>
      <c r="J1342" s="65" t="str">
        <f t="array" ref="J1342">XLOOKUP(H1342,'2. Matching'!$A$2:$A$39,'2. Matching'!$B$2:$B$39,"--")</f>
        <v>SEO</v>
      </c>
      <c r="K1342" s="65" t="str">
        <f t="shared" si="1"/>
        <v>In</v>
      </c>
    </row>
    <row r="1343">
      <c r="A1343" s="62" t="s">
        <v>1481</v>
      </c>
      <c r="B1343" s="63">
        <v>44322.0</v>
      </c>
      <c r="C1343" s="62" t="s">
        <v>119</v>
      </c>
      <c r="D1343" s="64">
        <v>95.0</v>
      </c>
      <c r="E1343" s="62" t="s">
        <v>114</v>
      </c>
      <c r="F1343" s="62" t="s">
        <v>115</v>
      </c>
      <c r="G1343" s="64" t="s">
        <v>64</v>
      </c>
      <c r="H1343" s="3" t="s">
        <v>55</v>
      </c>
      <c r="I1343" s="65">
        <f>IFERROR(VLOOKUP(A1343,'3. Call duration'!$A:$C,3,0),"--")</f>
        <v>22.22802884</v>
      </c>
      <c r="J1343" s="65" t="str">
        <f t="array" ref="J1343">XLOOKUP(H1343,'2. Matching'!$A$2:$A$39,'2. Matching'!$B$2:$B$39,"--")</f>
        <v>Partnerships</v>
      </c>
      <c r="K1343" s="65" t="str">
        <f t="shared" si="1"/>
        <v>In</v>
      </c>
    </row>
    <row r="1344">
      <c r="A1344" s="62" t="s">
        <v>1482</v>
      </c>
      <c r="B1344" s="63">
        <v>44328.0</v>
      </c>
      <c r="C1344" s="62" t="s">
        <v>119</v>
      </c>
      <c r="D1344" s="64">
        <v>47.5</v>
      </c>
      <c r="E1344" s="62" t="s">
        <v>109</v>
      </c>
      <c r="F1344" s="62" t="s">
        <v>115</v>
      </c>
      <c r="G1344" s="64" t="s">
        <v>64</v>
      </c>
      <c r="H1344" s="3" t="s">
        <v>55</v>
      </c>
      <c r="I1344" s="65">
        <f>IFERROR(VLOOKUP(A1344,'3. Call duration'!$A:$C,3,0),"--")</f>
        <v>22.25219332</v>
      </c>
      <c r="J1344" s="65" t="str">
        <f t="array" ref="J1344">XLOOKUP(H1344,'2. Matching'!$A$2:$A$39,'2. Matching'!$B$2:$B$39,"--")</f>
        <v>Partnerships</v>
      </c>
      <c r="K1344" s="65" t="str">
        <f t="shared" si="1"/>
        <v>In</v>
      </c>
    </row>
    <row r="1345">
      <c r="A1345" s="62" t="s">
        <v>1483</v>
      </c>
      <c r="B1345" s="63">
        <v>44333.0</v>
      </c>
      <c r="C1345" s="62" t="s">
        <v>119</v>
      </c>
      <c r="D1345" s="64">
        <v>47.5</v>
      </c>
      <c r="E1345" s="62" t="s">
        <v>109</v>
      </c>
      <c r="F1345" s="62" t="s">
        <v>115</v>
      </c>
      <c r="G1345" s="64" t="s">
        <v>64</v>
      </c>
      <c r="H1345" s="3" t="s">
        <v>55</v>
      </c>
      <c r="I1345" s="65">
        <f>IFERROR(VLOOKUP(A1345,'3. Call duration'!$A:$C,3,0),"--")</f>
        <v>22.27958956</v>
      </c>
      <c r="J1345" s="65" t="str">
        <f t="array" ref="J1345">XLOOKUP(H1345,'2. Matching'!$A$2:$A$39,'2. Matching'!$B$2:$B$39,"--")</f>
        <v>Partnerships</v>
      </c>
      <c r="K1345" s="65" t="str">
        <f t="shared" si="1"/>
        <v>In</v>
      </c>
    </row>
    <row r="1346">
      <c r="A1346" s="62" t="s">
        <v>1484</v>
      </c>
      <c r="B1346" s="63">
        <v>44069.0</v>
      </c>
      <c r="C1346" s="62" t="s">
        <v>112</v>
      </c>
      <c r="D1346" s="64">
        <v>0.0</v>
      </c>
      <c r="E1346" s="62" t="s">
        <v>114</v>
      </c>
      <c r="F1346" s="62" t="s">
        <v>115</v>
      </c>
      <c r="G1346" s="64" t="s">
        <v>64</v>
      </c>
      <c r="H1346" s="3" t="s">
        <v>139</v>
      </c>
      <c r="I1346" s="65" t="str">
        <f>IFERROR(VLOOKUP(A1346,'3. Call duration'!$A:$C,3,0),"--")</f>
        <v>--</v>
      </c>
      <c r="J1346" s="65" t="str">
        <f t="array" ref="J1346">XLOOKUP(H1346,'2. Matching'!$A$2:$A$39,'2. Matching'!$B$2:$B$39,"--")</f>
        <v>Acquisition</v>
      </c>
      <c r="K1346" s="65" t="str">
        <f t="shared" si="1"/>
        <v>In</v>
      </c>
    </row>
    <row r="1347">
      <c r="A1347" s="62" t="s">
        <v>1485</v>
      </c>
      <c r="B1347" s="63">
        <v>44337.0</v>
      </c>
      <c r="C1347" s="62" t="s">
        <v>119</v>
      </c>
      <c r="D1347" s="64">
        <v>47.5</v>
      </c>
      <c r="E1347" s="62" t="s">
        <v>109</v>
      </c>
      <c r="F1347" s="62" t="s">
        <v>115</v>
      </c>
      <c r="G1347" s="64" t="s">
        <v>64</v>
      </c>
      <c r="H1347" s="3" t="s">
        <v>141</v>
      </c>
      <c r="I1347" s="65">
        <f>IFERROR(VLOOKUP(A1347,'3. Call duration'!$A:$C,3,0),"--")</f>
        <v>22.27968155</v>
      </c>
      <c r="J1347" s="65" t="str">
        <f t="array" ref="J1347">XLOOKUP(H1347,'2. Matching'!$A$2:$A$39,'2. Matching'!$B$2:$B$39,"--")</f>
        <v>Acquisition</v>
      </c>
      <c r="K1347" s="65" t="str">
        <f t="shared" si="1"/>
        <v>In</v>
      </c>
    </row>
    <row r="1348">
      <c r="A1348" s="62" t="s">
        <v>1486</v>
      </c>
      <c r="B1348" s="63">
        <v>44356.0</v>
      </c>
      <c r="C1348" s="62" t="s">
        <v>112</v>
      </c>
      <c r="D1348" s="64">
        <v>0.0</v>
      </c>
      <c r="E1348" s="62" t="s">
        <v>109</v>
      </c>
      <c r="F1348" s="62" t="s">
        <v>110</v>
      </c>
      <c r="G1348" s="64" t="s">
        <v>60</v>
      </c>
      <c r="H1348" s="3" t="s">
        <v>68</v>
      </c>
      <c r="I1348" s="65" t="str">
        <f>IFERROR(VLOOKUP(A1348,'3. Call duration'!$A:$C,3,0),"--")</f>
        <v>--</v>
      </c>
      <c r="J1348" s="65" t="str">
        <f t="array" ref="J1348">XLOOKUP(H1348,'2. Matching'!$A$2:$A$39,'2. Matching'!$B$2:$B$39,"--")</f>
        <v>Acquisition</v>
      </c>
      <c r="K1348" s="65" t="str">
        <f t="shared" si="1"/>
        <v>In</v>
      </c>
    </row>
    <row r="1349">
      <c r="A1349" s="62" t="s">
        <v>1487</v>
      </c>
      <c r="B1349" s="63">
        <v>44343.0</v>
      </c>
      <c r="C1349" s="62" t="s">
        <v>108</v>
      </c>
      <c r="D1349" s="64">
        <v>0.0</v>
      </c>
      <c r="E1349" s="62" t="s">
        <v>109</v>
      </c>
      <c r="F1349" s="62" t="s">
        <v>110</v>
      </c>
      <c r="G1349" s="64" t="s">
        <v>59</v>
      </c>
      <c r="H1349" s="3" t="s">
        <v>68</v>
      </c>
      <c r="I1349" s="65">
        <f>IFERROR(VLOOKUP(A1349,'3. Call duration'!$A:$C,3,0),"--")</f>
        <v>22.31073958</v>
      </c>
      <c r="J1349" s="65" t="str">
        <f t="array" ref="J1349">XLOOKUP(H1349,'2. Matching'!$A$2:$A$39,'2. Matching'!$B$2:$B$39,"--")</f>
        <v>Acquisition</v>
      </c>
      <c r="K1349" s="65" t="str">
        <f t="shared" si="1"/>
        <v>In</v>
      </c>
    </row>
    <row r="1350">
      <c r="A1350" s="62" t="s">
        <v>1488</v>
      </c>
      <c r="B1350" s="63">
        <v>44376.0</v>
      </c>
      <c r="C1350" s="62" t="s">
        <v>108</v>
      </c>
      <c r="D1350" s="64">
        <v>0.0</v>
      </c>
      <c r="E1350" s="62" t="s">
        <v>109</v>
      </c>
      <c r="F1350" s="62" t="s">
        <v>110</v>
      </c>
      <c r="G1350" s="64" t="s">
        <v>60</v>
      </c>
      <c r="H1350" s="3" t="s">
        <v>68</v>
      </c>
      <c r="I1350" s="65">
        <f>IFERROR(VLOOKUP(A1350,'3. Call duration'!$A:$C,3,0),"--")</f>
        <v>27.49885426</v>
      </c>
      <c r="J1350" s="65" t="str">
        <f t="array" ref="J1350">XLOOKUP(H1350,'2. Matching'!$A$2:$A$39,'2. Matching'!$B$2:$B$39,"--")</f>
        <v>Acquisition</v>
      </c>
      <c r="K1350" s="65" t="str">
        <f t="shared" si="1"/>
        <v>In</v>
      </c>
    </row>
    <row r="1351">
      <c r="A1351" s="62" t="s">
        <v>1489</v>
      </c>
      <c r="B1351" s="63">
        <v>44368.0</v>
      </c>
      <c r="C1351" s="62" t="s">
        <v>108</v>
      </c>
      <c r="D1351" s="64">
        <v>0.0</v>
      </c>
      <c r="E1351" s="62" t="s">
        <v>114</v>
      </c>
      <c r="F1351" s="62" t="s">
        <v>110</v>
      </c>
      <c r="G1351" s="64" t="s">
        <v>60</v>
      </c>
      <c r="H1351" s="3" t="s">
        <v>67</v>
      </c>
      <c r="I1351" s="65">
        <f>IFERROR(VLOOKUP(A1351,'3. Call duration'!$A:$C,3,0),"--")</f>
        <v>25.57312348</v>
      </c>
      <c r="J1351" s="65" t="str">
        <f t="array" ref="J1351">XLOOKUP(H1351,'2. Matching'!$A$2:$A$39,'2. Matching'!$B$2:$B$39,"--")</f>
        <v>Acquisition</v>
      </c>
      <c r="K1351" s="65" t="str">
        <f t="shared" si="1"/>
        <v>In</v>
      </c>
    </row>
    <row r="1352">
      <c r="A1352" s="62" t="s">
        <v>1490</v>
      </c>
      <c r="B1352" s="63">
        <v>44211.0</v>
      </c>
      <c r="C1352" s="62" t="s">
        <v>108</v>
      </c>
      <c r="D1352" s="64">
        <v>0.0</v>
      </c>
      <c r="E1352" s="62" t="s">
        <v>109</v>
      </c>
      <c r="F1352" s="62" t="s">
        <v>115</v>
      </c>
      <c r="G1352" s="64" t="s">
        <v>64</v>
      </c>
      <c r="H1352" s="3" t="s">
        <v>139</v>
      </c>
      <c r="I1352" s="65">
        <f>IFERROR(VLOOKUP(A1352,'3. Call duration'!$A:$C,3,0),"--")</f>
        <v>25.99534763</v>
      </c>
      <c r="J1352" s="65" t="str">
        <f t="array" ref="J1352">XLOOKUP(H1352,'2. Matching'!$A$2:$A$39,'2. Matching'!$B$2:$B$39,"--")</f>
        <v>Acquisition</v>
      </c>
      <c r="K1352" s="65" t="str">
        <f t="shared" si="1"/>
        <v>In</v>
      </c>
    </row>
    <row r="1353">
      <c r="A1353" s="62" t="s">
        <v>1491</v>
      </c>
      <c r="B1353" s="63">
        <v>44246.0</v>
      </c>
      <c r="C1353" s="62" t="s">
        <v>112</v>
      </c>
      <c r="D1353" s="64">
        <v>0.0</v>
      </c>
      <c r="E1353" s="62" t="s">
        <v>109</v>
      </c>
      <c r="F1353" s="62" t="s">
        <v>110</v>
      </c>
      <c r="G1353" s="64" t="s">
        <v>63</v>
      </c>
      <c r="H1353" s="3" t="s">
        <v>189</v>
      </c>
      <c r="I1353" s="65" t="str">
        <f>IFERROR(VLOOKUP(A1353,'3. Call duration'!$A:$C,3,0),"--")</f>
        <v>--</v>
      </c>
      <c r="J1353" s="65" t="str">
        <f t="array" ref="J1353">XLOOKUP(H1353,'2. Matching'!$A$2:$A$39,'2. Matching'!$B$2:$B$39,"--")</f>
        <v>SEO</v>
      </c>
      <c r="K1353" s="65" t="str">
        <f t="shared" si="1"/>
        <v>Out</v>
      </c>
    </row>
    <row r="1354">
      <c r="A1354" s="62" t="s">
        <v>1492</v>
      </c>
      <c r="B1354" s="63">
        <v>44344.0</v>
      </c>
      <c r="C1354" s="62" t="s">
        <v>119</v>
      </c>
      <c r="D1354" s="64">
        <v>47.5</v>
      </c>
      <c r="E1354" s="62" t="s">
        <v>109</v>
      </c>
      <c r="F1354" s="62" t="s">
        <v>110</v>
      </c>
      <c r="G1354" s="64" t="s">
        <v>64</v>
      </c>
      <c r="H1354" s="3" t="s">
        <v>54</v>
      </c>
      <c r="I1354" s="65">
        <f>IFERROR(VLOOKUP(A1354,'3. Call duration'!$A:$C,3,0),"--")</f>
        <v>22.33746152</v>
      </c>
      <c r="J1354" s="65" t="str">
        <f t="array" ref="J1354">XLOOKUP(H1354,'2. Matching'!$A$2:$A$39,'2. Matching'!$B$2:$B$39,"--")</f>
        <v>Partnerships</v>
      </c>
      <c r="K1354" s="65" t="str">
        <f t="shared" si="1"/>
        <v>In</v>
      </c>
    </row>
    <row r="1355">
      <c r="A1355" s="62" t="s">
        <v>1493</v>
      </c>
      <c r="B1355" s="63">
        <v>44375.0</v>
      </c>
      <c r="C1355" s="62" t="s">
        <v>108</v>
      </c>
      <c r="D1355" s="64">
        <v>0.0</v>
      </c>
      <c r="E1355" s="62" t="s">
        <v>109</v>
      </c>
      <c r="F1355" s="62" t="s">
        <v>110</v>
      </c>
      <c r="G1355" s="64" t="s">
        <v>64</v>
      </c>
      <c r="H1355" s="3" t="s">
        <v>131</v>
      </c>
      <c r="I1355" s="65">
        <f>IFERROR(VLOOKUP(A1355,'3. Call duration'!$A:$C,3,0),"--")</f>
        <v>29.25301972</v>
      </c>
      <c r="J1355" s="65" t="str">
        <f t="array" ref="J1355">XLOOKUP(H1355,'2. Matching'!$A$2:$A$39,'2. Matching'!$B$2:$B$39,"--")</f>
        <v>Acquisition</v>
      </c>
      <c r="K1355" s="65" t="str">
        <f t="shared" si="1"/>
        <v>In</v>
      </c>
    </row>
    <row r="1356">
      <c r="A1356" s="62" t="s">
        <v>1494</v>
      </c>
      <c r="B1356" s="63">
        <v>44310.0</v>
      </c>
      <c r="C1356" s="62" t="s">
        <v>112</v>
      </c>
      <c r="D1356" s="64">
        <v>0.0</v>
      </c>
      <c r="E1356" s="62" t="s">
        <v>114</v>
      </c>
      <c r="F1356" s="62" t="s">
        <v>110</v>
      </c>
      <c r="G1356" s="64" t="s">
        <v>61</v>
      </c>
      <c r="H1356" s="3" t="s">
        <v>69</v>
      </c>
      <c r="I1356" s="65" t="str">
        <f>IFERROR(VLOOKUP(A1356,'3. Call duration'!$A:$C,3,0),"--")</f>
        <v>--</v>
      </c>
      <c r="J1356" s="65" t="str">
        <f t="array" ref="J1356">XLOOKUP(H1356,'2. Matching'!$A$2:$A$39,'2. Matching'!$B$2:$B$39,"--")</f>
        <v>Acquisition</v>
      </c>
      <c r="K1356" s="65" t="str">
        <f t="shared" si="1"/>
        <v>In</v>
      </c>
    </row>
    <row r="1357">
      <c r="A1357" s="62" t="s">
        <v>1495</v>
      </c>
      <c r="B1357" s="63">
        <v>44155.0</v>
      </c>
      <c r="C1357" s="62" t="s">
        <v>112</v>
      </c>
      <c r="D1357" s="64">
        <v>0.0</v>
      </c>
      <c r="E1357" s="62" t="s">
        <v>109</v>
      </c>
      <c r="F1357" s="62" t="s">
        <v>115</v>
      </c>
      <c r="G1357" s="64" t="s">
        <v>62</v>
      </c>
      <c r="H1357" s="3" t="s">
        <v>286</v>
      </c>
      <c r="I1357" s="65" t="str">
        <f>IFERROR(VLOOKUP(A1357,'3. Call duration'!$A:$C,3,0),"--")</f>
        <v>--</v>
      </c>
      <c r="J1357" s="65" t="str">
        <f t="array" ref="J1357">XLOOKUP(H1357,'2. Matching'!$A$2:$A$39,'2. Matching'!$B$2:$B$39,"--")</f>
        <v>Farming</v>
      </c>
      <c r="K1357" s="65" t="str">
        <f t="shared" si="1"/>
        <v>In</v>
      </c>
    </row>
    <row r="1358">
      <c r="A1358" s="62" t="s">
        <v>1496</v>
      </c>
      <c r="B1358" s="63">
        <v>44361.0</v>
      </c>
      <c r="C1358" s="62" t="s">
        <v>112</v>
      </c>
      <c r="D1358" s="64">
        <v>0.0</v>
      </c>
      <c r="E1358" s="62" t="s">
        <v>109</v>
      </c>
      <c r="F1358" s="62" t="s">
        <v>110</v>
      </c>
      <c r="G1358" s="64" t="s">
        <v>60</v>
      </c>
      <c r="H1358" s="3" t="s">
        <v>68</v>
      </c>
      <c r="I1358" s="65" t="str">
        <f>IFERROR(VLOOKUP(A1358,'3. Call duration'!$A:$C,3,0),"--")</f>
        <v>--</v>
      </c>
      <c r="J1358" s="65" t="str">
        <f t="array" ref="J1358">XLOOKUP(H1358,'2. Matching'!$A$2:$A$39,'2. Matching'!$B$2:$B$39,"--")</f>
        <v>Acquisition</v>
      </c>
      <c r="K1358" s="65" t="str">
        <f t="shared" si="1"/>
        <v>In</v>
      </c>
    </row>
    <row r="1359">
      <c r="A1359" s="62" t="s">
        <v>1497</v>
      </c>
      <c r="B1359" s="63">
        <v>44361.0</v>
      </c>
      <c r="C1359" s="62" t="s">
        <v>112</v>
      </c>
      <c r="D1359" s="64">
        <v>0.0</v>
      </c>
      <c r="E1359" s="62" t="s">
        <v>114</v>
      </c>
      <c r="F1359" s="62" t="s">
        <v>110</v>
      </c>
      <c r="G1359" s="64" t="s">
        <v>60</v>
      </c>
      <c r="H1359" s="3" t="s">
        <v>67</v>
      </c>
      <c r="I1359" s="65" t="str">
        <f>IFERROR(VLOOKUP(A1359,'3. Call duration'!$A:$C,3,0),"--")</f>
        <v>--</v>
      </c>
      <c r="J1359" s="65" t="str">
        <f t="array" ref="J1359">XLOOKUP(H1359,'2. Matching'!$A$2:$A$39,'2. Matching'!$B$2:$B$39,"--")</f>
        <v>Acquisition</v>
      </c>
      <c r="K1359" s="65" t="str">
        <f t="shared" si="1"/>
        <v>In</v>
      </c>
    </row>
    <row r="1360">
      <c r="A1360" s="62" t="s">
        <v>1498</v>
      </c>
      <c r="B1360" s="63">
        <v>44260.0</v>
      </c>
      <c r="C1360" s="62" t="s">
        <v>112</v>
      </c>
      <c r="D1360" s="64">
        <v>0.0</v>
      </c>
      <c r="E1360" s="62" t="s">
        <v>109</v>
      </c>
      <c r="F1360" s="62" t="s">
        <v>110</v>
      </c>
      <c r="G1360" s="64" t="s">
        <v>64</v>
      </c>
      <c r="H1360" s="3" t="s">
        <v>139</v>
      </c>
      <c r="I1360" s="65" t="str">
        <f>IFERROR(VLOOKUP(A1360,'3. Call duration'!$A:$C,3,0),"--")</f>
        <v>--</v>
      </c>
      <c r="J1360" s="65" t="str">
        <f t="array" ref="J1360">XLOOKUP(H1360,'2. Matching'!$A$2:$A$39,'2. Matching'!$B$2:$B$39,"--")</f>
        <v>Acquisition</v>
      </c>
      <c r="K1360" s="65" t="str">
        <f t="shared" si="1"/>
        <v>In</v>
      </c>
    </row>
    <row r="1361">
      <c r="A1361" s="62" t="s">
        <v>1499</v>
      </c>
      <c r="B1361" s="63">
        <v>44105.0</v>
      </c>
      <c r="C1361" s="62" t="s">
        <v>112</v>
      </c>
      <c r="D1361" s="64">
        <v>0.0</v>
      </c>
      <c r="E1361" s="62" t="s">
        <v>109</v>
      </c>
      <c r="F1361" s="62" t="s">
        <v>110</v>
      </c>
      <c r="G1361" s="64" t="s">
        <v>64</v>
      </c>
      <c r="H1361" s="3" t="s">
        <v>171</v>
      </c>
      <c r="I1361" s="65" t="str">
        <f>IFERROR(VLOOKUP(A1361,'3. Call duration'!$A:$C,3,0),"--")</f>
        <v>--</v>
      </c>
      <c r="J1361" s="65" t="str">
        <f t="array" ref="J1361">XLOOKUP(H1361,'2. Matching'!$A$2:$A$39,'2. Matching'!$B$2:$B$39,"--")</f>
        <v>SEO</v>
      </c>
      <c r="K1361" s="65" t="str">
        <f t="shared" si="1"/>
        <v>In</v>
      </c>
    </row>
    <row r="1362">
      <c r="A1362" s="62" t="s">
        <v>1500</v>
      </c>
      <c r="B1362" s="63">
        <v>44364.0</v>
      </c>
      <c r="C1362" s="62" t="s">
        <v>112</v>
      </c>
      <c r="D1362" s="64">
        <v>0.0</v>
      </c>
      <c r="E1362" s="62" t="s">
        <v>109</v>
      </c>
      <c r="F1362" s="62" t="s">
        <v>110</v>
      </c>
      <c r="G1362" s="64" t="s">
        <v>60</v>
      </c>
      <c r="H1362" s="3" t="s">
        <v>68</v>
      </c>
      <c r="I1362" s="65" t="str">
        <f>IFERROR(VLOOKUP(A1362,'3. Call duration'!$A:$C,3,0),"--")</f>
        <v>--</v>
      </c>
      <c r="J1362" s="65" t="str">
        <f t="array" ref="J1362">XLOOKUP(H1362,'2. Matching'!$A$2:$A$39,'2. Matching'!$B$2:$B$39,"--")</f>
        <v>Acquisition</v>
      </c>
      <c r="K1362" s="65" t="str">
        <f t="shared" si="1"/>
        <v>In</v>
      </c>
    </row>
    <row r="1363">
      <c r="A1363" s="62" t="s">
        <v>1501</v>
      </c>
      <c r="B1363" s="63">
        <v>44063.0</v>
      </c>
      <c r="C1363" s="62" t="s">
        <v>112</v>
      </c>
      <c r="D1363" s="64">
        <v>0.0</v>
      </c>
      <c r="E1363" s="62" t="s">
        <v>109</v>
      </c>
      <c r="F1363" s="62" t="s">
        <v>110</v>
      </c>
      <c r="G1363" s="64" t="s">
        <v>64</v>
      </c>
      <c r="H1363" s="3" t="s">
        <v>135</v>
      </c>
      <c r="I1363" s="65" t="str">
        <f>IFERROR(VLOOKUP(A1363,'3. Call duration'!$A:$C,3,0),"--")</f>
        <v>--</v>
      </c>
      <c r="J1363" s="65" t="str">
        <f t="array" ref="J1363">XLOOKUP(H1363,'2. Matching'!$A$2:$A$39,'2. Matching'!$B$2:$B$39,"--")</f>
        <v>Acquisition</v>
      </c>
      <c r="K1363" s="65" t="str">
        <f t="shared" si="1"/>
        <v>In</v>
      </c>
    </row>
    <row r="1364">
      <c r="A1364" s="62" t="s">
        <v>1502</v>
      </c>
      <c r="B1364" s="63">
        <v>44355.0</v>
      </c>
      <c r="C1364" s="62" t="s">
        <v>112</v>
      </c>
      <c r="D1364" s="64">
        <v>0.0</v>
      </c>
      <c r="E1364" s="62" t="s">
        <v>109</v>
      </c>
      <c r="F1364" s="62" t="s">
        <v>110</v>
      </c>
      <c r="G1364" s="64" t="s">
        <v>60</v>
      </c>
      <c r="H1364" s="3" t="s">
        <v>67</v>
      </c>
      <c r="I1364" s="65" t="str">
        <f>IFERROR(VLOOKUP(A1364,'3. Call duration'!$A:$C,3,0),"--")</f>
        <v>--</v>
      </c>
      <c r="J1364" s="65" t="str">
        <f t="array" ref="J1364">XLOOKUP(H1364,'2. Matching'!$A$2:$A$39,'2. Matching'!$B$2:$B$39,"--")</f>
        <v>Acquisition</v>
      </c>
      <c r="K1364" s="65" t="str">
        <f t="shared" si="1"/>
        <v>In</v>
      </c>
    </row>
    <row r="1365">
      <c r="A1365" s="62" t="s">
        <v>1503</v>
      </c>
      <c r="B1365" s="63">
        <v>44263.0</v>
      </c>
      <c r="C1365" s="62" t="s">
        <v>108</v>
      </c>
      <c r="D1365" s="64">
        <v>0.0</v>
      </c>
      <c r="E1365" s="62" t="s">
        <v>109</v>
      </c>
      <c r="F1365" s="62" t="s">
        <v>115</v>
      </c>
      <c r="G1365" s="64" t="s">
        <v>64</v>
      </c>
      <c r="H1365" s="3" t="s">
        <v>175</v>
      </c>
      <c r="I1365" s="65">
        <f>IFERROR(VLOOKUP(A1365,'3. Call duration'!$A:$C,3,0),"--")</f>
        <v>15.27454956</v>
      </c>
      <c r="J1365" s="65" t="str">
        <f t="array" ref="J1365">XLOOKUP(H1365,'2. Matching'!$A$2:$A$39,'2. Matching'!$B$2:$B$39,"--")</f>
        <v>SEO</v>
      </c>
      <c r="K1365" s="65" t="str">
        <f t="shared" si="1"/>
        <v>In</v>
      </c>
    </row>
    <row r="1366">
      <c r="A1366" s="62" t="s">
        <v>1504</v>
      </c>
      <c r="B1366" s="63">
        <v>44340.0</v>
      </c>
      <c r="C1366" s="62" t="s">
        <v>119</v>
      </c>
      <c r="D1366" s="64">
        <v>47.5</v>
      </c>
      <c r="E1366" s="62" t="s">
        <v>109</v>
      </c>
      <c r="F1366" s="62" t="s">
        <v>110</v>
      </c>
      <c r="G1366" s="64" t="s">
        <v>64</v>
      </c>
      <c r="H1366" s="3" t="s">
        <v>145</v>
      </c>
      <c r="I1366" s="65">
        <f>IFERROR(VLOOKUP(A1366,'3. Call duration'!$A:$C,3,0),"--")</f>
        <v>22.34872828</v>
      </c>
      <c r="J1366" s="65" t="str">
        <f t="array" ref="J1366">XLOOKUP(H1366,'2. Matching'!$A$2:$A$39,'2. Matching'!$B$2:$B$39,"--")</f>
        <v>SEO</v>
      </c>
      <c r="K1366" s="65" t="str">
        <f t="shared" si="1"/>
        <v>In</v>
      </c>
    </row>
    <row r="1367">
      <c r="A1367" s="62" t="s">
        <v>1505</v>
      </c>
      <c r="B1367" s="63">
        <v>44386.0</v>
      </c>
      <c r="C1367" s="62" t="s">
        <v>112</v>
      </c>
      <c r="D1367" s="64">
        <v>0.0</v>
      </c>
      <c r="E1367" s="62" t="s">
        <v>114</v>
      </c>
      <c r="F1367" s="62" t="s">
        <v>110</v>
      </c>
      <c r="G1367" s="64" t="s">
        <v>60</v>
      </c>
      <c r="H1367" s="3" t="s">
        <v>67</v>
      </c>
      <c r="I1367" s="65" t="str">
        <f>IFERROR(VLOOKUP(A1367,'3. Call duration'!$A:$C,3,0),"--")</f>
        <v>--</v>
      </c>
      <c r="J1367" s="65" t="str">
        <f t="array" ref="J1367">XLOOKUP(H1367,'2. Matching'!$A$2:$A$39,'2. Matching'!$B$2:$B$39,"--")</f>
        <v>Acquisition</v>
      </c>
      <c r="K1367" s="65" t="str">
        <f t="shared" si="1"/>
        <v>In</v>
      </c>
    </row>
    <row r="1368">
      <c r="A1368" s="62" t="s">
        <v>1506</v>
      </c>
      <c r="B1368" s="63">
        <v>44343.0</v>
      </c>
      <c r="C1368" s="62" t="s">
        <v>119</v>
      </c>
      <c r="D1368" s="64">
        <v>47.5</v>
      </c>
      <c r="E1368" s="62" t="s">
        <v>109</v>
      </c>
      <c r="F1368" s="62" t="s">
        <v>115</v>
      </c>
      <c r="G1368" s="64" t="s">
        <v>64</v>
      </c>
      <c r="H1368" s="3" t="s">
        <v>54</v>
      </c>
      <c r="I1368" s="65">
        <f>IFERROR(VLOOKUP(A1368,'3. Call duration'!$A:$C,3,0),"--")</f>
        <v>22.37150178</v>
      </c>
      <c r="J1368" s="65" t="str">
        <f t="array" ref="J1368">XLOOKUP(H1368,'2. Matching'!$A$2:$A$39,'2. Matching'!$B$2:$B$39,"--")</f>
        <v>Partnerships</v>
      </c>
      <c r="K1368" s="65" t="str">
        <f t="shared" si="1"/>
        <v>In</v>
      </c>
    </row>
    <row r="1369">
      <c r="A1369" s="62" t="s">
        <v>1507</v>
      </c>
      <c r="B1369" s="63">
        <v>44336.0</v>
      </c>
      <c r="C1369" s="62" t="s">
        <v>119</v>
      </c>
      <c r="D1369" s="64">
        <v>47.5</v>
      </c>
      <c r="E1369" s="62" t="s">
        <v>109</v>
      </c>
      <c r="F1369" s="62" t="s">
        <v>110</v>
      </c>
      <c r="G1369" s="64" t="s">
        <v>64</v>
      </c>
      <c r="H1369" s="3" t="s">
        <v>175</v>
      </c>
      <c r="I1369" s="65">
        <f>IFERROR(VLOOKUP(A1369,'3. Call duration'!$A:$C,3,0),"--")</f>
        <v>22.3855724</v>
      </c>
      <c r="J1369" s="65" t="str">
        <f t="array" ref="J1369">XLOOKUP(H1369,'2. Matching'!$A$2:$A$39,'2. Matching'!$B$2:$B$39,"--")</f>
        <v>SEO</v>
      </c>
      <c r="K1369" s="65" t="str">
        <f t="shared" si="1"/>
        <v>In</v>
      </c>
    </row>
    <row r="1370">
      <c r="A1370" s="62" t="s">
        <v>1508</v>
      </c>
      <c r="B1370" s="63">
        <v>44274.0</v>
      </c>
      <c r="C1370" s="62" t="s">
        <v>112</v>
      </c>
      <c r="D1370" s="64">
        <v>0.0</v>
      </c>
      <c r="E1370" s="62" t="s">
        <v>109</v>
      </c>
      <c r="F1370" s="62" t="s">
        <v>110</v>
      </c>
      <c r="G1370" s="64" t="s">
        <v>64</v>
      </c>
      <c r="H1370" s="3" t="s">
        <v>297</v>
      </c>
      <c r="I1370" s="65" t="str">
        <f>IFERROR(VLOOKUP(A1370,'3. Call duration'!$A:$C,3,0),"--")</f>
        <v>--</v>
      </c>
      <c r="J1370" s="65" t="str">
        <f t="array" ref="J1370">XLOOKUP(H1370,'2. Matching'!$A$2:$A$39,'2. Matching'!$B$2:$B$39,"--")</f>
        <v>Farming</v>
      </c>
      <c r="K1370" s="65" t="str">
        <f t="shared" si="1"/>
        <v>In</v>
      </c>
    </row>
    <row r="1371">
      <c r="A1371" s="62" t="s">
        <v>1509</v>
      </c>
      <c r="B1371" s="63">
        <v>44392.0</v>
      </c>
      <c r="C1371" s="62" t="s">
        <v>112</v>
      </c>
      <c r="D1371" s="64">
        <v>0.0</v>
      </c>
      <c r="E1371" s="62" t="s">
        <v>114</v>
      </c>
      <c r="F1371" s="62" t="s">
        <v>110</v>
      </c>
      <c r="G1371" s="64" t="s">
        <v>61</v>
      </c>
      <c r="H1371" s="3" t="s">
        <v>67</v>
      </c>
      <c r="I1371" s="65" t="str">
        <f>IFERROR(VLOOKUP(A1371,'3. Call duration'!$A:$C,3,0),"--")</f>
        <v>--</v>
      </c>
      <c r="J1371" s="65" t="str">
        <f t="array" ref="J1371">XLOOKUP(H1371,'2. Matching'!$A$2:$A$39,'2. Matching'!$B$2:$B$39,"--")</f>
        <v>Acquisition</v>
      </c>
      <c r="K1371" s="65" t="str">
        <f t="shared" si="1"/>
        <v>In</v>
      </c>
    </row>
    <row r="1372">
      <c r="A1372" s="62" t="s">
        <v>1510</v>
      </c>
      <c r="B1372" s="63">
        <v>44106.0</v>
      </c>
      <c r="C1372" s="62" t="s">
        <v>112</v>
      </c>
      <c r="D1372" s="64">
        <v>0.0</v>
      </c>
      <c r="E1372" s="62" t="s">
        <v>109</v>
      </c>
      <c r="F1372" s="62" t="s">
        <v>115</v>
      </c>
      <c r="G1372" s="64" t="s">
        <v>64</v>
      </c>
      <c r="H1372" s="3" t="s">
        <v>155</v>
      </c>
      <c r="I1372" s="65" t="str">
        <f>IFERROR(VLOOKUP(A1372,'3. Call duration'!$A:$C,3,0),"--")</f>
        <v>--</v>
      </c>
      <c r="J1372" s="65" t="str">
        <f t="array" ref="J1372">XLOOKUP(H1372,'2. Matching'!$A$2:$A$39,'2. Matching'!$B$2:$B$39,"--")</f>
        <v>SEO</v>
      </c>
      <c r="K1372" s="65" t="str">
        <f t="shared" si="1"/>
        <v>In</v>
      </c>
    </row>
    <row r="1373">
      <c r="A1373" s="62" t="s">
        <v>1511</v>
      </c>
      <c r="B1373" s="63">
        <v>44232.0</v>
      </c>
      <c r="C1373" s="62" t="s">
        <v>108</v>
      </c>
      <c r="D1373" s="64">
        <v>0.0</v>
      </c>
      <c r="E1373" s="62" t="s">
        <v>114</v>
      </c>
      <c r="F1373" s="62" t="s">
        <v>115</v>
      </c>
      <c r="G1373" s="64" t="s">
        <v>64</v>
      </c>
      <c r="H1373" s="3" t="s">
        <v>131</v>
      </c>
      <c r="I1373" s="65">
        <f>IFERROR(VLOOKUP(A1373,'3. Call duration'!$A:$C,3,0),"--")</f>
        <v>33.10660443</v>
      </c>
      <c r="J1373" s="65" t="str">
        <f t="array" ref="J1373">XLOOKUP(H1373,'2. Matching'!$A$2:$A$39,'2. Matching'!$B$2:$B$39,"--")</f>
        <v>Acquisition</v>
      </c>
      <c r="K1373" s="65" t="str">
        <f t="shared" si="1"/>
        <v>In</v>
      </c>
    </row>
    <row r="1374">
      <c r="A1374" s="62" t="s">
        <v>1512</v>
      </c>
      <c r="B1374" s="63">
        <v>44130.0</v>
      </c>
      <c r="C1374" s="62" t="s">
        <v>112</v>
      </c>
      <c r="D1374" s="64">
        <v>0.0</v>
      </c>
      <c r="E1374" s="62" t="s">
        <v>114</v>
      </c>
      <c r="F1374" s="62" t="s">
        <v>115</v>
      </c>
      <c r="G1374" s="64" t="s">
        <v>62</v>
      </c>
      <c r="H1374" s="3" t="s">
        <v>50</v>
      </c>
      <c r="I1374" s="65" t="str">
        <f>IFERROR(VLOOKUP(A1374,'3. Call duration'!$A:$C,3,0),"--")</f>
        <v>--</v>
      </c>
      <c r="J1374" s="65" t="str">
        <f t="array" ref="J1374">XLOOKUP(H1374,'2. Matching'!$A$2:$A$39,'2. Matching'!$B$2:$B$39,"--")</f>
        <v>Partnerships</v>
      </c>
      <c r="K1374" s="65" t="str">
        <f t="shared" si="1"/>
        <v>In</v>
      </c>
    </row>
    <row r="1375">
      <c r="A1375" s="62" t="s">
        <v>1513</v>
      </c>
      <c r="B1375" s="63">
        <v>44361.0</v>
      </c>
      <c r="C1375" s="62" t="s">
        <v>112</v>
      </c>
      <c r="D1375" s="64">
        <v>0.0</v>
      </c>
      <c r="E1375" s="62" t="s">
        <v>109</v>
      </c>
      <c r="F1375" s="62" t="s">
        <v>110</v>
      </c>
      <c r="G1375" s="64" t="s">
        <v>63</v>
      </c>
      <c r="H1375" s="3" t="s">
        <v>124</v>
      </c>
      <c r="I1375" s="65" t="str">
        <f>IFERROR(VLOOKUP(A1375,'3. Call duration'!$A:$C,3,0),"--")</f>
        <v>--</v>
      </c>
      <c r="J1375" s="65" t="str">
        <f t="array" ref="J1375">XLOOKUP(H1375,'2. Matching'!$A$2:$A$39,'2. Matching'!$B$2:$B$39,"--")</f>
        <v>Acquisition</v>
      </c>
      <c r="K1375" s="65" t="str">
        <f t="shared" si="1"/>
        <v>In</v>
      </c>
    </row>
    <row r="1376">
      <c r="A1376" s="62" t="s">
        <v>1514</v>
      </c>
      <c r="B1376" s="63">
        <v>44383.0</v>
      </c>
      <c r="C1376" s="62" t="s">
        <v>112</v>
      </c>
      <c r="D1376" s="64">
        <v>0.0</v>
      </c>
      <c r="E1376" s="62" t="s">
        <v>109</v>
      </c>
      <c r="F1376" s="62" t="s">
        <v>110</v>
      </c>
      <c r="G1376" s="64" t="s">
        <v>63</v>
      </c>
      <c r="H1376" s="3" t="s">
        <v>228</v>
      </c>
      <c r="I1376" s="65" t="str">
        <f>IFERROR(VLOOKUP(A1376,'3. Call duration'!$A:$C,3,0),"--")</f>
        <v>--</v>
      </c>
      <c r="J1376" s="65" t="str">
        <f t="array" ref="J1376">XLOOKUP(H1376,'2. Matching'!$A$2:$A$39,'2. Matching'!$B$2:$B$39,"--")</f>
        <v>Farming</v>
      </c>
      <c r="K1376" s="65" t="str">
        <f t="shared" si="1"/>
        <v>In</v>
      </c>
    </row>
    <row r="1377">
      <c r="A1377" s="62" t="s">
        <v>1515</v>
      </c>
      <c r="B1377" s="63">
        <v>44124.0</v>
      </c>
      <c r="C1377" s="62" t="s">
        <v>108</v>
      </c>
      <c r="D1377" s="64">
        <v>0.0</v>
      </c>
      <c r="E1377" s="62" t="s">
        <v>109</v>
      </c>
      <c r="F1377" s="62" t="s">
        <v>115</v>
      </c>
      <c r="G1377" s="64" t="s">
        <v>62</v>
      </c>
      <c r="H1377" s="3" t="s">
        <v>50</v>
      </c>
      <c r="I1377" s="65">
        <f>IFERROR(VLOOKUP(A1377,'3. Call duration'!$A:$C,3,0),"--")</f>
        <v>19.05520111</v>
      </c>
      <c r="J1377" s="65" t="str">
        <f t="array" ref="J1377">XLOOKUP(H1377,'2. Matching'!$A$2:$A$39,'2. Matching'!$B$2:$B$39,"--")</f>
        <v>Partnerships</v>
      </c>
      <c r="K1377" s="65" t="str">
        <f t="shared" si="1"/>
        <v>In</v>
      </c>
    </row>
    <row r="1378">
      <c r="A1378" s="62" t="s">
        <v>1516</v>
      </c>
      <c r="B1378" s="63">
        <v>44376.0</v>
      </c>
      <c r="C1378" s="62" t="s">
        <v>112</v>
      </c>
      <c r="D1378" s="64">
        <v>0.0</v>
      </c>
      <c r="E1378" s="62" t="s">
        <v>109</v>
      </c>
      <c r="F1378" s="62" t="s">
        <v>115</v>
      </c>
      <c r="G1378" s="64" t="s">
        <v>64</v>
      </c>
      <c r="H1378" s="3" t="s">
        <v>116</v>
      </c>
      <c r="I1378" s="65" t="str">
        <f>IFERROR(VLOOKUP(A1378,'3. Call duration'!$A:$C,3,0),"--")</f>
        <v>--</v>
      </c>
      <c r="J1378" s="65" t="str">
        <f t="array" ref="J1378">XLOOKUP(H1378,'2. Matching'!$A$2:$A$39,'2. Matching'!$B$2:$B$39,"--")</f>
        <v>Acquisition</v>
      </c>
      <c r="K1378" s="65" t="str">
        <f t="shared" si="1"/>
        <v>In</v>
      </c>
    </row>
    <row r="1379">
      <c r="A1379" s="62" t="s">
        <v>1517</v>
      </c>
      <c r="B1379" s="63">
        <v>44347.0</v>
      </c>
      <c r="C1379" s="62" t="s">
        <v>119</v>
      </c>
      <c r="D1379" s="64">
        <v>47.5</v>
      </c>
      <c r="E1379" s="62" t="s">
        <v>109</v>
      </c>
      <c r="F1379" s="62" t="s">
        <v>110</v>
      </c>
      <c r="G1379" s="64" t="s">
        <v>59</v>
      </c>
      <c r="H1379" s="3" t="s">
        <v>68</v>
      </c>
      <c r="I1379" s="65">
        <f>IFERROR(VLOOKUP(A1379,'3. Call duration'!$A:$C,3,0),"--")</f>
        <v>22.44238223</v>
      </c>
      <c r="J1379" s="65" t="str">
        <f t="array" ref="J1379">XLOOKUP(H1379,'2. Matching'!$A$2:$A$39,'2. Matching'!$B$2:$B$39,"--")</f>
        <v>Acquisition</v>
      </c>
      <c r="K1379" s="65" t="str">
        <f t="shared" si="1"/>
        <v>In</v>
      </c>
    </row>
    <row r="1380">
      <c r="A1380" s="62" t="s">
        <v>1518</v>
      </c>
      <c r="B1380" s="63">
        <v>44347.0</v>
      </c>
      <c r="C1380" s="62" t="s">
        <v>119</v>
      </c>
      <c r="D1380" s="64">
        <v>47.5</v>
      </c>
      <c r="E1380" s="62" t="s">
        <v>109</v>
      </c>
      <c r="F1380" s="62" t="s">
        <v>110</v>
      </c>
      <c r="G1380" s="64" t="s">
        <v>64</v>
      </c>
      <c r="H1380" s="3" t="s">
        <v>52</v>
      </c>
      <c r="I1380" s="65">
        <f>IFERROR(VLOOKUP(A1380,'3. Call duration'!$A:$C,3,0),"--")</f>
        <v>22.4437668</v>
      </c>
      <c r="J1380" s="65" t="str">
        <f t="array" ref="J1380">XLOOKUP(H1380,'2. Matching'!$A$2:$A$39,'2. Matching'!$B$2:$B$39,"--")</f>
        <v>Partnerships</v>
      </c>
      <c r="K1380" s="65" t="str">
        <f t="shared" si="1"/>
        <v>In</v>
      </c>
    </row>
    <row r="1381">
      <c r="A1381" s="62" t="s">
        <v>1519</v>
      </c>
      <c r="B1381" s="63">
        <v>44165.0</v>
      </c>
      <c r="C1381" s="62" t="s">
        <v>108</v>
      </c>
      <c r="D1381" s="64">
        <v>0.0</v>
      </c>
      <c r="E1381" s="62" t="s">
        <v>109</v>
      </c>
      <c r="F1381" s="62" t="s">
        <v>110</v>
      </c>
      <c r="G1381" s="64" t="s">
        <v>62</v>
      </c>
      <c r="H1381" s="3" t="s">
        <v>294</v>
      </c>
      <c r="I1381" s="65">
        <f>IFERROR(VLOOKUP(A1381,'3. Call duration'!$A:$C,3,0),"--")</f>
        <v>21.36437608</v>
      </c>
      <c r="J1381" s="65" t="str">
        <f t="array" ref="J1381">XLOOKUP(H1381,'2. Matching'!$A$2:$A$39,'2. Matching'!$B$2:$B$39,"--")</f>
        <v>Farming</v>
      </c>
      <c r="K1381" s="65" t="str">
        <f t="shared" si="1"/>
        <v>In</v>
      </c>
    </row>
    <row r="1382">
      <c r="A1382" s="62" t="s">
        <v>1520</v>
      </c>
      <c r="B1382" s="63">
        <v>44376.0</v>
      </c>
      <c r="C1382" s="62" t="s">
        <v>108</v>
      </c>
      <c r="D1382" s="64">
        <v>0.0</v>
      </c>
      <c r="E1382" s="62" t="s">
        <v>109</v>
      </c>
      <c r="F1382" s="62" t="s">
        <v>110</v>
      </c>
      <c r="G1382" s="64" t="s">
        <v>61</v>
      </c>
      <c r="H1382" s="3" t="s">
        <v>67</v>
      </c>
      <c r="I1382" s="65">
        <f>IFERROR(VLOOKUP(A1382,'3. Call duration'!$A:$C,3,0),"--")</f>
        <v>26.41321246</v>
      </c>
      <c r="J1382" s="65" t="str">
        <f t="array" ref="J1382">XLOOKUP(H1382,'2. Matching'!$A$2:$A$39,'2. Matching'!$B$2:$B$39,"--")</f>
        <v>Acquisition</v>
      </c>
      <c r="K1382" s="65" t="str">
        <f t="shared" si="1"/>
        <v>In</v>
      </c>
    </row>
    <row r="1383">
      <c r="A1383" s="62" t="s">
        <v>1521</v>
      </c>
      <c r="B1383" s="63">
        <v>44225.0</v>
      </c>
      <c r="C1383" s="62" t="s">
        <v>112</v>
      </c>
      <c r="D1383" s="64">
        <v>0.0</v>
      </c>
      <c r="E1383" s="62" t="s">
        <v>109</v>
      </c>
      <c r="F1383" s="62" t="s">
        <v>110</v>
      </c>
      <c r="G1383" s="64" t="s">
        <v>64</v>
      </c>
      <c r="H1383" s="3" t="s">
        <v>297</v>
      </c>
      <c r="I1383" s="65" t="str">
        <f>IFERROR(VLOOKUP(A1383,'3. Call duration'!$A:$C,3,0),"--")</f>
        <v>--</v>
      </c>
      <c r="J1383" s="65" t="str">
        <f t="array" ref="J1383">XLOOKUP(H1383,'2. Matching'!$A$2:$A$39,'2. Matching'!$B$2:$B$39,"--")</f>
        <v>Farming</v>
      </c>
      <c r="K1383" s="65" t="str">
        <f t="shared" si="1"/>
        <v>In</v>
      </c>
    </row>
    <row r="1384">
      <c r="A1384" s="62" t="s">
        <v>1522</v>
      </c>
      <c r="B1384" s="63">
        <v>44359.0</v>
      </c>
      <c r="C1384" s="62" t="s">
        <v>108</v>
      </c>
      <c r="D1384" s="64">
        <v>0.0</v>
      </c>
      <c r="E1384" s="62" t="s">
        <v>114</v>
      </c>
      <c r="F1384" s="62" t="s">
        <v>110</v>
      </c>
      <c r="G1384" s="64" t="s">
        <v>64</v>
      </c>
      <c r="H1384" s="3" t="s">
        <v>139</v>
      </c>
      <c r="I1384" s="65">
        <f>IFERROR(VLOOKUP(A1384,'3. Call duration'!$A:$C,3,0),"--")</f>
        <v>27.96726623</v>
      </c>
      <c r="J1384" s="65" t="str">
        <f t="array" ref="J1384">XLOOKUP(H1384,'2. Matching'!$A$2:$A$39,'2. Matching'!$B$2:$B$39,"--")</f>
        <v>Acquisition</v>
      </c>
      <c r="K1384" s="65" t="str">
        <f t="shared" si="1"/>
        <v>In</v>
      </c>
    </row>
    <row r="1385">
      <c r="A1385" s="62" t="s">
        <v>1523</v>
      </c>
      <c r="B1385" s="63">
        <v>44144.0</v>
      </c>
      <c r="C1385" s="62" t="s">
        <v>108</v>
      </c>
      <c r="D1385" s="64">
        <v>0.0</v>
      </c>
      <c r="E1385" s="62" t="s">
        <v>109</v>
      </c>
      <c r="F1385" s="62" t="s">
        <v>110</v>
      </c>
      <c r="G1385" s="64" t="s">
        <v>64</v>
      </c>
      <c r="H1385" s="3" t="s">
        <v>175</v>
      </c>
      <c r="I1385" s="65">
        <f>IFERROR(VLOOKUP(A1385,'3. Call duration'!$A:$C,3,0),"--")</f>
        <v>32.12104659</v>
      </c>
      <c r="J1385" s="65" t="str">
        <f t="array" ref="J1385">XLOOKUP(H1385,'2. Matching'!$A$2:$A$39,'2. Matching'!$B$2:$B$39,"--")</f>
        <v>SEO</v>
      </c>
      <c r="K1385" s="65" t="str">
        <f t="shared" si="1"/>
        <v>In</v>
      </c>
    </row>
    <row r="1386">
      <c r="A1386" s="62" t="s">
        <v>1524</v>
      </c>
      <c r="B1386" s="63">
        <v>44131.0</v>
      </c>
      <c r="C1386" s="62" t="s">
        <v>112</v>
      </c>
      <c r="D1386" s="64">
        <v>0.0</v>
      </c>
      <c r="E1386" s="62" t="s">
        <v>114</v>
      </c>
      <c r="F1386" s="62" t="s">
        <v>115</v>
      </c>
      <c r="G1386" s="64" t="s">
        <v>62</v>
      </c>
      <c r="H1386" s="3" t="s">
        <v>50</v>
      </c>
      <c r="I1386" s="65" t="str">
        <f>IFERROR(VLOOKUP(A1386,'3. Call duration'!$A:$C,3,0),"--")</f>
        <v>--</v>
      </c>
      <c r="J1386" s="65" t="str">
        <f t="array" ref="J1386">XLOOKUP(H1386,'2. Matching'!$A$2:$A$39,'2. Matching'!$B$2:$B$39,"--")</f>
        <v>Partnerships</v>
      </c>
      <c r="K1386" s="65" t="str">
        <f t="shared" si="1"/>
        <v>In</v>
      </c>
    </row>
    <row r="1387">
      <c r="A1387" s="62" t="s">
        <v>1525</v>
      </c>
      <c r="B1387" s="63">
        <v>44305.0</v>
      </c>
      <c r="C1387" s="62" t="s">
        <v>112</v>
      </c>
      <c r="D1387" s="64">
        <v>0.0</v>
      </c>
      <c r="E1387" s="62" t="s">
        <v>109</v>
      </c>
      <c r="F1387" s="62" t="s">
        <v>110</v>
      </c>
      <c r="G1387" s="64" t="s">
        <v>64</v>
      </c>
      <c r="H1387" s="3" t="s">
        <v>221</v>
      </c>
      <c r="I1387" s="65" t="str">
        <f>IFERROR(VLOOKUP(A1387,'3. Call duration'!$A:$C,3,0),"--")</f>
        <v>--</v>
      </c>
      <c r="J1387" s="65" t="str">
        <f t="array" ref="J1387">XLOOKUP(H1387,'2. Matching'!$A$2:$A$39,'2. Matching'!$B$2:$B$39,"--")</f>
        <v>Farming</v>
      </c>
      <c r="K1387" s="65" t="str">
        <f t="shared" si="1"/>
        <v>In</v>
      </c>
    </row>
    <row r="1388">
      <c r="A1388" s="62" t="s">
        <v>1526</v>
      </c>
      <c r="B1388" s="63">
        <v>44327.0</v>
      </c>
      <c r="C1388" s="62" t="s">
        <v>108</v>
      </c>
      <c r="D1388" s="64">
        <v>0.0</v>
      </c>
      <c r="E1388" s="62" t="s">
        <v>109</v>
      </c>
      <c r="F1388" s="62" t="s">
        <v>110</v>
      </c>
      <c r="G1388" s="64" t="s">
        <v>64</v>
      </c>
      <c r="H1388" s="3" t="s">
        <v>221</v>
      </c>
      <c r="I1388" s="65">
        <f>IFERROR(VLOOKUP(A1388,'3. Call duration'!$A:$C,3,0),"--")</f>
        <v>22.47745731</v>
      </c>
      <c r="J1388" s="65" t="str">
        <f t="array" ref="J1388">XLOOKUP(H1388,'2. Matching'!$A$2:$A$39,'2. Matching'!$B$2:$B$39,"--")</f>
        <v>Farming</v>
      </c>
      <c r="K1388" s="65" t="str">
        <f t="shared" si="1"/>
        <v>In</v>
      </c>
    </row>
    <row r="1389">
      <c r="A1389" s="62" t="s">
        <v>1527</v>
      </c>
      <c r="B1389" s="63">
        <v>44362.0</v>
      </c>
      <c r="C1389" s="62" t="s">
        <v>108</v>
      </c>
      <c r="D1389" s="64">
        <v>0.0</v>
      </c>
      <c r="E1389" s="62" t="s">
        <v>114</v>
      </c>
      <c r="F1389" s="62" t="s">
        <v>110</v>
      </c>
      <c r="G1389" s="64" t="s">
        <v>60</v>
      </c>
      <c r="H1389" s="3" t="s">
        <v>67</v>
      </c>
      <c r="I1389" s="65">
        <f>IFERROR(VLOOKUP(A1389,'3. Call duration'!$A:$C,3,0),"--")</f>
        <v>29.53150004</v>
      </c>
      <c r="J1389" s="65" t="str">
        <f t="array" ref="J1389">XLOOKUP(H1389,'2. Matching'!$A$2:$A$39,'2. Matching'!$B$2:$B$39,"--")</f>
        <v>Acquisition</v>
      </c>
      <c r="K1389" s="65" t="str">
        <f t="shared" si="1"/>
        <v>In</v>
      </c>
    </row>
    <row r="1390">
      <c r="A1390" s="62" t="s">
        <v>1528</v>
      </c>
      <c r="B1390" s="63">
        <v>44336.0</v>
      </c>
      <c r="C1390" s="62" t="s">
        <v>119</v>
      </c>
      <c r="D1390" s="64">
        <v>47.5</v>
      </c>
      <c r="E1390" s="62" t="s">
        <v>109</v>
      </c>
      <c r="F1390" s="62" t="s">
        <v>110</v>
      </c>
      <c r="G1390" s="64" t="s">
        <v>64</v>
      </c>
      <c r="H1390" s="3" t="s">
        <v>116</v>
      </c>
      <c r="I1390" s="65">
        <f>IFERROR(VLOOKUP(A1390,'3. Call duration'!$A:$C,3,0),"--")</f>
        <v>22.52050557</v>
      </c>
      <c r="J1390" s="65" t="str">
        <f t="array" ref="J1390">XLOOKUP(H1390,'2. Matching'!$A$2:$A$39,'2. Matching'!$B$2:$B$39,"--")</f>
        <v>Acquisition</v>
      </c>
      <c r="K1390" s="65" t="str">
        <f t="shared" si="1"/>
        <v>In</v>
      </c>
    </row>
    <row r="1391">
      <c r="A1391" s="62" t="s">
        <v>1529</v>
      </c>
      <c r="B1391" s="63">
        <v>44228.0</v>
      </c>
      <c r="C1391" s="62" t="s">
        <v>108</v>
      </c>
      <c r="D1391" s="64">
        <v>0.0</v>
      </c>
      <c r="E1391" s="62" t="s">
        <v>109</v>
      </c>
      <c r="F1391" s="62" t="s">
        <v>115</v>
      </c>
      <c r="G1391" s="64" t="s">
        <v>64</v>
      </c>
      <c r="H1391" s="3" t="s">
        <v>145</v>
      </c>
      <c r="I1391" s="65">
        <f>IFERROR(VLOOKUP(A1391,'3. Call duration'!$A:$C,3,0),"--")</f>
        <v>25.28849924</v>
      </c>
      <c r="J1391" s="65" t="str">
        <f t="array" ref="J1391">XLOOKUP(H1391,'2. Matching'!$A$2:$A$39,'2. Matching'!$B$2:$B$39,"--")</f>
        <v>SEO</v>
      </c>
      <c r="K1391" s="65" t="str">
        <f t="shared" si="1"/>
        <v>In</v>
      </c>
    </row>
    <row r="1392">
      <c r="A1392" s="62" t="s">
        <v>1530</v>
      </c>
      <c r="B1392" s="63">
        <v>44390.0</v>
      </c>
      <c r="C1392" s="62" t="s">
        <v>112</v>
      </c>
      <c r="D1392" s="64">
        <v>0.0</v>
      </c>
      <c r="E1392" s="62" t="s">
        <v>109</v>
      </c>
      <c r="F1392" s="62" t="s">
        <v>115</v>
      </c>
      <c r="G1392" s="64" t="s">
        <v>60</v>
      </c>
      <c r="H1392" s="3" t="s">
        <v>68</v>
      </c>
      <c r="I1392" s="65" t="str">
        <f>IFERROR(VLOOKUP(A1392,'3. Call duration'!$A:$C,3,0),"--")</f>
        <v>--</v>
      </c>
      <c r="J1392" s="65" t="str">
        <f t="array" ref="J1392">XLOOKUP(H1392,'2. Matching'!$A$2:$A$39,'2. Matching'!$B$2:$B$39,"--")</f>
        <v>Acquisition</v>
      </c>
      <c r="K1392" s="65" t="str">
        <f t="shared" si="1"/>
        <v>In</v>
      </c>
    </row>
    <row r="1393">
      <c r="A1393" s="62" t="s">
        <v>1531</v>
      </c>
      <c r="B1393" s="63">
        <v>44348.0</v>
      </c>
      <c r="C1393" s="62" t="s">
        <v>112</v>
      </c>
      <c r="D1393" s="64">
        <v>0.0</v>
      </c>
      <c r="E1393" s="62" t="s">
        <v>114</v>
      </c>
      <c r="F1393" s="62" t="s">
        <v>110</v>
      </c>
      <c r="G1393" s="64" t="s">
        <v>60</v>
      </c>
      <c r="H1393" s="3" t="s">
        <v>67</v>
      </c>
      <c r="I1393" s="65" t="str">
        <f>IFERROR(VLOOKUP(A1393,'3. Call duration'!$A:$C,3,0),"--")</f>
        <v>--</v>
      </c>
      <c r="J1393" s="65" t="str">
        <f t="array" ref="J1393">XLOOKUP(H1393,'2. Matching'!$A$2:$A$39,'2. Matching'!$B$2:$B$39,"--")</f>
        <v>Acquisition</v>
      </c>
      <c r="K1393" s="65" t="str">
        <f t="shared" si="1"/>
        <v>In</v>
      </c>
    </row>
    <row r="1394">
      <c r="A1394" s="62" t="s">
        <v>1532</v>
      </c>
      <c r="B1394" s="63">
        <v>44147.0</v>
      </c>
      <c r="C1394" s="62" t="s">
        <v>112</v>
      </c>
      <c r="D1394" s="64">
        <v>0.0</v>
      </c>
      <c r="E1394" s="62" t="s">
        <v>109</v>
      </c>
      <c r="F1394" s="62" t="s">
        <v>110</v>
      </c>
      <c r="G1394" s="64" t="s">
        <v>64</v>
      </c>
      <c r="H1394" s="3" t="s">
        <v>135</v>
      </c>
      <c r="I1394" s="65" t="str">
        <f>IFERROR(VLOOKUP(A1394,'3. Call duration'!$A:$C,3,0),"--")</f>
        <v>--</v>
      </c>
      <c r="J1394" s="65" t="str">
        <f t="array" ref="J1394">XLOOKUP(H1394,'2. Matching'!$A$2:$A$39,'2. Matching'!$B$2:$B$39,"--")</f>
        <v>Acquisition</v>
      </c>
      <c r="K1394" s="65" t="str">
        <f t="shared" si="1"/>
        <v>In</v>
      </c>
    </row>
    <row r="1395">
      <c r="A1395" s="62" t="s">
        <v>1533</v>
      </c>
      <c r="B1395" s="63">
        <v>44177.0</v>
      </c>
      <c r="C1395" s="62" t="s">
        <v>112</v>
      </c>
      <c r="D1395" s="64">
        <v>0.0</v>
      </c>
      <c r="E1395" s="62" t="s">
        <v>109</v>
      </c>
      <c r="F1395" s="62" t="s">
        <v>110</v>
      </c>
      <c r="G1395" s="64" t="s">
        <v>64</v>
      </c>
      <c r="H1395" s="3" t="s">
        <v>139</v>
      </c>
      <c r="I1395" s="65" t="str">
        <f>IFERROR(VLOOKUP(A1395,'3. Call duration'!$A:$C,3,0),"--")</f>
        <v>--</v>
      </c>
      <c r="J1395" s="65" t="str">
        <f t="array" ref="J1395">XLOOKUP(H1395,'2. Matching'!$A$2:$A$39,'2. Matching'!$B$2:$B$39,"--")</f>
        <v>Acquisition</v>
      </c>
      <c r="K1395" s="65" t="str">
        <f t="shared" si="1"/>
        <v>In</v>
      </c>
    </row>
    <row r="1396">
      <c r="A1396" s="62" t="s">
        <v>1534</v>
      </c>
      <c r="B1396" s="63">
        <v>44093.0</v>
      </c>
      <c r="C1396" s="62" t="s">
        <v>108</v>
      </c>
      <c r="D1396" s="64">
        <v>0.0</v>
      </c>
      <c r="E1396" s="62" t="s">
        <v>109</v>
      </c>
      <c r="F1396" s="62" t="s">
        <v>115</v>
      </c>
      <c r="G1396" s="64" t="s">
        <v>64</v>
      </c>
      <c r="H1396" s="3" t="s">
        <v>139</v>
      </c>
      <c r="I1396" s="65">
        <f>IFERROR(VLOOKUP(A1396,'3. Call duration'!$A:$C,3,0),"--")</f>
        <v>21.37087392</v>
      </c>
      <c r="J1396" s="65" t="str">
        <f t="array" ref="J1396">XLOOKUP(H1396,'2. Matching'!$A$2:$A$39,'2. Matching'!$B$2:$B$39,"--")</f>
        <v>Acquisition</v>
      </c>
      <c r="K1396" s="65" t="str">
        <f t="shared" si="1"/>
        <v>In</v>
      </c>
    </row>
    <row r="1397">
      <c r="A1397" s="62" t="s">
        <v>1535</v>
      </c>
      <c r="B1397" s="63">
        <v>44335.0</v>
      </c>
      <c r="C1397" s="62" t="s">
        <v>119</v>
      </c>
      <c r="D1397" s="64">
        <v>47.5</v>
      </c>
      <c r="E1397" s="62" t="s">
        <v>109</v>
      </c>
      <c r="F1397" s="62" t="s">
        <v>115</v>
      </c>
      <c r="G1397" s="64" t="s">
        <v>64</v>
      </c>
      <c r="H1397" s="3" t="s">
        <v>164</v>
      </c>
      <c r="I1397" s="65">
        <f>IFERROR(VLOOKUP(A1397,'3. Call duration'!$A:$C,3,0),"--")</f>
        <v>22.52336043</v>
      </c>
      <c r="J1397" s="65" t="str">
        <f t="array" ref="J1397">XLOOKUP(H1397,'2. Matching'!$A$2:$A$39,'2. Matching'!$B$2:$B$39,"--")</f>
        <v>SEO</v>
      </c>
      <c r="K1397" s="65" t="str">
        <f t="shared" si="1"/>
        <v>In</v>
      </c>
    </row>
    <row r="1398">
      <c r="A1398" s="62" t="s">
        <v>1536</v>
      </c>
      <c r="B1398" s="63">
        <v>44373.0</v>
      </c>
      <c r="C1398" s="62" t="s">
        <v>112</v>
      </c>
      <c r="D1398" s="64">
        <v>0.0</v>
      </c>
      <c r="E1398" s="62" t="s">
        <v>109</v>
      </c>
      <c r="F1398" s="62" t="s">
        <v>110</v>
      </c>
      <c r="G1398" s="64" t="s">
        <v>60</v>
      </c>
      <c r="H1398" s="3" t="s">
        <v>68</v>
      </c>
      <c r="I1398" s="65" t="str">
        <f>IFERROR(VLOOKUP(A1398,'3. Call duration'!$A:$C,3,0),"--")</f>
        <v>--</v>
      </c>
      <c r="J1398" s="65" t="str">
        <f t="array" ref="J1398">XLOOKUP(H1398,'2. Matching'!$A$2:$A$39,'2. Matching'!$B$2:$B$39,"--")</f>
        <v>Acquisition</v>
      </c>
      <c r="K1398" s="65" t="str">
        <f t="shared" si="1"/>
        <v>In</v>
      </c>
    </row>
    <row r="1399">
      <c r="A1399" s="62" t="s">
        <v>1537</v>
      </c>
      <c r="B1399" s="63">
        <v>44332.0</v>
      </c>
      <c r="C1399" s="62" t="s">
        <v>119</v>
      </c>
      <c r="D1399" s="64">
        <v>47.5</v>
      </c>
      <c r="E1399" s="62" t="s">
        <v>109</v>
      </c>
      <c r="F1399" s="62" t="s">
        <v>115</v>
      </c>
      <c r="G1399" s="64" t="s">
        <v>64</v>
      </c>
      <c r="H1399" s="3" t="s">
        <v>139</v>
      </c>
      <c r="I1399" s="65">
        <f>IFERROR(VLOOKUP(A1399,'3. Call duration'!$A:$C,3,0),"--")</f>
        <v>22.53551056</v>
      </c>
      <c r="J1399" s="65" t="str">
        <f t="array" ref="J1399">XLOOKUP(H1399,'2. Matching'!$A$2:$A$39,'2. Matching'!$B$2:$B$39,"--")</f>
        <v>Acquisition</v>
      </c>
      <c r="K1399" s="65" t="str">
        <f t="shared" si="1"/>
        <v>In</v>
      </c>
    </row>
    <row r="1400">
      <c r="A1400" s="62" t="s">
        <v>1538</v>
      </c>
      <c r="B1400" s="63">
        <v>44279.0</v>
      </c>
      <c r="C1400" s="62" t="s">
        <v>112</v>
      </c>
      <c r="D1400" s="64">
        <v>0.0</v>
      </c>
      <c r="E1400" s="62" t="s">
        <v>109</v>
      </c>
      <c r="F1400" s="62" t="s">
        <v>115</v>
      </c>
      <c r="G1400" s="64" t="s">
        <v>64</v>
      </c>
      <c r="H1400" s="3" t="s">
        <v>52</v>
      </c>
      <c r="I1400" s="65" t="str">
        <f>IFERROR(VLOOKUP(A1400,'3. Call duration'!$A:$C,3,0),"--")</f>
        <v>--</v>
      </c>
      <c r="J1400" s="65" t="str">
        <f t="array" ref="J1400">XLOOKUP(H1400,'2. Matching'!$A$2:$A$39,'2. Matching'!$B$2:$B$39,"--")</f>
        <v>Partnerships</v>
      </c>
      <c r="K1400" s="65" t="str">
        <f t="shared" si="1"/>
        <v>In</v>
      </c>
    </row>
    <row r="1401">
      <c r="A1401" s="62" t="s">
        <v>1539</v>
      </c>
      <c r="B1401" s="63">
        <v>44375.0</v>
      </c>
      <c r="C1401" s="62" t="s">
        <v>108</v>
      </c>
      <c r="D1401" s="64">
        <v>0.0</v>
      </c>
      <c r="E1401" s="62" t="s">
        <v>109</v>
      </c>
      <c r="F1401" s="62" t="s">
        <v>110</v>
      </c>
      <c r="G1401" s="64" t="s">
        <v>63</v>
      </c>
      <c r="H1401" s="3" t="s">
        <v>228</v>
      </c>
      <c r="I1401" s="65">
        <f>IFERROR(VLOOKUP(A1401,'3. Call duration'!$A:$C,3,0),"--")</f>
        <v>15.9014955</v>
      </c>
      <c r="J1401" s="65" t="str">
        <f t="array" ref="J1401">XLOOKUP(H1401,'2. Matching'!$A$2:$A$39,'2. Matching'!$B$2:$B$39,"--")</f>
        <v>Farming</v>
      </c>
      <c r="K1401" s="65" t="str">
        <f t="shared" si="1"/>
        <v>In</v>
      </c>
    </row>
    <row r="1402">
      <c r="A1402" s="62" t="s">
        <v>1540</v>
      </c>
      <c r="B1402" s="63">
        <v>44267.0</v>
      </c>
      <c r="C1402" s="62" t="s">
        <v>108</v>
      </c>
      <c r="D1402" s="64">
        <v>0.0</v>
      </c>
      <c r="E1402" s="62" t="s">
        <v>109</v>
      </c>
      <c r="F1402" s="62" t="s">
        <v>110</v>
      </c>
      <c r="G1402" s="64" t="s">
        <v>64</v>
      </c>
      <c r="H1402" s="3" t="s">
        <v>116</v>
      </c>
      <c r="I1402" s="65">
        <f>IFERROR(VLOOKUP(A1402,'3. Call duration'!$A:$C,3,0),"--")</f>
        <v>23.46976002</v>
      </c>
      <c r="J1402" s="65" t="str">
        <f t="array" ref="J1402">XLOOKUP(H1402,'2. Matching'!$A$2:$A$39,'2. Matching'!$B$2:$B$39,"--")</f>
        <v>Acquisition</v>
      </c>
      <c r="K1402" s="65" t="str">
        <f t="shared" si="1"/>
        <v>In</v>
      </c>
    </row>
    <row r="1403">
      <c r="A1403" s="62" t="s">
        <v>1541</v>
      </c>
      <c r="B1403" s="63">
        <v>44228.0</v>
      </c>
      <c r="C1403" s="62" t="s">
        <v>112</v>
      </c>
      <c r="D1403" s="64">
        <v>0.0</v>
      </c>
      <c r="E1403" s="62" t="s">
        <v>109</v>
      </c>
      <c r="F1403" s="62" t="s">
        <v>115</v>
      </c>
      <c r="G1403" s="64" t="s">
        <v>64</v>
      </c>
      <c r="H1403" s="3" t="s">
        <v>175</v>
      </c>
      <c r="I1403" s="65" t="str">
        <f>IFERROR(VLOOKUP(A1403,'3. Call duration'!$A:$C,3,0),"--")</f>
        <v>--</v>
      </c>
      <c r="J1403" s="65" t="str">
        <f t="array" ref="J1403">XLOOKUP(H1403,'2. Matching'!$A$2:$A$39,'2. Matching'!$B$2:$B$39,"--")</f>
        <v>SEO</v>
      </c>
      <c r="K1403" s="65" t="str">
        <f t="shared" si="1"/>
        <v>In</v>
      </c>
    </row>
    <row r="1404">
      <c r="A1404" s="62" t="s">
        <v>1542</v>
      </c>
      <c r="B1404" s="63">
        <v>44376.0</v>
      </c>
      <c r="C1404" s="62" t="s">
        <v>112</v>
      </c>
      <c r="D1404" s="64">
        <v>0.0</v>
      </c>
      <c r="E1404" s="62" t="s">
        <v>109</v>
      </c>
      <c r="F1404" s="62" t="s">
        <v>110</v>
      </c>
      <c r="G1404" s="64" t="s">
        <v>60</v>
      </c>
      <c r="H1404" s="3" t="s">
        <v>68</v>
      </c>
      <c r="I1404" s="65" t="str">
        <f>IFERROR(VLOOKUP(A1404,'3. Call duration'!$A:$C,3,0),"--")</f>
        <v>--</v>
      </c>
      <c r="J1404" s="65" t="str">
        <f t="array" ref="J1404">XLOOKUP(H1404,'2. Matching'!$A$2:$A$39,'2. Matching'!$B$2:$B$39,"--")</f>
        <v>Acquisition</v>
      </c>
      <c r="K1404" s="65" t="str">
        <f t="shared" si="1"/>
        <v>In</v>
      </c>
    </row>
    <row r="1405">
      <c r="A1405" s="62" t="s">
        <v>1543</v>
      </c>
      <c r="B1405" s="63">
        <v>44273.0</v>
      </c>
      <c r="C1405" s="62" t="s">
        <v>108</v>
      </c>
      <c r="D1405" s="64">
        <v>0.0</v>
      </c>
      <c r="E1405" s="62" t="s">
        <v>109</v>
      </c>
      <c r="F1405" s="62" t="s">
        <v>115</v>
      </c>
      <c r="G1405" s="64" t="s">
        <v>64</v>
      </c>
      <c r="H1405" s="3" t="s">
        <v>155</v>
      </c>
      <c r="I1405" s="65">
        <f>IFERROR(VLOOKUP(A1405,'3. Call duration'!$A:$C,3,0),"--")</f>
        <v>16.61149435</v>
      </c>
      <c r="J1405" s="65" t="str">
        <f t="array" ref="J1405">XLOOKUP(H1405,'2. Matching'!$A$2:$A$39,'2. Matching'!$B$2:$B$39,"--")</f>
        <v>SEO</v>
      </c>
      <c r="K1405" s="65" t="str">
        <f t="shared" si="1"/>
        <v>In</v>
      </c>
    </row>
    <row r="1406">
      <c r="A1406" s="62" t="s">
        <v>1544</v>
      </c>
      <c r="B1406" s="63">
        <v>44145.0</v>
      </c>
      <c r="C1406" s="62" t="s">
        <v>112</v>
      </c>
      <c r="D1406" s="64">
        <v>0.0</v>
      </c>
      <c r="E1406" s="62" t="s">
        <v>109</v>
      </c>
      <c r="F1406" s="62" t="s">
        <v>110</v>
      </c>
      <c r="G1406" s="64" t="s">
        <v>64</v>
      </c>
      <c r="H1406" s="3" t="s">
        <v>175</v>
      </c>
      <c r="I1406" s="65" t="str">
        <f>IFERROR(VLOOKUP(A1406,'3. Call duration'!$A:$C,3,0),"--")</f>
        <v>--</v>
      </c>
      <c r="J1406" s="65" t="str">
        <f t="array" ref="J1406">XLOOKUP(H1406,'2. Matching'!$A$2:$A$39,'2. Matching'!$B$2:$B$39,"--")</f>
        <v>SEO</v>
      </c>
      <c r="K1406" s="65" t="str">
        <f t="shared" si="1"/>
        <v>In</v>
      </c>
    </row>
    <row r="1407">
      <c r="A1407" s="62" t="s">
        <v>1545</v>
      </c>
      <c r="B1407" s="63">
        <v>44328.0</v>
      </c>
      <c r="C1407" s="62" t="s">
        <v>119</v>
      </c>
      <c r="D1407" s="64">
        <v>47.5</v>
      </c>
      <c r="E1407" s="62" t="s">
        <v>109</v>
      </c>
      <c r="F1407" s="62" t="s">
        <v>115</v>
      </c>
      <c r="G1407" s="64" t="s">
        <v>64</v>
      </c>
      <c r="H1407" s="3" t="s">
        <v>55</v>
      </c>
      <c r="I1407" s="65">
        <f>IFERROR(VLOOKUP(A1407,'3. Call duration'!$A:$C,3,0),"--")</f>
        <v>22.53733971</v>
      </c>
      <c r="J1407" s="65" t="str">
        <f t="array" ref="J1407">XLOOKUP(H1407,'2. Matching'!$A$2:$A$39,'2. Matching'!$B$2:$B$39,"--")</f>
        <v>Partnerships</v>
      </c>
      <c r="K1407" s="65" t="str">
        <f t="shared" si="1"/>
        <v>In</v>
      </c>
    </row>
    <row r="1408">
      <c r="A1408" s="62" t="s">
        <v>1546</v>
      </c>
      <c r="B1408" s="63">
        <v>44223.0</v>
      </c>
      <c r="C1408" s="62" t="s">
        <v>108</v>
      </c>
      <c r="D1408" s="64">
        <v>0.0</v>
      </c>
      <c r="E1408" s="62" t="s">
        <v>109</v>
      </c>
      <c r="F1408" s="62" t="s">
        <v>110</v>
      </c>
      <c r="G1408" s="64" t="s">
        <v>64</v>
      </c>
      <c r="H1408" s="3" t="s">
        <v>131</v>
      </c>
      <c r="I1408" s="65" t="str">
        <f>IFERROR(VLOOKUP(A1408,'3. Call duration'!$A:$C,3,0),"--")</f>
        <v>--</v>
      </c>
      <c r="J1408" s="65" t="str">
        <f t="array" ref="J1408">XLOOKUP(H1408,'2. Matching'!$A$2:$A$39,'2. Matching'!$B$2:$B$39,"--")</f>
        <v>Acquisition</v>
      </c>
      <c r="K1408" s="65" t="str">
        <f t="shared" si="1"/>
        <v>In</v>
      </c>
    </row>
    <row r="1409">
      <c r="A1409" s="62" t="s">
        <v>1547</v>
      </c>
      <c r="B1409" s="63">
        <v>44152.0</v>
      </c>
      <c r="C1409" s="62" t="s">
        <v>112</v>
      </c>
      <c r="D1409" s="64">
        <v>0.0</v>
      </c>
      <c r="E1409" s="62" t="s">
        <v>114</v>
      </c>
      <c r="F1409" s="62" t="s">
        <v>115</v>
      </c>
      <c r="G1409" s="64" t="s">
        <v>64</v>
      </c>
      <c r="H1409" s="3" t="s">
        <v>139</v>
      </c>
      <c r="I1409" s="65" t="str">
        <f>IFERROR(VLOOKUP(A1409,'3. Call duration'!$A:$C,3,0),"--")</f>
        <v>--</v>
      </c>
      <c r="J1409" s="65" t="str">
        <f t="array" ref="J1409">XLOOKUP(H1409,'2. Matching'!$A$2:$A$39,'2. Matching'!$B$2:$B$39,"--")</f>
        <v>Acquisition</v>
      </c>
      <c r="K1409" s="65" t="str">
        <f t="shared" si="1"/>
        <v>In</v>
      </c>
    </row>
    <row r="1410">
      <c r="A1410" s="62" t="s">
        <v>1548</v>
      </c>
      <c r="B1410" s="63">
        <v>44359.0</v>
      </c>
      <c r="C1410" s="62" t="s">
        <v>112</v>
      </c>
      <c r="D1410" s="64">
        <v>0.0</v>
      </c>
      <c r="E1410" s="62" t="s">
        <v>114</v>
      </c>
      <c r="F1410" s="62" t="s">
        <v>110</v>
      </c>
      <c r="G1410" s="64" t="s">
        <v>60</v>
      </c>
      <c r="H1410" s="3" t="s">
        <v>67</v>
      </c>
      <c r="I1410" s="65" t="str">
        <f>IFERROR(VLOOKUP(A1410,'3. Call duration'!$A:$C,3,0),"--")</f>
        <v>--</v>
      </c>
      <c r="J1410" s="65" t="str">
        <f t="array" ref="J1410">XLOOKUP(H1410,'2. Matching'!$A$2:$A$39,'2. Matching'!$B$2:$B$39,"--")</f>
        <v>Acquisition</v>
      </c>
      <c r="K1410" s="65" t="str">
        <f t="shared" si="1"/>
        <v>In</v>
      </c>
    </row>
    <row r="1411">
      <c r="A1411" s="62" t="s">
        <v>1549</v>
      </c>
      <c r="B1411" s="63">
        <v>44377.0</v>
      </c>
      <c r="C1411" s="62" t="s">
        <v>108</v>
      </c>
      <c r="D1411" s="64">
        <v>0.0</v>
      </c>
      <c r="E1411" s="62" t="s">
        <v>114</v>
      </c>
      <c r="F1411" s="62" t="s">
        <v>115</v>
      </c>
      <c r="G1411" s="64" t="s">
        <v>64</v>
      </c>
      <c r="H1411" s="3" t="s">
        <v>155</v>
      </c>
      <c r="I1411" s="65">
        <f>IFERROR(VLOOKUP(A1411,'3. Call duration'!$A:$C,3,0),"--")</f>
        <v>22.17325051</v>
      </c>
      <c r="J1411" s="65" t="str">
        <f t="array" ref="J1411">XLOOKUP(H1411,'2. Matching'!$A$2:$A$39,'2. Matching'!$B$2:$B$39,"--")</f>
        <v>SEO</v>
      </c>
      <c r="K1411" s="65" t="str">
        <f t="shared" si="1"/>
        <v>In</v>
      </c>
    </row>
    <row r="1412">
      <c r="A1412" s="62" t="s">
        <v>1550</v>
      </c>
      <c r="B1412" s="63">
        <v>44357.0</v>
      </c>
      <c r="C1412" s="62" t="s">
        <v>108</v>
      </c>
      <c r="D1412" s="64">
        <v>0.0</v>
      </c>
      <c r="E1412" s="62" t="s">
        <v>114</v>
      </c>
      <c r="F1412" s="62" t="s">
        <v>110</v>
      </c>
      <c r="G1412" s="64" t="s">
        <v>64</v>
      </c>
      <c r="H1412" s="3" t="s">
        <v>116</v>
      </c>
      <c r="I1412" s="65">
        <f>IFERROR(VLOOKUP(A1412,'3. Call duration'!$A:$C,3,0),"--")</f>
        <v>32.14413657</v>
      </c>
      <c r="J1412" s="65" t="str">
        <f t="array" ref="J1412">XLOOKUP(H1412,'2. Matching'!$A$2:$A$39,'2. Matching'!$B$2:$B$39,"--")</f>
        <v>Acquisition</v>
      </c>
      <c r="K1412" s="65" t="str">
        <f t="shared" si="1"/>
        <v>In</v>
      </c>
    </row>
    <row r="1413">
      <c r="A1413" s="62" t="s">
        <v>1551</v>
      </c>
      <c r="B1413" s="63">
        <v>44366.0</v>
      </c>
      <c r="C1413" s="62" t="s">
        <v>112</v>
      </c>
      <c r="D1413" s="64">
        <v>0.0</v>
      </c>
      <c r="E1413" s="62" t="s">
        <v>109</v>
      </c>
      <c r="F1413" s="62" t="s">
        <v>110</v>
      </c>
      <c r="G1413" s="64" t="s">
        <v>60</v>
      </c>
      <c r="H1413" s="3" t="s">
        <v>67</v>
      </c>
      <c r="I1413" s="65" t="str">
        <f>IFERROR(VLOOKUP(A1413,'3. Call duration'!$A:$C,3,0),"--")</f>
        <v>--</v>
      </c>
      <c r="J1413" s="65" t="str">
        <f t="array" ref="J1413">XLOOKUP(H1413,'2. Matching'!$A$2:$A$39,'2. Matching'!$B$2:$B$39,"--")</f>
        <v>Acquisition</v>
      </c>
      <c r="K1413" s="65" t="str">
        <f t="shared" si="1"/>
        <v>In</v>
      </c>
    </row>
    <row r="1414">
      <c r="A1414" s="62" t="s">
        <v>1552</v>
      </c>
      <c r="B1414" s="63">
        <v>44096.0</v>
      </c>
      <c r="C1414" s="62" t="s">
        <v>108</v>
      </c>
      <c r="D1414" s="64">
        <v>0.0</v>
      </c>
      <c r="E1414" s="62" t="s">
        <v>109</v>
      </c>
      <c r="F1414" s="62" t="s">
        <v>115</v>
      </c>
      <c r="G1414" s="64" t="s">
        <v>64</v>
      </c>
      <c r="H1414" s="3" t="s">
        <v>139</v>
      </c>
      <c r="I1414" s="65">
        <f>IFERROR(VLOOKUP(A1414,'3. Call duration'!$A:$C,3,0),"--")</f>
        <v>31.55215077</v>
      </c>
      <c r="J1414" s="65" t="str">
        <f t="array" ref="J1414">XLOOKUP(H1414,'2. Matching'!$A$2:$A$39,'2. Matching'!$B$2:$B$39,"--")</f>
        <v>Acquisition</v>
      </c>
      <c r="K1414" s="65" t="str">
        <f t="shared" si="1"/>
        <v>In</v>
      </c>
    </row>
    <row r="1415">
      <c r="A1415" s="62" t="s">
        <v>1553</v>
      </c>
      <c r="B1415" s="63">
        <v>44322.0</v>
      </c>
      <c r="C1415" s="62" t="s">
        <v>119</v>
      </c>
      <c r="D1415" s="64">
        <v>47.5</v>
      </c>
      <c r="E1415" s="62" t="s">
        <v>109</v>
      </c>
      <c r="F1415" s="62" t="s">
        <v>115</v>
      </c>
      <c r="G1415" s="64" t="s">
        <v>64</v>
      </c>
      <c r="H1415" s="3" t="s">
        <v>131</v>
      </c>
      <c r="I1415" s="65">
        <f>IFERROR(VLOOKUP(A1415,'3. Call duration'!$A:$C,3,0),"--")</f>
        <v>22.57656221</v>
      </c>
      <c r="J1415" s="65" t="str">
        <f t="array" ref="J1415">XLOOKUP(H1415,'2. Matching'!$A$2:$A$39,'2. Matching'!$B$2:$B$39,"--")</f>
        <v>Acquisition</v>
      </c>
      <c r="K1415" s="65" t="str">
        <f t="shared" si="1"/>
        <v>In</v>
      </c>
    </row>
    <row r="1416">
      <c r="A1416" s="62" t="s">
        <v>1554</v>
      </c>
      <c r="B1416" s="63">
        <v>44375.0</v>
      </c>
      <c r="C1416" s="62" t="s">
        <v>112</v>
      </c>
      <c r="D1416" s="64">
        <v>0.0</v>
      </c>
      <c r="E1416" s="62" t="s">
        <v>109</v>
      </c>
      <c r="F1416" s="62" t="s">
        <v>115</v>
      </c>
      <c r="G1416" s="64" t="s">
        <v>64</v>
      </c>
      <c r="H1416" s="3" t="s">
        <v>169</v>
      </c>
      <c r="I1416" s="65" t="str">
        <f>IFERROR(VLOOKUP(A1416,'3. Call duration'!$A:$C,3,0),"--")</f>
        <v>--</v>
      </c>
      <c r="J1416" s="65" t="str">
        <f t="array" ref="J1416">XLOOKUP(H1416,'2. Matching'!$A$2:$A$39,'2. Matching'!$B$2:$B$39,"--")</f>
        <v>SEO</v>
      </c>
      <c r="K1416" s="65" t="str">
        <f t="shared" si="1"/>
        <v>In</v>
      </c>
    </row>
    <row r="1417">
      <c r="A1417" s="62" t="s">
        <v>1555</v>
      </c>
      <c r="B1417" s="63">
        <v>44396.0</v>
      </c>
      <c r="C1417" s="62" t="s">
        <v>112</v>
      </c>
      <c r="D1417" s="64">
        <v>0.0</v>
      </c>
      <c r="E1417" s="62" t="s">
        <v>114</v>
      </c>
      <c r="F1417" s="62" t="s">
        <v>110</v>
      </c>
      <c r="G1417" s="64" t="s">
        <v>64</v>
      </c>
      <c r="H1417" s="3" t="s">
        <v>175</v>
      </c>
      <c r="I1417" s="65" t="str">
        <f>IFERROR(VLOOKUP(A1417,'3. Call duration'!$A:$C,3,0),"--")</f>
        <v>--</v>
      </c>
      <c r="J1417" s="65" t="str">
        <f t="array" ref="J1417">XLOOKUP(H1417,'2. Matching'!$A$2:$A$39,'2. Matching'!$B$2:$B$39,"--")</f>
        <v>SEO</v>
      </c>
      <c r="K1417" s="65" t="str">
        <f t="shared" si="1"/>
        <v>In</v>
      </c>
    </row>
    <row r="1418">
      <c r="A1418" s="62" t="s">
        <v>1556</v>
      </c>
      <c r="B1418" s="63">
        <v>44259.0</v>
      </c>
      <c r="C1418" s="62" t="s">
        <v>112</v>
      </c>
      <c r="D1418" s="64">
        <v>0.0</v>
      </c>
      <c r="E1418" s="62" t="s">
        <v>109</v>
      </c>
      <c r="F1418" s="62" t="s">
        <v>115</v>
      </c>
      <c r="G1418" s="64" t="s">
        <v>62</v>
      </c>
      <c r="H1418" s="3" t="s">
        <v>203</v>
      </c>
      <c r="I1418" s="65" t="str">
        <f>IFERROR(VLOOKUP(A1418,'3. Call duration'!$A:$C,3,0),"--")</f>
        <v>--</v>
      </c>
      <c r="J1418" s="65" t="str">
        <f t="array" ref="J1418">XLOOKUP(H1418,'2. Matching'!$A$2:$A$39,'2. Matching'!$B$2:$B$39,"--")</f>
        <v>Farming</v>
      </c>
      <c r="K1418" s="65" t="str">
        <f t="shared" si="1"/>
        <v>In</v>
      </c>
    </row>
    <row r="1419">
      <c r="A1419" s="62" t="s">
        <v>1557</v>
      </c>
      <c r="B1419" s="63">
        <v>44357.0</v>
      </c>
      <c r="C1419" s="62" t="s">
        <v>112</v>
      </c>
      <c r="D1419" s="64">
        <v>0.0</v>
      </c>
      <c r="E1419" s="62" t="s">
        <v>109</v>
      </c>
      <c r="F1419" s="62" t="s">
        <v>115</v>
      </c>
      <c r="G1419" s="64" t="s">
        <v>64</v>
      </c>
      <c r="H1419" s="3" t="s">
        <v>175</v>
      </c>
      <c r="I1419" s="65" t="str">
        <f>IFERROR(VLOOKUP(A1419,'3. Call duration'!$A:$C,3,0),"--")</f>
        <v>--</v>
      </c>
      <c r="J1419" s="65" t="str">
        <f t="array" ref="J1419">XLOOKUP(H1419,'2. Matching'!$A$2:$A$39,'2. Matching'!$B$2:$B$39,"--")</f>
        <v>SEO</v>
      </c>
      <c r="K1419" s="65" t="str">
        <f t="shared" si="1"/>
        <v>In</v>
      </c>
    </row>
    <row r="1420">
      <c r="A1420" s="62" t="s">
        <v>1558</v>
      </c>
      <c r="B1420" s="63">
        <v>44365.0</v>
      </c>
      <c r="C1420" s="62" t="s">
        <v>108</v>
      </c>
      <c r="D1420" s="64">
        <v>0.0</v>
      </c>
      <c r="E1420" s="62" t="s">
        <v>109</v>
      </c>
      <c r="F1420" s="62" t="s">
        <v>115</v>
      </c>
      <c r="G1420" s="64" t="s">
        <v>64</v>
      </c>
      <c r="H1420" s="3" t="s">
        <v>175</v>
      </c>
      <c r="I1420" s="65">
        <f>IFERROR(VLOOKUP(A1420,'3. Call duration'!$A:$C,3,0),"--")</f>
        <v>27.9755937</v>
      </c>
      <c r="J1420" s="65" t="str">
        <f t="array" ref="J1420">XLOOKUP(H1420,'2. Matching'!$A$2:$A$39,'2. Matching'!$B$2:$B$39,"--")</f>
        <v>SEO</v>
      </c>
      <c r="K1420" s="65" t="str">
        <f t="shared" si="1"/>
        <v>In</v>
      </c>
    </row>
    <row r="1421">
      <c r="A1421" s="62" t="s">
        <v>1559</v>
      </c>
      <c r="B1421" s="63">
        <v>44336.0</v>
      </c>
      <c r="C1421" s="62" t="s">
        <v>119</v>
      </c>
      <c r="D1421" s="64">
        <v>47.5</v>
      </c>
      <c r="E1421" s="62" t="s">
        <v>109</v>
      </c>
      <c r="F1421" s="62" t="s">
        <v>115</v>
      </c>
      <c r="G1421" s="64" t="s">
        <v>64</v>
      </c>
      <c r="H1421" s="3" t="s">
        <v>169</v>
      </c>
      <c r="I1421" s="65">
        <f>IFERROR(VLOOKUP(A1421,'3. Call duration'!$A:$C,3,0),"--")</f>
        <v>22.6074833</v>
      </c>
      <c r="J1421" s="65" t="str">
        <f t="array" ref="J1421">XLOOKUP(H1421,'2. Matching'!$A$2:$A$39,'2. Matching'!$B$2:$B$39,"--")</f>
        <v>SEO</v>
      </c>
      <c r="K1421" s="65" t="str">
        <f t="shared" si="1"/>
        <v>In</v>
      </c>
    </row>
    <row r="1422">
      <c r="A1422" s="62" t="s">
        <v>1560</v>
      </c>
      <c r="B1422" s="63">
        <v>44307.0</v>
      </c>
      <c r="C1422" s="62" t="s">
        <v>112</v>
      </c>
      <c r="D1422" s="64">
        <v>0.0</v>
      </c>
      <c r="E1422" s="62" t="s">
        <v>114</v>
      </c>
      <c r="F1422" s="62" t="s">
        <v>115</v>
      </c>
      <c r="G1422" s="64" t="s">
        <v>64</v>
      </c>
      <c r="H1422" s="3" t="s">
        <v>116</v>
      </c>
      <c r="I1422" s="65" t="str">
        <f>IFERROR(VLOOKUP(A1422,'3. Call duration'!$A:$C,3,0),"--")</f>
        <v>--</v>
      </c>
      <c r="J1422" s="65" t="str">
        <f t="array" ref="J1422">XLOOKUP(H1422,'2. Matching'!$A$2:$A$39,'2. Matching'!$B$2:$B$39,"--")</f>
        <v>Acquisition</v>
      </c>
      <c r="K1422" s="65" t="str">
        <f t="shared" si="1"/>
        <v>In</v>
      </c>
    </row>
    <row r="1423">
      <c r="A1423" s="62" t="s">
        <v>1561</v>
      </c>
      <c r="B1423" s="63">
        <v>44237.0</v>
      </c>
      <c r="C1423" s="62" t="s">
        <v>112</v>
      </c>
      <c r="D1423" s="64">
        <v>0.0</v>
      </c>
      <c r="E1423" s="62" t="s">
        <v>109</v>
      </c>
      <c r="F1423" s="62" t="s">
        <v>110</v>
      </c>
      <c r="G1423" s="64" t="s">
        <v>62</v>
      </c>
      <c r="H1423" s="3" t="s">
        <v>203</v>
      </c>
      <c r="I1423" s="65" t="str">
        <f>IFERROR(VLOOKUP(A1423,'3. Call duration'!$A:$C,3,0),"--")</f>
        <v>--</v>
      </c>
      <c r="J1423" s="65" t="str">
        <f t="array" ref="J1423">XLOOKUP(H1423,'2. Matching'!$A$2:$A$39,'2. Matching'!$B$2:$B$39,"--")</f>
        <v>Farming</v>
      </c>
      <c r="K1423" s="65" t="str">
        <f t="shared" si="1"/>
        <v>In</v>
      </c>
    </row>
    <row r="1424">
      <c r="A1424" s="62" t="s">
        <v>1562</v>
      </c>
      <c r="B1424" s="63">
        <v>44168.0</v>
      </c>
      <c r="C1424" s="62" t="s">
        <v>112</v>
      </c>
      <c r="D1424" s="64">
        <v>0.0</v>
      </c>
      <c r="E1424" s="62" t="s">
        <v>114</v>
      </c>
      <c r="F1424" s="62" t="s">
        <v>115</v>
      </c>
      <c r="G1424" s="64" t="s">
        <v>62</v>
      </c>
      <c r="H1424" s="3" t="s">
        <v>294</v>
      </c>
      <c r="I1424" s="65" t="str">
        <f>IFERROR(VLOOKUP(A1424,'3. Call duration'!$A:$C,3,0),"--")</f>
        <v>--</v>
      </c>
      <c r="J1424" s="65" t="str">
        <f t="array" ref="J1424">XLOOKUP(H1424,'2. Matching'!$A$2:$A$39,'2. Matching'!$B$2:$B$39,"--")</f>
        <v>Farming</v>
      </c>
      <c r="K1424" s="65" t="str">
        <f t="shared" si="1"/>
        <v>In</v>
      </c>
    </row>
    <row r="1425">
      <c r="A1425" s="62" t="s">
        <v>1563</v>
      </c>
      <c r="B1425" s="63">
        <v>44215.0</v>
      </c>
      <c r="C1425" s="62" t="s">
        <v>108</v>
      </c>
      <c r="D1425" s="64">
        <v>0.0</v>
      </c>
      <c r="E1425" s="62" t="s">
        <v>109</v>
      </c>
      <c r="F1425" s="62" t="s">
        <v>110</v>
      </c>
      <c r="G1425" s="64" t="s">
        <v>64</v>
      </c>
      <c r="H1425" s="3" t="s">
        <v>169</v>
      </c>
      <c r="I1425" s="65">
        <f>IFERROR(VLOOKUP(A1425,'3. Call duration'!$A:$C,3,0),"--")</f>
        <v>30.8658793</v>
      </c>
      <c r="J1425" s="65" t="str">
        <f t="array" ref="J1425">XLOOKUP(H1425,'2. Matching'!$A$2:$A$39,'2. Matching'!$B$2:$B$39,"--")</f>
        <v>SEO</v>
      </c>
      <c r="K1425" s="65" t="str">
        <f t="shared" si="1"/>
        <v>In</v>
      </c>
    </row>
    <row r="1426">
      <c r="A1426" s="62" t="s">
        <v>1564</v>
      </c>
      <c r="B1426" s="63">
        <v>44202.0</v>
      </c>
      <c r="C1426" s="62" t="s">
        <v>112</v>
      </c>
      <c r="D1426" s="64">
        <v>0.0</v>
      </c>
      <c r="E1426" s="62" t="s">
        <v>114</v>
      </c>
      <c r="F1426" s="62" t="s">
        <v>115</v>
      </c>
      <c r="G1426" s="64" t="s">
        <v>64</v>
      </c>
      <c r="H1426" s="3" t="s">
        <v>221</v>
      </c>
      <c r="I1426" s="65" t="str">
        <f>IFERROR(VLOOKUP(A1426,'3. Call duration'!$A:$C,3,0),"--")</f>
        <v>--</v>
      </c>
      <c r="J1426" s="65" t="str">
        <f t="array" ref="J1426">XLOOKUP(H1426,'2. Matching'!$A$2:$A$39,'2. Matching'!$B$2:$B$39,"--")</f>
        <v>Farming</v>
      </c>
      <c r="K1426" s="65" t="str">
        <f t="shared" si="1"/>
        <v>In</v>
      </c>
    </row>
    <row r="1427">
      <c r="A1427" s="62" t="s">
        <v>1565</v>
      </c>
      <c r="B1427" s="63">
        <v>44120.0</v>
      </c>
      <c r="C1427" s="62" t="s">
        <v>112</v>
      </c>
      <c r="D1427" s="64">
        <v>0.0</v>
      </c>
      <c r="E1427" s="62" t="s">
        <v>114</v>
      </c>
      <c r="F1427" s="62" t="s">
        <v>115</v>
      </c>
      <c r="G1427" s="64" t="s">
        <v>64</v>
      </c>
      <c r="H1427" s="3" t="s">
        <v>164</v>
      </c>
      <c r="I1427" s="65" t="str">
        <f>IFERROR(VLOOKUP(A1427,'3. Call duration'!$A:$C,3,0),"--")</f>
        <v>--</v>
      </c>
      <c r="J1427" s="65" t="str">
        <f t="array" ref="J1427">XLOOKUP(H1427,'2. Matching'!$A$2:$A$39,'2. Matching'!$B$2:$B$39,"--")</f>
        <v>SEO</v>
      </c>
      <c r="K1427" s="65" t="str">
        <f t="shared" si="1"/>
        <v>In</v>
      </c>
    </row>
    <row r="1428">
      <c r="A1428" s="62" t="s">
        <v>1566</v>
      </c>
      <c r="B1428" s="63">
        <v>44343.0</v>
      </c>
      <c r="C1428" s="62" t="s">
        <v>119</v>
      </c>
      <c r="D1428" s="64">
        <v>47.5</v>
      </c>
      <c r="E1428" s="62" t="s">
        <v>109</v>
      </c>
      <c r="F1428" s="62" t="s">
        <v>115</v>
      </c>
      <c r="G1428" s="64" t="s">
        <v>64</v>
      </c>
      <c r="H1428" s="3" t="s">
        <v>139</v>
      </c>
      <c r="I1428" s="65">
        <f>IFERROR(VLOOKUP(A1428,'3. Call duration'!$A:$C,3,0),"--")</f>
        <v>22.61675468</v>
      </c>
      <c r="J1428" s="65" t="str">
        <f t="array" ref="J1428">XLOOKUP(H1428,'2. Matching'!$A$2:$A$39,'2. Matching'!$B$2:$B$39,"--")</f>
        <v>Acquisition</v>
      </c>
      <c r="K1428" s="65" t="str">
        <f t="shared" si="1"/>
        <v>In</v>
      </c>
    </row>
    <row r="1429">
      <c r="A1429" s="62" t="s">
        <v>1567</v>
      </c>
      <c r="B1429" s="63">
        <v>44271.0</v>
      </c>
      <c r="C1429" s="62" t="s">
        <v>112</v>
      </c>
      <c r="D1429" s="64">
        <v>0.0</v>
      </c>
      <c r="E1429" s="62" t="s">
        <v>109</v>
      </c>
      <c r="F1429" s="62" t="s">
        <v>115</v>
      </c>
      <c r="G1429" s="64" t="s">
        <v>63</v>
      </c>
      <c r="H1429" s="3" t="s">
        <v>189</v>
      </c>
      <c r="I1429" s="65" t="str">
        <f>IFERROR(VLOOKUP(A1429,'3. Call duration'!$A:$C,3,0),"--")</f>
        <v>--</v>
      </c>
      <c r="J1429" s="65" t="str">
        <f t="array" ref="J1429">XLOOKUP(H1429,'2. Matching'!$A$2:$A$39,'2. Matching'!$B$2:$B$39,"--")</f>
        <v>SEO</v>
      </c>
      <c r="K1429" s="65" t="str">
        <f t="shared" si="1"/>
        <v>Out</v>
      </c>
    </row>
    <row r="1430">
      <c r="A1430" s="62" t="s">
        <v>1568</v>
      </c>
      <c r="B1430" s="63">
        <v>44233.0</v>
      </c>
      <c r="C1430" s="62" t="s">
        <v>112</v>
      </c>
      <c r="D1430" s="64">
        <v>0.0</v>
      </c>
      <c r="E1430" s="62" t="s">
        <v>109</v>
      </c>
      <c r="F1430" s="62" t="s">
        <v>110</v>
      </c>
      <c r="G1430" s="64" t="s">
        <v>62</v>
      </c>
      <c r="H1430" s="3" t="s">
        <v>286</v>
      </c>
      <c r="I1430" s="65" t="str">
        <f>IFERROR(VLOOKUP(A1430,'3. Call duration'!$A:$C,3,0),"--")</f>
        <v>--</v>
      </c>
      <c r="J1430" s="65" t="str">
        <f t="array" ref="J1430">XLOOKUP(H1430,'2. Matching'!$A$2:$A$39,'2. Matching'!$B$2:$B$39,"--")</f>
        <v>Farming</v>
      </c>
      <c r="K1430" s="65" t="str">
        <f t="shared" si="1"/>
        <v>In</v>
      </c>
    </row>
    <row r="1431">
      <c r="A1431" s="62" t="s">
        <v>1569</v>
      </c>
      <c r="B1431" s="63">
        <v>44141.0</v>
      </c>
      <c r="C1431" s="62" t="s">
        <v>108</v>
      </c>
      <c r="D1431" s="64">
        <v>0.0</v>
      </c>
      <c r="E1431" s="62" t="s">
        <v>109</v>
      </c>
      <c r="F1431" s="62" t="s">
        <v>115</v>
      </c>
      <c r="G1431" s="64" t="s">
        <v>64</v>
      </c>
      <c r="H1431" s="3" t="s">
        <v>139</v>
      </c>
      <c r="I1431" s="65">
        <f>IFERROR(VLOOKUP(A1431,'3. Call duration'!$A:$C,3,0),"--")</f>
        <v>22.57689494</v>
      </c>
      <c r="J1431" s="65" t="str">
        <f t="array" ref="J1431">XLOOKUP(H1431,'2. Matching'!$A$2:$A$39,'2. Matching'!$B$2:$B$39,"--")</f>
        <v>Acquisition</v>
      </c>
      <c r="K1431" s="65" t="str">
        <f t="shared" si="1"/>
        <v>In</v>
      </c>
    </row>
    <row r="1432">
      <c r="A1432" s="62" t="s">
        <v>1570</v>
      </c>
      <c r="B1432" s="63">
        <v>44376.0</v>
      </c>
      <c r="C1432" s="62" t="s">
        <v>108</v>
      </c>
      <c r="D1432" s="64">
        <v>0.0</v>
      </c>
      <c r="E1432" s="62" t="s">
        <v>109</v>
      </c>
      <c r="F1432" s="62" t="s">
        <v>110</v>
      </c>
      <c r="G1432" s="64" t="s">
        <v>60</v>
      </c>
      <c r="H1432" s="3" t="s">
        <v>68</v>
      </c>
      <c r="I1432" s="65">
        <f>IFERROR(VLOOKUP(A1432,'3. Call duration'!$A:$C,3,0),"--")</f>
        <v>39.27491738</v>
      </c>
      <c r="J1432" s="65" t="str">
        <f t="array" ref="J1432">XLOOKUP(H1432,'2. Matching'!$A$2:$A$39,'2. Matching'!$B$2:$B$39,"--")</f>
        <v>Acquisition</v>
      </c>
      <c r="K1432" s="65" t="str">
        <f t="shared" si="1"/>
        <v>In</v>
      </c>
    </row>
    <row r="1433">
      <c r="A1433" s="62" t="s">
        <v>1571</v>
      </c>
      <c r="B1433" s="63">
        <v>44077.0</v>
      </c>
      <c r="C1433" s="62" t="s">
        <v>112</v>
      </c>
      <c r="D1433" s="64">
        <v>0.0</v>
      </c>
      <c r="E1433" s="62" t="s">
        <v>109</v>
      </c>
      <c r="F1433" s="62" t="s">
        <v>115</v>
      </c>
      <c r="G1433" s="64" t="s">
        <v>62</v>
      </c>
      <c r="H1433" s="3" t="s">
        <v>294</v>
      </c>
      <c r="I1433" s="65" t="str">
        <f>IFERROR(VLOOKUP(A1433,'3. Call duration'!$A:$C,3,0),"--")</f>
        <v>--</v>
      </c>
      <c r="J1433" s="65" t="str">
        <f t="array" ref="J1433">XLOOKUP(H1433,'2. Matching'!$A$2:$A$39,'2. Matching'!$B$2:$B$39,"--")</f>
        <v>Farming</v>
      </c>
      <c r="K1433" s="65" t="str">
        <f t="shared" si="1"/>
        <v>In</v>
      </c>
    </row>
    <row r="1434">
      <c r="A1434" s="62" t="s">
        <v>1572</v>
      </c>
      <c r="B1434" s="63">
        <v>44306.0</v>
      </c>
      <c r="C1434" s="62" t="s">
        <v>112</v>
      </c>
      <c r="D1434" s="64">
        <v>0.0</v>
      </c>
      <c r="E1434" s="62" t="s">
        <v>109</v>
      </c>
      <c r="F1434" s="62" t="s">
        <v>110</v>
      </c>
      <c r="G1434" s="64" t="s">
        <v>64</v>
      </c>
      <c r="H1434" s="3" t="s">
        <v>297</v>
      </c>
      <c r="I1434" s="65" t="str">
        <f>IFERROR(VLOOKUP(A1434,'3. Call duration'!$A:$C,3,0),"--")</f>
        <v>--</v>
      </c>
      <c r="J1434" s="65" t="str">
        <f t="array" ref="J1434">XLOOKUP(H1434,'2. Matching'!$A$2:$A$39,'2. Matching'!$B$2:$B$39,"--")</f>
        <v>Farming</v>
      </c>
      <c r="K1434" s="65" t="str">
        <f t="shared" si="1"/>
        <v>In</v>
      </c>
    </row>
    <row r="1435">
      <c r="A1435" s="62" t="s">
        <v>1573</v>
      </c>
      <c r="B1435" s="63">
        <v>44259.0</v>
      </c>
      <c r="C1435" s="62" t="s">
        <v>112</v>
      </c>
      <c r="D1435" s="64">
        <v>0.0</v>
      </c>
      <c r="E1435" s="62" t="s">
        <v>109</v>
      </c>
      <c r="F1435" s="62" t="s">
        <v>115</v>
      </c>
      <c r="G1435" s="64" t="s">
        <v>64</v>
      </c>
      <c r="H1435" s="3" t="s">
        <v>185</v>
      </c>
      <c r="I1435" s="65" t="str">
        <f>IFERROR(VLOOKUP(A1435,'3. Call duration'!$A:$C,3,0),"--")</f>
        <v>--</v>
      </c>
      <c r="J1435" s="65" t="str">
        <f t="array" ref="J1435">XLOOKUP(H1435,'2. Matching'!$A$2:$A$39,'2. Matching'!$B$2:$B$39,"--")</f>
        <v>SEO</v>
      </c>
      <c r="K1435" s="65" t="str">
        <f t="shared" si="1"/>
        <v>In</v>
      </c>
    </row>
    <row r="1436">
      <c r="A1436" s="62" t="s">
        <v>1574</v>
      </c>
      <c r="B1436" s="63">
        <v>44361.0</v>
      </c>
      <c r="C1436" s="62" t="s">
        <v>112</v>
      </c>
      <c r="D1436" s="64">
        <v>0.0</v>
      </c>
      <c r="E1436" s="62" t="s">
        <v>109</v>
      </c>
      <c r="F1436" s="62" t="s">
        <v>115</v>
      </c>
      <c r="G1436" s="64" t="s">
        <v>64</v>
      </c>
      <c r="H1436" s="3" t="s">
        <v>175</v>
      </c>
      <c r="I1436" s="65" t="str">
        <f>IFERROR(VLOOKUP(A1436,'3. Call duration'!$A:$C,3,0),"--")</f>
        <v>--</v>
      </c>
      <c r="J1436" s="65" t="str">
        <f t="array" ref="J1436">XLOOKUP(H1436,'2. Matching'!$A$2:$A$39,'2. Matching'!$B$2:$B$39,"--")</f>
        <v>SEO</v>
      </c>
      <c r="K1436" s="65" t="str">
        <f t="shared" si="1"/>
        <v>In</v>
      </c>
    </row>
    <row r="1437">
      <c r="A1437" s="62" t="s">
        <v>1575</v>
      </c>
      <c r="B1437" s="63">
        <v>44336.0</v>
      </c>
      <c r="C1437" s="62" t="s">
        <v>119</v>
      </c>
      <c r="D1437" s="64">
        <v>47.5</v>
      </c>
      <c r="E1437" s="62" t="s">
        <v>109</v>
      </c>
      <c r="F1437" s="62" t="s">
        <v>115</v>
      </c>
      <c r="G1437" s="64" t="s">
        <v>64</v>
      </c>
      <c r="H1437" s="3" t="s">
        <v>141</v>
      </c>
      <c r="I1437" s="65">
        <f>IFERROR(VLOOKUP(A1437,'3. Call duration'!$A:$C,3,0),"--")</f>
        <v>22.6266411</v>
      </c>
      <c r="J1437" s="65" t="str">
        <f t="array" ref="J1437">XLOOKUP(H1437,'2. Matching'!$A$2:$A$39,'2. Matching'!$B$2:$B$39,"--")</f>
        <v>Acquisition</v>
      </c>
      <c r="K1437" s="65" t="str">
        <f t="shared" si="1"/>
        <v>In</v>
      </c>
    </row>
    <row r="1438">
      <c r="A1438" s="62" t="s">
        <v>1576</v>
      </c>
      <c r="B1438" s="63">
        <v>44253.0</v>
      </c>
      <c r="C1438" s="62" t="s">
        <v>112</v>
      </c>
      <c r="D1438" s="64">
        <v>0.0</v>
      </c>
      <c r="E1438" s="62" t="s">
        <v>109</v>
      </c>
      <c r="F1438" s="62" t="s">
        <v>110</v>
      </c>
      <c r="G1438" s="64" t="s">
        <v>63</v>
      </c>
      <c r="H1438" s="3" t="s">
        <v>189</v>
      </c>
      <c r="I1438" s="65" t="str">
        <f>IFERROR(VLOOKUP(A1438,'3. Call duration'!$A:$C,3,0),"--")</f>
        <v>--</v>
      </c>
      <c r="J1438" s="65" t="str">
        <f t="array" ref="J1438">XLOOKUP(H1438,'2. Matching'!$A$2:$A$39,'2. Matching'!$B$2:$B$39,"--")</f>
        <v>SEO</v>
      </c>
      <c r="K1438" s="65" t="str">
        <f t="shared" si="1"/>
        <v>Out</v>
      </c>
    </row>
    <row r="1439">
      <c r="A1439" s="62" t="s">
        <v>1577</v>
      </c>
      <c r="B1439" s="63">
        <v>44358.0</v>
      </c>
      <c r="C1439" s="62" t="s">
        <v>108</v>
      </c>
      <c r="D1439" s="64">
        <v>0.0</v>
      </c>
      <c r="E1439" s="62" t="s">
        <v>109</v>
      </c>
      <c r="F1439" s="62" t="s">
        <v>115</v>
      </c>
      <c r="G1439" s="64" t="s">
        <v>64</v>
      </c>
      <c r="H1439" s="3" t="s">
        <v>185</v>
      </c>
      <c r="I1439" s="65">
        <f>IFERROR(VLOOKUP(A1439,'3. Call duration'!$A:$C,3,0),"--")</f>
        <v>29.95313567</v>
      </c>
      <c r="J1439" s="65" t="str">
        <f t="array" ref="J1439">XLOOKUP(H1439,'2. Matching'!$A$2:$A$39,'2. Matching'!$B$2:$B$39,"--")</f>
        <v>SEO</v>
      </c>
      <c r="K1439" s="65" t="str">
        <f t="shared" si="1"/>
        <v>In</v>
      </c>
    </row>
    <row r="1440">
      <c r="A1440" s="62" t="s">
        <v>1578</v>
      </c>
      <c r="B1440" s="63">
        <v>44076.0</v>
      </c>
      <c r="C1440" s="62" t="s">
        <v>112</v>
      </c>
      <c r="D1440" s="64">
        <v>0.0</v>
      </c>
      <c r="E1440" s="62" t="s">
        <v>109</v>
      </c>
      <c r="F1440" s="62" t="s">
        <v>115</v>
      </c>
      <c r="G1440" s="64" t="s">
        <v>64</v>
      </c>
      <c r="H1440" s="3" t="s">
        <v>169</v>
      </c>
      <c r="I1440" s="65" t="str">
        <f>IFERROR(VLOOKUP(A1440,'3. Call duration'!$A:$C,3,0),"--")</f>
        <v>--</v>
      </c>
      <c r="J1440" s="65" t="str">
        <f t="array" ref="J1440">XLOOKUP(H1440,'2. Matching'!$A$2:$A$39,'2. Matching'!$B$2:$B$39,"--")</f>
        <v>SEO</v>
      </c>
      <c r="K1440" s="65" t="str">
        <f t="shared" si="1"/>
        <v>In</v>
      </c>
    </row>
    <row r="1441">
      <c r="A1441" s="62" t="s">
        <v>1579</v>
      </c>
      <c r="B1441" s="63">
        <v>44365.0</v>
      </c>
      <c r="C1441" s="62" t="s">
        <v>108</v>
      </c>
      <c r="D1441" s="64">
        <v>0.0</v>
      </c>
      <c r="E1441" s="62" t="s">
        <v>109</v>
      </c>
      <c r="F1441" s="62" t="s">
        <v>110</v>
      </c>
      <c r="G1441" s="64" t="s">
        <v>60</v>
      </c>
      <c r="H1441" s="3" t="s">
        <v>67</v>
      </c>
      <c r="I1441" s="65">
        <f>IFERROR(VLOOKUP(A1441,'3. Call duration'!$A:$C,3,0),"--")</f>
        <v>30.16217542</v>
      </c>
      <c r="J1441" s="65" t="str">
        <f t="array" ref="J1441">XLOOKUP(H1441,'2. Matching'!$A$2:$A$39,'2. Matching'!$B$2:$B$39,"--")</f>
        <v>Acquisition</v>
      </c>
      <c r="K1441" s="65" t="str">
        <f t="shared" si="1"/>
        <v>In</v>
      </c>
    </row>
    <row r="1442">
      <c r="A1442" s="62" t="s">
        <v>1580</v>
      </c>
      <c r="B1442" s="63">
        <v>44334.0</v>
      </c>
      <c r="C1442" s="62" t="s">
        <v>119</v>
      </c>
      <c r="D1442" s="64">
        <v>47.5</v>
      </c>
      <c r="E1442" s="62" t="s">
        <v>109</v>
      </c>
      <c r="F1442" s="62" t="s">
        <v>115</v>
      </c>
      <c r="G1442" s="64" t="s">
        <v>64</v>
      </c>
      <c r="H1442" s="3" t="s">
        <v>139</v>
      </c>
      <c r="I1442" s="65">
        <f>IFERROR(VLOOKUP(A1442,'3. Call duration'!$A:$C,3,0),"--")</f>
        <v>22.64582048</v>
      </c>
      <c r="J1442" s="65" t="str">
        <f t="array" ref="J1442">XLOOKUP(H1442,'2. Matching'!$A$2:$A$39,'2. Matching'!$B$2:$B$39,"--")</f>
        <v>Acquisition</v>
      </c>
      <c r="K1442" s="65" t="str">
        <f t="shared" si="1"/>
        <v>In</v>
      </c>
    </row>
    <row r="1443">
      <c r="A1443" s="62" t="s">
        <v>1581</v>
      </c>
      <c r="B1443" s="63">
        <v>44250.0</v>
      </c>
      <c r="C1443" s="62" t="s">
        <v>112</v>
      </c>
      <c r="D1443" s="64">
        <v>0.0</v>
      </c>
      <c r="E1443" s="62" t="s">
        <v>109</v>
      </c>
      <c r="F1443" s="62" t="s">
        <v>115</v>
      </c>
      <c r="G1443" s="64" t="s">
        <v>64</v>
      </c>
      <c r="H1443" s="3" t="s">
        <v>131</v>
      </c>
      <c r="I1443" s="65" t="str">
        <f>IFERROR(VLOOKUP(A1443,'3. Call duration'!$A:$C,3,0),"--")</f>
        <v>--</v>
      </c>
      <c r="J1443" s="65" t="str">
        <f t="array" ref="J1443">XLOOKUP(H1443,'2. Matching'!$A$2:$A$39,'2. Matching'!$B$2:$B$39,"--")</f>
        <v>Acquisition</v>
      </c>
      <c r="K1443" s="65" t="str">
        <f t="shared" si="1"/>
        <v>In</v>
      </c>
    </row>
    <row r="1444">
      <c r="A1444" s="62" t="s">
        <v>1582</v>
      </c>
      <c r="B1444" s="63">
        <v>44072.0</v>
      </c>
      <c r="C1444" s="62" t="s">
        <v>108</v>
      </c>
      <c r="D1444" s="64">
        <v>0.0</v>
      </c>
      <c r="E1444" s="62" t="s">
        <v>109</v>
      </c>
      <c r="F1444" s="62" t="s">
        <v>110</v>
      </c>
      <c r="G1444" s="64" t="s">
        <v>64</v>
      </c>
      <c r="H1444" s="3" t="s">
        <v>139</v>
      </c>
      <c r="I1444" s="65">
        <f>IFERROR(VLOOKUP(A1444,'3. Call duration'!$A:$C,3,0),"--")</f>
        <v>23.3499449</v>
      </c>
      <c r="J1444" s="65" t="str">
        <f t="array" ref="J1444">XLOOKUP(H1444,'2. Matching'!$A$2:$A$39,'2. Matching'!$B$2:$B$39,"--")</f>
        <v>Acquisition</v>
      </c>
      <c r="K1444" s="65" t="str">
        <f t="shared" si="1"/>
        <v>In</v>
      </c>
    </row>
    <row r="1445">
      <c r="A1445" s="62" t="s">
        <v>1583</v>
      </c>
      <c r="B1445" s="63">
        <v>44143.0</v>
      </c>
      <c r="C1445" s="62" t="s">
        <v>112</v>
      </c>
      <c r="D1445" s="64">
        <v>0.0</v>
      </c>
      <c r="E1445" s="62" t="s">
        <v>109</v>
      </c>
      <c r="F1445" s="62" t="s">
        <v>110</v>
      </c>
      <c r="G1445" s="64" t="s">
        <v>64</v>
      </c>
      <c r="H1445" s="3" t="s">
        <v>139</v>
      </c>
      <c r="I1445" s="65" t="str">
        <f>IFERROR(VLOOKUP(A1445,'3. Call duration'!$A:$C,3,0),"--")</f>
        <v>--</v>
      </c>
      <c r="J1445" s="65" t="str">
        <f t="array" ref="J1445">XLOOKUP(H1445,'2. Matching'!$A$2:$A$39,'2. Matching'!$B$2:$B$39,"--")</f>
        <v>Acquisition</v>
      </c>
      <c r="K1445" s="65" t="str">
        <f t="shared" si="1"/>
        <v>In</v>
      </c>
    </row>
    <row r="1446">
      <c r="A1446" s="62" t="s">
        <v>1584</v>
      </c>
      <c r="B1446" s="63">
        <v>44118.0</v>
      </c>
      <c r="C1446" s="62" t="s">
        <v>108</v>
      </c>
      <c r="D1446" s="64">
        <v>0.0</v>
      </c>
      <c r="E1446" s="62" t="s">
        <v>109</v>
      </c>
      <c r="F1446" s="62" t="s">
        <v>115</v>
      </c>
      <c r="G1446" s="64" t="s">
        <v>64</v>
      </c>
      <c r="H1446" s="3" t="s">
        <v>139</v>
      </c>
      <c r="I1446" s="65">
        <f>IFERROR(VLOOKUP(A1446,'3. Call duration'!$A:$C,3,0),"--")</f>
        <v>32.98137663</v>
      </c>
      <c r="J1446" s="65" t="str">
        <f t="array" ref="J1446">XLOOKUP(H1446,'2. Matching'!$A$2:$A$39,'2. Matching'!$B$2:$B$39,"--")</f>
        <v>Acquisition</v>
      </c>
      <c r="K1446" s="65" t="str">
        <f t="shared" si="1"/>
        <v>In</v>
      </c>
    </row>
    <row r="1447">
      <c r="A1447" s="62" t="s">
        <v>1585</v>
      </c>
      <c r="B1447" s="63">
        <v>44151.0</v>
      </c>
      <c r="C1447" s="62" t="s">
        <v>108</v>
      </c>
      <c r="D1447" s="64">
        <v>0.0</v>
      </c>
      <c r="E1447" s="62" t="s">
        <v>109</v>
      </c>
      <c r="F1447" s="62" t="s">
        <v>115</v>
      </c>
      <c r="G1447" s="64" t="s">
        <v>62</v>
      </c>
      <c r="H1447" s="3" t="s">
        <v>286</v>
      </c>
      <c r="I1447" s="65">
        <f>IFERROR(VLOOKUP(A1447,'3. Call duration'!$A:$C,3,0),"--")</f>
        <v>20.17125286</v>
      </c>
      <c r="J1447" s="65" t="str">
        <f t="array" ref="J1447">XLOOKUP(H1447,'2. Matching'!$A$2:$A$39,'2. Matching'!$B$2:$B$39,"--")</f>
        <v>Farming</v>
      </c>
      <c r="K1447" s="65" t="str">
        <f t="shared" si="1"/>
        <v>In</v>
      </c>
    </row>
    <row r="1448">
      <c r="A1448" s="62" t="s">
        <v>1586</v>
      </c>
      <c r="B1448" s="63">
        <v>44342.0</v>
      </c>
      <c r="C1448" s="62" t="s">
        <v>119</v>
      </c>
      <c r="D1448" s="64">
        <v>95.0</v>
      </c>
      <c r="E1448" s="62" t="s">
        <v>114</v>
      </c>
      <c r="F1448" s="62" t="s">
        <v>115</v>
      </c>
      <c r="G1448" s="64" t="s">
        <v>64</v>
      </c>
      <c r="H1448" s="3" t="s">
        <v>49</v>
      </c>
      <c r="I1448" s="65">
        <f>IFERROR(VLOOKUP(A1448,'3. Call duration'!$A:$C,3,0),"--")</f>
        <v>22.67136445</v>
      </c>
      <c r="J1448" s="65" t="str">
        <f t="array" ref="J1448">XLOOKUP(H1448,'2. Matching'!$A$2:$A$39,'2. Matching'!$B$2:$B$39,"--")</f>
        <v>Partnerships</v>
      </c>
      <c r="K1448" s="65" t="str">
        <f t="shared" si="1"/>
        <v>In</v>
      </c>
    </row>
    <row r="1449">
      <c r="A1449" s="62" t="s">
        <v>1587</v>
      </c>
      <c r="B1449" s="63">
        <v>44126.0</v>
      </c>
      <c r="C1449" s="62" t="s">
        <v>108</v>
      </c>
      <c r="D1449" s="64">
        <v>0.0</v>
      </c>
      <c r="E1449" s="62" t="s">
        <v>114</v>
      </c>
      <c r="F1449" s="62" t="s">
        <v>115</v>
      </c>
      <c r="G1449" s="64" t="s">
        <v>64</v>
      </c>
      <c r="H1449" s="3" t="s">
        <v>169</v>
      </c>
      <c r="I1449" s="65">
        <f>IFERROR(VLOOKUP(A1449,'3. Call duration'!$A:$C,3,0),"--")</f>
        <v>33.25700461</v>
      </c>
      <c r="J1449" s="65" t="str">
        <f t="array" ref="J1449">XLOOKUP(H1449,'2. Matching'!$A$2:$A$39,'2. Matching'!$B$2:$B$39,"--")</f>
        <v>SEO</v>
      </c>
      <c r="K1449" s="65" t="str">
        <f t="shared" si="1"/>
        <v>In</v>
      </c>
    </row>
    <row r="1450">
      <c r="A1450" s="62" t="s">
        <v>1588</v>
      </c>
      <c r="B1450" s="63">
        <v>44393.0</v>
      </c>
      <c r="C1450" s="62" t="s">
        <v>112</v>
      </c>
      <c r="D1450" s="64">
        <v>0.0</v>
      </c>
      <c r="E1450" s="62" t="s">
        <v>109</v>
      </c>
      <c r="F1450" s="62" t="s">
        <v>110</v>
      </c>
      <c r="G1450" s="64" t="s">
        <v>60</v>
      </c>
      <c r="H1450" s="3" t="s">
        <v>67</v>
      </c>
      <c r="I1450" s="65" t="str">
        <f>IFERROR(VLOOKUP(A1450,'3. Call duration'!$A:$C,3,0),"--")</f>
        <v>--</v>
      </c>
      <c r="J1450" s="65" t="str">
        <f t="array" ref="J1450">XLOOKUP(H1450,'2. Matching'!$A$2:$A$39,'2. Matching'!$B$2:$B$39,"--")</f>
        <v>Acquisition</v>
      </c>
      <c r="K1450" s="65" t="str">
        <f t="shared" si="1"/>
        <v>In</v>
      </c>
    </row>
    <row r="1451">
      <c r="A1451" s="62" t="s">
        <v>1589</v>
      </c>
      <c r="B1451" s="63">
        <v>44378.0</v>
      </c>
      <c r="C1451" s="62" t="s">
        <v>112</v>
      </c>
      <c r="D1451" s="64">
        <v>0.0</v>
      </c>
      <c r="E1451" s="62" t="s">
        <v>114</v>
      </c>
      <c r="F1451" s="62" t="s">
        <v>110</v>
      </c>
      <c r="G1451" s="64" t="s">
        <v>63</v>
      </c>
      <c r="H1451" s="3" t="s">
        <v>124</v>
      </c>
      <c r="I1451" s="65" t="str">
        <f>IFERROR(VLOOKUP(A1451,'3. Call duration'!$A:$C,3,0),"--")</f>
        <v>--</v>
      </c>
      <c r="J1451" s="65" t="str">
        <f t="array" ref="J1451">XLOOKUP(H1451,'2. Matching'!$A$2:$A$39,'2. Matching'!$B$2:$B$39,"--")</f>
        <v>Acquisition</v>
      </c>
      <c r="K1451" s="65" t="str">
        <f t="shared" si="1"/>
        <v>In</v>
      </c>
    </row>
    <row r="1452">
      <c r="A1452" s="62" t="s">
        <v>1590</v>
      </c>
      <c r="B1452" s="63">
        <v>44187.0</v>
      </c>
      <c r="C1452" s="62" t="s">
        <v>112</v>
      </c>
      <c r="D1452" s="64">
        <v>0.0</v>
      </c>
      <c r="E1452" s="62" t="s">
        <v>109</v>
      </c>
      <c r="F1452" s="62" t="s">
        <v>110</v>
      </c>
      <c r="G1452" s="64" t="s">
        <v>64</v>
      </c>
      <c r="H1452" s="3" t="s">
        <v>169</v>
      </c>
      <c r="I1452" s="65" t="str">
        <f>IFERROR(VLOOKUP(A1452,'3. Call duration'!$A:$C,3,0),"--")</f>
        <v>--</v>
      </c>
      <c r="J1452" s="65" t="str">
        <f t="array" ref="J1452">XLOOKUP(H1452,'2. Matching'!$A$2:$A$39,'2. Matching'!$B$2:$B$39,"--")</f>
        <v>SEO</v>
      </c>
      <c r="K1452" s="65" t="str">
        <f t="shared" si="1"/>
        <v>In</v>
      </c>
    </row>
    <row r="1453">
      <c r="A1453" s="62" t="s">
        <v>1591</v>
      </c>
      <c r="B1453" s="63">
        <v>44139.0</v>
      </c>
      <c r="C1453" s="62" t="s">
        <v>108</v>
      </c>
      <c r="D1453" s="64">
        <v>0.0</v>
      </c>
      <c r="E1453" s="62" t="s">
        <v>114</v>
      </c>
      <c r="F1453" s="62" t="s">
        <v>110</v>
      </c>
      <c r="G1453" s="64" t="s">
        <v>64</v>
      </c>
      <c r="H1453" s="3" t="s">
        <v>139</v>
      </c>
      <c r="I1453" s="65">
        <f>IFERROR(VLOOKUP(A1453,'3. Call duration'!$A:$C,3,0),"--")</f>
        <v>30.65650508</v>
      </c>
      <c r="J1453" s="65" t="str">
        <f t="array" ref="J1453">XLOOKUP(H1453,'2. Matching'!$A$2:$A$39,'2. Matching'!$B$2:$B$39,"--")</f>
        <v>Acquisition</v>
      </c>
      <c r="K1453" s="65" t="str">
        <f t="shared" si="1"/>
        <v>In</v>
      </c>
    </row>
    <row r="1454">
      <c r="A1454" s="62" t="s">
        <v>1592</v>
      </c>
      <c r="B1454" s="63">
        <v>44353.0</v>
      </c>
      <c r="C1454" s="62" t="s">
        <v>108</v>
      </c>
      <c r="D1454" s="64">
        <v>0.0</v>
      </c>
      <c r="E1454" s="62" t="s">
        <v>109</v>
      </c>
      <c r="F1454" s="62" t="s">
        <v>115</v>
      </c>
      <c r="G1454" s="64" t="s">
        <v>64</v>
      </c>
      <c r="H1454" s="3" t="s">
        <v>185</v>
      </c>
      <c r="I1454" s="65">
        <f>IFERROR(VLOOKUP(A1454,'3. Call duration'!$A:$C,3,0),"--")</f>
        <v>46.23495821</v>
      </c>
      <c r="J1454" s="65" t="str">
        <f t="array" ref="J1454">XLOOKUP(H1454,'2. Matching'!$A$2:$A$39,'2. Matching'!$B$2:$B$39,"--")</f>
        <v>SEO</v>
      </c>
      <c r="K1454" s="65" t="str">
        <f t="shared" si="1"/>
        <v>In</v>
      </c>
    </row>
    <row r="1455">
      <c r="A1455" s="62" t="s">
        <v>1593</v>
      </c>
      <c r="B1455" s="63">
        <v>44337.0</v>
      </c>
      <c r="C1455" s="62" t="s">
        <v>119</v>
      </c>
      <c r="D1455" s="64">
        <v>47.5</v>
      </c>
      <c r="E1455" s="62" t="s">
        <v>109</v>
      </c>
      <c r="F1455" s="62" t="s">
        <v>110</v>
      </c>
      <c r="G1455" s="64" t="s">
        <v>64</v>
      </c>
      <c r="H1455" s="3" t="s">
        <v>175</v>
      </c>
      <c r="I1455" s="65">
        <f>IFERROR(VLOOKUP(A1455,'3. Call duration'!$A:$C,3,0),"--")</f>
        <v>22.78339921</v>
      </c>
      <c r="J1455" s="65" t="str">
        <f t="array" ref="J1455">XLOOKUP(H1455,'2. Matching'!$A$2:$A$39,'2. Matching'!$B$2:$B$39,"--")</f>
        <v>SEO</v>
      </c>
      <c r="K1455" s="65" t="str">
        <f t="shared" si="1"/>
        <v>In</v>
      </c>
    </row>
    <row r="1456">
      <c r="A1456" s="62" t="s">
        <v>1594</v>
      </c>
      <c r="B1456" s="63">
        <v>44329.0</v>
      </c>
      <c r="C1456" s="62" t="s">
        <v>119</v>
      </c>
      <c r="D1456" s="64">
        <v>47.5</v>
      </c>
      <c r="E1456" s="62" t="s">
        <v>109</v>
      </c>
      <c r="F1456" s="62" t="s">
        <v>110</v>
      </c>
      <c r="G1456" s="64" t="s">
        <v>64</v>
      </c>
      <c r="H1456" s="3" t="s">
        <v>55</v>
      </c>
      <c r="I1456" s="65">
        <f>IFERROR(VLOOKUP(A1456,'3. Call duration'!$A:$C,3,0),"--")</f>
        <v>22.82067161</v>
      </c>
      <c r="J1456" s="65" t="str">
        <f t="array" ref="J1456">XLOOKUP(H1456,'2. Matching'!$A$2:$A$39,'2. Matching'!$B$2:$B$39,"--")</f>
        <v>Partnerships</v>
      </c>
      <c r="K1456" s="65" t="str">
        <f t="shared" si="1"/>
        <v>In</v>
      </c>
    </row>
    <row r="1457">
      <c r="A1457" s="62" t="s">
        <v>1595</v>
      </c>
      <c r="B1457" s="63">
        <v>44375.0</v>
      </c>
      <c r="C1457" s="62" t="s">
        <v>112</v>
      </c>
      <c r="D1457" s="64">
        <v>0.0</v>
      </c>
      <c r="E1457" s="62" t="s">
        <v>109</v>
      </c>
      <c r="F1457" s="62" t="s">
        <v>115</v>
      </c>
      <c r="G1457" s="64" t="s">
        <v>63</v>
      </c>
      <c r="H1457" s="3" t="s">
        <v>228</v>
      </c>
      <c r="I1457" s="65" t="str">
        <f>IFERROR(VLOOKUP(A1457,'3. Call duration'!$A:$C,3,0),"--")</f>
        <v>--</v>
      </c>
      <c r="J1457" s="65" t="str">
        <f t="array" ref="J1457">XLOOKUP(H1457,'2. Matching'!$A$2:$A$39,'2. Matching'!$B$2:$B$39,"--")</f>
        <v>Farming</v>
      </c>
      <c r="K1457" s="65" t="str">
        <f t="shared" si="1"/>
        <v>In</v>
      </c>
    </row>
    <row r="1458">
      <c r="A1458" s="62" t="s">
        <v>1596</v>
      </c>
      <c r="B1458" s="63">
        <v>44034.0</v>
      </c>
      <c r="C1458" s="62" t="s">
        <v>112</v>
      </c>
      <c r="D1458" s="64">
        <v>0.0</v>
      </c>
      <c r="E1458" s="62" t="s">
        <v>109</v>
      </c>
      <c r="F1458" s="62" t="s">
        <v>115</v>
      </c>
      <c r="G1458" s="64" t="s">
        <v>60</v>
      </c>
      <c r="H1458" s="3" t="s">
        <v>68</v>
      </c>
      <c r="I1458" s="65" t="str">
        <f>IFERROR(VLOOKUP(A1458,'3. Call duration'!$A:$C,3,0),"--")</f>
        <v>--</v>
      </c>
      <c r="J1458" s="65" t="str">
        <f t="array" ref="J1458">XLOOKUP(H1458,'2. Matching'!$A$2:$A$39,'2. Matching'!$B$2:$B$39,"--")</f>
        <v>Acquisition</v>
      </c>
      <c r="K1458" s="65" t="str">
        <f t="shared" si="1"/>
        <v>In</v>
      </c>
    </row>
    <row r="1459">
      <c r="A1459" s="62" t="s">
        <v>1597</v>
      </c>
      <c r="B1459" s="63">
        <v>44267.0</v>
      </c>
      <c r="C1459" s="62" t="s">
        <v>108</v>
      </c>
      <c r="D1459" s="64">
        <v>0.0</v>
      </c>
      <c r="E1459" s="62" t="s">
        <v>109</v>
      </c>
      <c r="F1459" s="62" t="s">
        <v>110</v>
      </c>
      <c r="G1459" s="64" t="s">
        <v>64</v>
      </c>
      <c r="H1459" s="3" t="s">
        <v>164</v>
      </c>
      <c r="I1459" s="65">
        <f>IFERROR(VLOOKUP(A1459,'3. Call duration'!$A:$C,3,0),"--")</f>
        <v>24.24621159</v>
      </c>
      <c r="J1459" s="65" t="str">
        <f t="array" ref="J1459">XLOOKUP(H1459,'2. Matching'!$A$2:$A$39,'2. Matching'!$B$2:$B$39,"--")</f>
        <v>SEO</v>
      </c>
      <c r="K1459" s="65" t="str">
        <f t="shared" si="1"/>
        <v>In</v>
      </c>
    </row>
    <row r="1460">
      <c r="A1460" s="62" t="s">
        <v>1598</v>
      </c>
      <c r="B1460" s="63">
        <v>44070.0</v>
      </c>
      <c r="C1460" s="62" t="s">
        <v>112</v>
      </c>
      <c r="D1460" s="64">
        <v>0.0</v>
      </c>
      <c r="E1460" s="62" t="s">
        <v>109</v>
      </c>
      <c r="F1460" s="62" t="s">
        <v>115</v>
      </c>
      <c r="G1460" s="64" t="s">
        <v>64</v>
      </c>
      <c r="H1460" s="3" t="s">
        <v>135</v>
      </c>
      <c r="I1460" s="65" t="str">
        <f>IFERROR(VLOOKUP(A1460,'3. Call duration'!$A:$C,3,0),"--")</f>
        <v>--</v>
      </c>
      <c r="J1460" s="65" t="str">
        <f t="array" ref="J1460">XLOOKUP(H1460,'2. Matching'!$A$2:$A$39,'2. Matching'!$B$2:$B$39,"--")</f>
        <v>Acquisition</v>
      </c>
      <c r="K1460" s="65" t="str">
        <f t="shared" si="1"/>
        <v>In</v>
      </c>
    </row>
    <row r="1461">
      <c r="A1461" s="62" t="s">
        <v>1599</v>
      </c>
      <c r="B1461" s="63">
        <v>44362.0</v>
      </c>
      <c r="C1461" s="62" t="s">
        <v>108</v>
      </c>
      <c r="D1461" s="64">
        <v>0.0</v>
      </c>
      <c r="E1461" s="62" t="s">
        <v>109</v>
      </c>
      <c r="F1461" s="62" t="s">
        <v>115</v>
      </c>
      <c r="G1461" s="64" t="s">
        <v>64</v>
      </c>
      <c r="H1461" s="3" t="s">
        <v>221</v>
      </c>
      <c r="I1461" s="65">
        <f>IFERROR(VLOOKUP(A1461,'3. Call duration'!$A:$C,3,0),"--")</f>
        <v>30.18021168</v>
      </c>
      <c r="J1461" s="65" t="str">
        <f t="array" ref="J1461">XLOOKUP(H1461,'2. Matching'!$A$2:$A$39,'2. Matching'!$B$2:$B$39,"--")</f>
        <v>Farming</v>
      </c>
      <c r="K1461" s="65" t="str">
        <f t="shared" si="1"/>
        <v>In</v>
      </c>
    </row>
    <row r="1462">
      <c r="A1462" s="62" t="s">
        <v>1600</v>
      </c>
      <c r="B1462" s="63">
        <v>44222.0</v>
      </c>
      <c r="C1462" s="62" t="s">
        <v>112</v>
      </c>
      <c r="D1462" s="64">
        <v>0.0</v>
      </c>
      <c r="E1462" s="62" t="s">
        <v>109</v>
      </c>
      <c r="F1462" s="62" t="s">
        <v>115</v>
      </c>
      <c r="G1462" s="64" t="s">
        <v>64</v>
      </c>
      <c r="H1462" s="3" t="s">
        <v>139</v>
      </c>
      <c r="I1462" s="65" t="str">
        <f>IFERROR(VLOOKUP(A1462,'3. Call duration'!$A:$C,3,0),"--")</f>
        <v>--</v>
      </c>
      <c r="J1462" s="65" t="str">
        <f t="array" ref="J1462">XLOOKUP(H1462,'2. Matching'!$A$2:$A$39,'2. Matching'!$B$2:$B$39,"--")</f>
        <v>Acquisition</v>
      </c>
      <c r="K1462" s="65" t="str">
        <f t="shared" si="1"/>
        <v>In</v>
      </c>
    </row>
    <row r="1463">
      <c r="A1463" s="62" t="s">
        <v>1601</v>
      </c>
      <c r="B1463" s="63">
        <v>44368.0</v>
      </c>
      <c r="C1463" s="62" t="s">
        <v>112</v>
      </c>
      <c r="D1463" s="64">
        <v>0.0</v>
      </c>
      <c r="E1463" s="62" t="s">
        <v>109</v>
      </c>
      <c r="F1463" s="62" t="s">
        <v>110</v>
      </c>
      <c r="G1463" s="64" t="s">
        <v>60</v>
      </c>
      <c r="H1463" s="3" t="s">
        <v>67</v>
      </c>
      <c r="I1463" s="65" t="str">
        <f>IFERROR(VLOOKUP(A1463,'3. Call duration'!$A:$C,3,0),"--")</f>
        <v>--</v>
      </c>
      <c r="J1463" s="65" t="str">
        <f t="array" ref="J1463">XLOOKUP(H1463,'2. Matching'!$A$2:$A$39,'2. Matching'!$B$2:$B$39,"--")</f>
        <v>Acquisition</v>
      </c>
      <c r="K1463" s="65" t="str">
        <f t="shared" si="1"/>
        <v>In</v>
      </c>
    </row>
    <row r="1464">
      <c r="A1464" s="62" t="s">
        <v>1602</v>
      </c>
      <c r="B1464" s="63">
        <v>44266.0</v>
      </c>
      <c r="C1464" s="62" t="s">
        <v>112</v>
      </c>
      <c r="D1464" s="64">
        <v>0.0</v>
      </c>
      <c r="E1464" s="62" t="s">
        <v>109</v>
      </c>
      <c r="F1464" s="62" t="s">
        <v>110</v>
      </c>
      <c r="G1464" s="64" t="s">
        <v>63</v>
      </c>
      <c r="H1464" s="3" t="s">
        <v>189</v>
      </c>
      <c r="I1464" s="65" t="str">
        <f>IFERROR(VLOOKUP(A1464,'3. Call duration'!$A:$C,3,0),"--")</f>
        <v>--</v>
      </c>
      <c r="J1464" s="65" t="str">
        <f t="array" ref="J1464">XLOOKUP(H1464,'2. Matching'!$A$2:$A$39,'2. Matching'!$B$2:$B$39,"--")</f>
        <v>SEO</v>
      </c>
      <c r="K1464" s="65" t="str">
        <f t="shared" si="1"/>
        <v>Out</v>
      </c>
    </row>
    <row r="1465">
      <c r="A1465" s="62" t="s">
        <v>1603</v>
      </c>
      <c r="B1465" s="63">
        <v>44083.0</v>
      </c>
      <c r="C1465" s="62" t="s">
        <v>108</v>
      </c>
      <c r="D1465" s="64">
        <v>0.0</v>
      </c>
      <c r="E1465" s="62" t="s">
        <v>109</v>
      </c>
      <c r="F1465" s="62" t="s">
        <v>115</v>
      </c>
      <c r="G1465" s="64" t="s">
        <v>64</v>
      </c>
      <c r="H1465" s="3" t="s">
        <v>235</v>
      </c>
      <c r="I1465" s="65">
        <f>IFERROR(VLOOKUP(A1465,'3. Call duration'!$A:$C,3,0),"--")</f>
        <v>20.63480076</v>
      </c>
      <c r="J1465" s="65" t="str">
        <f t="array" ref="J1465">XLOOKUP(H1465,'2. Matching'!$A$2:$A$39,'2. Matching'!$B$2:$B$39,"--")</f>
        <v>Farming</v>
      </c>
      <c r="K1465" s="65" t="str">
        <f t="shared" si="1"/>
        <v>In</v>
      </c>
    </row>
    <row r="1466">
      <c r="A1466" s="62" t="s">
        <v>1604</v>
      </c>
      <c r="B1466" s="63">
        <v>44316.0</v>
      </c>
      <c r="C1466" s="62" t="s">
        <v>112</v>
      </c>
      <c r="D1466" s="64">
        <v>0.0</v>
      </c>
      <c r="E1466" s="62" t="s">
        <v>109</v>
      </c>
      <c r="F1466" s="62" t="s">
        <v>110</v>
      </c>
      <c r="G1466" s="64" t="s">
        <v>61</v>
      </c>
      <c r="H1466" s="3" t="s">
        <v>69</v>
      </c>
      <c r="I1466" s="65" t="str">
        <f>IFERROR(VLOOKUP(A1466,'3. Call duration'!$A:$C,3,0),"--")</f>
        <v>--</v>
      </c>
      <c r="J1466" s="65" t="str">
        <f t="array" ref="J1466">XLOOKUP(H1466,'2. Matching'!$A$2:$A$39,'2. Matching'!$B$2:$B$39,"--")</f>
        <v>Acquisition</v>
      </c>
      <c r="K1466" s="65" t="str">
        <f t="shared" si="1"/>
        <v>In</v>
      </c>
    </row>
    <row r="1467">
      <c r="A1467" s="62" t="s">
        <v>1605</v>
      </c>
      <c r="B1467" s="63">
        <v>44385.0</v>
      </c>
      <c r="C1467" s="62" t="s">
        <v>112</v>
      </c>
      <c r="D1467" s="64">
        <v>0.0</v>
      </c>
      <c r="E1467" s="62" t="s">
        <v>109</v>
      </c>
      <c r="F1467" s="62" t="s">
        <v>115</v>
      </c>
      <c r="G1467" s="64" t="s">
        <v>63</v>
      </c>
      <c r="H1467" s="3" t="s">
        <v>183</v>
      </c>
      <c r="I1467" s="65" t="str">
        <f>IFERROR(VLOOKUP(A1467,'3. Call duration'!$A:$C,3,0),"--")</f>
        <v>--</v>
      </c>
      <c r="J1467" s="65" t="str">
        <f t="array" ref="J1467">XLOOKUP(H1467,'2. Matching'!$A$2:$A$39,'2. Matching'!$B$2:$B$39,"--")</f>
        <v>SEO</v>
      </c>
      <c r="K1467" s="65" t="str">
        <f t="shared" si="1"/>
        <v>In</v>
      </c>
    </row>
    <row r="1468">
      <c r="A1468" s="62" t="s">
        <v>1606</v>
      </c>
      <c r="B1468" s="63">
        <v>44334.0</v>
      </c>
      <c r="C1468" s="62" t="s">
        <v>119</v>
      </c>
      <c r="D1468" s="64">
        <v>47.5</v>
      </c>
      <c r="E1468" s="62" t="s">
        <v>109</v>
      </c>
      <c r="F1468" s="62" t="s">
        <v>115</v>
      </c>
      <c r="G1468" s="64" t="s">
        <v>64</v>
      </c>
      <c r="H1468" s="3" t="s">
        <v>155</v>
      </c>
      <c r="I1468" s="65">
        <f>IFERROR(VLOOKUP(A1468,'3. Call duration'!$A:$C,3,0),"--")</f>
        <v>22.83032354</v>
      </c>
      <c r="J1468" s="65" t="str">
        <f t="array" ref="J1468">XLOOKUP(H1468,'2. Matching'!$A$2:$A$39,'2. Matching'!$B$2:$B$39,"--")</f>
        <v>SEO</v>
      </c>
      <c r="K1468" s="65" t="str">
        <f t="shared" si="1"/>
        <v>In</v>
      </c>
    </row>
    <row r="1469">
      <c r="A1469" s="62" t="s">
        <v>1607</v>
      </c>
      <c r="B1469" s="63">
        <v>44272.0</v>
      </c>
      <c r="C1469" s="62" t="s">
        <v>108</v>
      </c>
      <c r="D1469" s="64">
        <v>0.0</v>
      </c>
      <c r="E1469" s="62" t="s">
        <v>109</v>
      </c>
      <c r="F1469" s="62" t="s">
        <v>115</v>
      </c>
      <c r="G1469" s="64" t="s">
        <v>63</v>
      </c>
      <c r="H1469" s="3" t="s">
        <v>128</v>
      </c>
      <c r="I1469" s="65">
        <f>IFERROR(VLOOKUP(A1469,'3. Call duration'!$A:$C,3,0),"--")</f>
        <v>20.29466058</v>
      </c>
      <c r="J1469" s="65" t="str">
        <f t="array" ref="J1469">XLOOKUP(H1469,'2. Matching'!$A$2:$A$39,'2. Matching'!$B$2:$B$39,"--")</f>
        <v>Acquisition</v>
      </c>
      <c r="K1469" s="65" t="str">
        <f t="shared" si="1"/>
        <v>In</v>
      </c>
    </row>
    <row r="1470">
      <c r="A1470" s="62" t="s">
        <v>1608</v>
      </c>
      <c r="B1470" s="63">
        <v>44235.0</v>
      </c>
      <c r="C1470" s="62" t="s">
        <v>112</v>
      </c>
      <c r="D1470" s="64">
        <v>0.0</v>
      </c>
      <c r="E1470" s="62" t="s">
        <v>109</v>
      </c>
      <c r="F1470" s="62" t="s">
        <v>115</v>
      </c>
      <c r="G1470" s="64" t="s">
        <v>64</v>
      </c>
      <c r="H1470" s="3" t="s">
        <v>139</v>
      </c>
      <c r="I1470" s="65" t="str">
        <f>IFERROR(VLOOKUP(A1470,'3. Call duration'!$A:$C,3,0),"--")</f>
        <v>--</v>
      </c>
      <c r="J1470" s="65" t="str">
        <f t="array" ref="J1470">XLOOKUP(H1470,'2. Matching'!$A$2:$A$39,'2. Matching'!$B$2:$B$39,"--")</f>
        <v>Acquisition</v>
      </c>
      <c r="K1470" s="65" t="str">
        <f t="shared" si="1"/>
        <v>In</v>
      </c>
    </row>
    <row r="1471">
      <c r="A1471" s="62" t="s">
        <v>1609</v>
      </c>
      <c r="B1471" s="63">
        <v>44385.0</v>
      </c>
      <c r="C1471" s="62" t="s">
        <v>112</v>
      </c>
      <c r="D1471" s="64">
        <v>0.0</v>
      </c>
      <c r="E1471" s="62" t="s">
        <v>114</v>
      </c>
      <c r="F1471" s="62" t="s">
        <v>110</v>
      </c>
      <c r="G1471" s="64" t="s">
        <v>60</v>
      </c>
      <c r="H1471" s="3" t="s">
        <v>67</v>
      </c>
      <c r="I1471" s="65" t="str">
        <f>IFERROR(VLOOKUP(A1471,'3. Call duration'!$A:$C,3,0),"--")</f>
        <v>--</v>
      </c>
      <c r="J1471" s="65" t="str">
        <f t="array" ref="J1471">XLOOKUP(H1471,'2. Matching'!$A$2:$A$39,'2. Matching'!$B$2:$B$39,"--")</f>
        <v>Acquisition</v>
      </c>
      <c r="K1471" s="65" t="str">
        <f t="shared" si="1"/>
        <v>In</v>
      </c>
    </row>
    <row r="1472">
      <c r="A1472" s="62" t="s">
        <v>1610</v>
      </c>
      <c r="B1472" s="63">
        <v>44120.0</v>
      </c>
      <c r="C1472" s="62" t="s">
        <v>112</v>
      </c>
      <c r="D1472" s="64">
        <v>0.0</v>
      </c>
      <c r="E1472" s="62" t="s">
        <v>109</v>
      </c>
      <c r="F1472" s="62" t="s">
        <v>115</v>
      </c>
      <c r="G1472" s="64" t="s">
        <v>64</v>
      </c>
      <c r="H1472" s="3" t="s">
        <v>164</v>
      </c>
      <c r="I1472" s="65" t="str">
        <f>IFERROR(VLOOKUP(A1472,'3. Call duration'!$A:$C,3,0),"--")</f>
        <v>--</v>
      </c>
      <c r="J1472" s="65" t="str">
        <f t="array" ref="J1472">XLOOKUP(H1472,'2. Matching'!$A$2:$A$39,'2. Matching'!$B$2:$B$39,"--")</f>
        <v>SEO</v>
      </c>
      <c r="K1472" s="65" t="str">
        <f t="shared" si="1"/>
        <v>In</v>
      </c>
    </row>
    <row r="1473">
      <c r="A1473" s="62" t="s">
        <v>1611</v>
      </c>
      <c r="B1473" s="63">
        <v>44180.0</v>
      </c>
      <c r="C1473" s="62" t="s">
        <v>112</v>
      </c>
      <c r="D1473" s="64">
        <v>0.0</v>
      </c>
      <c r="E1473" s="62" t="s">
        <v>114</v>
      </c>
      <c r="F1473" s="62" t="s">
        <v>110</v>
      </c>
      <c r="G1473" s="64" t="s">
        <v>64</v>
      </c>
      <c r="H1473" s="3" t="s">
        <v>131</v>
      </c>
      <c r="I1473" s="65" t="str">
        <f>IFERROR(VLOOKUP(A1473,'3. Call duration'!$A:$C,3,0),"--")</f>
        <v>--</v>
      </c>
      <c r="J1473" s="65" t="str">
        <f t="array" ref="J1473">XLOOKUP(H1473,'2. Matching'!$A$2:$A$39,'2. Matching'!$B$2:$B$39,"--")</f>
        <v>Acquisition</v>
      </c>
      <c r="K1473" s="65" t="str">
        <f t="shared" si="1"/>
        <v>In</v>
      </c>
    </row>
    <row r="1474">
      <c r="A1474" s="62" t="s">
        <v>1612</v>
      </c>
      <c r="B1474" s="63">
        <v>44365.0</v>
      </c>
      <c r="C1474" s="62" t="s">
        <v>112</v>
      </c>
      <c r="D1474" s="64">
        <v>0.0</v>
      </c>
      <c r="E1474" s="62" t="s">
        <v>109</v>
      </c>
      <c r="F1474" s="62" t="s">
        <v>110</v>
      </c>
      <c r="G1474" s="64" t="s">
        <v>59</v>
      </c>
      <c r="H1474" s="3" t="s">
        <v>68</v>
      </c>
      <c r="I1474" s="65" t="str">
        <f>IFERROR(VLOOKUP(A1474,'3. Call duration'!$A:$C,3,0),"--")</f>
        <v>--</v>
      </c>
      <c r="J1474" s="65" t="str">
        <f t="array" ref="J1474">XLOOKUP(H1474,'2. Matching'!$A$2:$A$39,'2. Matching'!$B$2:$B$39,"--")</f>
        <v>Acquisition</v>
      </c>
      <c r="K1474" s="65" t="str">
        <f t="shared" si="1"/>
        <v>In</v>
      </c>
    </row>
    <row r="1475">
      <c r="A1475" s="62" t="s">
        <v>1613</v>
      </c>
      <c r="B1475" s="63">
        <v>44223.0</v>
      </c>
      <c r="C1475" s="62" t="s">
        <v>112</v>
      </c>
      <c r="D1475" s="64">
        <v>0.0</v>
      </c>
      <c r="E1475" s="62" t="s">
        <v>109</v>
      </c>
      <c r="F1475" s="62" t="s">
        <v>110</v>
      </c>
      <c r="G1475" s="64" t="s">
        <v>64</v>
      </c>
      <c r="H1475" s="3" t="s">
        <v>175</v>
      </c>
      <c r="I1475" s="65" t="str">
        <f>IFERROR(VLOOKUP(A1475,'3. Call duration'!$A:$C,3,0),"--")</f>
        <v>--</v>
      </c>
      <c r="J1475" s="65" t="str">
        <f t="array" ref="J1475">XLOOKUP(H1475,'2. Matching'!$A$2:$A$39,'2. Matching'!$B$2:$B$39,"--")</f>
        <v>SEO</v>
      </c>
      <c r="K1475" s="65" t="str">
        <f t="shared" si="1"/>
        <v>In</v>
      </c>
    </row>
    <row r="1476">
      <c r="A1476" s="62" t="s">
        <v>1614</v>
      </c>
      <c r="B1476" s="63">
        <v>44088.0</v>
      </c>
      <c r="C1476" s="62" t="s">
        <v>108</v>
      </c>
      <c r="D1476" s="64">
        <v>0.0</v>
      </c>
      <c r="E1476" s="62" t="s">
        <v>109</v>
      </c>
      <c r="F1476" s="62" t="s">
        <v>115</v>
      </c>
      <c r="G1476" s="64" t="s">
        <v>64</v>
      </c>
      <c r="H1476" s="3" t="s">
        <v>169</v>
      </c>
      <c r="I1476" s="65">
        <f>IFERROR(VLOOKUP(A1476,'3. Call duration'!$A:$C,3,0),"--")</f>
        <v>29.72708352</v>
      </c>
      <c r="J1476" s="65" t="str">
        <f t="array" ref="J1476">XLOOKUP(H1476,'2. Matching'!$A$2:$A$39,'2. Matching'!$B$2:$B$39,"--")</f>
        <v>SEO</v>
      </c>
      <c r="K1476" s="65" t="str">
        <f t="shared" si="1"/>
        <v>In</v>
      </c>
    </row>
    <row r="1477">
      <c r="A1477" s="62" t="s">
        <v>1615</v>
      </c>
      <c r="B1477" s="63">
        <v>44376.0</v>
      </c>
      <c r="C1477" s="62" t="s">
        <v>112</v>
      </c>
      <c r="D1477" s="64">
        <v>0.0</v>
      </c>
      <c r="E1477" s="62" t="s">
        <v>109</v>
      </c>
      <c r="F1477" s="62" t="s">
        <v>110</v>
      </c>
      <c r="G1477" s="64" t="s">
        <v>60</v>
      </c>
      <c r="H1477" s="3" t="s">
        <v>68</v>
      </c>
      <c r="I1477" s="65" t="str">
        <f>IFERROR(VLOOKUP(A1477,'3. Call duration'!$A:$C,3,0),"--")</f>
        <v>--</v>
      </c>
      <c r="J1477" s="65" t="str">
        <f t="array" ref="J1477">XLOOKUP(H1477,'2. Matching'!$A$2:$A$39,'2. Matching'!$B$2:$B$39,"--")</f>
        <v>Acquisition</v>
      </c>
      <c r="K1477" s="65" t="str">
        <f t="shared" si="1"/>
        <v>In</v>
      </c>
    </row>
    <row r="1478">
      <c r="A1478" s="62" t="s">
        <v>1616</v>
      </c>
      <c r="B1478" s="63">
        <v>44069.0</v>
      </c>
      <c r="C1478" s="62" t="s">
        <v>108</v>
      </c>
      <c r="D1478" s="64">
        <v>0.0</v>
      </c>
      <c r="E1478" s="62" t="s">
        <v>109</v>
      </c>
      <c r="F1478" s="62" t="s">
        <v>115</v>
      </c>
      <c r="G1478" s="64" t="s">
        <v>64</v>
      </c>
      <c r="H1478" s="3" t="s">
        <v>139</v>
      </c>
      <c r="I1478" s="65">
        <f>IFERROR(VLOOKUP(A1478,'3. Call duration'!$A:$C,3,0),"--")</f>
        <v>24.66772327</v>
      </c>
      <c r="J1478" s="65" t="str">
        <f t="array" ref="J1478">XLOOKUP(H1478,'2. Matching'!$A$2:$A$39,'2. Matching'!$B$2:$B$39,"--")</f>
        <v>Acquisition</v>
      </c>
      <c r="K1478" s="65" t="str">
        <f t="shared" si="1"/>
        <v>In</v>
      </c>
    </row>
    <row r="1479">
      <c r="A1479" s="62" t="s">
        <v>1617</v>
      </c>
      <c r="B1479" s="63">
        <v>44358.0</v>
      </c>
      <c r="C1479" s="62" t="s">
        <v>108</v>
      </c>
      <c r="D1479" s="64">
        <v>0.0</v>
      </c>
      <c r="E1479" s="62" t="s">
        <v>109</v>
      </c>
      <c r="F1479" s="62" t="s">
        <v>110</v>
      </c>
      <c r="G1479" s="64" t="s">
        <v>59</v>
      </c>
      <c r="H1479" s="3" t="s">
        <v>68</v>
      </c>
      <c r="I1479" s="65">
        <f>IFERROR(VLOOKUP(A1479,'3. Call duration'!$A:$C,3,0),"--")</f>
        <v>24.06915011</v>
      </c>
      <c r="J1479" s="65" t="str">
        <f t="array" ref="J1479">XLOOKUP(H1479,'2. Matching'!$A$2:$A$39,'2. Matching'!$B$2:$B$39,"--")</f>
        <v>Acquisition</v>
      </c>
      <c r="K1479" s="65" t="str">
        <f t="shared" si="1"/>
        <v>In</v>
      </c>
    </row>
    <row r="1480">
      <c r="A1480" s="62" t="s">
        <v>1618</v>
      </c>
      <c r="B1480" s="63">
        <v>44396.0</v>
      </c>
      <c r="C1480" s="62" t="s">
        <v>112</v>
      </c>
      <c r="D1480" s="64">
        <v>0.0</v>
      </c>
      <c r="E1480" s="62" t="s">
        <v>114</v>
      </c>
      <c r="F1480" s="62" t="s">
        <v>110</v>
      </c>
      <c r="G1480" s="64" t="s">
        <v>61</v>
      </c>
      <c r="H1480" s="3" t="s">
        <v>67</v>
      </c>
      <c r="I1480" s="65" t="str">
        <f>IFERROR(VLOOKUP(A1480,'3. Call duration'!$A:$C,3,0),"--")</f>
        <v>--</v>
      </c>
      <c r="J1480" s="65" t="str">
        <f t="array" ref="J1480">XLOOKUP(H1480,'2. Matching'!$A$2:$A$39,'2. Matching'!$B$2:$B$39,"--")</f>
        <v>Acquisition</v>
      </c>
      <c r="K1480" s="65" t="str">
        <f t="shared" si="1"/>
        <v>In</v>
      </c>
    </row>
    <row r="1481">
      <c r="A1481" s="62" t="s">
        <v>1619</v>
      </c>
      <c r="B1481" s="63">
        <v>44362.0</v>
      </c>
      <c r="C1481" s="62" t="s">
        <v>112</v>
      </c>
      <c r="D1481" s="64">
        <v>0.0</v>
      </c>
      <c r="E1481" s="62" t="s">
        <v>109</v>
      </c>
      <c r="F1481" s="62" t="s">
        <v>110</v>
      </c>
      <c r="G1481" s="64" t="s">
        <v>59</v>
      </c>
      <c r="H1481" s="3" t="s">
        <v>68</v>
      </c>
      <c r="I1481" s="65" t="str">
        <f>IFERROR(VLOOKUP(A1481,'3. Call duration'!$A:$C,3,0),"--")</f>
        <v>--</v>
      </c>
      <c r="J1481" s="65" t="str">
        <f t="array" ref="J1481">XLOOKUP(H1481,'2. Matching'!$A$2:$A$39,'2. Matching'!$B$2:$B$39,"--")</f>
        <v>Acquisition</v>
      </c>
      <c r="K1481" s="65" t="str">
        <f t="shared" si="1"/>
        <v>In</v>
      </c>
    </row>
    <row r="1482">
      <c r="A1482" s="62" t="s">
        <v>1620</v>
      </c>
      <c r="B1482" s="63">
        <v>44169.0</v>
      </c>
      <c r="C1482" s="62" t="s">
        <v>108</v>
      </c>
      <c r="D1482" s="64">
        <v>0.0</v>
      </c>
      <c r="E1482" s="62" t="s">
        <v>109</v>
      </c>
      <c r="F1482" s="62" t="s">
        <v>115</v>
      </c>
      <c r="G1482" s="64" t="s">
        <v>64</v>
      </c>
      <c r="H1482" s="3" t="s">
        <v>185</v>
      </c>
      <c r="I1482" s="65">
        <f>IFERROR(VLOOKUP(A1482,'3. Call duration'!$A:$C,3,0),"--")</f>
        <v>13.65987123</v>
      </c>
      <c r="J1482" s="65" t="str">
        <f t="array" ref="J1482">XLOOKUP(H1482,'2. Matching'!$A$2:$A$39,'2. Matching'!$B$2:$B$39,"--")</f>
        <v>SEO</v>
      </c>
      <c r="K1482" s="65" t="str">
        <f t="shared" si="1"/>
        <v>In</v>
      </c>
    </row>
    <row r="1483">
      <c r="A1483" s="62" t="s">
        <v>1621</v>
      </c>
      <c r="B1483" s="63">
        <v>44223.0</v>
      </c>
      <c r="C1483" s="62" t="s">
        <v>108</v>
      </c>
      <c r="D1483" s="64">
        <v>0.0</v>
      </c>
      <c r="E1483" s="62" t="s">
        <v>114</v>
      </c>
      <c r="F1483" s="62" t="s">
        <v>110</v>
      </c>
      <c r="G1483" s="64" t="s">
        <v>62</v>
      </c>
      <c r="H1483" s="3" t="s">
        <v>294</v>
      </c>
      <c r="I1483" s="65">
        <f>IFERROR(VLOOKUP(A1483,'3. Call duration'!$A:$C,3,0),"--")</f>
        <v>27.53745422</v>
      </c>
      <c r="J1483" s="65" t="str">
        <f t="array" ref="J1483">XLOOKUP(H1483,'2. Matching'!$A$2:$A$39,'2. Matching'!$B$2:$B$39,"--")</f>
        <v>Farming</v>
      </c>
      <c r="K1483" s="65" t="str">
        <f t="shared" si="1"/>
        <v>In</v>
      </c>
    </row>
    <row r="1484">
      <c r="A1484" s="62" t="s">
        <v>1622</v>
      </c>
      <c r="B1484" s="63">
        <v>44336.0</v>
      </c>
      <c r="C1484" s="62" t="s">
        <v>119</v>
      </c>
      <c r="D1484" s="64">
        <v>47.5</v>
      </c>
      <c r="E1484" s="62" t="s">
        <v>109</v>
      </c>
      <c r="F1484" s="62" t="s">
        <v>110</v>
      </c>
      <c r="G1484" s="64" t="s">
        <v>59</v>
      </c>
      <c r="H1484" s="3" t="s">
        <v>68</v>
      </c>
      <c r="I1484" s="65">
        <f>IFERROR(VLOOKUP(A1484,'3. Call duration'!$A:$C,3,0),"--")</f>
        <v>22.84028157</v>
      </c>
      <c r="J1484" s="65" t="str">
        <f t="array" ref="J1484">XLOOKUP(H1484,'2. Matching'!$A$2:$A$39,'2. Matching'!$B$2:$B$39,"--")</f>
        <v>Acquisition</v>
      </c>
      <c r="K1484" s="65" t="str">
        <f t="shared" si="1"/>
        <v>In</v>
      </c>
    </row>
    <row r="1485">
      <c r="A1485" s="62" t="s">
        <v>1623</v>
      </c>
      <c r="B1485" s="63">
        <v>44288.0</v>
      </c>
      <c r="C1485" s="62" t="s">
        <v>112</v>
      </c>
      <c r="D1485" s="64">
        <v>0.0</v>
      </c>
      <c r="E1485" s="62" t="s">
        <v>114</v>
      </c>
      <c r="F1485" s="62" t="s">
        <v>110</v>
      </c>
      <c r="G1485" s="64" t="s">
        <v>63</v>
      </c>
      <c r="H1485" s="3" t="s">
        <v>189</v>
      </c>
      <c r="I1485" s="65" t="str">
        <f>IFERROR(VLOOKUP(A1485,'3. Call duration'!$A:$C,3,0),"--")</f>
        <v>--</v>
      </c>
      <c r="J1485" s="65" t="str">
        <f t="array" ref="J1485">XLOOKUP(H1485,'2. Matching'!$A$2:$A$39,'2. Matching'!$B$2:$B$39,"--")</f>
        <v>SEO</v>
      </c>
      <c r="K1485" s="65" t="str">
        <f t="shared" si="1"/>
        <v>Out</v>
      </c>
    </row>
    <row r="1486">
      <c r="A1486" s="62" t="s">
        <v>1624</v>
      </c>
      <c r="B1486" s="63">
        <v>44162.0</v>
      </c>
      <c r="C1486" s="62" t="s">
        <v>112</v>
      </c>
      <c r="D1486" s="64">
        <v>0.0</v>
      </c>
      <c r="E1486" s="62" t="s">
        <v>109</v>
      </c>
      <c r="F1486" s="62" t="s">
        <v>110</v>
      </c>
      <c r="G1486" s="64" t="s">
        <v>64</v>
      </c>
      <c r="H1486" s="3" t="s">
        <v>145</v>
      </c>
      <c r="I1486" s="65" t="str">
        <f>IFERROR(VLOOKUP(A1486,'3. Call duration'!$A:$C,3,0),"--")</f>
        <v>--</v>
      </c>
      <c r="J1486" s="65" t="str">
        <f t="array" ref="J1486">XLOOKUP(H1486,'2. Matching'!$A$2:$A$39,'2. Matching'!$B$2:$B$39,"--")</f>
        <v>SEO</v>
      </c>
      <c r="K1486" s="65" t="str">
        <f t="shared" si="1"/>
        <v>In</v>
      </c>
    </row>
    <row r="1487">
      <c r="A1487" s="62" t="s">
        <v>1625</v>
      </c>
      <c r="B1487" s="63">
        <v>44165.0</v>
      </c>
      <c r="C1487" s="62" t="s">
        <v>112</v>
      </c>
      <c r="D1487" s="64">
        <v>0.0</v>
      </c>
      <c r="E1487" s="62" t="s">
        <v>114</v>
      </c>
      <c r="F1487" s="62" t="s">
        <v>115</v>
      </c>
      <c r="G1487" s="64" t="s">
        <v>64</v>
      </c>
      <c r="H1487" s="3" t="s">
        <v>150</v>
      </c>
      <c r="I1487" s="65" t="str">
        <f>IFERROR(VLOOKUP(A1487,'3. Call duration'!$A:$C,3,0),"--")</f>
        <v>--</v>
      </c>
      <c r="J1487" s="65" t="str">
        <f t="array" ref="J1487">XLOOKUP(H1487,'2. Matching'!$A$2:$A$39,'2. Matching'!$B$2:$B$39,"--")</f>
        <v>SEO</v>
      </c>
      <c r="K1487" s="65" t="str">
        <f t="shared" si="1"/>
        <v>In</v>
      </c>
    </row>
    <row r="1488">
      <c r="A1488" s="62" t="s">
        <v>1626</v>
      </c>
      <c r="B1488" s="63">
        <v>44342.0</v>
      </c>
      <c r="C1488" s="62" t="s">
        <v>119</v>
      </c>
      <c r="D1488" s="64">
        <v>47.5</v>
      </c>
      <c r="E1488" s="62" t="s">
        <v>109</v>
      </c>
      <c r="F1488" s="62" t="s">
        <v>110</v>
      </c>
      <c r="G1488" s="64" t="s">
        <v>63</v>
      </c>
      <c r="H1488" s="3" t="s">
        <v>183</v>
      </c>
      <c r="I1488" s="65">
        <f>IFERROR(VLOOKUP(A1488,'3. Call duration'!$A:$C,3,0),"--")</f>
        <v>22.84299503</v>
      </c>
      <c r="J1488" s="65" t="str">
        <f t="array" ref="J1488">XLOOKUP(H1488,'2. Matching'!$A$2:$A$39,'2. Matching'!$B$2:$B$39,"--")</f>
        <v>SEO</v>
      </c>
      <c r="K1488" s="65" t="str">
        <f t="shared" si="1"/>
        <v>In</v>
      </c>
    </row>
    <row r="1489">
      <c r="A1489" s="62" t="s">
        <v>1627</v>
      </c>
      <c r="B1489" s="63">
        <v>44328.0</v>
      </c>
      <c r="C1489" s="62" t="s">
        <v>119</v>
      </c>
      <c r="D1489" s="64">
        <v>47.5</v>
      </c>
      <c r="E1489" s="62" t="s">
        <v>109</v>
      </c>
      <c r="F1489" s="62" t="s">
        <v>115</v>
      </c>
      <c r="G1489" s="64" t="s">
        <v>64</v>
      </c>
      <c r="H1489" s="3" t="s">
        <v>169</v>
      </c>
      <c r="I1489" s="65">
        <f>IFERROR(VLOOKUP(A1489,'3. Call duration'!$A:$C,3,0),"--")</f>
        <v>22.86170372</v>
      </c>
      <c r="J1489" s="65" t="str">
        <f t="array" ref="J1489">XLOOKUP(H1489,'2. Matching'!$A$2:$A$39,'2. Matching'!$B$2:$B$39,"--")</f>
        <v>SEO</v>
      </c>
      <c r="K1489" s="65" t="str">
        <f t="shared" si="1"/>
        <v>In</v>
      </c>
    </row>
    <row r="1490">
      <c r="A1490" s="62" t="s">
        <v>1628</v>
      </c>
      <c r="B1490" s="63">
        <v>44118.0</v>
      </c>
      <c r="C1490" s="62" t="s">
        <v>112</v>
      </c>
      <c r="D1490" s="64">
        <v>0.0</v>
      </c>
      <c r="E1490" s="62" t="s">
        <v>112</v>
      </c>
      <c r="F1490" s="62" t="s">
        <v>115</v>
      </c>
      <c r="G1490" s="64" t="s">
        <v>62</v>
      </c>
      <c r="H1490" s="3" t="s">
        <v>286</v>
      </c>
      <c r="I1490" s="65" t="str">
        <f>IFERROR(VLOOKUP(A1490,'3. Call duration'!$A:$C,3,0),"--")</f>
        <v>--</v>
      </c>
      <c r="J1490" s="65" t="str">
        <f t="array" ref="J1490">XLOOKUP(H1490,'2. Matching'!$A$2:$A$39,'2. Matching'!$B$2:$B$39,"--")</f>
        <v>Farming</v>
      </c>
      <c r="K1490" s="65" t="str">
        <f t="shared" si="1"/>
        <v>In</v>
      </c>
    </row>
    <row r="1491">
      <c r="A1491" s="62" t="s">
        <v>1629</v>
      </c>
      <c r="B1491" s="63">
        <v>44130.0</v>
      </c>
      <c r="C1491" s="62" t="s">
        <v>108</v>
      </c>
      <c r="D1491" s="64">
        <v>0.0</v>
      </c>
      <c r="E1491" s="62" t="s">
        <v>109</v>
      </c>
      <c r="F1491" s="62" t="s">
        <v>115</v>
      </c>
      <c r="G1491" s="64" t="s">
        <v>62</v>
      </c>
      <c r="H1491" s="3" t="s">
        <v>286</v>
      </c>
      <c r="I1491" s="65">
        <f>IFERROR(VLOOKUP(A1491,'3. Call duration'!$A:$C,3,0),"--")</f>
        <v>27.53549445</v>
      </c>
      <c r="J1491" s="65" t="str">
        <f t="array" ref="J1491">XLOOKUP(H1491,'2. Matching'!$A$2:$A$39,'2. Matching'!$B$2:$B$39,"--")</f>
        <v>Farming</v>
      </c>
      <c r="K1491" s="65" t="str">
        <f t="shared" si="1"/>
        <v>In</v>
      </c>
    </row>
    <row r="1492">
      <c r="A1492" s="62" t="s">
        <v>1630</v>
      </c>
      <c r="B1492" s="63">
        <v>44137.0</v>
      </c>
      <c r="C1492" s="62" t="s">
        <v>112</v>
      </c>
      <c r="D1492" s="64">
        <v>0.0</v>
      </c>
      <c r="E1492" s="62" t="s">
        <v>109</v>
      </c>
      <c r="F1492" s="62" t="s">
        <v>115</v>
      </c>
      <c r="G1492" s="64" t="s">
        <v>64</v>
      </c>
      <c r="H1492" s="3" t="s">
        <v>164</v>
      </c>
      <c r="I1492" s="65" t="str">
        <f>IFERROR(VLOOKUP(A1492,'3. Call duration'!$A:$C,3,0),"--")</f>
        <v>--</v>
      </c>
      <c r="J1492" s="65" t="str">
        <f t="array" ref="J1492">XLOOKUP(H1492,'2. Matching'!$A$2:$A$39,'2. Matching'!$B$2:$B$39,"--")</f>
        <v>SEO</v>
      </c>
      <c r="K1492" s="65" t="str">
        <f t="shared" si="1"/>
        <v>In</v>
      </c>
    </row>
    <row r="1493">
      <c r="A1493" s="62" t="s">
        <v>1631</v>
      </c>
      <c r="B1493" s="63">
        <v>44378.0</v>
      </c>
      <c r="C1493" s="62" t="s">
        <v>108</v>
      </c>
      <c r="D1493" s="64">
        <v>0.0</v>
      </c>
      <c r="E1493" s="62" t="s">
        <v>109</v>
      </c>
      <c r="F1493" s="62" t="s">
        <v>110</v>
      </c>
      <c r="G1493" s="64" t="s">
        <v>60</v>
      </c>
      <c r="H1493" s="3" t="s">
        <v>67</v>
      </c>
      <c r="I1493" s="65">
        <f>IFERROR(VLOOKUP(A1493,'3. Call duration'!$A:$C,3,0),"--")</f>
        <v>39.34091385</v>
      </c>
      <c r="J1493" s="65" t="str">
        <f t="array" ref="J1493">XLOOKUP(H1493,'2. Matching'!$A$2:$A$39,'2. Matching'!$B$2:$B$39,"--")</f>
        <v>Acquisition</v>
      </c>
      <c r="K1493" s="65" t="str">
        <f t="shared" si="1"/>
        <v>In</v>
      </c>
    </row>
    <row r="1494">
      <c r="A1494" s="62" t="s">
        <v>1632</v>
      </c>
      <c r="B1494" s="63">
        <v>44258.0</v>
      </c>
      <c r="C1494" s="62" t="s">
        <v>112</v>
      </c>
      <c r="D1494" s="64">
        <v>0.0</v>
      </c>
      <c r="E1494" s="62" t="s">
        <v>109</v>
      </c>
      <c r="F1494" s="62" t="s">
        <v>110</v>
      </c>
      <c r="G1494" s="64" t="s">
        <v>64</v>
      </c>
      <c r="H1494" s="3" t="s">
        <v>297</v>
      </c>
      <c r="I1494" s="65" t="str">
        <f>IFERROR(VLOOKUP(A1494,'3. Call duration'!$A:$C,3,0),"--")</f>
        <v>--</v>
      </c>
      <c r="J1494" s="65" t="str">
        <f t="array" ref="J1494">XLOOKUP(H1494,'2. Matching'!$A$2:$A$39,'2. Matching'!$B$2:$B$39,"--")</f>
        <v>Farming</v>
      </c>
      <c r="K1494" s="65" t="str">
        <f t="shared" si="1"/>
        <v>In</v>
      </c>
    </row>
    <row r="1495">
      <c r="A1495" s="62" t="s">
        <v>1633</v>
      </c>
      <c r="B1495" s="63">
        <v>44355.0</v>
      </c>
      <c r="C1495" s="62" t="s">
        <v>112</v>
      </c>
      <c r="D1495" s="64">
        <v>0.0</v>
      </c>
      <c r="E1495" s="62" t="s">
        <v>109</v>
      </c>
      <c r="F1495" s="62" t="s">
        <v>110</v>
      </c>
      <c r="G1495" s="64" t="s">
        <v>64</v>
      </c>
      <c r="H1495" s="3" t="s">
        <v>175</v>
      </c>
      <c r="I1495" s="65" t="str">
        <f>IFERROR(VLOOKUP(A1495,'3. Call duration'!$A:$C,3,0),"--")</f>
        <v>--</v>
      </c>
      <c r="J1495" s="65" t="str">
        <f t="array" ref="J1495">XLOOKUP(H1495,'2. Matching'!$A$2:$A$39,'2. Matching'!$B$2:$B$39,"--")</f>
        <v>SEO</v>
      </c>
      <c r="K1495" s="65" t="str">
        <f t="shared" si="1"/>
        <v>In</v>
      </c>
    </row>
    <row r="1496">
      <c r="A1496" s="62" t="s">
        <v>1634</v>
      </c>
      <c r="B1496" s="63">
        <v>44389.0</v>
      </c>
      <c r="C1496" s="62" t="s">
        <v>108</v>
      </c>
      <c r="D1496" s="64">
        <v>0.0</v>
      </c>
      <c r="E1496" s="62" t="s">
        <v>109</v>
      </c>
      <c r="F1496" s="62" t="s">
        <v>115</v>
      </c>
      <c r="G1496" s="64" t="s">
        <v>60</v>
      </c>
      <c r="H1496" s="3" t="s">
        <v>68</v>
      </c>
      <c r="I1496" s="65">
        <f>IFERROR(VLOOKUP(A1496,'3. Call duration'!$A:$C,3,0),"--")</f>
        <v>24.32154064</v>
      </c>
      <c r="J1496" s="65" t="str">
        <f t="array" ref="J1496">XLOOKUP(H1496,'2. Matching'!$A$2:$A$39,'2. Matching'!$B$2:$B$39,"--")</f>
        <v>Acquisition</v>
      </c>
      <c r="K1496" s="65" t="str">
        <f t="shared" si="1"/>
        <v>In</v>
      </c>
    </row>
    <row r="1497">
      <c r="A1497" s="62" t="s">
        <v>1635</v>
      </c>
      <c r="B1497" s="63">
        <v>44341.0</v>
      </c>
      <c r="C1497" s="62" t="s">
        <v>119</v>
      </c>
      <c r="D1497" s="64">
        <v>47.5</v>
      </c>
      <c r="E1497" s="62" t="s">
        <v>109</v>
      </c>
      <c r="F1497" s="62" t="s">
        <v>115</v>
      </c>
      <c r="G1497" s="64" t="s">
        <v>64</v>
      </c>
      <c r="H1497" s="3" t="s">
        <v>131</v>
      </c>
      <c r="I1497" s="65">
        <f>IFERROR(VLOOKUP(A1497,'3. Call duration'!$A:$C,3,0),"--")</f>
        <v>22.87496457</v>
      </c>
      <c r="J1497" s="65" t="str">
        <f t="array" ref="J1497">XLOOKUP(H1497,'2. Matching'!$A$2:$A$39,'2. Matching'!$B$2:$B$39,"--")</f>
        <v>Acquisition</v>
      </c>
      <c r="K1497" s="65" t="str">
        <f t="shared" si="1"/>
        <v>In</v>
      </c>
    </row>
    <row r="1498">
      <c r="A1498" s="62" t="s">
        <v>1636</v>
      </c>
      <c r="B1498" s="63">
        <v>44263.0</v>
      </c>
      <c r="C1498" s="62" t="s">
        <v>112</v>
      </c>
      <c r="D1498" s="64">
        <v>0.0</v>
      </c>
      <c r="E1498" s="62" t="s">
        <v>109</v>
      </c>
      <c r="F1498" s="62" t="s">
        <v>110</v>
      </c>
      <c r="G1498" s="64" t="s">
        <v>64</v>
      </c>
      <c r="H1498" s="3" t="s">
        <v>131</v>
      </c>
      <c r="I1498" s="65" t="str">
        <f>IFERROR(VLOOKUP(A1498,'3. Call duration'!$A:$C,3,0),"--")</f>
        <v>--</v>
      </c>
      <c r="J1498" s="65" t="str">
        <f t="array" ref="J1498">XLOOKUP(H1498,'2. Matching'!$A$2:$A$39,'2. Matching'!$B$2:$B$39,"--")</f>
        <v>Acquisition</v>
      </c>
      <c r="K1498" s="65" t="str">
        <f t="shared" si="1"/>
        <v>In</v>
      </c>
    </row>
    <row r="1499">
      <c r="A1499" s="62" t="s">
        <v>1637</v>
      </c>
      <c r="B1499" s="63">
        <v>44320.0</v>
      </c>
      <c r="C1499" s="62" t="s">
        <v>119</v>
      </c>
      <c r="D1499" s="64">
        <v>47.5</v>
      </c>
      <c r="E1499" s="62" t="s">
        <v>109</v>
      </c>
      <c r="F1499" s="62" t="s">
        <v>115</v>
      </c>
      <c r="G1499" s="64" t="s">
        <v>64</v>
      </c>
      <c r="H1499" s="3" t="s">
        <v>55</v>
      </c>
      <c r="I1499" s="65">
        <f>IFERROR(VLOOKUP(A1499,'3. Call duration'!$A:$C,3,0),"--")</f>
        <v>22.89147666</v>
      </c>
      <c r="J1499" s="65" t="str">
        <f t="array" ref="J1499">XLOOKUP(H1499,'2. Matching'!$A$2:$A$39,'2. Matching'!$B$2:$B$39,"--")</f>
        <v>Partnerships</v>
      </c>
      <c r="K1499" s="65" t="str">
        <f t="shared" si="1"/>
        <v>In</v>
      </c>
    </row>
    <row r="1500">
      <c r="A1500" s="62" t="s">
        <v>1638</v>
      </c>
      <c r="B1500" s="63">
        <v>44330.0</v>
      </c>
      <c r="C1500" s="62" t="s">
        <v>119</v>
      </c>
      <c r="D1500" s="64">
        <v>47.5</v>
      </c>
      <c r="E1500" s="62" t="s">
        <v>109</v>
      </c>
      <c r="F1500" s="62" t="s">
        <v>115</v>
      </c>
      <c r="G1500" s="64" t="s">
        <v>64</v>
      </c>
      <c r="H1500" s="3" t="s">
        <v>155</v>
      </c>
      <c r="I1500" s="65">
        <f>IFERROR(VLOOKUP(A1500,'3. Call duration'!$A:$C,3,0),"--")</f>
        <v>22.91282205</v>
      </c>
      <c r="J1500" s="65" t="str">
        <f t="array" ref="J1500">XLOOKUP(H1500,'2. Matching'!$A$2:$A$39,'2. Matching'!$B$2:$B$39,"--")</f>
        <v>SEO</v>
      </c>
      <c r="K1500" s="65" t="str">
        <f t="shared" si="1"/>
        <v>In</v>
      </c>
    </row>
    <row r="1501">
      <c r="A1501" s="62" t="s">
        <v>1639</v>
      </c>
      <c r="B1501" s="63">
        <v>44389.0</v>
      </c>
      <c r="C1501" s="62" t="s">
        <v>112</v>
      </c>
      <c r="D1501" s="64">
        <v>0.0</v>
      </c>
      <c r="E1501" s="62" t="s">
        <v>109</v>
      </c>
      <c r="F1501" s="62" t="s">
        <v>110</v>
      </c>
      <c r="G1501" s="64" t="s">
        <v>60</v>
      </c>
      <c r="H1501" s="3" t="s">
        <v>67</v>
      </c>
      <c r="I1501" s="65" t="str">
        <f>IFERROR(VLOOKUP(A1501,'3. Call duration'!$A:$C,3,0),"--")</f>
        <v>--</v>
      </c>
      <c r="J1501" s="65" t="str">
        <f t="array" ref="J1501">XLOOKUP(H1501,'2. Matching'!$A$2:$A$39,'2. Matching'!$B$2:$B$39,"--")</f>
        <v>Acquisition</v>
      </c>
      <c r="K1501" s="65" t="str">
        <f t="shared" si="1"/>
        <v>In</v>
      </c>
    </row>
    <row r="1502">
      <c r="A1502" s="62" t="s">
        <v>1640</v>
      </c>
      <c r="B1502" s="63">
        <v>44307.0</v>
      </c>
      <c r="C1502" s="62" t="s">
        <v>112</v>
      </c>
      <c r="D1502" s="64">
        <v>0.0</v>
      </c>
      <c r="E1502" s="62" t="s">
        <v>114</v>
      </c>
      <c r="F1502" s="62" t="s">
        <v>110</v>
      </c>
      <c r="G1502" s="64" t="s">
        <v>64</v>
      </c>
      <c r="H1502" s="3" t="s">
        <v>52</v>
      </c>
      <c r="I1502" s="65" t="str">
        <f>IFERROR(VLOOKUP(A1502,'3. Call duration'!$A:$C,3,0),"--")</f>
        <v>--</v>
      </c>
      <c r="J1502" s="65" t="str">
        <f t="array" ref="J1502">XLOOKUP(H1502,'2. Matching'!$A$2:$A$39,'2. Matching'!$B$2:$B$39,"--")</f>
        <v>Partnerships</v>
      </c>
      <c r="K1502" s="65" t="str">
        <f t="shared" si="1"/>
        <v>In</v>
      </c>
    </row>
    <row r="1503">
      <c r="A1503" s="62" t="s">
        <v>1641</v>
      </c>
      <c r="B1503" s="63">
        <v>44376.0</v>
      </c>
      <c r="C1503" s="62" t="s">
        <v>108</v>
      </c>
      <c r="D1503" s="64">
        <v>0.0</v>
      </c>
      <c r="E1503" s="62" t="s">
        <v>114</v>
      </c>
      <c r="F1503" s="62" t="s">
        <v>110</v>
      </c>
      <c r="G1503" s="64" t="s">
        <v>61</v>
      </c>
      <c r="H1503" s="3" t="s">
        <v>67</v>
      </c>
      <c r="I1503" s="65">
        <f>IFERROR(VLOOKUP(A1503,'3. Call duration'!$A:$C,3,0),"--")</f>
        <v>29.56839883</v>
      </c>
      <c r="J1503" s="65" t="str">
        <f t="array" ref="J1503">XLOOKUP(H1503,'2. Matching'!$A$2:$A$39,'2. Matching'!$B$2:$B$39,"--")</f>
        <v>Acquisition</v>
      </c>
      <c r="K1503" s="65" t="str">
        <f t="shared" si="1"/>
        <v>In</v>
      </c>
    </row>
    <row r="1504">
      <c r="A1504" s="62" t="s">
        <v>1642</v>
      </c>
      <c r="B1504" s="63">
        <v>44236.0</v>
      </c>
      <c r="C1504" s="62" t="s">
        <v>108</v>
      </c>
      <c r="D1504" s="64">
        <v>0.0</v>
      </c>
      <c r="E1504" s="62" t="s">
        <v>109</v>
      </c>
      <c r="F1504" s="62" t="s">
        <v>110</v>
      </c>
      <c r="G1504" s="64" t="s">
        <v>62</v>
      </c>
      <c r="H1504" s="3" t="s">
        <v>203</v>
      </c>
      <c r="I1504" s="65">
        <f>IFERROR(VLOOKUP(A1504,'3. Call duration'!$A:$C,3,0),"--")</f>
        <v>26.73084614</v>
      </c>
      <c r="J1504" s="65" t="str">
        <f t="array" ref="J1504">XLOOKUP(H1504,'2. Matching'!$A$2:$A$39,'2. Matching'!$B$2:$B$39,"--")</f>
        <v>Farming</v>
      </c>
      <c r="K1504" s="65" t="str">
        <f t="shared" si="1"/>
        <v>In</v>
      </c>
    </row>
    <row r="1505">
      <c r="A1505" s="62" t="s">
        <v>1643</v>
      </c>
      <c r="B1505" s="63">
        <v>44370.0</v>
      </c>
      <c r="C1505" s="62" t="s">
        <v>112</v>
      </c>
      <c r="D1505" s="64">
        <v>0.0</v>
      </c>
      <c r="E1505" s="62" t="s">
        <v>109</v>
      </c>
      <c r="F1505" s="62" t="s">
        <v>115</v>
      </c>
      <c r="G1505" s="64" t="s">
        <v>63</v>
      </c>
      <c r="H1505" s="3" t="s">
        <v>124</v>
      </c>
      <c r="I1505" s="65" t="str">
        <f>IFERROR(VLOOKUP(A1505,'3. Call duration'!$A:$C,3,0),"--")</f>
        <v>--</v>
      </c>
      <c r="J1505" s="65" t="str">
        <f t="array" ref="J1505">XLOOKUP(H1505,'2. Matching'!$A$2:$A$39,'2. Matching'!$B$2:$B$39,"--")</f>
        <v>Acquisition</v>
      </c>
      <c r="K1505" s="65" t="str">
        <f t="shared" si="1"/>
        <v>In</v>
      </c>
    </row>
    <row r="1506">
      <c r="A1506" s="62" t="s">
        <v>1644</v>
      </c>
      <c r="B1506" s="63">
        <v>44221.0</v>
      </c>
      <c r="C1506" s="62" t="s">
        <v>112</v>
      </c>
      <c r="D1506" s="64">
        <v>0.0</v>
      </c>
      <c r="E1506" s="62" t="s">
        <v>109</v>
      </c>
      <c r="F1506" s="62" t="s">
        <v>110</v>
      </c>
      <c r="G1506" s="64" t="s">
        <v>64</v>
      </c>
      <c r="H1506" s="3" t="s">
        <v>116</v>
      </c>
      <c r="I1506" s="65" t="str">
        <f>IFERROR(VLOOKUP(A1506,'3. Call duration'!$A:$C,3,0),"--")</f>
        <v>--</v>
      </c>
      <c r="J1506" s="65" t="str">
        <f t="array" ref="J1506">XLOOKUP(H1506,'2. Matching'!$A$2:$A$39,'2. Matching'!$B$2:$B$39,"--")</f>
        <v>Acquisition</v>
      </c>
      <c r="K1506" s="65" t="str">
        <f t="shared" si="1"/>
        <v>In</v>
      </c>
    </row>
    <row r="1507">
      <c r="A1507" s="62" t="s">
        <v>1645</v>
      </c>
      <c r="B1507" s="63">
        <v>44151.0</v>
      </c>
      <c r="C1507" s="62" t="s">
        <v>112</v>
      </c>
      <c r="D1507" s="64">
        <v>0.0</v>
      </c>
      <c r="E1507" s="62" t="s">
        <v>109</v>
      </c>
      <c r="F1507" s="62" t="s">
        <v>115</v>
      </c>
      <c r="G1507" s="64" t="s">
        <v>64</v>
      </c>
      <c r="H1507" s="3" t="s">
        <v>135</v>
      </c>
      <c r="I1507" s="65" t="str">
        <f>IFERROR(VLOOKUP(A1507,'3. Call duration'!$A:$C,3,0),"--")</f>
        <v>--</v>
      </c>
      <c r="J1507" s="65" t="str">
        <f t="array" ref="J1507">XLOOKUP(H1507,'2. Matching'!$A$2:$A$39,'2. Matching'!$B$2:$B$39,"--")</f>
        <v>Acquisition</v>
      </c>
      <c r="K1507" s="65" t="str">
        <f t="shared" si="1"/>
        <v>In</v>
      </c>
    </row>
    <row r="1508">
      <c r="A1508" s="62" t="s">
        <v>1646</v>
      </c>
      <c r="B1508" s="63">
        <v>44279.0</v>
      </c>
      <c r="C1508" s="62" t="s">
        <v>108</v>
      </c>
      <c r="D1508" s="64">
        <v>0.0</v>
      </c>
      <c r="E1508" s="62" t="s">
        <v>109</v>
      </c>
      <c r="F1508" s="62" t="s">
        <v>110</v>
      </c>
      <c r="G1508" s="64" t="s">
        <v>64</v>
      </c>
      <c r="H1508" s="3" t="s">
        <v>185</v>
      </c>
      <c r="I1508" s="65" t="str">
        <f>IFERROR(VLOOKUP(A1508,'3. Call duration'!$A:$C,3,0),"--")</f>
        <v>--</v>
      </c>
      <c r="J1508" s="65" t="str">
        <f t="array" ref="J1508">XLOOKUP(H1508,'2. Matching'!$A$2:$A$39,'2. Matching'!$B$2:$B$39,"--")</f>
        <v>SEO</v>
      </c>
      <c r="K1508" s="65" t="str">
        <f t="shared" si="1"/>
        <v>In</v>
      </c>
    </row>
    <row r="1509">
      <c r="A1509" s="62" t="s">
        <v>1647</v>
      </c>
      <c r="B1509" s="63">
        <v>44259.0</v>
      </c>
      <c r="C1509" s="62" t="s">
        <v>108</v>
      </c>
      <c r="D1509" s="64">
        <v>0.0</v>
      </c>
      <c r="E1509" s="62" t="s">
        <v>109</v>
      </c>
      <c r="F1509" s="62" t="s">
        <v>115</v>
      </c>
      <c r="G1509" s="64" t="s">
        <v>64</v>
      </c>
      <c r="H1509" s="3" t="s">
        <v>221</v>
      </c>
      <c r="I1509" s="65">
        <f>IFERROR(VLOOKUP(A1509,'3. Call duration'!$A:$C,3,0),"--")</f>
        <v>21.71270335</v>
      </c>
      <c r="J1509" s="65" t="str">
        <f t="array" ref="J1509">XLOOKUP(H1509,'2. Matching'!$A$2:$A$39,'2. Matching'!$B$2:$B$39,"--")</f>
        <v>Farming</v>
      </c>
      <c r="K1509" s="65" t="str">
        <f t="shared" si="1"/>
        <v>In</v>
      </c>
    </row>
    <row r="1510">
      <c r="A1510" s="62" t="s">
        <v>1648</v>
      </c>
      <c r="B1510" s="63">
        <v>44271.0</v>
      </c>
      <c r="C1510" s="62" t="s">
        <v>112</v>
      </c>
      <c r="D1510" s="64">
        <v>0.0</v>
      </c>
      <c r="E1510" s="62" t="s">
        <v>109</v>
      </c>
      <c r="F1510" s="62" t="s">
        <v>110</v>
      </c>
      <c r="G1510" s="64" t="s">
        <v>64</v>
      </c>
      <c r="H1510" s="3" t="s">
        <v>55</v>
      </c>
      <c r="I1510" s="65" t="str">
        <f>IFERROR(VLOOKUP(A1510,'3. Call duration'!$A:$C,3,0),"--")</f>
        <v>--</v>
      </c>
      <c r="J1510" s="65" t="str">
        <f t="array" ref="J1510">XLOOKUP(H1510,'2. Matching'!$A$2:$A$39,'2. Matching'!$B$2:$B$39,"--")</f>
        <v>Partnerships</v>
      </c>
      <c r="K1510" s="65" t="str">
        <f t="shared" si="1"/>
        <v>In</v>
      </c>
    </row>
    <row r="1511">
      <c r="A1511" s="62" t="s">
        <v>1649</v>
      </c>
      <c r="B1511" s="63">
        <v>44261.0</v>
      </c>
      <c r="C1511" s="62" t="s">
        <v>112</v>
      </c>
      <c r="D1511" s="64">
        <v>0.0</v>
      </c>
      <c r="E1511" s="62" t="s">
        <v>109</v>
      </c>
      <c r="F1511" s="62" t="s">
        <v>115</v>
      </c>
      <c r="G1511" s="64" t="s">
        <v>64</v>
      </c>
      <c r="H1511" s="3" t="s">
        <v>175</v>
      </c>
      <c r="I1511" s="65" t="str">
        <f>IFERROR(VLOOKUP(A1511,'3. Call duration'!$A:$C,3,0),"--")</f>
        <v>--</v>
      </c>
      <c r="J1511" s="65" t="str">
        <f t="array" ref="J1511">XLOOKUP(H1511,'2. Matching'!$A$2:$A$39,'2. Matching'!$B$2:$B$39,"--")</f>
        <v>SEO</v>
      </c>
      <c r="K1511" s="65" t="str">
        <f t="shared" si="1"/>
        <v>In</v>
      </c>
    </row>
    <row r="1512">
      <c r="A1512" s="62" t="s">
        <v>1650</v>
      </c>
      <c r="B1512" s="63">
        <v>44343.0</v>
      </c>
      <c r="C1512" s="62" t="s">
        <v>119</v>
      </c>
      <c r="D1512" s="64">
        <v>47.5</v>
      </c>
      <c r="E1512" s="62" t="s">
        <v>109</v>
      </c>
      <c r="F1512" s="62" t="s">
        <v>110</v>
      </c>
      <c r="G1512" s="64" t="s">
        <v>64</v>
      </c>
      <c r="H1512" s="3" t="s">
        <v>185</v>
      </c>
      <c r="I1512" s="65">
        <f>IFERROR(VLOOKUP(A1512,'3. Call duration'!$A:$C,3,0),"--")</f>
        <v>22.95657592</v>
      </c>
      <c r="J1512" s="65" t="str">
        <f t="array" ref="J1512">XLOOKUP(H1512,'2. Matching'!$A$2:$A$39,'2. Matching'!$B$2:$B$39,"--")</f>
        <v>SEO</v>
      </c>
      <c r="K1512" s="65" t="str">
        <f t="shared" si="1"/>
        <v>In</v>
      </c>
    </row>
    <row r="1513">
      <c r="A1513" s="62" t="s">
        <v>1651</v>
      </c>
      <c r="B1513" s="63">
        <v>44221.0</v>
      </c>
      <c r="C1513" s="62" t="s">
        <v>112</v>
      </c>
      <c r="D1513" s="64">
        <v>0.0</v>
      </c>
      <c r="E1513" s="62" t="s">
        <v>109</v>
      </c>
      <c r="F1513" s="62" t="s">
        <v>110</v>
      </c>
      <c r="G1513" s="64" t="s">
        <v>64</v>
      </c>
      <c r="H1513" s="3" t="s">
        <v>185</v>
      </c>
      <c r="I1513" s="65" t="str">
        <f>IFERROR(VLOOKUP(A1513,'3. Call duration'!$A:$C,3,0),"--")</f>
        <v>--</v>
      </c>
      <c r="J1513" s="65" t="str">
        <f t="array" ref="J1513">XLOOKUP(H1513,'2. Matching'!$A$2:$A$39,'2. Matching'!$B$2:$B$39,"--")</f>
        <v>SEO</v>
      </c>
      <c r="K1513" s="65" t="str">
        <f t="shared" si="1"/>
        <v>In</v>
      </c>
    </row>
    <row r="1514">
      <c r="A1514" s="62" t="s">
        <v>1652</v>
      </c>
      <c r="B1514" s="63">
        <v>44358.0</v>
      </c>
      <c r="C1514" s="62" t="s">
        <v>108</v>
      </c>
      <c r="D1514" s="64">
        <v>0.0</v>
      </c>
      <c r="E1514" s="62" t="s">
        <v>109</v>
      </c>
      <c r="F1514" s="62" t="s">
        <v>115</v>
      </c>
      <c r="G1514" s="64" t="s">
        <v>62</v>
      </c>
      <c r="H1514" s="3" t="s">
        <v>50</v>
      </c>
      <c r="I1514" s="65">
        <f>IFERROR(VLOOKUP(A1514,'3. Call duration'!$A:$C,3,0),"--")</f>
        <v>16.67029957</v>
      </c>
      <c r="J1514" s="65" t="str">
        <f t="array" ref="J1514">XLOOKUP(H1514,'2. Matching'!$A$2:$A$39,'2. Matching'!$B$2:$B$39,"--")</f>
        <v>Partnerships</v>
      </c>
      <c r="K1514" s="65" t="str">
        <f t="shared" si="1"/>
        <v>In</v>
      </c>
    </row>
    <row r="1515">
      <c r="A1515" s="62" t="s">
        <v>1653</v>
      </c>
      <c r="B1515" s="63">
        <v>44337.0</v>
      </c>
      <c r="C1515" s="62" t="s">
        <v>119</v>
      </c>
      <c r="D1515" s="64">
        <v>47.5</v>
      </c>
      <c r="E1515" s="62" t="s">
        <v>109</v>
      </c>
      <c r="F1515" s="62" t="s">
        <v>110</v>
      </c>
      <c r="G1515" s="64" t="s">
        <v>64</v>
      </c>
      <c r="H1515" s="3" t="s">
        <v>49</v>
      </c>
      <c r="I1515" s="65">
        <f>IFERROR(VLOOKUP(A1515,'3. Call duration'!$A:$C,3,0),"--")</f>
        <v>22.97414518</v>
      </c>
      <c r="J1515" s="65" t="str">
        <f t="array" ref="J1515">XLOOKUP(H1515,'2. Matching'!$A$2:$A$39,'2. Matching'!$B$2:$B$39,"--")</f>
        <v>Partnerships</v>
      </c>
      <c r="K1515" s="65" t="str">
        <f t="shared" si="1"/>
        <v>In</v>
      </c>
    </row>
    <row r="1516">
      <c r="A1516" s="62" t="s">
        <v>1654</v>
      </c>
      <c r="B1516" s="63">
        <v>44343.0</v>
      </c>
      <c r="C1516" s="62" t="s">
        <v>119</v>
      </c>
      <c r="D1516" s="64">
        <v>95.0</v>
      </c>
      <c r="E1516" s="62" t="s">
        <v>114</v>
      </c>
      <c r="F1516" s="62" t="s">
        <v>115</v>
      </c>
      <c r="G1516" s="64" t="s">
        <v>64</v>
      </c>
      <c r="H1516" s="3" t="s">
        <v>169</v>
      </c>
      <c r="I1516" s="65">
        <f>IFERROR(VLOOKUP(A1516,'3. Call duration'!$A:$C,3,0),"--")</f>
        <v>23.00432502</v>
      </c>
      <c r="J1516" s="65" t="str">
        <f t="array" ref="J1516">XLOOKUP(H1516,'2. Matching'!$A$2:$A$39,'2. Matching'!$B$2:$B$39,"--")</f>
        <v>SEO</v>
      </c>
      <c r="K1516" s="65" t="str">
        <f t="shared" si="1"/>
        <v>In</v>
      </c>
    </row>
    <row r="1517">
      <c r="A1517" s="62" t="s">
        <v>1655</v>
      </c>
      <c r="B1517" s="63">
        <v>44356.0</v>
      </c>
      <c r="C1517" s="62" t="s">
        <v>108</v>
      </c>
      <c r="D1517" s="64">
        <v>0.0</v>
      </c>
      <c r="E1517" s="62" t="s">
        <v>114</v>
      </c>
      <c r="F1517" s="62" t="s">
        <v>115</v>
      </c>
      <c r="G1517" s="64" t="s">
        <v>64</v>
      </c>
      <c r="H1517" s="3" t="s">
        <v>221</v>
      </c>
      <c r="I1517" s="65">
        <f>IFERROR(VLOOKUP(A1517,'3. Call duration'!$A:$C,3,0),"--")</f>
        <v>26.51683395</v>
      </c>
      <c r="J1517" s="65" t="str">
        <f t="array" ref="J1517">XLOOKUP(H1517,'2. Matching'!$A$2:$A$39,'2. Matching'!$B$2:$B$39,"--")</f>
        <v>Farming</v>
      </c>
      <c r="K1517" s="65" t="str">
        <f t="shared" si="1"/>
        <v>In</v>
      </c>
    </row>
    <row r="1518">
      <c r="A1518" s="62" t="s">
        <v>1656</v>
      </c>
      <c r="B1518" s="63">
        <v>44270.0</v>
      </c>
      <c r="C1518" s="62" t="s">
        <v>108</v>
      </c>
      <c r="D1518" s="64">
        <v>0.0</v>
      </c>
      <c r="E1518" s="62" t="s">
        <v>109</v>
      </c>
      <c r="F1518" s="62" t="s">
        <v>110</v>
      </c>
      <c r="G1518" s="64" t="s">
        <v>64</v>
      </c>
      <c r="H1518" s="3" t="s">
        <v>55</v>
      </c>
      <c r="I1518" s="65">
        <f>IFERROR(VLOOKUP(A1518,'3. Call duration'!$A:$C,3,0),"--")</f>
        <v>19.55124683</v>
      </c>
      <c r="J1518" s="65" t="str">
        <f t="array" ref="J1518">XLOOKUP(H1518,'2. Matching'!$A$2:$A$39,'2. Matching'!$B$2:$B$39,"--")</f>
        <v>Partnerships</v>
      </c>
      <c r="K1518" s="65" t="str">
        <f t="shared" si="1"/>
        <v>In</v>
      </c>
    </row>
    <row r="1519">
      <c r="A1519" s="62" t="s">
        <v>1657</v>
      </c>
      <c r="B1519" s="63">
        <v>44246.0</v>
      </c>
      <c r="C1519" s="62" t="s">
        <v>108</v>
      </c>
      <c r="D1519" s="64">
        <v>0.0</v>
      </c>
      <c r="E1519" s="62" t="s">
        <v>109</v>
      </c>
      <c r="F1519" s="62" t="s">
        <v>110</v>
      </c>
      <c r="G1519" s="64" t="s">
        <v>64</v>
      </c>
      <c r="H1519" s="3" t="s">
        <v>169</v>
      </c>
      <c r="I1519" s="65">
        <f>IFERROR(VLOOKUP(A1519,'3. Call duration'!$A:$C,3,0),"--")</f>
        <v>23.51584994</v>
      </c>
      <c r="J1519" s="65" t="str">
        <f t="array" ref="J1519">XLOOKUP(H1519,'2. Matching'!$A$2:$A$39,'2. Matching'!$B$2:$B$39,"--")</f>
        <v>SEO</v>
      </c>
      <c r="K1519" s="65" t="str">
        <f t="shared" si="1"/>
        <v>In</v>
      </c>
    </row>
    <row r="1520">
      <c r="A1520" s="62" t="s">
        <v>1658</v>
      </c>
      <c r="B1520" s="63">
        <v>44109.0</v>
      </c>
      <c r="C1520" s="62" t="s">
        <v>112</v>
      </c>
      <c r="D1520" s="64">
        <v>0.0</v>
      </c>
      <c r="E1520" s="62" t="s">
        <v>109</v>
      </c>
      <c r="F1520" s="62" t="s">
        <v>115</v>
      </c>
      <c r="G1520" s="64" t="s">
        <v>64</v>
      </c>
      <c r="H1520" s="3" t="s">
        <v>139</v>
      </c>
      <c r="I1520" s="65" t="str">
        <f>IFERROR(VLOOKUP(A1520,'3. Call duration'!$A:$C,3,0),"--")</f>
        <v>--</v>
      </c>
      <c r="J1520" s="65" t="str">
        <f t="array" ref="J1520">XLOOKUP(H1520,'2. Matching'!$A$2:$A$39,'2. Matching'!$B$2:$B$39,"--")</f>
        <v>Acquisition</v>
      </c>
      <c r="K1520" s="65" t="str">
        <f t="shared" si="1"/>
        <v>In</v>
      </c>
    </row>
    <row r="1521">
      <c r="A1521" s="62" t="s">
        <v>1659</v>
      </c>
      <c r="B1521" s="63">
        <v>44357.0</v>
      </c>
      <c r="C1521" s="62" t="s">
        <v>108</v>
      </c>
      <c r="D1521" s="64">
        <v>0.0</v>
      </c>
      <c r="E1521" s="62" t="s">
        <v>109</v>
      </c>
      <c r="F1521" s="62" t="s">
        <v>115</v>
      </c>
      <c r="G1521" s="64" t="s">
        <v>62</v>
      </c>
      <c r="H1521" s="3" t="s">
        <v>50</v>
      </c>
      <c r="I1521" s="65">
        <f>IFERROR(VLOOKUP(A1521,'3. Call duration'!$A:$C,3,0),"--")</f>
        <v>14.2278947</v>
      </c>
      <c r="J1521" s="65" t="str">
        <f t="array" ref="J1521">XLOOKUP(H1521,'2. Matching'!$A$2:$A$39,'2. Matching'!$B$2:$B$39,"--")</f>
        <v>Partnerships</v>
      </c>
      <c r="K1521" s="65" t="str">
        <f t="shared" si="1"/>
        <v>In</v>
      </c>
    </row>
    <row r="1522">
      <c r="A1522" s="62" t="s">
        <v>1660</v>
      </c>
      <c r="B1522" s="63">
        <v>44361.0</v>
      </c>
      <c r="C1522" s="62" t="s">
        <v>112</v>
      </c>
      <c r="D1522" s="64">
        <v>0.0</v>
      </c>
      <c r="E1522" s="62" t="s">
        <v>109</v>
      </c>
      <c r="F1522" s="62" t="s">
        <v>110</v>
      </c>
      <c r="G1522" s="64" t="s">
        <v>60</v>
      </c>
      <c r="H1522" s="3" t="s">
        <v>67</v>
      </c>
      <c r="I1522" s="65" t="str">
        <f>IFERROR(VLOOKUP(A1522,'3. Call duration'!$A:$C,3,0),"--")</f>
        <v>--</v>
      </c>
      <c r="J1522" s="65" t="str">
        <f t="array" ref="J1522">XLOOKUP(H1522,'2. Matching'!$A$2:$A$39,'2. Matching'!$B$2:$B$39,"--")</f>
        <v>Acquisition</v>
      </c>
      <c r="K1522" s="65" t="str">
        <f t="shared" si="1"/>
        <v>In</v>
      </c>
    </row>
    <row r="1523">
      <c r="A1523" s="62" t="s">
        <v>1661</v>
      </c>
      <c r="B1523" s="63">
        <v>44107.0</v>
      </c>
      <c r="C1523" s="62" t="s">
        <v>112</v>
      </c>
      <c r="D1523" s="64">
        <v>0.0</v>
      </c>
      <c r="E1523" s="62" t="s">
        <v>109</v>
      </c>
      <c r="F1523" s="62" t="s">
        <v>110</v>
      </c>
      <c r="G1523" s="64" t="s">
        <v>64</v>
      </c>
      <c r="H1523" s="3" t="s">
        <v>171</v>
      </c>
      <c r="I1523" s="65" t="str">
        <f>IFERROR(VLOOKUP(A1523,'3. Call duration'!$A:$C,3,0),"--")</f>
        <v>--</v>
      </c>
      <c r="J1523" s="65" t="str">
        <f t="array" ref="J1523">XLOOKUP(H1523,'2. Matching'!$A$2:$A$39,'2. Matching'!$B$2:$B$39,"--")</f>
        <v>SEO</v>
      </c>
      <c r="K1523" s="65" t="str">
        <f t="shared" si="1"/>
        <v>In</v>
      </c>
    </row>
    <row r="1524">
      <c r="A1524" s="62" t="s">
        <v>1662</v>
      </c>
      <c r="B1524" s="63">
        <v>44229.0</v>
      </c>
      <c r="C1524" s="62" t="s">
        <v>108</v>
      </c>
      <c r="D1524" s="64">
        <v>0.0</v>
      </c>
      <c r="E1524" s="62" t="s">
        <v>114</v>
      </c>
      <c r="F1524" s="62" t="s">
        <v>115</v>
      </c>
      <c r="G1524" s="64" t="s">
        <v>64</v>
      </c>
      <c r="H1524" s="3" t="s">
        <v>49</v>
      </c>
      <c r="I1524" s="65">
        <f>IFERROR(VLOOKUP(A1524,'3. Call duration'!$A:$C,3,0),"--")</f>
        <v>22.19788585</v>
      </c>
      <c r="J1524" s="65" t="str">
        <f t="array" ref="J1524">XLOOKUP(H1524,'2. Matching'!$A$2:$A$39,'2. Matching'!$B$2:$B$39,"--")</f>
        <v>Partnerships</v>
      </c>
      <c r="K1524" s="65" t="str">
        <f t="shared" si="1"/>
        <v>In</v>
      </c>
    </row>
    <row r="1525">
      <c r="A1525" s="62" t="s">
        <v>1663</v>
      </c>
      <c r="B1525" s="63">
        <v>44340.0</v>
      </c>
      <c r="C1525" s="62" t="s">
        <v>119</v>
      </c>
      <c r="D1525" s="64">
        <v>47.5</v>
      </c>
      <c r="E1525" s="62" t="s">
        <v>109</v>
      </c>
      <c r="F1525" s="62" t="s">
        <v>110</v>
      </c>
      <c r="G1525" s="64" t="s">
        <v>59</v>
      </c>
      <c r="H1525" s="3" t="s">
        <v>68</v>
      </c>
      <c r="I1525" s="65">
        <f>IFERROR(VLOOKUP(A1525,'3. Call duration'!$A:$C,3,0),"--")</f>
        <v>23.01142897</v>
      </c>
      <c r="J1525" s="65" t="str">
        <f t="array" ref="J1525">XLOOKUP(H1525,'2. Matching'!$A$2:$A$39,'2. Matching'!$B$2:$B$39,"--")</f>
        <v>Acquisition</v>
      </c>
      <c r="K1525" s="65" t="str">
        <f t="shared" si="1"/>
        <v>In</v>
      </c>
    </row>
    <row r="1526">
      <c r="A1526" s="62" t="s">
        <v>1664</v>
      </c>
      <c r="B1526" s="63">
        <v>44235.0</v>
      </c>
      <c r="C1526" s="62" t="s">
        <v>108</v>
      </c>
      <c r="D1526" s="64">
        <v>0.0</v>
      </c>
      <c r="E1526" s="62" t="s">
        <v>109</v>
      </c>
      <c r="F1526" s="62" t="s">
        <v>115</v>
      </c>
      <c r="G1526" s="64" t="s">
        <v>62</v>
      </c>
      <c r="H1526" s="3" t="s">
        <v>50</v>
      </c>
      <c r="I1526" s="65">
        <f>IFERROR(VLOOKUP(A1526,'3. Call duration'!$A:$C,3,0),"--")</f>
        <v>18.50096818</v>
      </c>
      <c r="J1526" s="65" t="str">
        <f t="array" ref="J1526">XLOOKUP(H1526,'2. Matching'!$A$2:$A$39,'2. Matching'!$B$2:$B$39,"--")</f>
        <v>Partnerships</v>
      </c>
      <c r="K1526" s="65" t="str">
        <f t="shared" si="1"/>
        <v>In</v>
      </c>
    </row>
    <row r="1527">
      <c r="A1527" s="62" t="s">
        <v>1665</v>
      </c>
      <c r="B1527" s="63">
        <v>44361.0</v>
      </c>
      <c r="C1527" s="62" t="s">
        <v>108</v>
      </c>
      <c r="D1527" s="64">
        <v>0.0</v>
      </c>
      <c r="E1527" s="62" t="s">
        <v>109</v>
      </c>
      <c r="F1527" s="62" t="s">
        <v>115</v>
      </c>
      <c r="G1527" s="64" t="s">
        <v>62</v>
      </c>
      <c r="H1527" s="3" t="s">
        <v>50</v>
      </c>
      <c r="I1527" s="65">
        <f>IFERROR(VLOOKUP(A1527,'3. Call duration'!$A:$C,3,0),"--")</f>
        <v>15.54165604</v>
      </c>
      <c r="J1527" s="65" t="str">
        <f t="array" ref="J1527">XLOOKUP(H1527,'2. Matching'!$A$2:$A$39,'2. Matching'!$B$2:$B$39,"--")</f>
        <v>Partnerships</v>
      </c>
      <c r="K1527" s="65" t="str">
        <f t="shared" si="1"/>
        <v>In</v>
      </c>
    </row>
    <row r="1528">
      <c r="A1528" s="62" t="s">
        <v>1666</v>
      </c>
      <c r="B1528" s="63">
        <v>44371.0</v>
      </c>
      <c r="C1528" s="62" t="s">
        <v>108</v>
      </c>
      <c r="D1528" s="64">
        <v>0.0</v>
      </c>
      <c r="E1528" s="62" t="s">
        <v>109</v>
      </c>
      <c r="F1528" s="62" t="s">
        <v>115</v>
      </c>
      <c r="G1528" s="64" t="s">
        <v>64</v>
      </c>
      <c r="H1528" s="3" t="s">
        <v>221</v>
      </c>
      <c r="I1528" s="65">
        <f>IFERROR(VLOOKUP(A1528,'3. Call duration'!$A:$C,3,0),"--")</f>
        <v>37.3078183</v>
      </c>
      <c r="J1528" s="65" t="str">
        <f t="array" ref="J1528">XLOOKUP(H1528,'2. Matching'!$A$2:$A$39,'2. Matching'!$B$2:$B$39,"--")</f>
        <v>Farming</v>
      </c>
      <c r="K1528" s="65" t="str">
        <f t="shared" si="1"/>
        <v>In</v>
      </c>
    </row>
    <row r="1529">
      <c r="A1529" s="62" t="s">
        <v>1667</v>
      </c>
      <c r="B1529" s="63">
        <v>44370.0</v>
      </c>
      <c r="C1529" s="62" t="s">
        <v>108</v>
      </c>
      <c r="D1529" s="64">
        <v>0.0</v>
      </c>
      <c r="E1529" s="62" t="s">
        <v>109</v>
      </c>
      <c r="F1529" s="62" t="s">
        <v>110</v>
      </c>
      <c r="G1529" s="64" t="s">
        <v>60</v>
      </c>
      <c r="H1529" s="3" t="s">
        <v>68</v>
      </c>
      <c r="I1529" s="65">
        <f>IFERROR(VLOOKUP(A1529,'3. Call duration'!$A:$C,3,0),"--")</f>
        <v>31.74337271</v>
      </c>
      <c r="J1529" s="65" t="str">
        <f t="array" ref="J1529">XLOOKUP(H1529,'2. Matching'!$A$2:$A$39,'2. Matching'!$B$2:$B$39,"--")</f>
        <v>Acquisition</v>
      </c>
      <c r="K1529" s="65" t="str">
        <f t="shared" si="1"/>
        <v>In</v>
      </c>
    </row>
    <row r="1530">
      <c r="A1530" s="62" t="s">
        <v>1668</v>
      </c>
      <c r="B1530" s="63">
        <v>44194.0</v>
      </c>
      <c r="C1530" s="62" t="s">
        <v>112</v>
      </c>
      <c r="D1530" s="64">
        <v>0.0</v>
      </c>
      <c r="E1530" s="62" t="s">
        <v>109</v>
      </c>
      <c r="F1530" s="62" t="s">
        <v>110</v>
      </c>
      <c r="G1530" s="64" t="s">
        <v>62</v>
      </c>
      <c r="H1530" s="3" t="s">
        <v>294</v>
      </c>
      <c r="I1530" s="65" t="str">
        <f>IFERROR(VLOOKUP(A1530,'3. Call duration'!$A:$C,3,0),"--")</f>
        <v>--</v>
      </c>
      <c r="J1530" s="65" t="str">
        <f t="array" ref="J1530">XLOOKUP(H1530,'2. Matching'!$A$2:$A$39,'2. Matching'!$B$2:$B$39,"--")</f>
        <v>Farming</v>
      </c>
      <c r="K1530" s="65" t="str">
        <f t="shared" si="1"/>
        <v>In</v>
      </c>
    </row>
    <row r="1531">
      <c r="A1531" s="62" t="s">
        <v>1669</v>
      </c>
      <c r="B1531" s="63">
        <v>44333.0</v>
      </c>
      <c r="C1531" s="62" t="s">
        <v>119</v>
      </c>
      <c r="D1531" s="64">
        <v>95.0</v>
      </c>
      <c r="E1531" s="62" t="s">
        <v>114</v>
      </c>
      <c r="F1531" s="62" t="s">
        <v>115</v>
      </c>
      <c r="G1531" s="64" t="s">
        <v>64</v>
      </c>
      <c r="H1531" s="3" t="s">
        <v>164</v>
      </c>
      <c r="I1531" s="65">
        <f>IFERROR(VLOOKUP(A1531,'3. Call duration'!$A:$C,3,0),"--")</f>
        <v>23.02114196</v>
      </c>
      <c r="J1531" s="65" t="str">
        <f t="array" ref="J1531">XLOOKUP(H1531,'2. Matching'!$A$2:$A$39,'2. Matching'!$B$2:$B$39,"--")</f>
        <v>SEO</v>
      </c>
      <c r="K1531" s="65" t="str">
        <f t="shared" si="1"/>
        <v>In</v>
      </c>
    </row>
    <row r="1532">
      <c r="A1532" s="62" t="s">
        <v>1670</v>
      </c>
      <c r="B1532" s="63">
        <v>44230.0</v>
      </c>
      <c r="C1532" s="62" t="s">
        <v>112</v>
      </c>
      <c r="D1532" s="64">
        <v>0.0</v>
      </c>
      <c r="E1532" s="62" t="s">
        <v>109</v>
      </c>
      <c r="F1532" s="62" t="s">
        <v>110</v>
      </c>
      <c r="G1532" s="64" t="s">
        <v>64</v>
      </c>
      <c r="H1532" s="3" t="s">
        <v>175</v>
      </c>
      <c r="I1532" s="65" t="str">
        <f>IFERROR(VLOOKUP(A1532,'3. Call duration'!$A:$C,3,0),"--")</f>
        <v>--</v>
      </c>
      <c r="J1532" s="65" t="str">
        <f t="array" ref="J1532">XLOOKUP(H1532,'2. Matching'!$A$2:$A$39,'2. Matching'!$B$2:$B$39,"--")</f>
        <v>SEO</v>
      </c>
      <c r="K1532" s="65" t="str">
        <f t="shared" si="1"/>
        <v>In</v>
      </c>
    </row>
    <row r="1533">
      <c r="A1533" s="62" t="s">
        <v>1671</v>
      </c>
      <c r="B1533" s="63">
        <v>44374.0</v>
      </c>
      <c r="C1533" s="62" t="s">
        <v>108</v>
      </c>
      <c r="D1533" s="64">
        <v>0.0</v>
      </c>
      <c r="E1533" s="62" t="s">
        <v>109</v>
      </c>
      <c r="F1533" s="62" t="s">
        <v>115</v>
      </c>
      <c r="G1533" s="64" t="s">
        <v>59</v>
      </c>
      <c r="H1533" s="3" t="s">
        <v>68</v>
      </c>
      <c r="I1533" s="65">
        <f>IFERROR(VLOOKUP(A1533,'3. Call duration'!$A:$C,3,0),"--")</f>
        <v>22.26676421</v>
      </c>
      <c r="J1533" s="65" t="str">
        <f t="array" ref="J1533">XLOOKUP(H1533,'2. Matching'!$A$2:$A$39,'2. Matching'!$B$2:$B$39,"--")</f>
        <v>Acquisition</v>
      </c>
      <c r="K1533" s="65" t="str">
        <f t="shared" si="1"/>
        <v>In</v>
      </c>
    </row>
    <row r="1534">
      <c r="A1534" s="62" t="s">
        <v>1672</v>
      </c>
      <c r="B1534" s="63">
        <v>44070.0</v>
      </c>
      <c r="C1534" s="62" t="s">
        <v>112</v>
      </c>
      <c r="D1534" s="64">
        <v>0.0</v>
      </c>
      <c r="E1534" s="62" t="s">
        <v>109</v>
      </c>
      <c r="F1534" s="62" t="s">
        <v>115</v>
      </c>
      <c r="G1534" s="64" t="s">
        <v>64</v>
      </c>
      <c r="H1534" s="3" t="s">
        <v>139</v>
      </c>
      <c r="I1534" s="65" t="str">
        <f>IFERROR(VLOOKUP(A1534,'3. Call duration'!$A:$C,3,0),"--")</f>
        <v>--</v>
      </c>
      <c r="J1534" s="65" t="str">
        <f t="array" ref="J1534">XLOOKUP(H1534,'2. Matching'!$A$2:$A$39,'2. Matching'!$B$2:$B$39,"--")</f>
        <v>Acquisition</v>
      </c>
      <c r="K1534" s="65" t="str">
        <f t="shared" si="1"/>
        <v>In</v>
      </c>
    </row>
    <row r="1535">
      <c r="A1535" s="62" t="s">
        <v>1673</v>
      </c>
      <c r="B1535" s="63">
        <v>44394.0</v>
      </c>
      <c r="C1535" s="62" t="s">
        <v>112</v>
      </c>
      <c r="D1535" s="64">
        <v>0.0</v>
      </c>
      <c r="E1535" s="62" t="s">
        <v>109</v>
      </c>
      <c r="F1535" s="62" t="s">
        <v>115</v>
      </c>
      <c r="G1535" s="64" t="s">
        <v>59</v>
      </c>
      <c r="H1535" s="3" t="s">
        <v>68</v>
      </c>
      <c r="I1535" s="65" t="str">
        <f>IFERROR(VLOOKUP(A1535,'3. Call duration'!$A:$C,3,0),"--")</f>
        <v>--</v>
      </c>
      <c r="J1535" s="65" t="str">
        <f t="array" ref="J1535">XLOOKUP(H1535,'2. Matching'!$A$2:$A$39,'2. Matching'!$B$2:$B$39,"--")</f>
        <v>Acquisition</v>
      </c>
      <c r="K1535" s="65" t="str">
        <f t="shared" si="1"/>
        <v>In</v>
      </c>
    </row>
    <row r="1536">
      <c r="A1536" s="62" t="s">
        <v>1674</v>
      </c>
      <c r="B1536" s="63">
        <v>44278.0</v>
      </c>
      <c r="C1536" s="62" t="s">
        <v>108</v>
      </c>
      <c r="D1536" s="64">
        <v>0.0</v>
      </c>
      <c r="E1536" s="62" t="s">
        <v>109</v>
      </c>
      <c r="F1536" s="62" t="s">
        <v>115</v>
      </c>
      <c r="G1536" s="64" t="s">
        <v>64</v>
      </c>
      <c r="H1536" s="3" t="s">
        <v>185</v>
      </c>
      <c r="I1536" s="65">
        <f>IFERROR(VLOOKUP(A1536,'3. Call duration'!$A:$C,3,0),"--")</f>
        <v>26.33426888</v>
      </c>
      <c r="J1536" s="65" t="str">
        <f t="array" ref="J1536">XLOOKUP(H1536,'2. Matching'!$A$2:$A$39,'2. Matching'!$B$2:$B$39,"--")</f>
        <v>SEO</v>
      </c>
      <c r="K1536" s="65" t="str">
        <f t="shared" si="1"/>
        <v>In</v>
      </c>
    </row>
    <row r="1537">
      <c r="A1537" s="62" t="s">
        <v>1675</v>
      </c>
      <c r="B1537" s="63">
        <v>44244.0</v>
      </c>
      <c r="C1537" s="62" t="s">
        <v>112</v>
      </c>
      <c r="D1537" s="64">
        <v>0.0</v>
      </c>
      <c r="E1537" s="62" t="s">
        <v>109</v>
      </c>
      <c r="F1537" s="62" t="s">
        <v>115</v>
      </c>
      <c r="G1537" s="64" t="s">
        <v>64</v>
      </c>
      <c r="H1537" s="3" t="s">
        <v>145</v>
      </c>
      <c r="I1537" s="65" t="str">
        <f>IFERROR(VLOOKUP(A1537,'3. Call duration'!$A:$C,3,0),"--")</f>
        <v>--</v>
      </c>
      <c r="J1537" s="65" t="str">
        <f t="array" ref="J1537">XLOOKUP(H1537,'2. Matching'!$A$2:$A$39,'2. Matching'!$B$2:$B$39,"--")</f>
        <v>SEO</v>
      </c>
      <c r="K1537" s="65" t="str">
        <f t="shared" si="1"/>
        <v>In</v>
      </c>
    </row>
    <row r="1538">
      <c r="A1538" s="62" t="s">
        <v>1676</v>
      </c>
      <c r="B1538" s="63">
        <v>44342.0</v>
      </c>
      <c r="C1538" s="62" t="s">
        <v>119</v>
      </c>
      <c r="D1538" s="64">
        <v>47.5</v>
      </c>
      <c r="E1538" s="62" t="s">
        <v>109</v>
      </c>
      <c r="F1538" s="62" t="s">
        <v>110</v>
      </c>
      <c r="G1538" s="64" t="s">
        <v>64</v>
      </c>
      <c r="H1538" s="3" t="s">
        <v>131</v>
      </c>
      <c r="I1538" s="65">
        <f>IFERROR(VLOOKUP(A1538,'3. Call duration'!$A:$C,3,0),"--")</f>
        <v>23.03330832</v>
      </c>
      <c r="J1538" s="65" t="str">
        <f t="array" ref="J1538">XLOOKUP(H1538,'2. Matching'!$A$2:$A$39,'2. Matching'!$B$2:$B$39,"--")</f>
        <v>Acquisition</v>
      </c>
      <c r="K1538" s="65" t="str">
        <f t="shared" si="1"/>
        <v>In</v>
      </c>
    </row>
    <row r="1539">
      <c r="A1539" s="62" t="s">
        <v>1677</v>
      </c>
      <c r="B1539" s="63">
        <v>44322.0</v>
      </c>
      <c r="C1539" s="62" t="s">
        <v>119</v>
      </c>
      <c r="D1539" s="64">
        <v>47.5</v>
      </c>
      <c r="E1539" s="62" t="s">
        <v>109</v>
      </c>
      <c r="F1539" s="62" t="s">
        <v>115</v>
      </c>
      <c r="G1539" s="64" t="s">
        <v>64</v>
      </c>
      <c r="H1539" s="3" t="s">
        <v>116</v>
      </c>
      <c r="I1539" s="65">
        <f>IFERROR(VLOOKUP(A1539,'3. Call duration'!$A:$C,3,0),"--")</f>
        <v>23.06217318</v>
      </c>
      <c r="J1539" s="65" t="str">
        <f t="array" ref="J1539">XLOOKUP(H1539,'2. Matching'!$A$2:$A$39,'2. Matching'!$B$2:$B$39,"--")</f>
        <v>Acquisition</v>
      </c>
      <c r="K1539" s="65" t="str">
        <f t="shared" si="1"/>
        <v>In</v>
      </c>
    </row>
    <row r="1540">
      <c r="A1540" s="62" t="s">
        <v>1678</v>
      </c>
      <c r="B1540" s="63">
        <v>44376.0</v>
      </c>
      <c r="C1540" s="62" t="s">
        <v>112</v>
      </c>
      <c r="D1540" s="64">
        <v>0.0</v>
      </c>
      <c r="E1540" s="62" t="s">
        <v>109</v>
      </c>
      <c r="F1540" s="62" t="s">
        <v>110</v>
      </c>
      <c r="G1540" s="64" t="s">
        <v>60</v>
      </c>
      <c r="H1540" s="3" t="s">
        <v>68</v>
      </c>
      <c r="I1540" s="65" t="str">
        <f>IFERROR(VLOOKUP(A1540,'3. Call duration'!$A:$C,3,0),"--")</f>
        <v>--</v>
      </c>
      <c r="J1540" s="65" t="str">
        <f t="array" ref="J1540">XLOOKUP(H1540,'2. Matching'!$A$2:$A$39,'2. Matching'!$B$2:$B$39,"--")</f>
        <v>Acquisition</v>
      </c>
      <c r="K1540" s="65" t="str">
        <f t="shared" si="1"/>
        <v>In</v>
      </c>
    </row>
    <row r="1541">
      <c r="A1541" s="62" t="s">
        <v>1679</v>
      </c>
      <c r="B1541" s="63">
        <v>44292.0</v>
      </c>
      <c r="C1541" s="62" t="s">
        <v>112</v>
      </c>
      <c r="D1541" s="64">
        <v>0.0</v>
      </c>
      <c r="E1541" s="62" t="s">
        <v>109</v>
      </c>
      <c r="F1541" s="62" t="s">
        <v>115</v>
      </c>
      <c r="G1541" s="64" t="s">
        <v>64</v>
      </c>
      <c r="H1541" s="3" t="s">
        <v>185</v>
      </c>
      <c r="I1541" s="65" t="str">
        <f>IFERROR(VLOOKUP(A1541,'3. Call duration'!$A:$C,3,0),"--")</f>
        <v>--</v>
      </c>
      <c r="J1541" s="65" t="str">
        <f t="array" ref="J1541">XLOOKUP(H1541,'2. Matching'!$A$2:$A$39,'2. Matching'!$B$2:$B$39,"--")</f>
        <v>SEO</v>
      </c>
      <c r="K1541" s="65" t="str">
        <f t="shared" si="1"/>
        <v>In</v>
      </c>
    </row>
    <row r="1542">
      <c r="A1542" s="62" t="s">
        <v>1680</v>
      </c>
      <c r="B1542" s="63">
        <v>44355.0</v>
      </c>
      <c r="C1542" s="62" t="s">
        <v>108</v>
      </c>
      <c r="D1542" s="64">
        <v>0.0</v>
      </c>
      <c r="E1542" s="62" t="s">
        <v>109</v>
      </c>
      <c r="F1542" s="62" t="s">
        <v>115</v>
      </c>
      <c r="G1542" s="64" t="s">
        <v>64</v>
      </c>
      <c r="H1542" s="3" t="s">
        <v>175</v>
      </c>
      <c r="I1542" s="65">
        <f>IFERROR(VLOOKUP(A1542,'3. Call duration'!$A:$C,3,0),"--")</f>
        <v>14.28727439</v>
      </c>
      <c r="J1542" s="65" t="str">
        <f t="array" ref="J1542">XLOOKUP(H1542,'2. Matching'!$A$2:$A$39,'2. Matching'!$B$2:$B$39,"--")</f>
        <v>SEO</v>
      </c>
      <c r="K1542" s="65" t="str">
        <f t="shared" si="1"/>
        <v>In</v>
      </c>
    </row>
    <row r="1543">
      <c r="A1543" s="62" t="s">
        <v>1681</v>
      </c>
      <c r="B1543" s="63">
        <v>44258.0</v>
      </c>
      <c r="C1543" s="62" t="s">
        <v>108</v>
      </c>
      <c r="D1543" s="64">
        <v>0.0</v>
      </c>
      <c r="E1543" s="62" t="s">
        <v>109</v>
      </c>
      <c r="F1543" s="62" t="s">
        <v>115</v>
      </c>
      <c r="G1543" s="64" t="s">
        <v>64</v>
      </c>
      <c r="H1543" s="3" t="s">
        <v>221</v>
      </c>
      <c r="I1543" s="65">
        <f>IFERROR(VLOOKUP(A1543,'3. Call duration'!$A:$C,3,0),"--")</f>
        <v>23.99835575</v>
      </c>
      <c r="J1543" s="65" t="str">
        <f t="array" ref="J1543">XLOOKUP(H1543,'2. Matching'!$A$2:$A$39,'2. Matching'!$B$2:$B$39,"--")</f>
        <v>Farming</v>
      </c>
      <c r="K1543" s="65" t="str">
        <f t="shared" si="1"/>
        <v>In</v>
      </c>
    </row>
    <row r="1544">
      <c r="A1544" s="62" t="s">
        <v>1682</v>
      </c>
      <c r="B1544" s="63">
        <v>44364.0</v>
      </c>
      <c r="C1544" s="62" t="s">
        <v>112</v>
      </c>
      <c r="D1544" s="64">
        <v>0.0</v>
      </c>
      <c r="E1544" s="62" t="s">
        <v>109</v>
      </c>
      <c r="F1544" s="62" t="s">
        <v>110</v>
      </c>
      <c r="G1544" s="64" t="s">
        <v>59</v>
      </c>
      <c r="H1544" s="3" t="s">
        <v>68</v>
      </c>
      <c r="I1544" s="65" t="str">
        <f>IFERROR(VLOOKUP(A1544,'3. Call duration'!$A:$C,3,0),"--")</f>
        <v>--</v>
      </c>
      <c r="J1544" s="65" t="str">
        <f t="array" ref="J1544">XLOOKUP(H1544,'2. Matching'!$A$2:$A$39,'2. Matching'!$B$2:$B$39,"--")</f>
        <v>Acquisition</v>
      </c>
      <c r="K1544" s="65" t="str">
        <f t="shared" si="1"/>
        <v>In</v>
      </c>
    </row>
    <row r="1545">
      <c r="A1545" s="62" t="s">
        <v>1683</v>
      </c>
      <c r="B1545" s="63">
        <v>44062.0</v>
      </c>
      <c r="C1545" s="62" t="s">
        <v>108</v>
      </c>
      <c r="D1545" s="64">
        <v>0.0</v>
      </c>
      <c r="E1545" s="62" t="s">
        <v>109</v>
      </c>
      <c r="F1545" s="62" t="s">
        <v>115</v>
      </c>
      <c r="G1545" s="64" t="s">
        <v>64</v>
      </c>
      <c r="H1545" s="3" t="s">
        <v>169</v>
      </c>
      <c r="I1545" s="65">
        <f>IFERROR(VLOOKUP(A1545,'3. Call duration'!$A:$C,3,0),"--")</f>
        <v>22.50869418</v>
      </c>
      <c r="J1545" s="65" t="str">
        <f t="array" ref="J1545">XLOOKUP(H1545,'2. Matching'!$A$2:$A$39,'2. Matching'!$B$2:$B$39,"--")</f>
        <v>SEO</v>
      </c>
      <c r="K1545" s="65" t="str">
        <f t="shared" si="1"/>
        <v>In</v>
      </c>
    </row>
    <row r="1546">
      <c r="A1546" s="62" t="s">
        <v>1684</v>
      </c>
      <c r="B1546" s="63">
        <v>44365.0</v>
      </c>
      <c r="C1546" s="62" t="s">
        <v>108</v>
      </c>
      <c r="D1546" s="64">
        <v>0.0</v>
      </c>
      <c r="E1546" s="62" t="s">
        <v>109</v>
      </c>
      <c r="F1546" s="62" t="s">
        <v>115</v>
      </c>
      <c r="G1546" s="64" t="s">
        <v>63</v>
      </c>
      <c r="H1546" s="3" t="s">
        <v>228</v>
      </c>
      <c r="I1546" s="65">
        <f>IFERROR(VLOOKUP(A1546,'3. Call duration'!$A:$C,3,0),"--")</f>
        <v>20.27650265</v>
      </c>
      <c r="J1546" s="65" t="str">
        <f t="array" ref="J1546">XLOOKUP(H1546,'2. Matching'!$A$2:$A$39,'2. Matching'!$B$2:$B$39,"--")</f>
        <v>Farming</v>
      </c>
      <c r="K1546" s="65" t="str">
        <f t="shared" si="1"/>
        <v>In</v>
      </c>
    </row>
    <row r="1547">
      <c r="A1547" s="62" t="s">
        <v>1685</v>
      </c>
      <c r="B1547" s="63">
        <v>44342.0</v>
      </c>
      <c r="C1547" s="62" t="s">
        <v>119</v>
      </c>
      <c r="D1547" s="64">
        <v>47.5</v>
      </c>
      <c r="E1547" s="62" t="s">
        <v>109</v>
      </c>
      <c r="F1547" s="62" t="s">
        <v>110</v>
      </c>
      <c r="G1547" s="64" t="s">
        <v>64</v>
      </c>
      <c r="H1547" s="3" t="s">
        <v>54</v>
      </c>
      <c r="I1547" s="65">
        <f>IFERROR(VLOOKUP(A1547,'3. Call duration'!$A:$C,3,0),"--")</f>
        <v>23.11820715</v>
      </c>
      <c r="J1547" s="65" t="str">
        <f t="array" ref="J1547">XLOOKUP(H1547,'2. Matching'!$A$2:$A$39,'2. Matching'!$B$2:$B$39,"--")</f>
        <v>Partnerships</v>
      </c>
      <c r="K1547" s="65" t="str">
        <f t="shared" si="1"/>
        <v>In</v>
      </c>
    </row>
    <row r="1548">
      <c r="A1548" s="62" t="s">
        <v>1686</v>
      </c>
      <c r="B1548" s="63">
        <v>44384.0</v>
      </c>
      <c r="C1548" s="62" t="s">
        <v>112</v>
      </c>
      <c r="D1548" s="64">
        <v>0.0</v>
      </c>
      <c r="E1548" s="62" t="s">
        <v>114</v>
      </c>
      <c r="F1548" s="62" t="s">
        <v>110</v>
      </c>
      <c r="G1548" s="64" t="s">
        <v>59</v>
      </c>
      <c r="H1548" s="3" t="s">
        <v>68</v>
      </c>
      <c r="I1548" s="65" t="str">
        <f>IFERROR(VLOOKUP(A1548,'3. Call duration'!$A:$C,3,0),"--")</f>
        <v>--</v>
      </c>
      <c r="J1548" s="65" t="str">
        <f t="array" ref="J1548">XLOOKUP(H1548,'2. Matching'!$A$2:$A$39,'2. Matching'!$B$2:$B$39,"--")</f>
        <v>Acquisition</v>
      </c>
      <c r="K1548" s="65" t="str">
        <f t="shared" si="1"/>
        <v>In</v>
      </c>
    </row>
    <row r="1549">
      <c r="A1549" s="62" t="s">
        <v>1687</v>
      </c>
      <c r="B1549" s="63">
        <v>44277.0</v>
      </c>
      <c r="C1549" s="62" t="s">
        <v>108</v>
      </c>
      <c r="D1549" s="64">
        <v>0.0</v>
      </c>
      <c r="E1549" s="62" t="s">
        <v>114</v>
      </c>
      <c r="F1549" s="62" t="s">
        <v>115</v>
      </c>
      <c r="G1549" s="64" t="s">
        <v>64</v>
      </c>
      <c r="H1549" s="3" t="s">
        <v>52</v>
      </c>
      <c r="I1549" s="65" t="str">
        <f>IFERROR(VLOOKUP(A1549,'3. Call duration'!$A:$C,3,0),"--")</f>
        <v>--</v>
      </c>
      <c r="J1549" s="65" t="str">
        <f t="array" ref="J1549">XLOOKUP(H1549,'2. Matching'!$A$2:$A$39,'2. Matching'!$B$2:$B$39,"--")</f>
        <v>Partnerships</v>
      </c>
      <c r="K1549" s="65" t="str">
        <f t="shared" si="1"/>
        <v>In</v>
      </c>
    </row>
    <row r="1550">
      <c r="A1550" s="62" t="s">
        <v>1688</v>
      </c>
      <c r="B1550" s="63">
        <v>44362.0</v>
      </c>
      <c r="C1550" s="62" t="s">
        <v>112</v>
      </c>
      <c r="D1550" s="64">
        <v>0.0</v>
      </c>
      <c r="E1550" s="62" t="s">
        <v>109</v>
      </c>
      <c r="F1550" s="62" t="s">
        <v>110</v>
      </c>
      <c r="G1550" s="64" t="s">
        <v>60</v>
      </c>
      <c r="H1550" s="3" t="s">
        <v>68</v>
      </c>
      <c r="I1550" s="65" t="str">
        <f>IFERROR(VLOOKUP(A1550,'3. Call duration'!$A:$C,3,0),"--")</f>
        <v>--</v>
      </c>
      <c r="J1550" s="65" t="str">
        <f t="array" ref="J1550">XLOOKUP(H1550,'2. Matching'!$A$2:$A$39,'2. Matching'!$B$2:$B$39,"--")</f>
        <v>Acquisition</v>
      </c>
      <c r="K1550" s="65" t="str">
        <f t="shared" si="1"/>
        <v>In</v>
      </c>
    </row>
    <row r="1551">
      <c r="A1551" s="62" t="s">
        <v>1689</v>
      </c>
      <c r="B1551" s="63">
        <v>44263.0</v>
      </c>
      <c r="C1551" s="62" t="s">
        <v>108</v>
      </c>
      <c r="D1551" s="64">
        <v>0.0</v>
      </c>
      <c r="E1551" s="62" t="s">
        <v>109</v>
      </c>
      <c r="F1551" s="62" t="s">
        <v>110</v>
      </c>
      <c r="G1551" s="64" t="s">
        <v>64</v>
      </c>
      <c r="H1551" s="3" t="s">
        <v>169</v>
      </c>
      <c r="I1551" s="65">
        <f>IFERROR(VLOOKUP(A1551,'3. Call duration'!$A:$C,3,0),"--")</f>
        <v>27.50709671</v>
      </c>
      <c r="J1551" s="65" t="str">
        <f t="array" ref="J1551">XLOOKUP(H1551,'2. Matching'!$A$2:$A$39,'2. Matching'!$B$2:$B$39,"--")</f>
        <v>SEO</v>
      </c>
      <c r="K1551" s="65" t="str">
        <f t="shared" si="1"/>
        <v>In</v>
      </c>
    </row>
    <row r="1552">
      <c r="A1552" s="62" t="s">
        <v>1690</v>
      </c>
      <c r="B1552" s="63">
        <v>44165.0</v>
      </c>
      <c r="C1552" s="62" t="s">
        <v>112</v>
      </c>
      <c r="D1552" s="64">
        <v>0.0</v>
      </c>
      <c r="E1552" s="62" t="s">
        <v>109</v>
      </c>
      <c r="F1552" s="62" t="s">
        <v>115</v>
      </c>
      <c r="G1552" s="64" t="s">
        <v>64</v>
      </c>
      <c r="H1552" s="3" t="s">
        <v>135</v>
      </c>
      <c r="I1552" s="65" t="str">
        <f>IFERROR(VLOOKUP(A1552,'3. Call duration'!$A:$C,3,0),"--")</f>
        <v>--</v>
      </c>
      <c r="J1552" s="65" t="str">
        <f t="array" ref="J1552">XLOOKUP(H1552,'2. Matching'!$A$2:$A$39,'2. Matching'!$B$2:$B$39,"--")</f>
        <v>Acquisition</v>
      </c>
      <c r="K1552" s="65" t="str">
        <f t="shared" si="1"/>
        <v>In</v>
      </c>
    </row>
    <row r="1553">
      <c r="A1553" s="62" t="s">
        <v>1691</v>
      </c>
      <c r="B1553" s="63">
        <v>44349.0</v>
      </c>
      <c r="C1553" s="62" t="s">
        <v>108</v>
      </c>
      <c r="D1553" s="64">
        <v>0.0</v>
      </c>
      <c r="E1553" s="62" t="s">
        <v>109</v>
      </c>
      <c r="F1553" s="62" t="s">
        <v>110</v>
      </c>
      <c r="G1553" s="64" t="s">
        <v>64</v>
      </c>
      <c r="H1553" s="3" t="s">
        <v>139</v>
      </c>
      <c r="I1553" s="65">
        <f>IFERROR(VLOOKUP(A1553,'3. Call duration'!$A:$C,3,0),"--")</f>
        <v>12.57254628</v>
      </c>
      <c r="J1553" s="65" t="str">
        <f t="array" ref="J1553">XLOOKUP(H1553,'2. Matching'!$A$2:$A$39,'2. Matching'!$B$2:$B$39,"--")</f>
        <v>Acquisition</v>
      </c>
      <c r="K1553" s="65" t="str">
        <f t="shared" si="1"/>
        <v>In</v>
      </c>
    </row>
    <row r="1554">
      <c r="A1554" s="62" t="s">
        <v>1692</v>
      </c>
      <c r="B1554" s="63">
        <v>44127.0</v>
      </c>
      <c r="C1554" s="62" t="s">
        <v>112</v>
      </c>
      <c r="D1554" s="64">
        <v>0.0</v>
      </c>
      <c r="E1554" s="62" t="s">
        <v>114</v>
      </c>
      <c r="F1554" s="62" t="s">
        <v>110</v>
      </c>
      <c r="G1554" s="64" t="s">
        <v>64</v>
      </c>
      <c r="H1554" s="3" t="s">
        <v>135</v>
      </c>
      <c r="I1554" s="65" t="str">
        <f>IFERROR(VLOOKUP(A1554,'3. Call duration'!$A:$C,3,0),"--")</f>
        <v>--</v>
      </c>
      <c r="J1554" s="65" t="str">
        <f t="array" ref="J1554">XLOOKUP(H1554,'2. Matching'!$A$2:$A$39,'2. Matching'!$B$2:$B$39,"--")</f>
        <v>Acquisition</v>
      </c>
      <c r="K1554" s="65" t="str">
        <f t="shared" si="1"/>
        <v>In</v>
      </c>
    </row>
    <row r="1555">
      <c r="A1555" s="62" t="s">
        <v>1693</v>
      </c>
      <c r="B1555" s="63">
        <v>44355.0</v>
      </c>
      <c r="C1555" s="62" t="s">
        <v>112</v>
      </c>
      <c r="D1555" s="64">
        <v>0.0</v>
      </c>
      <c r="E1555" s="62" t="s">
        <v>109</v>
      </c>
      <c r="F1555" s="62" t="s">
        <v>115</v>
      </c>
      <c r="G1555" s="64" t="s">
        <v>64</v>
      </c>
      <c r="H1555" s="3" t="s">
        <v>55</v>
      </c>
      <c r="I1555" s="65" t="str">
        <f>IFERROR(VLOOKUP(A1555,'3. Call duration'!$A:$C,3,0),"--")</f>
        <v>--</v>
      </c>
      <c r="J1555" s="65" t="str">
        <f t="array" ref="J1555">XLOOKUP(H1555,'2. Matching'!$A$2:$A$39,'2. Matching'!$B$2:$B$39,"--")</f>
        <v>Partnerships</v>
      </c>
      <c r="K1555" s="65" t="str">
        <f t="shared" si="1"/>
        <v>In</v>
      </c>
    </row>
    <row r="1556">
      <c r="A1556" s="62" t="s">
        <v>1694</v>
      </c>
      <c r="B1556" s="63">
        <v>44238.0</v>
      </c>
      <c r="C1556" s="62" t="s">
        <v>112</v>
      </c>
      <c r="D1556" s="64">
        <v>0.0</v>
      </c>
      <c r="E1556" s="62" t="s">
        <v>109</v>
      </c>
      <c r="F1556" s="62" t="s">
        <v>110</v>
      </c>
      <c r="G1556" s="64" t="s">
        <v>64</v>
      </c>
      <c r="H1556" s="3" t="s">
        <v>145</v>
      </c>
      <c r="I1556" s="65" t="str">
        <f>IFERROR(VLOOKUP(A1556,'3. Call duration'!$A:$C,3,0),"--")</f>
        <v>--</v>
      </c>
      <c r="J1556" s="65" t="str">
        <f t="array" ref="J1556">XLOOKUP(H1556,'2. Matching'!$A$2:$A$39,'2. Matching'!$B$2:$B$39,"--")</f>
        <v>SEO</v>
      </c>
      <c r="K1556" s="65" t="str">
        <f t="shared" si="1"/>
        <v>In</v>
      </c>
    </row>
    <row r="1557">
      <c r="A1557" s="62" t="s">
        <v>1695</v>
      </c>
      <c r="B1557" s="63">
        <v>44361.0</v>
      </c>
      <c r="C1557" s="62" t="s">
        <v>112</v>
      </c>
      <c r="D1557" s="64">
        <v>0.0</v>
      </c>
      <c r="E1557" s="62" t="s">
        <v>109</v>
      </c>
      <c r="F1557" s="62" t="s">
        <v>110</v>
      </c>
      <c r="G1557" s="64" t="s">
        <v>59</v>
      </c>
      <c r="H1557" s="3" t="s">
        <v>68</v>
      </c>
      <c r="I1557" s="65" t="str">
        <f>IFERROR(VLOOKUP(A1557,'3. Call duration'!$A:$C,3,0),"--")</f>
        <v>--</v>
      </c>
      <c r="J1557" s="65" t="str">
        <f t="array" ref="J1557">XLOOKUP(H1557,'2. Matching'!$A$2:$A$39,'2. Matching'!$B$2:$B$39,"--")</f>
        <v>Acquisition</v>
      </c>
      <c r="K1557" s="65" t="str">
        <f t="shared" si="1"/>
        <v>In</v>
      </c>
    </row>
    <row r="1558">
      <c r="A1558" s="62" t="s">
        <v>1696</v>
      </c>
      <c r="B1558" s="63">
        <v>44103.0</v>
      </c>
      <c r="C1558" s="62" t="s">
        <v>108</v>
      </c>
      <c r="D1558" s="64">
        <v>0.0</v>
      </c>
      <c r="E1558" s="62" t="s">
        <v>109</v>
      </c>
      <c r="F1558" s="62" t="s">
        <v>115</v>
      </c>
      <c r="G1558" s="64" t="s">
        <v>64</v>
      </c>
      <c r="H1558" s="3" t="s">
        <v>131</v>
      </c>
      <c r="I1558" s="65">
        <f>IFERROR(VLOOKUP(A1558,'3. Call duration'!$A:$C,3,0),"--")</f>
        <v>25.38099121</v>
      </c>
      <c r="J1558" s="65" t="str">
        <f t="array" ref="J1558">XLOOKUP(H1558,'2. Matching'!$A$2:$A$39,'2. Matching'!$B$2:$B$39,"--")</f>
        <v>Acquisition</v>
      </c>
      <c r="K1558" s="65" t="str">
        <f t="shared" si="1"/>
        <v>In</v>
      </c>
    </row>
    <row r="1559">
      <c r="A1559" s="62" t="s">
        <v>1697</v>
      </c>
      <c r="B1559" s="63">
        <v>44267.0</v>
      </c>
      <c r="C1559" s="62" t="s">
        <v>112</v>
      </c>
      <c r="D1559" s="64">
        <v>0.0</v>
      </c>
      <c r="E1559" s="62" t="s">
        <v>109</v>
      </c>
      <c r="F1559" s="62" t="s">
        <v>110</v>
      </c>
      <c r="G1559" s="64" t="s">
        <v>62</v>
      </c>
      <c r="H1559" s="3" t="s">
        <v>203</v>
      </c>
      <c r="I1559" s="65" t="str">
        <f>IFERROR(VLOOKUP(A1559,'3. Call duration'!$A:$C,3,0),"--")</f>
        <v>--</v>
      </c>
      <c r="J1559" s="65" t="str">
        <f t="array" ref="J1559">XLOOKUP(H1559,'2. Matching'!$A$2:$A$39,'2. Matching'!$B$2:$B$39,"--")</f>
        <v>Farming</v>
      </c>
      <c r="K1559" s="65" t="str">
        <f t="shared" si="1"/>
        <v>In</v>
      </c>
    </row>
    <row r="1560">
      <c r="A1560" s="62" t="s">
        <v>1698</v>
      </c>
      <c r="B1560" s="63">
        <v>44350.0</v>
      </c>
      <c r="C1560" s="62" t="s">
        <v>112</v>
      </c>
      <c r="D1560" s="64">
        <v>0.0</v>
      </c>
      <c r="E1560" s="62" t="s">
        <v>109</v>
      </c>
      <c r="F1560" s="62" t="s">
        <v>110</v>
      </c>
      <c r="G1560" s="64" t="s">
        <v>60</v>
      </c>
      <c r="H1560" s="3" t="s">
        <v>67</v>
      </c>
      <c r="I1560" s="65" t="str">
        <f>IFERROR(VLOOKUP(A1560,'3. Call duration'!$A:$C,3,0),"--")</f>
        <v>--</v>
      </c>
      <c r="J1560" s="65" t="str">
        <f t="array" ref="J1560">XLOOKUP(H1560,'2. Matching'!$A$2:$A$39,'2. Matching'!$B$2:$B$39,"--")</f>
        <v>Acquisition</v>
      </c>
      <c r="K1560" s="65" t="str">
        <f t="shared" si="1"/>
        <v>In</v>
      </c>
    </row>
    <row r="1561">
      <c r="A1561" s="62" t="s">
        <v>1699</v>
      </c>
      <c r="B1561" s="63">
        <v>44165.0</v>
      </c>
      <c r="C1561" s="62" t="s">
        <v>108</v>
      </c>
      <c r="D1561" s="64">
        <v>0.0</v>
      </c>
      <c r="E1561" s="62" t="s">
        <v>109</v>
      </c>
      <c r="F1561" s="62" t="s">
        <v>115</v>
      </c>
      <c r="G1561" s="64" t="s">
        <v>64</v>
      </c>
      <c r="H1561" s="3" t="s">
        <v>139</v>
      </c>
      <c r="I1561" s="65">
        <f>IFERROR(VLOOKUP(A1561,'3. Call duration'!$A:$C,3,0),"--")</f>
        <v>29.69441968</v>
      </c>
      <c r="J1561" s="65" t="str">
        <f t="array" ref="J1561">XLOOKUP(H1561,'2. Matching'!$A$2:$A$39,'2. Matching'!$B$2:$B$39,"--")</f>
        <v>Acquisition</v>
      </c>
      <c r="K1561" s="65" t="str">
        <f t="shared" si="1"/>
        <v>In</v>
      </c>
    </row>
    <row r="1562">
      <c r="A1562" s="62" t="s">
        <v>1700</v>
      </c>
      <c r="B1562" s="63">
        <v>44062.0</v>
      </c>
      <c r="C1562" s="62" t="s">
        <v>108</v>
      </c>
      <c r="D1562" s="64">
        <v>0.0</v>
      </c>
      <c r="E1562" s="62" t="s">
        <v>109</v>
      </c>
      <c r="F1562" s="62" t="s">
        <v>115</v>
      </c>
      <c r="G1562" s="64" t="s">
        <v>64</v>
      </c>
      <c r="H1562" s="3" t="s">
        <v>175</v>
      </c>
      <c r="I1562" s="65">
        <f>IFERROR(VLOOKUP(A1562,'3. Call duration'!$A:$C,3,0),"--")</f>
        <v>33.0267754</v>
      </c>
      <c r="J1562" s="65" t="str">
        <f t="array" ref="J1562">XLOOKUP(H1562,'2. Matching'!$A$2:$A$39,'2. Matching'!$B$2:$B$39,"--")</f>
        <v>SEO</v>
      </c>
      <c r="K1562" s="65" t="str">
        <f t="shared" si="1"/>
        <v>In</v>
      </c>
    </row>
    <row r="1563">
      <c r="A1563" s="62" t="s">
        <v>1701</v>
      </c>
      <c r="B1563" s="63">
        <v>44235.0</v>
      </c>
      <c r="C1563" s="62" t="s">
        <v>108</v>
      </c>
      <c r="D1563" s="64">
        <v>0.0</v>
      </c>
      <c r="E1563" s="62" t="s">
        <v>109</v>
      </c>
      <c r="F1563" s="62" t="s">
        <v>115</v>
      </c>
      <c r="G1563" s="64" t="s">
        <v>64</v>
      </c>
      <c r="H1563" s="3" t="s">
        <v>139</v>
      </c>
      <c r="I1563" s="65">
        <f>IFERROR(VLOOKUP(A1563,'3. Call duration'!$A:$C,3,0),"--")</f>
        <v>16.51929129</v>
      </c>
      <c r="J1563" s="65" t="str">
        <f t="array" ref="J1563">XLOOKUP(H1563,'2. Matching'!$A$2:$A$39,'2. Matching'!$B$2:$B$39,"--")</f>
        <v>Acquisition</v>
      </c>
      <c r="K1563" s="65" t="str">
        <f t="shared" si="1"/>
        <v>In</v>
      </c>
    </row>
    <row r="1564">
      <c r="A1564" s="62" t="s">
        <v>1702</v>
      </c>
      <c r="B1564" s="63">
        <v>44256.0</v>
      </c>
      <c r="C1564" s="62" t="s">
        <v>108</v>
      </c>
      <c r="D1564" s="64">
        <v>0.0</v>
      </c>
      <c r="E1564" s="62" t="s">
        <v>114</v>
      </c>
      <c r="F1564" s="62" t="s">
        <v>110</v>
      </c>
      <c r="G1564" s="64" t="s">
        <v>64</v>
      </c>
      <c r="H1564" s="3" t="s">
        <v>221</v>
      </c>
      <c r="I1564" s="65">
        <f>IFERROR(VLOOKUP(A1564,'3. Call duration'!$A:$C,3,0),"--")</f>
        <v>27.22450274</v>
      </c>
      <c r="J1564" s="65" t="str">
        <f t="array" ref="J1564">XLOOKUP(H1564,'2. Matching'!$A$2:$A$39,'2. Matching'!$B$2:$B$39,"--")</f>
        <v>Farming</v>
      </c>
      <c r="K1564" s="65" t="str">
        <f t="shared" si="1"/>
        <v>In</v>
      </c>
    </row>
    <row r="1565">
      <c r="A1565" s="62" t="s">
        <v>1703</v>
      </c>
      <c r="B1565" s="63">
        <v>44273.0</v>
      </c>
      <c r="C1565" s="62" t="s">
        <v>112</v>
      </c>
      <c r="D1565" s="64">
        <v>0.0</v>
      </c>
      <c r="E1565" s="62" t="s">
        <v>109</v>
      </c>
      <c r="F1565" s="62" t="s">
        <v>115</v>
      </c>
      <c r="G1565" s="64" t="s">
        <v>64</v>
      </c>
      <c r="H1565" s="3" t="s">
        <v>155</v>
      </c>
      <c r="I1565" s="65" t="str">
        <f>IFERROR(VLOOKUP(A1565,'3. Call duration'!$A:$C,3,0),"--")</f>
        <v>--</v>
      </c>
      <c r="J1565" s="65" t="str">
        <f t="array" ref="J1565">XLOOKUP(H1565,'2. Matching'!$A$2:$A$39,'2. Matching'!$B$2:$B$39,"--")</f>
        <v>SEO</v>
      </c>
      <c r="K1565" s="65" t="str">
        <f t="shared" si="1"/>
        <v>In</v>
      </c>
    </row>
    <row r="1566">
      <c r="A1566" s="62" t="s">
        <v>1704</v>
      </c>
      <c r="B1566" s="63">
        <v>44286.0</v>
      </c>
      <c r="C1566" s="62" t="s">
        <v>108</v>
      </c>
      <c r="D1566" s="64">
        <v>0.0</v>
      </c>
      <c r="E1566" s="62" t="s">
        <v>109</v>
      </c>
      <c r="F1566" s="62" t="s">
        <v>110</v>
      </c>
      <c r="G1566" s="64" t="s">
        <v>64</v>
      </c>
      <c r="H1566" s="3" t="s">
        <v>141</v>
      </c>
      <c r="I1566" s="65">
        <f>IFERROR(VLOOKUP(A1566,'3. Call duration'!$A:$C,3,0),"--")</f>
        <v>43.50143817</v>
      </c>
      <c r="J1566" s="65" t="str">
        <f t="array" ref="J1566">XLOOKUP(H1566,'2. Matching'!$A$2:$A$39,'2. Matching'!$B$2:$B$39,"--")</f>
        <v>Acquisition</v>
      </c>
      <c r="K1566" s="65" t="str">
        <f t="shared" si="1"/>
        <v>In</v>
      </c>
    </row>
    <row r="1567">
      <c r="A1567" s="62" t="s">
        <v>1705</v>
      </c>
      <c r="B1567" s="63">
        <v>44371.0</v>
      </c>
      <c r="C1567" s="62" t="s">
        <v>112</v>
      </c>
      <c r="D1567" s="64">
        <v>0.0</v>
      </c>
      <c r="E1567" s="62" t="s">
        <v>114</v>
      </c>
      <c r="F1567" s="62" t="s">
        <v>110</v>
      </c>
      <c r="G1567" s="64" t="s">
        <v>60</v>
      </c>
      <c r="H1567" s="3" t="s">
        <v>67</v>
      </c>
      <c r="I1567" s="65" t="str">
        <f>IFERROR(VLOOKUP(A1567,'3. Call duration'!$A:$C,3,0),"--")</f>
        <v>--</v>
      </c>
      <c r="J1567" s="65" t="str">
        <f t="array" ref="J1567">XLOOKUP(H1567,'2. Matching'!$A$2:$A$39,'2. Matching'!$B$2:$B$39,"--")</f>
        <v>Acquisition</v>
      </c>
      <c r="K1567" s="65" t="str">
        <f t="shared" si="1"/>
        <v>In</v>
      </c>
    </row>
    <row r="1568">
      <c r="A1568" s="62" t="s">
        <v>1706</v>
      </c>
      <c r="B1568" s="63">
        <v>44225.0</v>
      </c>
      <c r="C1568" s="62" t="s">
        <v>108</v>
      </c>
      <c r="D1568" s="64">
        <v>0.0</v>
      </c>
      <c r="E1568" s="62" t="s">
        <v>109</v>
      </c>
      <c r="F1568" s="62" t="s">
        <v>115</v>
      </c>
      <c r="G1568" s="64" t="s">
        <v>64</v>
      </c>
      <c r="H1568" s="3" t="s">
        <v>169</v>
      </c>
      <c r="I1568" s="65">
        <f>IFERROR(VLOOKUP(A1568,'3. Call duration'!$A:$C,3,0),"--")</f>
        <v>37.05816144</v>
      </c>
      <c r="J1568" s="65" t="str">
        <f t="array" ref="J1568">XLOOKUP(H1568,'2. Matching'!$A$2:$A$39,'2. Matching'!$B$2:$B$39,"--")</f>
        <v>SEO</v>
      </c>
      <c r="K1568" s="65" t="str">
        <f t="shared" si="1"/>
        <v>In</v>
      </c>
    </row>
    <row r="1569">
      <c r="A1569" s="62" t="s">
        <v>1707</v>
      </c>
      <c r="B1569" s="63">
        <v>44361.0</v>
      </c>
      <c r="C1569" s="62" t="s">
        <v>112</v>
      </c>
      <c r="D1569" s="64">
        <v>0.0</v>
      </c>
      <c r="E1569" s="62" t="s">
        <v>109</v>
      </c>
      <c r="F1569" s="62" t="s">
        <v>110</v>
      </c>
      <c r="G1569" s="64" t="s">
        <v>59</v>
      </c>
      <c r="H1569" s="3" t="s">
        <v>68</v>
      </c>
      <c r="I1569" s="65" t="str">
        <f>IFERROR(VLOOKUP(A1569,'3. Call duration'!$A:$C,3,0),"--")</f>
        <v>--</v>
      </c>
      <c r="J1569" s="65" t="str">
        <f t="array" ref="J1569">XLOOKUP(H1569,'2. Matching'!$A$2:$A$39,'2. Matching'!$B$2:$B$39,"--")</f>
        <v>Acquisition</v>
      </c>
      <c r="K1569" s="65" t="str">
        <f t="shared" si="1"/>
        <v>In</v>
      </c>
    </row>
    <row r="1570">
      <c r="A1570" s="62" t="s">
        <v>1708</v>
      </c>
      <c r="B1570" s="63">
        <v>44379.0</v>
      </c>
      <c r="C1570" s="62" t="s">
        <v>112</v>
      </c>
      <c r="D1570" s="64">
        <v>0.0</v>
      </c>
      <c r="E1570" s="62" t="s">
        <v>109</v>
      </c>
      <c r="F1570" s="62" t="s">
        <v>115</v>
      </c>
      <c r="G1570" s="64" t="s">
        <v>64</v>
      </c>
      <c r="H1570" s="3" t="s">
        <v>185</v>
      </c>
      <c r="I1570" s="65" t="str">
        <f>IFERROR(VLOOKUP(A1570,'3. Call duration'!$A:$C,3,0),"--")</f>
        <v>--</v>
      </c>
      <c r="J1570" s="65" t="str">
        <f t="array" ref="J1570">XLOOKUP(H1570,'2. Matching'!$A$2:$A$39,'2. Matching'!$B$2:$B$39,"--")</f>
        <v>SEO</v>
      </c>
      <c r="K1570" s="65" t="str">
        <f t="shared" si="1"/>
        <v>In</v>
      </c>
    </row>
    <row r="1571">
      <c r="A1571" s="62" t="s">
        <v>1709</v>
      </c>
      <c r="B1571" s="63">
        <v>44375.0</v>
      </c>
      <c r="C1571" s="62" t="s">
        <v>112</v>
      </c>
      <c r="D1571" s="64">
        <v>0.0</v>
      </c>
      <c r="E1571" s="62" t="s">
        <v>109</v>
      </c>
      <c r="F1571" s="62" t="s">
        <v>110</v>
      </c>
      <c r="G1571" s="64" t="s">
        <v>63</v>
      </c>
      <c r="H1571" s="3" t="s">
        <v>189</v>
      </c>
      <c r="I1571" s="65" t="str">
        <f>IFERROR(VLOOKUP(A1571,'3. Call duration'!$A:$C,3,0),"--")</f>
        <v>--</v>
      </c>
      <c r="J1571" s="65" t="str">
        <f t="array" ref="J1571">XLOOKUP(H1571,'2. Matching'!$A$2:$A$39,'2. Matching'!$B$2:$B$39,"--")</f>
        <v>SEO</v>
      </c>
      <c r="K1571" s="65" t="str">
        <f t="shared" si="1"/>
        <v>Out</v>
      </c>
    </row>
    <row r="1572">
      <c r="A1572" s="62" t="s">
        <v>1710</v>
      </c>
      <c r="B1572" s="63">
        <v>44375.0</v>
      </c>
      <c r="C1572" s="62" t="s">
        <v>108</v>
      </c>
      <c r="D1572" s="64">
        <v>0.0</v>
      </c>
      <c r="E1572" s="62" t="s">
        <v>114</v>
      </c>
      <c r="F1572" s="62" t="s">
        <v>110</v>
      </c>
      <c r="G1572" s="64" t="s">
        <v>61</v>
      </c>
      <c r="H1572" s="3" t="s">
        <v>67</v>
      </c>
      <c r="I1572" s="65">
        <f>IFERROR(VLOOKUP(A1572,'3. Call duration'!$A:$C,3,0),"--")</f>
        <v>24.94439412</v>
      </c>
      <c r="J1572" s="65" t="str">
        <f t="array" ref="J1572">XLOOKUP(H1572,'2. Matching'!$A$2:$A$39,'2. Matching'!$B$2:$B$39,"--")</f>
        <v>Acquisition</v>
      </c>
      <c r="K1572" s="65" t="str">
        <f t="shared" si="1"/>
        <v>In</v>
      </c>
    </row>
    <row r="1573">
      <c r="A1573" s="62" t="s">
        <v>1711</v>
      </c>
      <c r="B1573" s="63">
        <v>44342.0</v>
      </c>
      <c r="C1573" s="62" t="s">
        <v>119</v>
      </c>
      <c r="D1573" s="64">
        <v>47.5</v>
      </c>
      <c r="E1573" s="62" t="s">
        <v>109</v>
      </c>
      <c r="F1573" s="62" t="s">
        <v>115</v>
      </c>
      <c r="G1573" s="64" t="s">
        <v>64</v>
      </c>
      <c r="H1573" s="3" t="s">
        <v>141</v>
      </c>
      <c r="I1573" s="65">
        <f>IFERROR(VLOOKUP(A1573,'3. Call duration'!$A:$C,3,0),"--")</f>
        <v>23.15464188</v>
      </c>
      <c r="J1573" s="65" t="str">
        <f t="array" ref="J1573">XLOOKUP(H1573,'2. Matching'!$A$2:$A$39,'2. Matching'!$B$2:$B$39,"--")</f>
        <v>Acquisition</v>
      </c>
      <c r="K1573" s="65" t="str">
        <f t="shared" si="1"/>
        <v>In</v>
      </c>
    </row>
    <row r="1574">
      <c r="A1574" s="62" t="s">
        <v>1712</v>
      </c>
      <c r="B1574" s="63">
        <v>44169.0</v>
      </c>
      <c r="C1574" s="62" t="s">
        <v>112</v>
      </c>
      <c r="D1574" s="64">
        <v>0.0</v>
      </c>
      <c r="E1574" s="62" t="s">
        <v>109</v>
      </c>
      <c r="F1574" s="62" t="s">
        <v>115</v>
      </c>
      <c r="G1574" s="64" t="s">
        <v>64</v>
      </c>
      <c r="H1574" s="3" t="s">
        <v>185</v>
      </c>
      <c r="I1574" s="65" t="str">
        <f>IFERROR(VLOOKUP(A1574,'3. Call duration'!$A:$C,3,0),"--")</f>
        <v>--</v>
      </c>
      <c r="J1574" s="65" t="str">
        <f t="array" ref="J1574">XLOOKUP(H1574,'2. Matching'!$A$2:$A$39,'2. Matching'!$B$2:$B$39,"--")</f>
        <v>SEO</v>
      </c>
      <c r="K1574" s="65" t="str">
        <f t="shared" si="1"/>
        <v>In</v>
      </c>
    </row>
    <row r="1575">
      <c r="A1575" s="62" t="s">
        <v>1713</v>
      </c>
      <c r="B1575" s="63">
        <v>44362.0</v>
      </c>
      <c r="C1575" s="62" t="s">
        <v>112</v>
      </c>
      <c r="D1575" s="64">
        <v>0.0</v>
      </c>
      <c r="E1575" s="62" t="s">
        <v>109</v>
      </c>
      <c r="F1575" s="62" t="s">
        <v>110</v>
      </c>
      <c r="G1575" s="64" t="s">
        <v>60</v>
      </c>
      <c r="H1575" s="3" t="s">
        <v>67</v>
      </c>
      <c r="I1575" s="65" t="str">
        <f>IFERROR(VLOOKUP(A1575,'3. Call duration'!$A:$C,3,0),"--")</f>
        <v>--</v>
      </c>
      <c r="J1575" s="65" t="str">
        <f t="array" ref="J1575">XLOOKUP(H1575,'2. Matching'!$A$2:$A$39,'2. Matching'!$B$2:$B$39,"--")</f>
        <v>Acquisition</v>
      </c>
      <c r="K1575" s="65" t="str">
        <f t="shared" si="1"/>
        <v>In</v>
      </c>
    </row>
    <row r="1576">
      <c r="A1576" s="62" t="s">
        <v>1714</v>
      </c>
      <c r="B1576" s="63">
        <v>44161.0</v>
      </c>
      <c r="C1576" s="62" t="s">
        <v>108</v>
      </c>
      <c r="D1576" s="64">
        <v>0.0</v>
      </c>
      <c r="E1576" s="62" t="s">
        <v>114</v>
      </c>
      <c r="F1576" s="62" t="s">
        <v>110</v>
      </c>
      <c r="G1576" s="64" t="s">
        <v>62</v>
      </c>
      <c r="H1576" s="3" t="s">
        <v>203</v>
      </c>
      <c r="I1576" s="65">
        <f>IFERROR(VLOOKUP(A1576,'3. Call duration'!$A:$C,3,0),"--")</f>
        <v>11.97533384</v>
      </c>
      <c r="J1576" s="65" t="str">
        <f t="array" ref="J1576">XLOOKUP(H1576,'2. Matching'!$A$2:$A$39,'2. Matching'!$B$2:$B$39,"--")</f>
        <v>Farming</v>
      </c>
      <c r="K1576" s="65" t="str">
        <f t="shared" si="1"/>
        <v>In</v>
      </c>
    </row>
    <row r="1577">
      <c r="A1577" s="62" t="s">
        <v>1715</v>
      </c>
      <c r="B1577" s="63">
        <v>44379.0</v>
      </c>
      <c r="C1577" s="62" t="s">
        <v>112</v>
      </c>
      <c r="D1577" s="64">
        <v>0.0</v>
      </c>
      <c r="E1577" s="62" t="s">
        <v>109</v>
      </c>
      <c r="F1577" s="62" t="s">
        <v>110</v>
      </c>
      <c r="G1577" s="64" t="s">
        <v>60</v>
      </c>
      <c r="H1577" s="3" t="s">
        <v>67</v>
      </c>
      <c r="I1577" s="65" t="str">
        <f>IFERROR(VLOOKUP(A1577,'3. Call duration'!$A:$C,3,0),"--")</f>
        <v>--</v>
      </c>
      <c r="J1577" s="65" t="str">
        <f t="array" ref="J1577">XLOOKUP(H1577,'2. Matching'!$A$2:$A$39,'2. Matching'!$B$2:$B$39,"--")</f>
        <v>Acquisition</v>
      </c>
      <c r="K1577" s="65" t="str">
        <f t="shared" si="1"/>
        <v>In</v>
      </c>
    </row>
    <row r="1578">
      <c r="A1578" s="62" t="s">
        <v>1716</v>
      </c>
      <c r="B1578" s="63">
        <v>44306.0</v>
      </c>
      <c r="C1578" s="62" t="s">
        <v>112</v>
      </c>
      <c r="D1578" s="64">
        <v>0.0</v>
      </c>
      <c r="E1578" s="62" t="s">
        <v>109</v>
      </c>
      <c r="F1578" s="62" t="s">
        <v>110</v>
      </c>
      <c r="G1578" s="64" t="s">
        <v>64</v>
      </c>
      <c r="H1578" s="3" t="s">
        <v>131</v>
      </c>
      <c r="I1578" s="65" t="str">
        <f>IFERROR(VLOOKUP(A1578,'3. Call duration'!$A:$C,3,0),"--")</f>
        <v>--</v>
      </c>
      <c r="J1578" s="65" t="str">
        <f t="array" ref="J1578">XLOOKUP(H1578,'2. Matching'!$A$2:$A$39,'2. Matching'!$B$2:$B$39,"--")</f>
        <v>Acquisition</v>
      </c>
      <c r="K1578" s="65" t="str">
        <f t="shared" si="1"/>
        <v>In</v>
      </c>
    </row>
    <row r="1579">
      <c r="A1579" s="62" t="s">
        <v>1717</v>
      </c>
      <c r="B1579" s="63">
        <v>44278.0</v>
      </c>
      <c r="C1579" s="62" t="s">
        <v>112</v>
      </c>
      <c r="D1579" s="64">
        <v>0.0</v>
      </c>
      <c r="E1579" s="62" t="s">
        <v>109</v>
      </c>
      <c r="F1579" s="62" t="s">
        <v>110</v>
      </c>
      <c r="G1579" s="64" t="s">
        <v>64</v>
      </c>
      <c r="H1579" s="3" t="s">
        <v>49</v>
      </c>
      <c r="I1579" s="65" t="str">
        <f>IFERROR(VLOOKUP(A1579,'3. Call duration'!$A:$C,3,0),"--")</f>
        <v>--</v>
      </c>
      <c r="J1579" s="65" t="str">
        <f t="array" ref="J1579">XLOOKUP(H1579,'2. Matching'!$A$2:$A$39,'2. Matching'!$B$2:$B$39,"--")</f>
        <v>Partnerships</v>
      </c>
      <c r="K1579" s="65" t="str">
        <f t="shared" si="1"/>
        <v>In</v>
      </c>
    </row>
    <row r="1580">
      <c r="A1580" s="62" t="s">
        <v>1718</v>
      </c>
      <c r="B1580" s="63">
        <v>44357.0</v>
      </c>
      <c r="C1580" s="62" t="s">
        <v>112</v>
      </c>
      <c r="D1580" s="64">
        <v>0.0</v>
      </c>
      <c r="E1580" s="62" t="s">
        <v>109</v>
      </c>
      <c r="F1580" s="62" t="s">
        <v>110</v>
      </c>
      <c r="G1580" s="64" t="s">
        <v>63</v>
      </c>
      <c r="H1580" s="3" t="s">
        <v>228</v>
      </c>
      <c r="I1580" s="65" t="str">
        <f>IFERROR(VLOOKUP(A1580,'3. Call duration'!$A:$C,3,0),"--")</f>
        <v>--</v>
      </c>
      <c r="J1580" s="65" t="str">
        <f t="array" ref="J1580">XLOOKUP(H1580,'2. Matching'!$A$2:$A$39,'2. Matching'!$B$2:$B$39,"--")</f>
        <v>Farming</v>
      </c>
      <c r="K1580" s="65" t="str">
        <f t="shared" si="1"/>
        <v>In</v>
      </c>
    </row>
    <row r="1581">
      <c r="A1581" s="62" t="s">
        <v>1719</v>
      </c>
      <c r="B1581" s="63">
        <v>44169.0</v>
      </c>
      <c r="C1581" s="62" t="s">
        <v>108</v>
      </c>
      <c r="D1581" s="64">
        <v>0.0</v>
      </c>
      <c r="E1581" s="62" t="s">
        <v>109</v>
      </c>
      <c r="F1581" s="62" t="s">
        <v>115</v>
      </c>
      <c r="G1581" s="64" t="s">
        <v>62</v>
      </c>
      <c r="H1581" s="3" t="s">
        <v>294</v>
      </c>
      <c r="I1581" s="65">
        <f>IFERROR(VLOOKUP(A1581,'3. Call duration'!$A:$C,3,0),"--")</f>
        <v>32.26643227</v>
      </c>
      <c r="J1581" s="65" t="str">
        <f t="array" ref="J1581">XLOOKUP(H1581,'2. Matching'!$A$2:$A$39,'2. Matching'!$B$2:$B$39,"--")</f>
        <v>Farming</v>
      </c>
      <c r="K1581" s="65" t="str">
        <f t="shared" si="1"/>
        <v>In</v>
      </c>
    </row>
    <row r="1582">
      <c r="A1582" s="62" t="s">
        <v>1720</v>
      </c>
      <c r="B1582" s="63">
        <v>44385.0</v>
      </c>
      <c r="C1582" s="62" t="s">
        <v>112</v>
      </c>
      <c r="D1582" s="64">
        <v>0.0</v>
      </c>
      <c r="E1582" s="62" t="s">
        <v>114</v>
      </c>
      <c r="F1582" s="62" t="s">
        <v>110</v>
      </c>
      <c r="G1582" s="64" t="s">
        <v>60</v>
      </c>
      <c r="H1582" s="3" t="s">
        <v>68</v>
      </c>
      <c r="I1582" s="65" t="str">
        <f>IFERROR(VLOOKUP(A1582,'3. Call duration'!$A:$C,3,0),"--")</f>
        <v>--</v>
      </c>
      <c r="J1582" s="65" t="str">
        <f t="array" ref="J1582">XLOOKUP(H1582,'2. Matching'!$A$2:$A$39,'2. Matching'!$B$2:$B$39,"--")</f>
        <v>Acquisition</v>
      </c>
      <c r="K1582" s="65" t="str">
        <f t="shared" si="1"/>
        <v>In</v>
      </c>
    </row>
    <row r="1583">
      <c r="A1583" s="62" t="s">
        <v>1721</v>
      </c>
      <c r="B1583" s="63">
        <v>44208.0</v>
      </c>
      <c r="C1583" s="62" t="s">
        <v>108</v>
      </c>
      <c r="D1583" s="64">
        <v>0.0</v>
      </c>
      <c r="E1583" s="62" t="s">
        <v>109</v>
      </c>
      <c r="F1583" s="62" t="s">
        <v>110</v>
      </c>
      <c r="G1583" s="64" t="s">
        <v>64</v>
      </c>
      <c r="H1583" s="3" t="s">
        <v>175</v>
      </c>
      <c r="I1583" s="65">
        <f>IFERROR(VLOOKUP(A1583,'3. Call duration'!$A:$C,3,0),"--")</f>
        <v>22.82464269</v>
      </c>
      <c r="J1583" s="65" t="str">
        <f t="array" ref="J1583">XLOOKUP(H1583,'2. Matching'!$A$2:$A$39,'2. Matching'!$B$2:$B$39,"--")</f>
        <v>SEO</v>
      </c>
      <c r="K1583" s="65" t="str">
        <f t="shared" si="1"/>
        <v>In</v>
      </c>
    </row>
    <row r="1584">
      <c r="A1584" s="62" t="s">
        <v>1722</v>
      </c>
      <c r="B1584" s="63">
        <v>44375.0</v>
      </c>
      <c r="C1584" s="62" t="s">
        <v>112</v>
      </c>
      <c r="D1584" s="64">
        <v>0.0</v>
      </c>
      <c r="E1584" s="62" t="s">
        <v>109</v>
      </c>
      <c r="F1584" s="62" t="s">
        <v>110</v>
      </c>
      <c r="G1584" s="64" t="s">
        <v>61</v>
      </c>
      <c r="H1584" s="3" t="s">
        <v>67</v>
      </c>
      <c r="I1584" s="65" t="str">
        <f>IFERROR(VLOOKUP(A1584,'3. Call duration'!$A:$C,3,0),"--")</f>
        <v>--</v>
      </c>
      <c r="J1584" s="65" t="str">
        <f t="array" ref="J1584">XLOOKUP(H1584,'2. Matching'!$A$2:$A$39,'2. Matching'!$B$2:$B$39,"--")</f>
        <v>Acquisition</v>
      </c>
      <c r="K1584" s="65" t="str">
        <f t="shared" si="1"/>
        <v>In</v>
      </c>
    </row>
    <row r="1585">
      <c r="A1585" s="62" t="s">
        <v>1723</v>
      </c>
      <c r="B1585" s="63">
        <v>44375.0</v>
      </c>
      <c r="C1585" s="62" t="s">
        <v>108</v>
      </c>
      <c r="D1585" s="64">
        <v>0.0</v>
      </c>
      <c r="E1585" s="62" t="s">
        <v>109</v>
      </c>
      <c r="F1585" s="62" t="s">
        <v>110</v>
      </c>
      <c r="G1585" s="64" t="s">
        <v>61</v>
      </c>
      <c r="H1585" s="3" t="s">
        <v>67</v>
      </c>
      <c r="I1585" s="65">
        <f>IFERROR(VLOOKUP(A1585,'3. Call duration'!$A:$C,3,0),"--")</f>
        <v>31.35711479</v>
      </c>
      <c r="J1585" s="65" t="str">
        <f t="array" ref="J1585">XLOOKUP(H1585,'2. Matching'!$A$2:$A$39,'2. Matching'!$B$2:$B$39,"--")</f>
        <v>Acquisition</v>
      </c>
      <c r="K1585" s="65" t="str">
        <f t="shared" si="1"/>
        <v>In</v>
      </c>
    </row>
    <row r="1586">
      <c r="A1586" s="62" t="s">
        <v>1724</v>
      </c>
      <c r="B1586" s="63">
        <v>44301.0</v>
      </c>
      <c r="C1586" s="62" t="s">
        <v>112</v>
      </c>
      <c r="D1586" s="64">
        <v>0.0</v>
      </c>
      <c r="E1586" s="62" t="s">
        <v>109</v>
      </c>
      <c r="F1586" s="62" t="s">
        <v>110</v>
      </c>
      <c r="G1586" s="64" t="s">
        <v>61</v>
      </c>
      <c r="H1586" s="3" t="s">
        <v>67</v>
      </c>
      <c r="I1586" s="65" t="str">
        <f>IFERROR(VLOOKUP(A1586,'3. Call duration'!$A:$C,3,0),"--")</f>
        <v>--</v>
      </c>
      <c r="J1586" s="65" t="str">
        <f t="array" ref="J1586">XLOOKUP(H1586,'2. Matching'!$A$2:$A$39,'2. Matching'!$B$2:$B$39,"--")</f>
        <v>Acquisition</v>
      </c>
      <c r="K1586" s="65" t="str">
        <f t="shared" si="1"/>
        <v>In</v>
      </c>
    </row>
    <row r="1587">
      <c r="A1587" s="62" t="s">
        <v>1725</v>
      </c>
      <c r="B1587" s="63">
        <v>44376.0</v>
      </c>
      <c r="C1587" s="62" t="s">
        <v>112</v>
      </c>
      <c r="D1587" s="64">
        <v>0.0</v>
      </c>
      <c r="E1587" s="62" t="s">
        <v>109</v>
      </c>
      <c r="F1587" s="62" t="s">
        <v>115</v>
      </c>
      <c r="G1587" s="64" t="s">
        <v>64</v>
      </c>
      <c r="H1587" s="3" t="s">
        <v>297</v>
      </c>
      <c r="I1587" s="65" t="str">
        <f>IFERROR(VLOOKUP(A1587,'3. Call duration'!$A:$C,3,0),"--")</f>
        <v>--</v>
      </c>
      <c r="J1587" s="65" t="str">
        <f t="array" ref="J1587">XLOOKUP(H1587,'2. Matching'!$A$2:$A$39,'2. Matching'!$B$2:$B$39,"--")</f>
        <v>Farming</v>
      </c>
      <c r="K1587" s="65" t="str">
        <f t="shared" si="1"/>
        <v>In</v>
      </c>
    </row>
    <row r="1588">
      <c r="A1588" s="62" t="s">
        <v>1726</v>
      </c>
      <c r="B1588" s="63">
        <v>44335.0</v>
      </c>
      <c r="C1588" s="62" t="s">
        <v>119</v>
      </c>
      <c r="D1588" s="64">
        <v>95.0</v>
      </c>
      <c r="E1588" s="62" t="s">
        <v>114</v>
      </c>
      <c r="F1588" s="62" t="s">
        <v>115</v>
      </c>
      <c r="G1588" s="64" t="s">
        <v>64</v>
      </c>
      <c r="H1588" s="3" t="s">
        <v>141</v>
      </c>
      <c r="I1588" s="65">
        <f>IFERROR(VLOOKUP(A1588,'3. Call duration'!$A:$C,3,0),"--")</f>
        <v>23.17813663</v>
      </c>
      <c r="J1588" s="65" t="str">
        <f t="array" ref="J1588">XLOOKUP(H1588,'2. Matching'!$A$2:$A$39,'2. Matching'!$B$2:$B$39,"--")</f>
        <v>Acquisition</v>
      </c>
      <c r="K1588" s="65" t="str">
        <f t="shared" si="1"/>
        <v>In</v>
      </c>
    </row>
    <row r="1589">
      <c r="A1589" s="62" t="s">
        <v>1727</v>
      </c>
      <c r="B1589" s="63">
        <v>44269.0</v>
      </c>
      <c r="C1589" s="62" t="s">
        <v>108</v>
      </c>
      <c r="D1589" s="64">
        <v>0.0</v>
      </c>
      <c r="E1589" s="62" t="s">
        <v>109</v>
      </c>
      <c r="F1589" s="62" t="s">
        <v>115</v>
      </c>
      <c r="G1589" s="64" t="s">
        <v>59</v>
      </c>
      <c r="H1589" s="3" t="s">
        <v>68</v>
      </c>
      <c r="I1589" s="65">
        <f>IFERROR(VLOOKUP(A1589,'3. Call duration'!$A:$C,3,0),"--")</f>
        <v>26.95948561</v>
      </c>
      <c r="J1589" s="65" t="str">
        <f t="array" ref="J1589">XLOOKUP(H1589,'2. Matching'!$A$2:$A$39,'2. Matching'!$B$2:$B$39,"--")</f>
        <v>Acquisition</v>
      </c>
      <c r="K1589" s="65" t="str">
        <f t="shared" si="1"/>
        <v>In</v>
      </c>
    </row>
    <row r="1590">
      <c r="A1590" s="62" t="s">
        <v>1728</v>
      </c>
      <c r="B1590" s="63">
        <v>44350.0</v>
      </c>
      <c r="C1590" s="62" t="s">
        <v>112</v>
      </c>
      <c r="D1590" s="64">
        <v>0.0</v>
      </c>
      <c r="E1590" s="62" t="s">
        <v>114</v>
      </c>
      <c r="F1590" s="62" t="s">
        <v>110</v>
      </c>
      <c r="G1590" s="64" t="s">
        <v>60</v>
      </c>
      <c r="H1590" s="3" t="s">
        <v>67</v>
      </c>
      <c r="I1590" s="65" t="str">
        <f>IFERROR(VLOOKUP(A1590,'3. Call duration'!$A:$C,3,0),"--")</f>
        <v>--</v>
      </c>
      <c r="J1590" s="65" t="str">
        <f t="array" ref="J1590">XLOOKUP(H1590,'2. Matching'!$A$2:$A$39,'2. Matching'!$B$2:$B$39,"--")</f>
        <v>Acquisition</v>
      </c>
      <c r="K1590" s="65" t="str">
        <f t="shared" si="1"/>
        <v>In</v>
      </c>
    </row>
    <row r="1591">
      <c r="A1591" s="62" t="s">
        <v>1729</v>
      </c>
      <c r="B1591" s="63">
        <v>44375.0</v>
      </c>
      <c r="C1591" s="62" t="s">
        <v>108</v>
      </c>
      <c r="D1591" s="64">
        <v>0.0</v>
      </c>
      <c r="E1591" s="62" t="s">
        <v>109</v>
      </c>
      <c r="F1591" s="62" t="s">
        <v>110</v>
      </c>
      <c r="G1591" s="64" t="s">
        <v>61</v>
      </c>
      <c r="H1591" s="3" t="s">
        <v>67</v>
      </c>
      <c r="I1591" s="65">
        <f>IFERROR(VLOOKUP(A1591,'3. Call duration'!$A:$C,3,0),"--")</f>
        <v>20.12229011</v>
      </c>
      <c r="J1591" s="65" t="str">
        <f t="array" ref="J1591">XLOOKUP(H1591,'2. Matching'!$A$2:$A$39,'2. Matching'!$B$2:$B$39,"--")</f>
        <v>Acquisition</v>
      </c>
      <c r="K1591" s="65" t="str">
        <f t="shared" si="1"/>
        <v>In</v>
      </c>
    </row>
    <row r="1592">
      <c r="A1592" s="62" t="s">
        <v>1730</v>
      </c>
      <c r="B1592" s="63">
        <v>44256.0</v>
      </c>
      <c r="C1592" s="62" t="s">
        <v>112</v>
      </c>
      <c r="D1592" s="64">
        <v>0.0</v>
      </c>
      <c r="E1592" s="62" t="s">
        <v>109</v>
      </c>
      <c r="F1592" s="62" t="s">
        <v>110</v>
      </c>
      <c r="G1592" s="64" t="s">
        <v>64</v>
      </c>
      <c r="H1592" s="3" t="s">
        <v>49</v>
      </c>
      <c r="I1592" s="65" t="str">
        <f>IFERROR(VLOOKUP(A1592,'3. Call duration'!$A:$C,3,0),"--")</f>
        <v>--</v>
      </c>
      <c r="J1592" s="65" t="str">
        <f t="array" ref="J1592">XLOOKUP(H1592,'2. Matching'!$A$2:$A$39,'2. Matching'!$B$2:$B$39,"--")</f>
        <v>Partnerships</v>
      </c>
      <c r="K1592" s="65" t="str">
        <f t="shared" si="1"/>
        <v>In</v>
      </c>
    </row>
    <row r="1593">
      <c r="A1593" s="62" t="s">
        <v>1731</v>
      </c>
      <c r="B1593" s="63">
        <v>44069.0</v>
      </c>
      <c r="C1593" s="62" t="s">
        <v>112</v>
      </c>
      <c r="D1593" s="64">
        <v>0.0</v>
      </c>
      <c r="E1593" s="62" t="s">
        <v>109</v>
      </c>
      <c r="F1593" s="62" t="s">
        <v>115</v>
      </c>
      <c r="G1593" s="64" t="s">
        <v>64</v>
      </c>
      <c r="H1593" s="3" t="s">
        <v>139</v>
      </c>
      <c r="I1593" s="65" t="str">
        <f>IFERROR(VLOOKUP(A1593,'3. Call duration'!$A:$C,3,0),"--")</f>
        <v>--</v>
      </c>
      <c r="J1593" s="65" t="str">
        <f t="array" ref="J1593">XLOOKUP(H1593,'2. Matching'!$A$2:$A$39,'2. Matching'!$B$2:$B$39,"--")</f>
        <v>Acquisition</v>
      </c>
      <c r="K1593" s="65" t="str">
        <f t="shared" si="1"/>
        <v>In</v>
      </c>
    </row>
    <row r="1594">
      <c r="A1594" s="62" t="s">
        <v>1732</v>
      </c>
      <c r="B1594" s="63">
        <v>44355.0</v>
      </c>
      <c r="C1594" s="62" t="s">
        <v>112</v>
      </c>
      <c r="D1594" s="64">
        <v>0.0</v>
      </c>
      <c r="E1594" s="62" t="s">
        <v>109</v>
      </c>
      <c r="F1594" s="62" t="s">
        <v>110</v>
      </c>
      <c r="G1594" s="64" t="s">
        <v>60</v>
      </c>
      <c r="H1594" s="3" t="s">
        <v>67</v>
      </c>
      <c r="I1594" s="65" t="str">
        <f>IFERROR(VLOOKUP(A1594,'3. Call duration'!$A:$C,3,0),"--")</f>
        <v>--</v>
      </c>
      <c r="J1594" s="65" t="str">
        <f t="array" ref="J1594">XLOOKUP(H1594,'2. Matching'!$A$2:$A$39,'2. Matching'!$B$2:$B$39,"--")</f>
        <v>Acquisition</v>
      </c>
      <c r="K1594" s="65" t="str">
        <f t="shared" si="1"/>
        <v>In</v>
      </c>
    </row>
    <row r="1595">
      <c r="A1595" s="62" t="s">
        <v>1733</v>
      </c>
      <c r="B1595" s="63">
        <v>44321.0</v>
      </c>
      <c r="C1595" s="62" t="s">
        <v>119</v>
      </c>
      <c r="D1595" s="64">
        <v>47.5</v>
      </c>
      <c r="E1595" s="62" t="s">
        <v>109</v>
      </c>
      <c r="F1595" s="62" t="s">
        <v>115</v>
      </c>
      <c r="G1595" s="64" t="s">
        <v>64</v>
      </c>
      <c r="H1595" s="3" t="s">
        <v>49</v>
      </c>
      <c r="I1595" s="65">
        <f>IFERROR(VLOOKUP(A1595,'3. Call duration'!$A:$C,3,0),"--")</f>
        <v>23.19157472</v>
      </c>
      <c r="J1595" s="65" t="str">
        <f t="array" ref="J1595">XLOOKUP(H1595,'2. Matching'!$A$2:$A$39,'2. Matching'!$B$2:$B$39,"--")</f>
        <v>Partnerships</v>
      </c>
      <c r="K1595" s="65" t="str">
        <f t="shared" si="1"/>
        <v>In</v>
      </c>
    </row>
    <row r="1596">
      <c r="A1596" s="62" t="s">
        <v>1734</v>
      </c>
      <c r="B1596" s="63">
        <v>44359.0</v>
      </c>
      <c r="C1596" s="62" t="s">
        <v>112</v>
      </c>
      <c r="D1596" s="64">
        <v>0.0</v>
      </c>
      <c r="E1596" s="62" t="s">
        <v>109</v>
      </c>
      <c r="F1596" s="62" t="s">
        <v>110</v>
      </c>
      <c r="G1596" s="64" t="s">
        <v>60</v>
      </c>
      <c r="H1596" s="3" t="s">
        <v>68</v>
      </c>
      <c r="I1596" s="65" t="str">
        <f>IFERROR(VLOOKUP(A1596,'3. Call duration'!$A:$C,3,0),"--")</f>
        <v>--</v>
      </c>
      <c r="J1596" s="65" t="str">
        <f t="array" ref="J1596">XLOOKUP(H1596,'2. Matching'!$A$2:$A$39,'2. Matching'!$B$2:$B$39,"--")</f>
        <v>Acquisition</v>
      </c>
      <c r="K1596" s="65" t="str">
        <f t="shared" si="1"/>
        <v>In</v>
      </c>
    </row>
    <row r="1597">
      <c r="A1597" s="62" t="s">
        <v>1735</v>
      </c>
      <c r="B1597" s="63">
        <v>44386.0</v>
      </c>
      <c r="C1597" s="62" t="s">
        <v>112</v>
      </c>
      <c r="D1597" s="64">
        <v>0.0</v>
      </c>
      <c r="E1597" s="62" t="s">
        <v>114</v>
      </c>
      <c r="F1597" s="62" t="s">
        <v>110</v>
      </c>
      <c r="G1597" s="64" t="s">
        <v>61</v>
      </c>
      <c r="H1597" s="3" t="s">
        <v>68</v>
      </c>
      <c r="I1597" s="65" t="str">
        <f>IFERROR(VLOOKUP(A1597,'3. Call duration'!$A:$C,3,0),"--")</f>
        <v>--</v>
      </c>
      <c r="J1597" s="65" t="str">
        <f t="array" ref="J1597">XLOOKUP(H1597,'2. Matching'!$A$2:$A$39,'2. Matching'!$B$2:$B$39,"--")</f>
        <v>Acquisition</v>
      </c>
      <c r="K1597" s="65" t="str">
        <f t="shared" si="1"/>
        <v>In</v>
      </c>
    </row>
    <row r="1598">
      <c r="A1598" s="62" t="s">
        <v>1736</v>
      </c>
      <c r="B1598" s="63">
        <v>44384.0</v>
      </c>
      <c r="C1598" s="62" t="s">
        <v>112</v>
      </c>
      <c r="D1598" s="64">
        <v>0.0</v>
      </c>
      <c r="E1598" s="62" t="s">
        <v>109</v>
      </c>
      <c r="F1598" s="62" t="s">
        <v>110</v>
      </c>
      <c r="G1598" s="64" t="s">
        <v>60</v>
      </c>
      <c r="H1598" s="3" t="s">
        <v>68</v>
      </c>
      <c r="I1598" s="65" t="str">
        <f>IFERROR(VLOOKUP(A1598,'3. Call duration'!$A:$C,3,0),"--")</f>
        <v>--</v>
      </c>
      <c r="J1598" s="65" t="str">
        <f t="array" ref="J1598">XLOOKUP(H1598,'2. Matching'!$A$2:$A$39,'2. Matching'!$B$2:$B$39,"--")</f>
        <v>Acquisition</v>
      </c>
      <c r="K1598" s="65" t="str">
        <f t="shared" si="1"/>
        <v>In</v>
      </c>
    </row>
    <row r="1599">
      <c r="A1599" s="62" t="s">
        <v>1737</v>
      </c>
      <c r="B1599" s="63">
        <v>44272.0</v>
      </c>
      <c r="C1599" s="62" t="s">
        <v>112</v>
      </c>
      <c r="D1599" s="64">
        <v>0.0</v>
      </c>
      <c r="E1599" s="62" t="s">
        <v>109</v>
      </c>
      <c r="F1599" s="62" t="s">
        <v>110</v>
      </c>
      <c r="G1599" s="64" t="s">
        <v>64</v>
      </c>
      <c r="H1599" s="3" t="s">
        <v>297</v>
      </c>
      <c r="I1599" s="65" t="str">
        <f>IFERROR(VLOOKUP(A1599,'3. Call duration'!$A:$C,3,0),"--")</f>
        <v>--</v>
      </c>
      <c r="J1599" s="65" t="str">
        <f t="array" ref="J1599">XLOOKUP(H1599,'2. Matching'!$A$2:$A$39,'2. Matching'!$B$2:$B$39,"--")</f>
        <v>Farming</v>
      </c>
      <c r="K1599" s="65" t="str">
        <f t="shared" si="1"/>
        <v>In</v>
      </c>
    </row>
    <row r="1600">
      <c r="A1600" s="62" t="s">
        <v>1738</v>
      </c>
      <c r="B1600" s="63">
        <v>44330.0</v>
      </c>
      <c r="C1600" s="62" t="s">
        <v>108</v>
      </c>
      <c r="D1600" s="64">
        <v>0.0</v>
      </c>
      <c r="E1600" s="62" t="s">
        <v>109</v>
      </c>
      <c r="F1600" s="62" t="s">
        <v>115</v>
      </c>
      <c r="G1600" s="64" t="s">
        <v>64</v>
      </c>
      <c r="H1600" s="3" t="s">
        <v>185</v>
      </c>
      <c r="I1600" s="65">
        <f>IFERROR(VLOOKUP(A1600,'3. Call duration'!$A:$C,3,0),"--")</f>
        <v>23.19177342</v>
      </c>
      <c r="J1600" s="65" t="str">
        <f t="array" ref="J1600">XLOOKUP(H1600,'2. Matching'!$A$2:$A$39,'2. Matching'!$B$2:$B$39,"--")</f>
        <v>SEO</v>
      </c>
      <c r="K1600" s="65" t="str">
        <f t="shared" si="1"/>
        <v>In</v>
      </c>
    </row>
    <row r="1601">
      <c r="A1601" s="62" t="s">
        <v>1739</v>
      </c>
      <c r="B1601" s="63">
        <v>44152.0</v>
      </c>
      <c r="C1601" s="62" t="s">
        <v>112</v>
      </c>
      <c r="D1601" s="64">
        <v>0.0</v>
      </c>
      <c r="E1601" s="62" t="s">
        <v>109</v>
      </c>
      <c r="F1601" s="62" t="s">
        <v>110</v>
      </c>
      <c r="G1601" s="64" t="s">
        <v>64</v>
      </c>
      <c r="H1601" s="3" t="s">
        <v>139</v>
      </c>
      <c r="I1601" s="65" t="str">
        <f>IFERROR(VLOOKUP(A1601,'3. Call duration'!$A:$C,3,0),"--")</f>
        <v>--</v>
      </c>
      <c r="J1601" s="65" t="str">
        <f t="array" ref="J1601">XLOOKUP(H1601,'2. Matching'!$A$2:$A$39,'2. Matching'!$B$2:$B$39,"--")</f>
        <v>Acquisition</v>
      </c>
      <c r="K1601" s="65" t="str">
        <f t="shared" si="1"/>
        <v>In</v>
      </c>
    </row>
    <row r="1602">
      <c r="A1602" s="62" t="s">
        <v>1740</v>
      </c>
      <c r="B1602" s="63">
        <v>44230.0</v>
      </c>
      <c r="C1602" s="62" t="s">
        <v>112</v>
      </c>
      <c r="D1602" s="64">
        <v>0.0</v>
      </c>
      <c r="E1602" s="62" t="s">
        <v>109</v>
      </c>
      <c r="F1602" s="62" t="s">
        <v>110</v>
      </c>
      <c r="G1602" s="64" t="s">
        <v>64</v>
      </c>
      <c r="H1602" s="3" t="s">
        <v>297</v>
      </c>
      <c r="I1602" s="65" t="str">
        <f>IFERROR(VLOOKUP(A1602,'3. Call duration'!$A:$C,3,0),"--")</f>
        <v>--</v>
      </c>
      <c r="J1602" s="65" t="str">
        <f t="array" ref="J1602">XLOOKUP(H1602,'2. Matching'!$A$2:$A$39,'2. Matching'!$B$2:$B$39,"--")</f>
        <v>Farming</v>
      </c>
      <c r="K1602" s="65" t="str">
        <f t="shared" si="1"/>
        <v>In</v>
      </c>
    </row>
    <row r="1603">
      <c r="A1603" s="62" t="s">
        <v>1741</v>
      </c>
      <c r="B1603" s="63">
        <v>44266.0</v>
      </c>
      <c r="C1603" s="62" t="s">
        <v>112</v>
      </c>
      <c r="D1603" s="64">
        <v>0.0</v>
      </c>
      <c r="E1603" s="62" t="s">
        <v>109</v>
      </c>
      <c r="F1603" s="62" t="s">
        <v>110</v>
      </c>
      <c r="G1603" s="64" t="s">
        <v>64</v>
      </c>
      <c r="H1603" s="3" t="s">
        <v>116</v>
      </c>
      <c r="I1603" s="65" t="str">
        <f>IFERROR(VLOOKUP(A1603,'3. Call duration'!$A:$C,3,0),"--")</f>
        <v>--</v>
      </c>
      <c r="J1603" s="65" t="str">
        <f t="array" ref="J1603">XLOOKUP(H1603,'2. Matching'!$A$2:$A$39,'2. Matching'!$B$2:$B$39,"--")</f>
        <v>Acquisition</v>
      </c>
      <c r="K1603" s="65" t="str">
        <f t="shared" si="1"/>
        <v>In</v>
      </c>
    </row>
    <row r="1604">
      <c r="A1604" s="62" t="s">
        <v>1742</v>
      </c>
      <c r="B1604" s="63">
        <v>44389.0</v>
      </c>
      <c r="C1604" s="62" t="s">
        <v>108</v>
      </c>
      <c r="D1604" s="64">
        <v>0.0</v>
      </c>
      <c r="E1604" s="62" t="s">
        <v>114</v>
      </c>
      <c r="F1604" s="62" t="s">
        <v>110</v>
      </c>
      <c r="G1604" s="64" t="s">
        <v>62</v>
      </c>
      <c r="H1604" s="3" t="s">
        <v>203</v>
      </c>
      <c r="I1604" s="65">
        <f>IFERROR(VLOOKUP(A1604,'3. Call duration'!$A:$C,3,0),"--")</f>
        <v>46.43302133</v>
      </c>
      <c r="J1604" s="65" t="str">
        <f t="array" ref="J1604">XLOOKUP(H1604,'2. Matching'!$A$2:$A$39,'2. Matching'!$B$2:$B$39,"--")</f>
        <v>Farming</v>
      </c>
      <c r="K1604" s="65" t="str">
        <f t="shared" si="1"/>
        <v>In</v>
      </c>
    </row>
    <row r="1605">
      <c r="A1605" s="62" t="s">
        <v>1743</v>
      </c>
      <c r="B1605" s="63">
        <v>44280.0</v>
      </c>
      <c r="C1605" s="62" t="s">
        <v>112</v>
      </c>
      <c r="D1605" s="64">
        <v>0.0</v>
      </c>
      <c r="E1605" s="62" t="s">
        <v>109</v>
      </c>
      <c r="F1605" s="62" t="s">
        <v>115</v>
      </c>
      <c r="G1605" s="64" t="s">
        <v>112</v>
      </c>
      <c r="H1605" s="3"/>
      <c r="I1605" s="65" t="str">
        <f>IFERROR(VLOOKUP(A1605,'3. Call duration'!$A:$C,3,0),"--")</f>
        <v>--</v>
      </c>
      <c r="J1605" s="65" t="str">
        <f t="array" ref="J1605">XLOOKUP(H1605,'2. Matching'!$A$2:$A$39,'2. Matching'!$B$2:$B$39,"--")</f>
        <v>--</v>
      </c>
      <c r="K1605" s="65" t="str">
        <f t="shared" si="1"/>
        <v>In</v>
      </c>
    </row>
    <row r="1606">
      <c r="A1606" s="62" t="s">
        <v>1744</v>
      </c>
      <c r="B1606" s="63">
        <v>44067.0</v>
      </c>
      <c r="C1606" s="62" t="s">
        <v>108</v>
      </c>
      <c r="D1606" s="64">
        <v>0.0</v>
      </c>
      <c r="E1606" s="62" t="s">
        <v>109</v>
      </c>
      <c r="F1606" s="62" t="s">
        <v>115</v>
      </c>
      <c r="G1606" s="64" t="s">
        <v>64</v>
      </c>
      <c r="H1606" s="3" t="s">
        <v>164</v>
      </c>
      <c r="I1606" s="65" t="str">
        <f>IFERROR(VLOOKUP(A1606,'3. Call duration'!$A:$C,3,0),"--")</f>
        <v>--</v>
      </c>
      <c r="J1606" s="65" t="str">
        <f t="array" ref="J1606">XLOOKUP(H1606,'2. Matching'!$A$2:$A$39,'2. Matching'!$B$2:$B$39,"--")</f>
        <v>SEO</v>
      </c>
      <c r="K1606" s="65" t="str">
        <f t="shared" si="1"/>
        <v>In</v>
      </c>
    </row>
    <row r="1607">
      <c r="A1607" s="62" t="s">
        <v>1745</v>
      </c>
      <c r="B1607" s="63">
        <v>44266.0</v>
      </c>
      <c r="C1607" s="62" t="s">
        <v>112</v>
      </c>
      <c r="D1607" s="64">
        <v>0.0</v>
      </c>
      <c r="E1607" s="62" t="s">
        <v>109</v>
      </c>
      <c r="F1607" s="62" t="s">
        <v>110</v>
      </c>
      <c r="G1607" s="64" t="s">
        <v>62</v>
      </c>
      <c r="H1607" s="3" t="s">
        <v>203</v>
      </c>
      <c r="I1607" s="65" t="str">
        <f>IFERROR(VLOOKUP(A1607,'3. Call duration'!$A:$C,3,0),"--")</f>
        <v>--</v>
      </c>
      <c r="J1607" s="65" t="str">
        <f t="array" ref="J1607">XLOOKUP(H1607,'2. Matching'!$A$2:$A$39,'2. Matching'!$B$2:$B$39,"--")</f>
        <v>Farming</v>
      </c>
      <c r="K1607" s="65" t="str">
        <f t="shared" si="1"/>
        <v>In</v>
      </c>
    </row>
    <row r="1608">
      <c r="A1608" s="62" t="s">
        <v>1746</v>
      </c>
      <c r="B1608" s="63">
        <v>44113.0</v>
      </c>
      <c r="C1608" s="62" t="s">
        <v>108</v>
      </c>
      <c r="D1608" s="64">
        <v>0.0</v>
      </c>
      <c r="E1608" s="62" t="s">
        <v>109</v>
      </c>
      <c r="F1608" s="62" t="s">
        <v>115</v>
      </c>
      <c r="G1608" s="64" t="s">
        <v>64</v>
      </c>
      <c r="H1608" s="3" t="s">
        <v>139</v>
      </c>
      <c r="I1608" s="65">
        <f>IFERROR(VLOOKUP(A1608,'3. Call duration'!$A:$C,3,0),"--")</f>
        <v>40.47431487</v>
      </c>
      <c r="J1608" s="65" t="str">
        <f t="array" ref="J1608">XLOOKUP(H1608,'2. Matching'!$A$2:$A$39,'2. Matching'!$B$2:$B$39,"--")</f>
        <v>Acquisition</v>
      </c>
      <c r="K1608" s="65" t="str">
        <f t="shared" si="1"/>
        <v>In</v>
      </c>
    </row>
    <row r="1609">
      <c r="A1609" s="62" t="s">
        <v>1747</v>
      </c>
      <c r="B1609" s="63">
        <v>44228.0</v>
      </c>
      <c r="C1609" s="62" t="s">
        <v>108</v>
      </c>
      <c r="D1609" s="64">
        <v>0.0</v>
      </c>
      <c r="E1609" s="62" t="s">
        <v>109</v>
      </c>
      <c r="F1609" s="62" t="s">
        <v>115</v>
      </c>
      <c r="G1609" s="64" t="s">
        <v>64</v>
      </c>
      <c r="H1609" s="3" t="s">
        <v>221</v>
      </c>
      <c r="I1609" s="65">
        <f>IFERROR(VLOOKUP(A1609,'3. Call duration'!$A:$C,3,0),"--")</f>
        <v>30.46500576</v>
      </c>
      <c r="J1609" s="65" t="str">
        <f t="array" ref="J1609">XLOOKUP(H1609,'2. Matching'!$A$2:$A$39,'2. Matching'!$B$2:$B$39,"--")</f>
        <v>Farming</v>
      </c>
      <c r="K1609" s="65" t="str">
        <f t="shared" si="1"/>
        <v>In</v>
      </c>
    </row>
    <row r="1610">
      <c r="A1610" s="62" t="s">
        <v>1748</v>
      </c>
      <c r="B1610" s="63">
        <v>44245.0</v>
      </c>
      <c r="C1610" s="62" t="s">
        <v>108</v>
      </c>
      <c r="D1610" s="64">
        <v>0.0</v>
      </c>
      <c r="E1610" s="62" t="s">
        <v>109</v>
      </c>
      <c r="F1610" s="62" t="s">
        <v>115</v>
      </c>
      <c r="G1610" s="64" t="s">
        <v>64</v>
      </c>
      <c r="H1610" s="3" t="s">
        <v>155</v>
      </c>
      <c r="I1610" s="65">
        <f>IFERROR(VLOOKUP(A1610,'3. Call duration'!$A:$C,3,0),"--")</f>
        <v>21.79806882</v>
      </c>
      <c r="J1610" s="65" t="str">
        <f t="array" ref="J1610">XLOOKUP(H1610,'2. Matching'!$A$2:$A$39,'2. Matching'!$B$2:$B$39,"--")</f>
        <v>SEO</v>
      </c>
      <c r="K1610" s="65" t="str">
        <f t="shared" si="1"/>
        <v>In</v>
      </c>
    </row>
    <row r="1611">
      <c r="A1611" s="62" t="s">
        <v>1749</v>
      </c>
      <c r="B1611" s="63">
        <v>44095.0</v>
      </c>
      <c r="C1611" s="62" t="s">
        <v>112</v>
      </c>
      <c r="D1611" s="64">
        <v>0.0</v>
      </c>
      <c r="E1611" s="62" t="s">
        <v>109</v>
      </c>
      <c r="F1611" s="62" t="s">
        <v>115</v>
      </c>
      <c r="G1611" s="64" t="s">
        <v>64</v>
      </c>
      <c r="H1611" s="3" t="s">
        <v>175</v>
      </c>
      <c r="I1611" s="65" t="str">
        <f>IFERROR(VLOOKUP(A1611,'3. Call duration'!$A:$C,3,0),"--")</f>
        <v>--</v>
      </c>
      <c r="J1611" s="65" t="str">
        <f t="array" ref="J1611">XLOOKUP(H1611,'2. Matching'!$A$2:$A$39,'2. Matching'!$B$2:$B$39,"--")</f>
        <v>SEO</v>
      </c>
      <c r="K1611" s="65" t="str">
        <f t="shared" si="1"/>
        <v>In</v>
      </c>
    </row>
    <row r="1612">
      <c r="A1612" s="62" t="s">
        <v>1750</v>
      </c>
      <c r="B1612" s="63">
        <v>44336.0</v>
      </c>
      <c r="C1612" s="62" t="s">
        <v>119</v>
      </c>
      <c r="D1612" s="64">
        <v>47.5</v>
      </c>
      <c r="E1612" s="62" t="s">
        <v>109</v>
      </c>
      <c r="F1612" s="62" t="s">
        <v>110</v>
      </c>
      <c r="G1612" s="64" t="s">
        <v>64</v>
      </c>
      <c r="H1612" s="3" t="s">
        <v>49</v>
      </c>
      <c r="I1612" s="65">
        <f>IFERROR(VLOOKUP(A1612,'3. Call duration'!$A:$C,3,0),"--")</f>
        <v>23.21233235</v>
      </c>
      <c r="J1612" s="65" t="str">
        <f t="array" ref="J1612">XLOOKUP(H1612,'2. Matching'!$A$2:$A$39,'2. Matching'!$B$2:$B$39,"--")</f>
        <v>Partnerships</v>
      </c>
      <c r="K1612" s="65" t="str">
        <f t="shared" si="1"/>
        <v>In</v>
      </c>
    </row>
    <row r="1613">
      <c r="A1613" s="62" t="s">
        <v>1751</v>
      </c>
      <c r="B1613" s="63">
        <v>44377.0</v>
      </c>
      <c r="C1613" s="62" t="s">
        <v>108</v>
      </c>
      <c r="D1613" s="64">
        <v>0.0</v>
      </c>
      <c r="E1613" s="62" t="s">
        <v>114</v>
      </c>
      <c r="F1613" s="62" t="s">
        <v>110</v>
      </c>
      <c r="G1613" s="64" t="s">
        <v>60</v>
      </c>
      <c r="H1613" s="3" t="s">
        <v>67</v>
      </c>
      <c r="I1613" s="65">
        <f>IFERROR(VLOOKUP(A1613,'3. Call duration'!$A:$C,3,0),"--")</f>
        <v>26.16926489</v>
      </c>
      <c r="J1613" s="65" t="str">
        <f t="array" ref="J1613">XLOOKUP(H1613,'2. Matching'!$A$2:$A$39,'2. Matching'!$B$2:$B$39,"--")</f>
        <v>Acquisition</v>
      </c>
      <c r="K1613" s="65" t="str">
        <f t="shared" si="1"/>
        <v>In</v>
      </c>
    </row>
    <row r="1614">
      <c r="A1614" s="62" t="s">
        <v>1752</v>
      </c>
      <c r="B1614" s="63">
        <v>44342.0</v>
      </c>
      <c r="C1614" s="62" t="s">
        <v>119</v>
      </c>
      <c r="D1614" s="64">
        <v>47.5</v>
      </c>
      <c r="E1614" s="62" t="s">
        <v>109</v>
      </c>
      <c r="F1614" s="62" t="s">
        <v>115</v>
      </c>
      <c r="G1614" s="64" t="s">
        <v>64</v>
      </c>
      <c r="H1614" s="3" t="s">
        <v>169</v>
      </c>
      <c r="I1614" s="65">
        <f>IFERROR(VLOOKUP(A1614,'3. Call duration'!$A:$C,3,0),"--")</f>
        <v>23.24180166</v>
      </c>
      <c r="J1614" s="65" t="str">
        <f t="array" ref="J1614">XLOOKUP(H1614,'2. Matching'!$A$2:$A$39,'2. Matching'!$B$2:$B$39,"--")</f>
        <v>SEO</v>
      </c>
      <c r="K1614" s="65" t="str">
        <f t="shared" si="1"/>
        <v>In</v>
      </c>
    </row>
    <row r="1615">
      <c r="A1615" s="62" t="s">
        <v>1753</v>
      </c>
      <c r="B1615" s="63">
        <v>44294.0</v>
      </c>
      <c r="C1615" s="62" t="s">
        <v>112</v>
      </c>
      <c r="D1615" s="64">
        <v>0.0</v>
      </c>
      <c r="E1615" s="62" t="s">
        <v>109</v>
      </c>
      <c r="F1615" s="62" t="s">
        <v>110</v>
      </c>
      <c r="G1615" s="64" t="s">
        <v>64</v>
      </c>
      <c r="H1615" s="3" t="s">
        <v>141</v>
      </c>
      <c r="I1615" s="65" t="str">
        <f>IFERROR(VLOOKUP(A1615,'3. Call duration'!$A:$C,3,0),"--")</f>
        <v>--</v>
      </c>
      <c r="J1615" s="65" t="str">
        <f t="array" ref="J1615">XLOOKUP(H1615,'2. Matching'!$A$2:$A$39,'2. Matching'!$B$2:$B$39,"--")</f>
        <v>Acquisition</v>
      </c>
      <c r="K1615" s="65" t="str">
        <f t="shared" si="1"/>
        <v>In</v>
      </c>
    </row>
    <row r="1616">
      <c r="A1616" s="62" t="s">
        <v>1754</v>
      </c>
      <c r="B1616" s="63">
        <v>44368.0</v>
      </c>
      <c r="C1616" s="62" t="s">
        <v>108</v>
      </c>
      <c r="D1616" s="64">
        <v>0.0</v>
      </c>
      <c r="E1616" s="62" t="s">
        <v>109</v>
      </c>
      <c r="F1616" s="62" t="s">
        <v>110</v>
      </c>
      <c r="G1616" s="64" t="s">
        <v>61</v>
      </c>
      <c r="H1616" s="3" t="s">
        <v>67</v>
      </c>
      <c r="I1616" s="65">
        <f>IFERROR(VLOOKUP(A1616,'3. Call duration'!$A:$C,3,0),"--")</f>
        <v>24.33456886</v>
      </c>
      <c r="J1616" s="65" t="str">
        <f t="array" ref="J1616">XLOOKUP(H1616,'2. Matching'!$A$2:$A$39,'2. Matching'!$B$2:$B$39,"--")</f>
        <v>Acquisition</v>
      </c>
      <c r="K1616" s="65" t="str">
        <f t="shared" si="1"/>
        <v>In</v>
      </c>
    </row>
    <row r="1617">
      <c r="A1617" s="62" t="s">
        <v>1755</v>
      </c>
      <c r="B1617" s="63">
        <v>44358.0</v>
      </c>
      <c r="C1617" s="62" t="s">
        <v>112</v>
      </c>
      <c r="D1617" s="64">
        <v>0.0</v>
      </c>
      <c r="E1617" s="62" t="s">
        <v>109</v>
      </c>
      <c r="F1617" s="62" t="s">
        <v>110</v>
      </c>
      <c r="G1617" s="64" t="s">
        <v>59</v>
      </c>
      <c r="H1617" s="3" t="s">
        <v>68</v>
      </c>
      <c r="I1617" s="65" t="str">
        <f>IFERROR(VLOOKUP(A1617,'3. Call duration'!$A:$C,3,0),"--")</f>
        <v>--</v>
      </c>
      <c r="J1617" s="65" t="str">
        <f t="array" ref="J1617">XLOOKUP(H1617,'2. Matching'!$A$2:$A$39,'2. Matching'!$B$2:$B$39,"--")</f>
        <v>Acquisition</v>
      </c>
      <c r="K1617" s="65" t="str">
        <f t="shared" si="1"/>
        <v>In</v>
      </c>
    </row>
    <row r="1618">
      <c r="A1618" s="62" t="s">
        <v>1756</v>
      </c>
      <c r="B1618" s="63">
        <v>44305.0</v>
      </c>
      <c r="C1618" s="62" t="s">
        <v>108</v>
      </c>
      <c r="D1618" s="64">
        <v>0.0</v>
      </c>
      <c r="E1618" s="62" t="s">
        <v>114</v>
      </c>
      <c r="F1618" s="62" t="s">
        <v>110</v>
      </c>
      <c r="G1618" s="64" t="s">
        <v>64</v>
      </c>
      <c r="H1618" s="3" t="s">
        <v>297</v>
      </c>
      <c r="I1618" s="65">
        <f>IFERROR(VLOOKUP(A1618,'3. Call duration'!$A:$C,3,0),"--")</f>
        <v>12.26734094</v>
      </c>
      <c r="J1618" s="65" t="str">
        <f t="array" ref="J1618">XLOOKUP(H1618,'2. Matching'!$A$2:$A$39,'2. Matching'!$B$2:$B$39,"--")</f>
        <v>Farming</v>
      </c>
      <c r="K1618" s="65" t="str">
        <f t="shared" si="1"/>
        <v>In</v>
      </c>
    </row>
    <row r="1619">
      <c r="A1619" s="62" t="s">
        <v>1757</v>
      </c>
      <c r="B1619" s="63">
        <v>44260.0</v>
      </c>
      <c r="C1619" s="62" t="s">
        <v>112</v>
      </c>
      <c r="D1619" s="64">
        <v>0.0</v>
      </c>
      <c r="E1619" s="62" t="s">
        <v>114</v>
      </c>
      <c r="F1619" s="62" t="s">
        <v>110</v>
      </c>
      <c r="G1619" s="64" t="s">
        <v>64</v>
      </c>
      <c r="H1619" s="3" t="s">
        <v>54</v>
      </c>
      <c r="I1619" s="65" t="str">
        <f>IFERROR(VLOOKUP(A1619,'3. Call duration'!$A:$C,3,0),"--")</f>
        <v>--</v>
      </c>
      <c r="J1619" s="65" t="str">
        <f t="array" ref="J1619">XLOOKUP(H1619,'2. Matching'!$A$2:$A$39,'2. Matching'!$B$2:$B$39,"--")</f>
        <v>Partnerships</v>
      </c>
      <c r="K1619" s="65" t="str">
        <f t="shared" si="1"/>
        <v>In</v>
      </c>
    </row>
    <row r="1620">
      <c r="A1620" s="62" t="s">
        <v>1758</v>
      </c>
      <c r="B1620" s="63">
        <v>44169.0</v>
      </c>
      <c r="C1620" s="62" t="s">
        <v>112</v>
      </c>
      <c r="D1620" s="64">
        <v>0.0</v>
      </c>
      <c r="E1620" s="62" t="s">
        <v>109</v>
      </c>
      <c r="F1620" s="62" t="s">
        <v>110</v>
      </c>
      <c r="G1620" s="64" t="s">
        <v>64</v>
      </c>
      <c r="H1620" s="3" t="s">
        <v>139</v>
      </c>
      <c r="I1620" s="65" t="str">
        <f>IFERROR(VLOOKUP(A1620,'3. Call duration'!$A:$C,3,0),"--")</f>
        <v>--</v>
      </c>
      <c r="J1620" s="65" t="str">
        <f t="array" ref="J1620">XLOOKUP(H1620,'2. Matching'!$A$2:$A$39,'2. Matching'!$B$2:$B$39,"--")</f>
        <v>Acquisition</v>
      </c>
      <c r="K1620" s="65" t="str">
        <f t="shared" si="1"/>
        <v>In</v>
      </c>
    </row>
    <row r="1621">
      <c r="A1621" s="62" t="s">
        <v>1759</v>
      </c>
      <c r="B1621" s="63">
        <v>44359.0</v>
      </c>
      <c r="C1621" s="62" t="s">
        <v>108</v>
      </c>
      <c r="D1621" s="64">
        <v>0.0</v>
      </c>
      <c r="E1621" s="62" t="s">
        <v>109</v>
      </c>
      <c r="F1621" s="62" t="s">
        <v>115</v>
      </c>
      <c r="G1621" s="64" t="s">
        <v>59</v>
      </c>
      <c r="H1621" s="3" t="s">
        <v>68</v>
      </c>
      <c r="I1621" s="65">
        <f>IFERROR(VLOOKUP(A1621,'3. Call duration'!$A:$C,3,0),"--")</f>
        <v>25.90460101</v>
      </c>
      <c r="J1621" s="65" t="str">
        <f t="array" ref="J1621">XLOOKUP(H1621,'2. Matching'!$A$2:$A$39,'2. Matching'!$B$2:$B$39,"--")</f>
        <v>Acquisition</v>
      </c>
      <c r="K1621" s="65" t="str">
        <f t="shared" si="1"/>
        <v>In</v>
      </c>
    </row>
    <row r="1622">
      <c r="A1622" s="62" t="s">
        <v>1760</v>
      </c>
      <c r="B1622" s="63">
        <v>44347.0</v>
      </c>
      <c r="C1622" s="62" t="s">
        <v>119</v>
      </c>
      <c r="D1622" s="64">
        <v>47.5</v>
      </c>
      <c r="E1622" s="62" t="s">
        <v>109</v>
      </c>
      <c r="F1622" s="62" t="s">
        <v>115</v>
      </c>
      <c r="G1622" s="64" t="s">
        <v>64</v>
      </c>
      <c r="H1622" s="3" t="s">
        <v>175</v>
      </c>
      <c r="I1622" s="65">
        <f>IFERROR(VLOOKUP(A1622,'3. Call duration'!$A:$C,3,0),"--")</f>
        <v>23.27580202</v>
      </c>
      <c r="J1622" s="65" t="str">
        <f t="array" ref="J1622">XLOOKUP(H1622,'2. Matching'!$A$2:$A$39,'2. Matching'!$B$2:$B$39,"--")</f>
        <v>SEO</v>
      </c>
      <c r="K1622" s="65" t="str">
        <f t="shared" si="1"/>
        <v>In</v>
      </c>
    </row>
    <row r="1623">
      <c r="A1623" s="62" t="s">
        <v>1761</v>
      </c>
      <c r="B1623" s="63">
        <v>44330.0</v>
      </c>
      <c r="C1623" s="62" t="s">
        <v>119</v>
      </c>
      <c r="D1623" s="64">
        <v>95.0</v>
      </c>
      <c r="E1623" s="62" t="s">
        <v>114</v>
      </c>
      <c r="F1623" s="62" t="s">
        <v>115</v>
      </c>
      <c r="G1623" s="64" t="s">
        <v>64</v>
      </c>
      <c r="H1623" s="3" t="s">
        <v>175</v>
      </c>
      <c r="I1623" s="65">
        <f>IFERROR(VLOOKUP(A1623,'3. Call duration'!$A:$C,3,0),"--")</f>
        <v>23.28481271</v>
      </c>
      <c r="J1623" s="65" t="str">
        <f t="array" ref="J1623">XLOOKUP(H1623,'2. Matching'!$A$2:$A$39,'2. Matching'!$B$2:$B$39,"--")</f>
        <v>SEO</v>
      </c>
      <c r="K1623" s="65" t="str">
        <f t="shared" si="1"/>
        <v>In</v>
      </c>
    </row>
    <row r="1624">
      <c r="A1624" s="62" t="s">
        <v>1762</v>
      </c>
      <c r="B1624" s="63">
        <v>44327.0</v>
      </c>
      <c r="C1624" s="62" t="s">
        <v>108</v>
      </c>
      <c r="D1624" s="64">
        <v>0.0</v>
      </c>
      <c r="E1624" s="62" t="s">
        <v>114</v>
      </c>
      <c r="F1624" s="62" t="s">
        <v>110</v>
      </c>
      <c r="G1624" s="64" t="s">
        <v>64</v>
      </c>
      <c r="H1624" s="3" t="s">
        <v>52</v>
      </c>
      <c r="I1624" s="65">
        <f>IFERROR(VLOOKUP(A1624,'3. Call duration'!$A:$C,3,0),"--")</f>
        <v>23.28754915</v>
      </c>
      <c r="J1624" s="65" t="str">
        <f t="array" ref="J1624">XLOOKUP(H1624,'2. Matching'!$A$2:$A$39,'2. Matching'!$B$2:$B$39,"--")</f>
        <v>Partnerships</v>
      </c>
      <c r="K1624" s="65" t="str">
        <f t="shared" si="1"/>
        <v>In</v>
      </c>
    </row>
    <row r="1625">
      <c r="A1625" s="62" t="s">
        <v>1763</v>
      </c>
      <c r="B1625" s="63">
        <v>44285.0</v>
      </c>
      <c r="C1625" s="62" t="s">
        <v>112</v>
      </c>
      <c r="D1625" s="64">
        <v>0.0</v>
      </c>
      <c r="E1625" s="62" t="s">
        <v>114</v>
      </c>
      <c r="F1625" s="62" t="s">
        <v>110</v>
      </c>
      <c r="G1625" s="64" t="s">
        <v>64</v>
      </c>
      <c r="H1625" s="3" t="s">
        <v>297</v>
      </c>
      <c r="I1625" s="65" t="str">
        <f>IFERROR(VLOOKUP(A1625,'3. Call duration'!$A:$C,3,0),"--")</f>
        <v>--</v>
      </c>
      <c r="J1625" s="65" t="str">
        <f t="array" ref="J1625">XLOOKUP(H1625,'2. Matching'!$A$2:$A$39,'2. Matching'!$B$2:$B$39,"--")</f>
        <v>Farming</v>
      </c>
      <c r="K1625" s="65" t="str">
        <f t="shared" si="1"/>
        <v>In</v>
      </c>
    </row>
    <row r="1626">
      <c r="A1626" s="62" t="s">
        <v>1764</v>
      </c>
      <c r="B1626" s="63">
        <v>44204.0</v>
      </c>
      <c r="C1626" s="62" t="s">
        <v>108</v>
      </c>
      <c r="D1626" s="64">
        <v>0.0</v>
      </c>
      <c r="E1626" s="62" t="s">
        <v>109</v>
      </c>
      <c r="F1626" s="62" t="s">
        <v>115</v>
      </c>
      <c r="G1626" s="64" t="s">
        <v>64</v>
      </c>
      <c r="H1626" s="3" t="s">
        <v>221</v>
      </c>
      <c r="I1626" s="65">
        <f>IFERROR(VLOOKUP(A1626,'3. Call duration'!$A:$C,3,0),"--")</f>
        <v>21.88737742</v>
      </c>
      <c r="J1626" s="65" t="str">
        <f t="array" ref="J1626">XLOOKUP(H1626,'2. Matching'!$A$2:$A$39,'2. Matching'!$B$2:$B$39,"--")</f>
        <v>Farming</v>
      </c>
      <c r="K1626" s="65" t="str">
        <f t="shared" si="1"/>
        <v>In</v>
      </c>
    </row>
    <row r="1627">
      <c r="A1627" s="62" t="s">
        <v>1765</v>
      </c>
      <c r="B1627" s="63">
        <v>44348.0</v>
      </c>
      <c r="C1627" s="62" t="s">
        <v>112</v>
      </c>
      <c r="D1627" s="64">
        <v>0.0</v>
      </c>
      <c r="E1627" s="62" t="s">
        <v>109</v>
      </c>
      <c r="F1627" s="62" t="s">
        <v>110</v>
      </c>
      <c r="G1627" s="64" t="s">
        <v>63</v>
      </c>
      <c r="H1627" s="3" t="s">
        <v>183</v>
      </c>
      <c r="I1627" s="65" t="str">
        <f>IFERROR(VLOOKUP(A1627,'3. Call duration'!$A:$C,3,0),"--")</f>
        <v>--</v>
      </c>
      <c r="J1627" s="65" t="str">
        <f t="array" ref="J1627">XLOOKUP(H1627,'2. Matching'!$A$2:$A$39,'2. Matching'!$B$2:$B$39,"--")</f>
        <v>SEO</v>
      </c>
      <c r="K1627" s="65" t="str">
        <f t="shared" si="1"/>
        <v>In</v>
      </c>
    </row>
    <row r="1628">
      <c r="A1628" s="62" t="s">
        <v>1766</v>
      </c>
      <c r="B1628" s="63">
        <v>44076.0</v>
      </c>
      <c r="C1628" s="62" t="s">
        <v>108</v>
      </c>
      <c r="D1628" s="64">
        <v>0.0</v>
      </c>
      <c r="E1628" s="62" t="s">
        <v>109</v>
      </c>
      <c r="F1628" s="62" t="s">
        <v>115</v>
      </c>
      <c r="G1628" s="64" t="s">
        <v>64</v>
      </c>
      <c r="H1628" s="3" t="s">
        <v>139</v>
      </c>
      <c r="I1628" s="65" t="str">
        <f>IFERROR(VLOOKUP(A1628,'3. Call duration'!$A:$C,3,0),"--")</f>
        <v>--</v>
      </c>
      <c r="J1628" s="65" t="str">
        <f t="array" ref="J1628">XLOOKUP(H1628,'2. Matching'!$A$2:$A$39,'2. Matching'!$B$2:$B$39,"--")</f>
        <v>Acquisition</v>
      </c>
      <c r="K1628" s="65" t="str">
        <f t="shared" si="1"/>
        <v>In</v>
      </c>
    </row>
    <row r="1629">
      <c r="A1629" s="62" t="s">
        <v>1767</v>
      </c>
      <c r="B1629" s="63">
        <v>44266.0</v>
      </c>
      <c r="C1629" s="62" t="s">
        <v>112</v>
      </c>
      <c r="D1629" s="64">
        <v>0.0</v>
      </c>
      <c r="E1629" s="62" t="s">
        <v>114</v>
      </c>
      <c r="F1629" s="62" t="s">
        <v>110</v>
      </c>
      <c r="G1629" s="64" t="s">
        <v>64</v>
      </c>
      <c r="H1629" s="3" t="s">
        <v>297</v>
      </c>
      <c r="I1629" s="65" t="str">
        <f>IFERROR(VLOOKUP(A1629,'3. Call duration'!$A:$C,3,0),"--")</f>
        <v>--</v>
      </c>
      <c r="J1629" s="65" t="str">
        <f t="array" ref="J1629">XLOOKUP(H1629,'2. Matching'!$A$2:$A$39,'2. Matching'!$B$2:$B$39,"--")</f>
        <v>Farming</v>
      </c>
      <c r="K1629" s="65" t="str">
        <f t="shared" si="1"/>
        <v>In</v>
      </c>
    </row>
    <row r="1630">
      <c r="A1630" s="62" t="s">
        <v>1768</v>
      </c>
      <c r="B1630" s="63">
        <v>44147.0</v>
      </c>
      <c r="C1630" s="62" t="s">
        <v>112</v>
      </c>
      <c r="D1630" s="64">
        <v>0.0</v>
      </c>
      <c r="E1630" s="62" t="s">
        <v>114</v>
      </c>
      <c r="F1630" s="62" t="s">
        <v>110</v>
      </c>
      <c r="G1630" s="64" t="s">
        <v>64</v>
      </c>
      <c r="H1630" s="3" t="s">
        <v>145</v>
      </c>
      <c r="I1630" s="65" t="str">
        <f>IFERROR(VLOOKUP(A1630,'3. Call duration'!$A:$C,3,0),"--")</f>
        <v>--</v>
      </c>
      <c r="J1630" s="65" t="str">
        <f t="array" ref="J1630">XLOOKUP(H1630,'2. Matching'!$A$2:$A$39,'2. Matching'!$B$2:$B$39,"--")</f>
        <v>SEO</v>
      </c>
      <c r="K1630" s="65" t="str">
        <f t="shared" si="1"/>
        <v>In</v>
      </c>
    </row>
    <row r="1631">
      <c r="A1631" s="62" t="s">
        <v>1769</v>
      </c>
      <c r="B1631" s="63">
        <v>44337.0</v>
      </c>
      <c r="C1631" s="62" t="s">
        <v>119</v>
      </c>
      <c r="D1631" s="64">
        <v>47.5</v>
      </c>
      <c r="E1631" s="62" t="s">
        <v>109</v>
      </c>
      <c r="F1631" s="62" t="s">
        <v>115</v>
      </c>
      <c r="G1631" s="64" t="s">
        <v>64</v>
      </c>
      <c r="H1631" s="3" t="s">
        <v>55</v>
      </c>
      <c r="I1631" s="65">
        <f>IFERROR(VLOOKUP(A1631,'3. Call duration'!$A:$C,3,0),"--")</f>
        <v>23.29456985</v>
      </c>
      <c r="J1631" s="65" t="str">
        <f t="array" ref="J1631">XLOOKUP(H1631,'2. Matching'!$A$2:$A$39,'2. Matching'!$B$2:$B$39,"--")</f>
        <v>Partnerships</v>
      </c>
      <c r="K1631" s="65" t="str">
        <f t="shared" si="1"/>
        <v>In</v>
      </c>
    </row>
    <row r="1632">
      <c r="A1632" s="62" t="s">
        <v>1770</v>
      </c>
      <c r="B1632" s="63">
        <v>44265.0</v>
      </c>
      <c r="C1632" s="62" t="s">
        <v>112</v>
      </c>
      <c r="D1632" s="64">
        <v>0.0</v>
      </c>
      <c r="E1632" s="62" t="s">
        <v>109</v>
      </c>
      <c r="F1632" s="62" t="s">
        <v>115</v>
      </c>
      <c r="G1632" s="64" t="s">
        <v>64</v>
      </c>
      <c r="H1632" s="3" t="s">
        <v>131</v>
      </c>
      <c r="I1632" s="65" t="str">
        <f>IFERROR(VLOOKUP(A1632,'3. Call duration'!$A:$C,3,0),"--")</f>
        <v>--</v>
      </c>
      <c r="J1632" s="65" t="str">
        <f t="array" ref="J1632">XLOOKUP(H1632,'2. Matching'!$A$2:$A$39,'2. Matching'!$B$2:$B$39,"--")</f>
        <v>Acquisition</v>
      </c>
      <c r="K1632" s="65" t="str">
        <f t="shared" si="1"/>
        <v>In</v>
      </c>
    </row>
    <row r="1633">
      <c r="A1633" s="62" t="s">
        <v>1771</v>
      </c>
      <c r="B1633" s="63">
        <v>44394.0</v>
      </c>
      <c r="C1633" s="62" t="s">
        <v>112</v>
      </c>
      <c r="D1633" s="64">
        <v>0.0</v>
      </c>
      <c r="E1633" s="62" t="s">
        <v>109</v>
      </c>
      <c r="F1633" s="62" t="s">
        <v>110</v>
      </c>
      <c r="G1633" s="64" t="s">
        <v>61</v>
      </c>
      <c r="H1633" s="3" t="s">
        <v>67</v>
      </c>
      <c r="I1633" s="65" t="str">
        <f>IFERROR(VLOOKUP(A1633,'3. Call duration'!$A:$C,3,0),"--")</f>
        <v>--</v>
      </c>
      <c r="J1633" s="65" t="str">
        <f t="array" ref="J1633">XLOOKUP(H1633,'2. Matching'!$A$2:$A$39,'2. Matching'!$B$2:$B$39,"--")</f>
        <v>Acquisition</v>
      </c>
      <c r="K1633" s="65" t="str">
        <f t="shared" si="1"/>
        <v>In</v>
      </c>
    </row>
    <row r="1634">
      <c r="A1634" s="62" t="s">
        <v>1772</v>
      </c>
      <c r="B1634" s="63">
        <v>44382.0</v>
      </c>
      <c r="C1634" s="62" t="s">
        <v>108</v>
      </c>
      <c r="D1634" s="64">
        <v>0.0</v>
      </c>
      <c r="E1634" s="62" t="s">
        <v>114</v>
      </c>
      <c r="F1634" s="62" t="s">
        <v>110</v>
      </c>
      <c r="G1634" s="64" t="s">
        <v>61</v>
      </c>
      <c r="H1634" s="3" t="s">
        <v>69</v>
      </c>
      <c r="I1634" s="65">
        <f>IFERROR(VLOOKUP(A1634,'3. Call duration'!$A:$C,3,0),"--")</f>
        <v>25.07504999</v>
      </c>
      <c r="J1634" s="65" t="str">
        <f t="array" ref="J1634">XLOOKUP(H1634,'2. Matching'!$A$2:$A$39,'2. Matching'!$B$2:$B$39,"--")</f>
        <v>Acquisition</v>
      </c>
      <c r="K1634" s="65" t="str">
        <f t="shared" si="1"/>
        <v>In</v>
      </c>
    </row>
    <row r="1635">
      <c r="A1635" s="62" t="s">
        <v>1773</v>
      </c>
      <c r="B1635" s="63">
        <v>44111.0</v>
      </c>
      <c r="C1635" s="62" t="s">
        <v>108</v>
      </c>
      <c r="D1635" s="64">
        <v>0.0</v>
      </c>
      <c r="E1635" s="62" t="s">
        <v>114</v>
      </c>
      <c r="F1635" s="62" t="s">
        <v>115</v>
      </c>
      <c r="G1635" s="64" t="s">
        <v>64</v>
      </c>
      <c r="H1635" s="3" t="s">
        <v>139</v>
      </c>
      <c r="I1635" s="65">
        <f>IFERROR(VLOOKUP(A1635,'3. Call duration'!$A:$C,3,0),"--")</f>
        <v>31.73330462</v>
      </c>
      <c r="J1635" s="65" t="str">
        <f t="array" ref="J1635">XLOOKUP(H1635,'2. Matching'!$A$2:$A$39,'2. Matching'!$B$2:$B$39,"--")</f>
        <v>Acquisition</v>
      </c>
      <c r="K1635" s="65" t="str">
        <f t="shared" si="1"/>
        <v>In</v>
      </c>
    </row>
    <row r="1636">
      <c r="A1636" s="62" t="s">
        <v>1774</v>
      </c>
      <c r="B1636" s="63">
        <v>44307.0</v>
      </c>
      <c r="C1636" s="62" t="s">
        <v>112</v>
      </c>
      <c r="D1636" s="64">
        <v>0.0</v>
      </c>
      <c r="E1636" s="62" t="s">
        <v>109</v>
      </c>
      <c r="F1636" s="62" t="s">
        <v>110</v>
      </c>
      <c r="G1636" s="64" t="s">
        <v>64</v>
      </c>
      <c r="H1636" s="3" t="s">
        <v>145</v>
      </c>
      <c r="I1636" s="65" t="str">
        <f>IFERROR(VLOOKUP(A1636,'3. Call duration'!$A:$C,3,0),"--")</f>
        <v>--</v>
      </c>
      <c r="J1636" s="65" t="str">
        <f t="array" ref="J1636">XLOOKUP(H1636,'2. Matching'!$A$2:$A$39,'2. Matching'!$B$2:$B$39,"--")</f>
        <v>SEO</v>
      </c>
      <c r="K1636" s="65" t="str">
        <f t="shared" si="1"/>
        <v>In</v>
      </c>
    </row>
    <row r="1637">
      <c r="A1637" s="62" t="s">
        <v>1775</v>
      </c>
      <c r="B1637" s="63">
        <v>44344.0</v>
      </c>
      <c r="C1637" s="62" t="s">
        <v>119</v>
      </c>
      <c r="D1637" s="64">
        <v>95.0</v>
      </c>
      <c r="E1637" s="62" t="s">
        <v>114</v>
      </c>
      <c r="F1637" s="62" t="s">
        <v>115</v>
      </c>
      <c r="G1637" s="64" t="s">
        <v>64</v>
      </c>
      <c r="H1637" s="3" t="s">
        <v>139</v>
      </c>
      <c r="I1637" s="65">
        <f>IFERROR(VLOOKUP(A1637,'3. Call duration'!$A:$C,3,0),"--")</f>
        <v>23.32436218</v>
      </c>
      <c r="J1637" s="65" t="str">
        <f t="array" ref="J1637">XLOOKUP(H1637,'2. Matching'!$A$2:$A$39,'2. Matching'!$B$2:$B$39,"--")</f>
        <v>Acquisition</v>
      </c>
      <c r="K1637" s="65" t="str">
        <f t="shared" si="1"/>
        <v>In</v>
      </c>
    </row>
    <row r="1638">
      <c r="A1638" s="62" t="s">
        <v>1776</v>
      </c>
      <c r="B1638" s="63">
        <v>44359.0</v>
      </c>
      <c r="C1638" s="62" t="s">
        <v>108</v>
      </c>
      <c r="D1638" s="64">
        <v>0.0</v>
      </c>
      <c r="E1638" s="62" t="s">
        <v>109</v>
      </c>
      <c r="F1638" s="62" t="s">
        <v>115</v>
      </c>
      <c r="G1638" s="64" t="s">
        <v>60</v>
      </c>
      <c r="H1638" s="3" t="s">
        <v>68</v>
      </c>
      <c r="I1638" s="65">
        <f>IFERROR(VLOOKUP(A1638,'3. Call duration'!$A:$C,3,0),"--")</f>
        <v>20.95430799</v>
      </c>
      <c r="J1638" s="65" t="str">
        <f t="array" ref="J1638">XLOOKUP(H1638,'2. Matching'!$A$2:$A$39,'2. Matching'!$B$2:$B$39,"--")</f>
        <v>Acquisition</v>
      </c>
      <c r="K1638" s="65" t="str">
        <f t="shared" si="1"/>
        <v>In</v>
      </c>
    </row>
    <row r="1639">
      <c r="A1639" s="62" t="s">
        <v>1777</v>
      </c>
      <c r="B1639" s="63">
        <v>44205.0</v>
      </c>
      <c r="C1639" s="62" t="s">
        <v>112</v>
      </c>
      <c r="D1639" s="64">
        <v>0.0</v>
      </c>
      <c r="E1639" s="62" t="s">
        <v>109</v>
      </c>
      <c r="F1639" s="62" t="s">
        <v>110</v>
      </c>
      <c r="G1639" s="64" t="s">
        <v>64</v>
      </c>
      <c r="H1639" s="3" t="s">
        <v>169</v>
      </c>
      <c r="I1639" s="65" t="str">
        <f>IFERROR(VLOOKUP(A1639,'3. Call duration'!$A:$C,3,0),"--")</f>
        <v>--</v>
      </c>
      <c r="J1639" s="65" t="str">
        <f t="array" ref="J1639">XLOOKUP(H1639,'2. Matching'!$A$2:$A$39,'2. Matching'!$B$2:$B$39,"--")</f>
        <v>SEO</v>
      </c>
      <c r="K1639" s="65" t="str">
        <f t="shared" si="1"/>
        <v>In</v>
      </c>
    </row>
    <row r="1640">
      <c r="A1640" s="62" t="s">
        <v>1778</v>
      </c>
      <c r="B1640" s="63">
        <v>44343.0</v>
      </c>
      <c r="C1640" s="62" t="s">
        <v>119</v>
      </c>
      <c r="D1640" s="64">
        <v>95.0</v>
      </c>
      <c r="E1640" s="62" t="s">
        <v>114</v>
      </c>
      <c r="F1640" s="62" t="s">
        <v>110</v>
      </c>
      <c r="G1640" s="64" t="s">
        <v>64</v>
      </c>
      <c r="H1640" s="3" t="s">
        <v>175</v>
      </c>
      <c r="I1640" s="65">
        <f>IFERROR(VLOOKUP(A1640,'3. Call duration'!$A:$C,3,0),"--")</f>
        <v>23.34664238</v>
      </c>
      <c r="J1640" s="65" t="str">
        <f t="array" ref="J1640">XLOOKUP(H1640,'2. Matching'!$A$2:$A$39,'2. Matching'!$B$2:$B$39,"--")</f>
        <v>SEO</v>
      </c>
      <c r="K1640" s="65" t="str">
        <f t="shared" si="1"/>
        <v>In</v>
      </c>
    </row>
    <row r="1641">
      <c r="A1641" s="62" t="s">
        <v>1779</v>
      </c>
      <c r="B1641" s="63">
        <v>44384.0</v>
      </c>
      <c r="C1641" s="62" t="s">
        <v>112</v>
      </c>
      <c r="D1641" s="64">
        <v>0.0</v>
      </c>
      <c r="E1641" s="62" t="s">
        <v>109</v>
      </c>
      <c r="F1641" s="62" t="s">
        <v>110</v>
      </c>
      <c r="G1641" s="64" t="s">
        <v>60</v>
      </c>
      <c r="H1641" s="3" t="s">
        <v>68</v>
      </c>
      <c r="I1641" s="65" t="str">
        <f>IFERROR(VLOOKUP(A1641,'3. Call duration'!$A:$C,3,0),"--")</f>
        <v>--</v>
      </c>
      <c r="J1641" s="65" t="str">
        <f t="array" ref="J1641">XLOOKUP(H1641,'2. Matching'!$A$2:$A$39,'2. Matching'!$B$2:$B$39,"--")</f>
        <v>Acquisition</v>
      </c>
      <c r="K1641" s="65" t="str">
        <f t="shared" si="1"/>
        <v>In</v>
      </c>
    </row>
    <row r="1642">
      <c r="A1642" s="62" t="s">
        <v>1780</v>
      </c>
      <c r="B1642" s="63">
        <v>44245.0</v>
      </c>
      <c r="C1642" s="62" t="s">
        <v>112</v>
      </c>
      <c r="D1642" s="64">
        <v>0.0</v>
      </c>
      <c r="E1642" s="62" t="s">
        <v>109</v>
      </c>
      <c r="F1642" s="62" t="s">
        <v>115</v>
      </c>
      <c r="G1642" s="64" t="s">
        <v>64</v>
      </c>
      <c r="H1642" s="3" t="s">
        <v>139</v>
      </c>
      <c r="I1642" s="65" t="str">
        <f>IFERROR(VLOOKUP(A1642,'3. Call duration'!$A:$C,3,0),"--")</f>
        <v>--</v>
      </c>
      <c r="J1642" s="65" t="str">
        <f t="array" ref="J1642">XLOOKUP(H1642,'2. Matching'!$A$2:$A$39,'2. Matching'!$B$2:$B$39,"--")</f>
        <v>Acquisition</v>
      </c>
      <c r="K1642" s="65" t="str">
        <f t="shared" si="1"/>
        <v>In</v>
      </c>
    </row>
    <row r="1643">
      <c r="A1643" s="62" t="s">
        <v>1781</v>
      </c>
      <c r="B1643" s="63">
        <v>44393.0</v>
      </c>
      <c r="C1643" s="62" t="s">
        <v>112</v>
      </c>
      <c r="D1643" s="64">
        <v>0.0</v>
      </c>
      <c r="E1643" s="62" t="s">
        <v>109</v>
      </c>
      <c r="F1643" s="62" t="s">
        <v>110</v>
      </c>
      <c r="G1643" s="64" t="s">
        <v>60</v>
      </c>
      <c r="H1643" s="3" t="s">
        <v>67</v>
      </c>
      <c r="I1643" s="65" t="str">
        <f>IFERROR(VLOOKUP(A1643,'3. Call duration'!$A:$C,3,0),"--")</f>
        <v>--</v>
      </c>
      <c r="J1643" s="65" t="str">
        <f t="array" ref="J1643">XLOOKUP(H1643,'2. Matching'!$A$2:$A$39,'2. Matching'!$B$2:$B$39,"--")</f>
        <v>Acquisition</v>
      </c>
      <c r="K1643" s="65" t="str">
        <f t="shared" si="1"/>
        <v>In</v>
      </c>
    </row>
    <row r="1644">
      <c r="A1644" s="62" t="s">
        <v>1782</v>
      </c>
      <c r="B1644" s="63">
        <v>44226.0</v>
      </c>
      <c r="C1644" s="62" t="s">
        <v>112</v>
      </c>
      <c r="D1644" s="64">
        <v>0.0</v>
      </c>
      <c r="E1644" s="62" t="s">
        <v>109</v>
      </c>
      <c r="F1644" s="62" t="s">
        <v>110</v>
      </c>
      <c r="G1644" s="64" t="s">
        <v>59</v>
      </c>
      <c r="H1644" s="3" t="s">
        <v>68</v>
      </c>
      <c r="I1644" s="65" t="str">
        <f>IFERROR(VLOOKUP(A1644,'3. Call duration'!$A:$C,3,0),"--")</f>
        <v>--</v>
      </c>
      <c r="J1644" s="65" t="str">
        <f t="array" ref="J1644">XLOOKUP(H1644,'2. Matching'!$A$2:$A$39,'2. Matching'!$B$2:$B$39,"--")</f>
        <v>Acquisition</v>
      </c>
      <c r="K1644" s="65" t="str">
        <f t="shared" si="1"/>
        <v>In</v>
      </c>
    </row>
    <row r="1645">
      <c r="A1645" s="62" t="s">
        <v>1783</v>
      </c>
      <c r="B1645" s="63">
        <v>44221.0</v>
      </c>
      <c r="C1645" s="62" t="s">
        <v>112</v>
      </c>
      <c r="D1645" s="64">
        <v>0.0</v>
      </c>
      <c r="E1645" s="62" t="s">
        <v>109</v>
      </c>
      <c r="F1645" s="62" t="s">
        <v>110</v>
      </c>
      <c r="G1645" s="64" t="s">
        <v>64</v>
      </c>
      <c r="H1645" s="3" t="s">
        <v>221</v>
      </c>
      <c r="I1645" s="65" t="str">
        <f>IFERROR(VLOOKUP(A1645,'3. Call duration'!$A:$C,3,0),"--")</f>
        <v>--</v>
      </c>
      <c r="J1645" s="65" t="str">
        <f t="array" ref="J1645">XLOOKUP(H1645,'2. Matching'!$A$2:$A$39,'2. Matching'!$B$2:$B$39,"--")</f>
        <v>Farming</v>
      </c>
      <c r="K1645" s="65" t="str">
        <f t="shared" si="1"/>
        <v>In</v>
      </c>
    </row>
    <row r="1646">
      <c r="A1646" s="62" t="s">
        <v>1784</v>
      </c>
      <c r="B1646" s="63">
        <v>44334.0</v>
      </c>
      <c r="C1646" s="62" t="s">
        <v>119</v>
      </c>
      <c r="D1646" s="64">
        <v>47.5</v>
      </c>
      <c r="E1646" s="62" t="s">
        <v>109</v>
      </c>
      <c r="F1646" s="62" t="s">
        <v>115</v>
      </c>
      <c r="G1646" s="64" t="s">
        <v>64</v>
      </c>
      <c r="H1646" s="3" t="s">
        <v>169</v>
      </c>
      <c r="I1646" s="65">
        <f>IFERROR(VLOOKUP(A1646,'3. Call duration'!$A:$C,3,0),"--")</f>
        <v>23.41653493</v>
      </c>
      <c r="J1646" s="65" t="str">
        <f t="array" ref="J1646">XLOOKUP(H1646,'2. Matching'!$A$2:$A$39,'2. Matching'!$B$2:$B$39,"--")</f>
        <v>SEO</v>
      </c>
      <c r="K1646" s="65" t="str">
        <f t="shared" si="1"/>
        <v>In</v>
      </c>
    </row>
    <row r="1647">
      <c r="A1647" s="62" t="s">
        <v>1785</v>
      </c>
      <c r="B1647" s="63">
        <v>44228.0</v>
      </c>
      <c r="C1647" s="62" t="s">
        <v>112</v>
      </c>
      <c r="D1647" s="64">
        <v>0.0</v>
      </c>
      <c r="E1647" s="62" t="s">
        <v>114</v>
      </c>
      <c r="F1647" s="62" t="s">
        <v>110</v>
      </c>
      <c r="G1647" s="64" t="s">
        <v>61</v>
      </c>
      <c r="H1647" s="3" t="s">
        <v>69</v>
      </c>
      <c r="I1647" s="65" t="str">
        <f>IFERROR(VLOOKUP(A1647,'3. Call duration'!$A:$C,3,0),"--")</f>
        <v>--</v>
      </c>
      <c r="J1647" s="65" t="str">
        <f t="array" ref="J1647">XLOOKUP(H1647,'2. Matching'!$A$2:$A$39,'2. Matching'!$B$2:$B$39,"--")</f>
        <v>Acquisition</v>
      </c>
      <c r="K1647" s="65" t="str">
        <f t="shared" si="1"/>
        <v>In</v>
      </c>
    </row>
    <row r="1648">
      <c r="A1648" s="62" t="s">
        <v>1786</v>
      </c>
      <c r="B1648" s="63">
        <v>44340.0</v>
      </c>
      <c r="C1648" s="62" t="s">
        <v>119</v>
      </c>
      <c r="D1648" s="64">
        <v>47.5</v>
      </c>
      <c r="E1648" s="62" t="s">
        <v>109</v>
      </c>
      <c r="F1648" s="62" t="s">
        <v>115</v>
      </c>
      <c r="G1648" s="64" t="s">
        <v>64</v>
      </c>
      <c r="H1648" s="3" t="s">
        <v>139</v>
      </c>
      <c r="I1648" s="65">
        <f>IFERROR(VLOOKUP(A1648,'3. Call duration'!$A:$C,3,0),"--")</f>
        <v>23.45049413</v>
      </c>
      <c r="J1648" s="65" t="str">
        <f t="array" ref="J1648">XLOOKUP(H1648,'2. Matching'!$A$2:$A$39,'2. Matching'!$B$2:$B$39,"--")</f>
        <v>Acquisition</v>
      </c>
      <c r="K1648" s="65" t="str">
        <f t="shared" si="1"/>
        <v>In</v>
      </c>
    </row>
    <row r="1649">
      <c r="A1649" s="62" t="s">
        <v>1787</v>
      </c>
      <c r="B1649" s="63">
        <v>44354.0</v>
      </c>
      <c r="C1649" s="62" t="s">
        <v>112</v>
      </c>
      <c r="D1649" s="64">
        <v>0.0</v>
      </c>
      <c r="E1649" s="62" t="s">
        <v>114</v>
      </c>
      <c r="F1649" s="62" t="s">
        <v>115</v>
      </c>
      <c r="G1649" s="64" t="s">
        <v>64</v>
      </c>
      <c r="H1649" s="3" t="s">
        <v>185</v>
      </c>
      <c r="I1649" s="65" t="str">
        <f>IFERROR(VLOOKUP(A1649,'3. Call duration'!$A:$C,3,0),"--")</f>
        <v>--</v>
      </c>
      <c r="J1649" s="65" t="str">
        <f t="array" ref="J1649">XLOOKUP(H1649,'2. Matching'!$A$2:$A$39,'2. Matching'!$B$2:$B$39,"--")</f>
        <v>SEO</v>
      </c>
      <c r="K1649" s="65" t="str">
        <f t="shared" si="1"/>
        <v>In</v>
      </c>
    </row>
    <row r="1650">
      <c r="A1650" s="62" t="s">
        <v>1788</v>
      </c>
      <c r="B1650" s="63">
        <v>44349.0</v>
      </c>
      <c r="C1650" s="62" t="s">
        <v>112</v>
      </c>
      <c r="D1650" s="64">
        <v>0.0</v>
      </c>
      <c r="E1650" s="62" t="s">
        <v>114</v>
      </c>
      <c r="F1650" s="62" t="s">
        <v>110</v>
      </c>
      <c r="G1650" s="64" t="s">
        <v>60</v>
      </c>
      <c r="H1650" s="3" t="s">
        <v>67</v>
      </c>
      <c r="I1650" s="65" t="str">
        <f>IFERROR(VLOOKUP(A1650,'3. Call duration'!$A:$C,3,0),"--")</f>
        <v>--</v>
      </c>
      <c r="J1650" s="65" t="str">
        <f t="array" ref="J1650">XLOOKUP(H1650,'2. Matching'!$A$2:$A$39,'2. Matching'!$B$2:$B$39,"--")</f>
        <v>Acquisition</v>
      </c>
      <c r="K1650" s="65" t="str">
        <f t="shared" si="1"/>
        <v>In</v>
      </c>
    </row>
    <row r="1651">
      <c r="A1651" s="62" t="s">
        <v>1789</v>
      </c>
      <c r="B1651" s="63">
        <v>44375.0</v>
      </c>
      <c r="C1651" s="62" t="s">
        <v>112</v>
      </c>
      <c r="D1651" s="64">
        <v>0.0</v>
      </c>
      <c r="E1651" s="62" t="s">
        <v>109</v>
      </c>
      <c r="F1651" s="62" t="s">
        <v>110</v>
      </c>
      <c r="G1651" s="64" t="s">
        <v>60</v>
      </c>
      <c r="H1651" s="3" t="s">
        <v>67</v>
      </c>
      <c r="I1651" s="65" t="str">
        <f>IFERROR(VLOOKUP(A1651,'3. Call duration'!$A:$C,3,0),"--")</f>
        <v>--</v>
      </c>
      <c r="J1651" s="65" t="str">
        <f t="array" ref="J1651">XLOOKUP(H1651,'2. Matching'!$A$2:$A$39,'2. Matching'!$B$2:$B$39,"--")</f>
        <v>Acquisition</v>
      </c>
      <c r="K1651" s="65" t="str">
        <f t="shared" si="1"/>
        <v>In</v>
      </c>
    </row>
    <row r="1652">
      <c r="A1652" s="62" t="s">
        <v>1790</v>
      </c>
      <c r="B1652" s="63">
        <v>44229.0</v>
      </c>
      <c r="C1652" s="62" t="s">
        <v>112</v>
      </c>
      <c r="D1652" s="64">
        <v>0.0</v>
      </c>
      <c r="E1652" s="62" t="s">
        <v>114</v>
      </c>
      <c r="F1652" s="62" t="s">
        <v>110</v>
      </c>
      <c r="G1652" s="64" t="s">
        <v>64</v>
      </c>
      <c r="H1652" s="3" t="s">
        <v>139</v>
      </c>
      <c r="I1652" s="65" t="str">
        <f>IFERROR(VLOOKUP(A1652,'3. Call duration'!$A:$C,3,0),"--")</f>
        <v>--</v>
      </c>
      <c r="J1652" s="65" t="str">
        <f t="array" ref="J1652">XLOOKUP(H1652,'2. Matching'!$A$2:$A$39,'2. Matching'!$B$2:$B$39,"--")</f>
        <v>Acquisition</v>
      </c>
      <c r="K1652" s="65" t="str">
        <f t="shared" si="1"/>
        <v>In</v>
      </c>
    </row>
    <row r="1653">
      <c r="A1653" s="62" t="s">
        <v>1791</v>
      </c>
      <c r="B1653" s="63">
        <v>44277.0</v>
      </c>
      <c r="C1653" s="62" t="s">
        <v>112</v>
      </c>
      <c r="D1653" s="64">
        <v>0.0</v>
      </c>
      <c r="E1653" s="62" t="s">
        <v>109</v>
      </c>
      <c r="F1653" s="62" t="s">
        <v>110</v>
      </c>
      <c r="G1653" s="64" t="s">
        <v>64</v>
      </c>
      <c r="H1653" s="3" t="s">
        <v>155</v>
      </c>
      <c r="I1653" s="65" t="str">
        <f>IFERROR(VLOOKUP(A1653,'3. Call duration'!$A:$C,3,0),"--")</f>
        <v>--</v>
      </c>
      <c r="J1653" s="65" t="str">
        <f t="array" ref="J1653">XLOOKUP(H1653,'2. Matching'!$A$2:$A$39,'2. Matching'!$B$2:$B$39,"--")</f>
        <v>SEO</v>
      </c>
      <c r="K1653" s="65" t="str">
        <f t="shared" si="1"/>
        <v>In</v>
      </c>
    </row>
    <row r="1654">
      <c r="A1654" s="62" t="s">
        <v>1792</v>
      </c>
      <c r="B1654" s="63">
        <v>44363.0</v>
      </c>
      <c r="C1654" s="62" t="s">
        <v>112</v>
      </c>
      <c r="D1654" s="64">
        <v>0.0</v>
      </c>
      <c r="E1654" s="62" t="s">
        <v>114</v>
      </c>
      <c r="F1654" s="62" t="s">
        <v>110</v>
      </c>
      <c r="G1654" s="64" t="s">
        <v>60</v>
      </c>
      <c r="H1654" s="3" t="s">
        <v>67</v>
      </c>
      <c r="I1654" s="65" t="str">
        <f>IFERROR(VLOOKUP(A1654,'3. Call duration'!$A:$C,3,0),"--")</f>
        <v>--</v>
      </c>
      <c r="J1654" s="65" t="str">
        <f t="array" ref="J1654">XLOOKUP(H1654,'2. Matching'!$A$2:$A$39,'2. Matching'!$B$2:$B$39,"--")</f>
        <v>Acquisition</v>
      </c>
      <c r="K1654" s="65" t="str">
        <f t="shared" si="1"/>
        <v>In</v>
      </c>
    </row>
    <row r="1655">
      <c r="A1655" s="62" t="s">
        <v>1793</v>
      </c>
      <c r="B1655" s="63">
        <v>44396.0</v>
      </c>
      <c r="C1655" s="62" t="s">
        <v>112</v>
      </c>
      <c r="D1655" s="64">
        <v>0.0</v>
      </c>
      <c r="E1655" s="62" t="s">
        <v>114</v>
      </c>
      <c r="F1655" s="62" t="s">
        <v>110</v>
      </c>
      <c r="G1655" s="64" t="s">
        <v>61</v>
      </c>
      <c r="H1655" s="3" t="s">
        <v>67</v>
      </c>
      <c r="I1655" s="65" t="str">
        <f>IFERROR(VLOOKUP(A1655,'3. Call duration'!$A:$C,3,0),"--")</f>
        <v>--</v>
      </c>
      <c r="J1655" s="65" t="str">
        <f t="array" ref="J1655">XLOOKUP(H1655,'2. Matching'!$A$2:$A$39,'2. Matching'!$B$2:$B$39,"--")</f>
        <v>Acquisition</v>
      </c>
      <c r="K1655" s="65" t="str">
        <f t="shared" si="1"/>
        <v>In</v>
      </c>
    </row>
    <row r="1656">
      <c r="A1656" s="62" t="s">
        <v>1794</v>
      </c>
      <c r="B1656" s="63">
        <v>44326.0</v>
      </c>
      <c r="C1656" s="62" t="s">
        <v>119</v>
      </c>
      <c r="D1656" s="64">
        <v>47.5</v>
      </c>
      <c r="E1656" s="62" t="s">
        <v>109</v>
      </c>
      <c r="F1656" s="62" t="s">
        <v>115</v>
      </c>
      <c r="G1656" s="64" t="s">
        <v>64</v>
      </c>
      <c r="H1656" s="3" t="s">
        <v>175</v>
      </c>
      <c r="I1656" s="65">
        <f>IFERROR(VLOOKUP(A1656,'3. Call duration'!$A:$C,3,0),"--")</f>
        <v>23.47093338</v>
      </c>
      <c r="J1656" s="65" t="str">
        <f t="array" ref="J1656">XLOOKUP(H1656,'2. Matching'!$A$2:$A$39,'2. Matching'!$B$2:$B$39,"--")</f>
        <v>SEO</v>
      </c>
      <c r="K1656" s="65" t="str">
        <f t="shared" si="1"/>
        <v>In</v>
      </c>
    </row>
    <row r="1657">
      <c r="A1657" s="62" t="s">
        <v>1795</v>
      </c>
      <c r="B1657" s="63">
        <v>44260.0</v>
      </c>
      <c r="C1657" s="62" t="s">
        <v>112</v>
      </c>
      <c r="D1657" s="64">
        <v>0.0</v>
      </c>
      <c r="E1657" s="62" t="s">
        <v>109</v>
      </c>
      <c r="F1657" s="62" t="s">
        <v>110</v>
      </c>
      <c r="G1657" s="64" t="s">
        <v>64</v>
      </c>
      <c r="H1657" s="3" t="s">
        <v>175</v>
      </c>
      <c r="I1657" s="65" t="str">
        <f>IFERROR(VLOOKUP(A1657,'3. Call duration'!$A:$C,3,0),"--")</f>
        <v>--</v>
      </c>
      <c r="J1657" s="65" t="str">
        <f t="array" ref="J1657">XLOOKUP(H1657,'2. Matching'!$A$2:$A$39,'2. Matching'!$B$2:$B$39,"--")</f>
        <v>SEO</v>
      </c>
      <c r="K1657" s="65" t="str">
        <f t="shared" si="1"/>
        <v>In</v>
      </c>
    </row>
    <row r="1658">
      <c r="A1658" s="62" t="s">
        <v>1796</v>
      </c>
      <c r="B1658" s="63">
        <v>44155.0</v>
      </c>
      <c r="C1658" s="62" t="s">
        <v>112</v>
      </c>
      <c r="D1658" s="64">
        <v>0.0</v>
      </c>
      <c r="E1658" s="62" t="s">
        <v>114</v>
      </c>
      <c r="F1658" s="62" t="s">
        <v>110</v>
      </c>
      <c r="G1658" s="64" t="s">
        <v>64</v>
      </c>
      <c r="H1658" s="3" t="s">
        <v>135</v>
      </c>
      <c r="I1658" s="65" t="str">
        <f>IFERROR(VLOOKUP(A1658,'3. Call duration'!$A:$C,3,0),"--")</f>
        <v>--</v>
      </c>
      <c r="J1658" s="65" t="str">
        <f t="array" ref="J1658">XLOOKUP(H1658,'2. Matching'!$A$2:$A$39,'2. Matching'!$B$2:$B$39,"--")</f>
        <v>Acquisition</v>
      </c>
      <c r="K1658" s="65" t="str">
        <f t="shared" si="1"/>
        <v>In</v>
      </c>
    </row>
    <row r="1659">
      <c r="A1659" s="62" t="s">
        <v>1797</v>
      </c>
      <c r="B1659" s="63">
        <v>44273.0</v>
      </c>
      <c r="C1659" s="62" t="s">
        <v>112</v>
      </c>
      <c r="D1659" s="64">
        <v>0.0</v>
      </c>
      <c r="E1659" s="62" t="s">
        <v>114</v>
      </c>
      <c r="F1659" s="62" t="s">
        <v>115</v>
      </c>
      <c r="G1659" s="64" t="s">
        <v>64</v>
      </c>
      <c r="H1659" s="3" t="s">
        <v>164</v>
      </c>
      <c r="I1659" s="65" t="str">
        <f>IFERROR(VLOOKUP(A1659,'3. Call duration'!$A:$C,3,0),"--")</f>
        <v>--</v>
      </c>
      <c r="J1659" s="65" t="str">
        <f t="array" ref="J1659">XLOOKUP(H1659,'2. Matching'!$A$2:$A$39,'2. Matching'!$B$2:$B$39,"--")</f>
        <v>SEO</v>
      </c>
      <c r="K1659" s="65" t="str">
        <f t="shared" si="1"/>
        <v>In</v>
      </c>
    </row>
    <row r="1660">
      <c r="A1660" s="62" t="s">
        <v>1798</v>
      </c>
      <c r="B1660" s="63">
        <v>44163.0</v>
      </c>
      <c r="C1660" s="62" t="s">
        <v>112</v>
      </c>
      <c r="D1660" s="64">
        <v>0.0</v>
      </c>
      <c r="E1660" s="62" t="s">
        <v>114</v>
      </c>
      <c r="F1660" s="62" t="s">
        <v>115</v>
      </c>
      <c r="G1660" s="64" t="s">
        <v>64</v>
      </c>
      <c r="H1660" s="3" t="s">
        <v>139</v>
      </c>
      <c r="I1660" s="65" t="str">
        <f>IFERROR(VLOOKUP(A1660,'3. Call duration'!$A:$C,3,0),"--")</f>
        <v>--</v>
      </c>
      <c r="J1660" s="65" t="str">
        <f t="array" ref="J1660">XLOOKUP(H1660,'2. Matching'!$A$2:$A$39,'2. Matching'!$B$2:$B$39,"--")</f>
        <v>Acquisition</v>
      </c>
      <c r="K1660" s="65" t="str">
        <f t="shared" si="1"/>
        <v>In</v>
      </c>
    </row>
    <row r="1661">
      <c r="A1661" s="62" t="s">
        <v>1799</v>
      </c>
      <c r="B1661" s="63">
        <v>44378.0</v>
      </c>
      <c r="C1661" s="62" t="s">
        <v>108</v>
      </c>
      <c r="D1661" s="64">
        <v>0.0</v>
      </c>
      <c r="E1661" s="62" t="s">
        <v>109</v>
      </c>
      <c r="F1661" s="62" t="s">
        <v>115</v>
      </c>
      <c r="G1661" s="64" t="s">
        <v>60</v>
      </c>
      <c r="H1661" s="3" t="s">
        <v>68</v>
      </c>
      <c r="I1661" s="65">
        <f>IFERROR(VLOOKUP(A1661,'3. Call duration'!$A:$C,3,0),"--")</f>
        <v>27.42347675</v>
      </c>
      <c r="J1661" s="65" t="str">
        <f t="array" ref="J1661">XLOOKUP(H1661,'2. Matching'!$A$2:$A$39,'2. Matching'!$B$2:$B$39,"--")</f>
        <v>Acquisition</v>
      </c>
      <c r="K1661" s="65" t="str">
        <f t="shared" si="1"/>
        <v>In</v>
      </c>
    </row>
    <row r="1662">
      <c r="A1662" s="62" t="s">
        <v>1800</v>
      </c>
      <c r="B1662" s="63">
        <v>44363.0</v>
      </c>
      <c r="C1662" s="62" t="s">
        <v>112</v>
      </c>
      <c r="D1662" s="64">
        <v>0.0</v>
      </c>
      <c r="E1662" s="62" t="s">
        <v>109</v>
      </c>
      <c r="F1662" s="62" t="s">
        <v>110</v>
      </c>
      <c r="G1662" s="64" t="s">
        <v>60</v>
      </c>
      <c r="H1662" s="3" t="s">
        <v>68</v>
      </c>
      <c r="I1662" s="65" t="str">
        <f>IFERROR(VLOOKUP(A1662,'3. Call duration'!$A:$C,3,0),"--")</f>
        <v>--</v>
      </c>
      <c r="J1662" s="65" t="str">
        <f t="array" ref="J1662">XLOOKUP(H1662,'2. Matching'!$A$2:$A$39,'2. Matching'!$B$2:$B$39,"--")</f>
        <v>Acquisition</v>
      </c>
      <c r="K1662" s="65" t="str">
        <f t="shared" si="1"/>
        <v>In</v>
      </c>
    </row>
    <row r="1663">
      <c r="A1663" s="62" t="s">
        <v>1801</v>
      </c>
      <c r="B1663" s="63">
        <v>44151.0</v>
      </c>
      <c r="C1663" s="62" t="s">
        <v>112</v>
      </c>
      <c r="D1663" s="64">
        <v>0.0</v>
      </c>
      <c r="E1663" s="62" t="s">
        <v>114</v>
      </c>
      <c r="F1663" s="62" t="s">
        <v>110</v>
      </c>
      <c r="G1663" s="64" t="s">
        <v>64</v>
      </c>
      <c r="H1663" s="3" t="s">
        <v>145</v>
      </c>
      <c r="I1663" s="65" t="str">
        <f>IFERROR(VLOOKUP(A1663,'3. Call duration'!$A:$C,3,0),"--")</f>
        <v>--</v>
      </c>
      <c r="J1663" s="65" t="str">
        <f t="array" ref="J1663">XLOOKUP(H1663,'2. Matching'!$A$2:$A$39,'2. Matching'!$B$2:$B$39,"--")</f>
        <v>SEO</v>
      </c>
      <c r="K1663" s="65" t="str">
        <f t="shared" si="1"/>
        <v>In</v>
      </c>
    </row>
    <row r="1664">
      <c r="A1664" s="62" t="s">
        <v>1802</v>
      </c>
      <c r="B1664" s="63">
        <v>44366.0</v>
      </c>
      <c r="C1664" s="62" t="s">
        <v>108</v>
      </c>
      <c r="D1664" s="64">
        <v>0.0</v>
      </c>
      <c r="E1664" s="62" t="s">
        <v>109</v>
      </c>
      <c r="F1664" s="62" t="s">
        <v>115</v>
      </c>
      <c r="G1664" s="64" t="s">
        <v>60</v>
      </c>
      <c r="H1664" s="3" t="s">
        <v>68</v>
      </c>
      <c r="I1664" s="65">
        <f>IFERROR(VLOOKUP(A1664,'3. Call duration'!$A:$C,3,0),"--")</f>
        <v>29.20352381</v>
      </c>
      <c r="J1664" s="65" t="str">
        <f t="array" ref="J1664">XLOOKUP(H1664,'2. Matching'!$A$2:$A$39,'2. Matching'!$B$2:$B$39,"--")</f>
        <v>Acquisition</v>
      </c>
      <c r="K1664" s="65" t="str">
        <f t="shared" si="1"/>
        <v>In</v>
      </c>
    </row>
    <row r="1665">
      <c r="A1665" s="62" t="s">
        <v>1803</v>
      </c>
      <c r="B1665" s="63">
        <v>44358.0</v>
      </c>
      <c r="C1665" s="62" t="s">
        <v>112</v>
      </c>
      <c r="D1665" s="64">
        <v>0.0</v>
      </c>
      <c r="E1665" s="62" t="s">
        <v>109</v>
      </c>
      <c r="F1665" s="62" t="s">
        <v>110</v>
      </c>
      <c r="G1665" s="64" t="s">
        <v>60</v>
      </c>
      <c r="H1665" s="3" t="s">
        <v>67</v>
      </c>
      <c r="I1665" s="65" t="str">
        <f>IFERROR(VLOOKUP(A1665,'3. Call duration'!$A:$C,3,0),"--")</f>
        <v>--</v>
      </c>
      <c r="J1665" s="65" t="str">
        <f t="array" ref="J1665">XLOOKUP(H1665,'2. Matching'!$A$2:$A$39,'2. Matching'!$B$2:$B$39,"--")</f>
        <v>Acquisition</v>
      </c>
      <c r="K1665" s="65" t="str">
        <f t="shared" si="1"/>
        <v>In</v>
      </c>
    </row>
    <row r="1666">
      <c r="A1666" s="62" t="s">
        <v>1804</v>
      </c>
      <c r="B1666" s="63">
        <v>44299.0</v>
      </c>
      <c r="C1666" s="62" t="s">
        <v>112</v>
      </c>
      <c r="D1666" s="64">
        <v>0.0</v>
      </c>
      <c r="E1666" s="62" t="s">
        <v>109</v>
      </c>
      <c r="F1666" s="62" t="s">
        <v>110</v>
      </c>
      <c r="G1666" s="64" t="s">
        <v>64</v>
      </c>
      <c r="H1666" s="3" t="s">
        <v>185</v>
      </c>
      <c r="I1666" s="65" t="str">
        <f>IFERROR(VLOOKUP(A1666,'3. Call duration'!$A:$C,3,0),"--")</f>
        <v>--</v>
      </c>
      <c r="J1666" s="65" t="str">
        <f t="array" ref="J1666">XLOOKUP(H1666,'2. Matching'!$A$2:$A$39,'2. Matching'!$B$2:$B$39,"--")</f>
        <v>SEO</v>
      </c>
      <c r="K1666" s="65" t="str">
        <f t="shared" si="1"/>
        <v>In</v>
      </c>
    </row>
    <row r="1667">
      <c r="A1667" s="62" t="s">
        <v>1805</v>
      </c>
      <c r="B1667" s="63">
        <v>44354.0</v>
      </c>
      <c r="C1667" s="62" t="s">
        <v>112</v>
      </c>
      <c r="D1667" s="64">
        <v>0.0</v>
      </c>
      <c r="E1667" s="62" t="s">
        <v>109</v>
      </c>
      <c r="F1667" s="62" t="s">
        <v>115</v>
      </c>
      <c r="G1667" s="64" t="s">
        <v>64</v>
      </c>
      <c r="H1667" s="3" t="s">
        <v>55</v>
      </c>
      <c r="I1667" s="65" t="str">
        <f>IFERROR(VLOOKUP(A1667,'3. Call duration'!$A:$C,3,0),"--")</f>
        <v>--</v>
      </c>
      <c r="J1667" s="65" t="str">
        <f t="array" ref="J1667">XLOOKUP(H1667,'2. Matching'!$A$2:$A$39,'2. Matching'!$B$2:$B$39,"--")</f>
        <v>Partnerships</v>
      </c>
      <c r="K1667" s="65" t="str">
        <f t="shared" si="1"/>
        <v>In</v>
      </c>
    </row>
    <row r="1668">
      <c r="A1668" s="62" t="s">
        <v>1806</v>
      </c>
      <c r="B1668" s="63">
        <v>44119.0</v>
      </c>
      <c r="C1668" s="62" t="s">
        <v>112</v>
      </c>
      <c r="D1668" s="64">
        <v>0.0</v>
      </c>
      <c r="E1668" s="62" t="s">
        <v>109</v>
      </c>
      <c r="F1668" s="62" t="s">
        <v>115</v>
      </c>
      <c r="G1668" s="64" t="s">
        <v>64</v>
      </c>
      <c r="H1668" s="3" t="s">
        <v>155</v>
      </c>
      <c r="I1668" s="65" t="str">
        <f>IFERROR(VLOOKUP(A1668,'3. Call duration'!$A:$C,3,0),"--")</f>
        <v>--</v>
      </c>
      <c r="J1668" s="65" t="str">
        <f t="array" ref="J1668">XLOOKUP(H1668,'2. Matching'!$A$2:$A$39,'2. Matching'!$B$2:$B$39,"--")</f>
        <v>SEO</v>
      </c>
      <c r="K1668" s="65" t="str">
        <f t="shared" si="1"/>
        <v>In</v>
      </c>
    </row>
    <row r="1669">
      <c r="A1669" s="62" t="s">
        <v>1807</v>
      </c>
      <c r="B1669" s="63">
        <v>44225.0</v>
      </c>
      <c r="C1669" s="62" t="s">
        <v>112</v>
      </c>
      <c r="D1669" s="64">
        <v>0.0</v>
      </c>
      <c r="E1669" s="62" t="s">
        <v>109</v>
      </c>
      <c r="F1669" s="62" t="s">
        <v>110</v>
      </c>
      <c r="G1669" s="64" t="s">
        <v>64</v>
      </c>
      <c r="H1669" s="3" t="s">
        <v>175</v>
      </c>
      <c r="I1669" s="65" t="str">
        <f>IFERROR(VLOOKUP(A1669,'3. Call duration'!$A:$C,3,0),"--")</f>
        <v>--</v>
      </c>
      <c r="J1669" s="65" t="str">
        <f t="array" ref="J1669">XLOOKUP(H1669,'2. Matching'!$A$2:$A$39,'2. Matching'!$B$2:$B$39,"--")</f>
        <v>SEO</v>
      </c>
      <c r="K1669" s="65" t="str">
        <f t="shared" si="1"/>
        <v>In</v>
      </c>
    </row>
    <row r="1670">
      <c r="A1670" s="62" t="s">
        <v>1808</v>
      </c>
      <c r="B1670" s="63">
        <v>44295.0</v>
      </c>
      <c r="C1670" s="62" t="s">
        <v>112</v>
      </c>
      <c r="D1670" s="64">
        <v>0.0</v>
      </c>
      <c r="E1670" s="62" t="s">
        <v>109</v>
      </c>
      <c r="F1670" s="62" t="s">
        <v>110</v>
      </c>
      <c r="G1670" s="64" t="s">
        <v>64</v>
      </c>
      <c r="H1670" s="3" t="s">
        <v>145</v>
      </c>
      <c r="I1670" s="65" t="str">
        <f>IFERROR(VLOOKUP(A1670,'3. Call duration'!$A:$C,3,0),"--")</f>
        <v>--</v>
      </c>
      <c r="J1670" s="65" t="str">
        <f t="array" ref="J1670">XLOOKUP(H1670,'2. Matching'!$A$2:$A$39,'2. Matching'!$B$2:$B$39,"--")</f>
        <v>SEO</v>
      </c>
      <c r="K1670" s="65" t="str">
        <f t="shared" si="1"/>
        <v>In</v>
      </c>
    </row>
    <row r="1671">
      <c r="A1671" s="62" t="s">
        <v>1809</v>
      </c>
      <c r="B1671" s="63">
        <v>44088.0</v>
      </c>
      <c r="C1671" s="62" t="s">
        <v>108</v>
      </c>
      <c r="D1671" s="64">
        <v>0.0</v>
      </c>
      <c r="E1671" s="62" t="s">
        <v>109</v>
      </c>
      <c r="F1671" s="62" t="s">
        <v>115</v>
      </c>
      <c r="G1671" s="64" t="s">
        <v>64</v>
      </c>
      <c r="H1671" s="3" t="s">
        <v>139</v>
      </c>
      <c r="I1671" s="65">
        <f>IFERROR(VLOOKUP(A1671,'3. Call duration'!$A:$C,3,0),"--")</f>
        <v>32.71491646</v>
      </c>
      <c r="J1671" s="65" t="str">
        <f t="array" ref="J1671">XLOOKUP(H1671,'2. Matching'!$A$2:$A$39,'2. Matching'!$B$2:$B$39,"--")</f>
        <v>Acquisition</v>
      </c>
      <c r="K1671" s="65" t="str">
        <f t="shared" si="1"/>
        <v>In</v>
      </c>
    </row>
    <row r="1672">
      <c r="A1672" s="62" t="s">
        <v>1810</v>
      </c>
      <c r="B1672" s="63">
        <v>44375.0</v>
      </c>
      <c r="C1672" s="62" t="s">
        <v>108</v>
      </c>
      <c r="D1672" s="64">
        <v>0.0</v>
      </c>
      <c r="E1672" s="62" t="s">
        <v>109</v>
      </c>
      <c r="F1672" s="62" t="s">
        <v>115</v>
      </c>
      <c r="G1672" s="64" t="s">
        <v>63</v>
      </c>
      <c r="H1672" s="3" t="s">
        <v>228</v>
      </c>
      <c r="I1672" s="65">
        <f>IFERROR(VLOOKUP(A1672,'3. Call duration'!$A:$C,3,0),"--")</f>
        <v>33.07673414</v>
      </c>
      <c r="J1672" s="65" t="str">
        <f t="array" ref="J1672">XLOOKUP(H1672,'2. Matching'!$A$2:$A$39,'2. Matching'!$B$2:$B$39,"--")</f>
        <v>Farming</v>
      </c>
      <c r="K1672" s="65" t="str">
        <f t="shared" si="1"/>
        <v>In</v>
      </c>
    </row>
    <row r="1673">
      <c r="A1673" s="62" t="s">
        <v>1811</v>
      </c>
      <c r="B1673" s="63">
        <v>44356.0</v>
      </c>
      <c r="C1673" s="62" t="s">
        <v>112</v>
      </c>
      <c r="D1673" s="64">
        <v>0.0</v>
      </c>
      <c r="E1673" s="62" t="s">
        <v>109</v>
      </c>
      <c r="F1673" s="62" t="s">
        <v>110</v>
      </c>
      <c r="G1673" s="64" t="s">
        <v>61</v>
      </c>
      <c r="H1673" s="3" t="s">
        <v>67</v>
      </c>
      <c r="I1673" s="65" t="str">
        <f>IFERROR(VLOOKUP(A1673,'3. Call duration'!$A:$C,3,0),"--")</f>
        <v>--</v>
      </c>
      <c r="J1673" s="65" t="str">
        <f t="array" ref="J1673">XLOOKUP(H1673,'2. Matching'!$A$2:$A$39,'2. Matching'!$B$2:$B$39,"--")</f>
        <v>Acquisition</v>
      </c>
      <c r="K1673" s="65" t="str">
        <f t="shared" si="1"/>
        <v>In</v>
      </c>
    </row>
    <row r="1674">
      <c r="A1674" s="62" t="s">
        <v>1812</v>
      </c>
      <c r="B1674" s="63">
        <v>44286.0</v>
      </c>
      <c r="C1674" s="62" t="s">
        <v>108</v>
      </c>
      <c r="D1674" s="64">
        <v>0.0</v>
      </c>
      <c r="E1674" s="62" t="s">
        <v>109</v>
      </c>
      <c r="F1674" s="62" t="s">
        <v>115</v>
      </c>
      <c r="G1674" s="64" t="s">
        <v>64</v>
      </c>
      <c r="H1674" s="3" t="s">
        <v>141</v>
      </c>
      <c r="I1674" s="65">
        <f>IFERROR(VLOOKUP(A1674,'3. Call duration'!$A:$C,3,0),"--")</f>
        <v>26.23819517</v>
      </c>
      <c r="J1674" s="65" t="str">
        <f t="array" ref="J1674">XLOOKUP(H1674,'2. Matching'!$A$2:$A$39,'2. Matching'!$B$2:$B$39,"--")</f>
        <v>Acquisition</v>
      </c>
      <c r="K1674" s="65" t="str">
        <f t="shared" si="1"/>
        <v>In</v>
      </c>
    </row>
    <row r="1675">
      <c r="A1675" s="62" t="s">
        <v>1813</v>
      </c>
      <c r="B1675" s="63">
        <v>44348.0</v>
      </c>
      <c r="C1675" s="62" t="s">
        <v>112</v>
      </c>
      <c r="D1675" s="64">
        <v>0.0</v>
      </c>
      <c r="E1675" s="62" t="s">
        <v>114</v>
      </c>
      <c r="F1675" s="62" t="s">
        <v>110</v>
      </c>
      <c r="G1675" s="64" t="s">
        <v>61</v>
      </c>
      <c r="H1675" s="3" t="s">
        <v>69</v>
      </c>
      <c r="I1675" s="65" t="str">
        <f>IFERROR(VLOOKUP(A1675,'3. Call duration'!$A:$C,3,0),"--")</f>
        <v>--</v>
      </c>
      <c r="J1675" s="65" t="str">
        <f t="array" ref="J1675">XLOOKUP(H1675,'2. Matching'!$A$2:$A$39,'2. Matching'!$B$2:$B$39,"--")</f>
        <v>Acquisition</v>
      </c>
      <c r="K1675" s="65" t="str">
        <f t="shared" si="1"/>
        <v>In</v>
      </c>
    </row>
    <row r="1676">
      <c r="A1676" s="62" t="s">
        <v>1814</v>
      </c>
      <c r="B1676" s="63">
        <v>44026.0</v>
      </c>
      <c r="C1676" s="62" t="s">
        <v>112</v>
      </c>
      <c r="D1676" s="64">
        <v>0.0</v>
      </c>
      <c r="E1676" s="62" t="s">
        <v>109</v>
      </c>
      <c r="F1676" s="62" t="s">
        <v>115</v>
      </c>
      <c r="G1676" s="64" t="s">
        <v>60</v>
      </c>
      <c r="H1676" s="3" t="s">
        <v>68</v>
      </c>
      <c r="I1676" s="65" t="str">
        <f>IFERROR(VLOOKUP(A1676,'3. Call duration'!$A:$C,3,0),"--")</f>
        <v>--</v>
      </c>
      <c r="J1676" s="65" t="str">
        <f t="array" ref="J1676">XLOOKUP(H1676,'2. Matching'!$A$2:$A$39,'2. Matching'!$B$2:$B$39,"--")</f>
        <v>Acquisition</v>
      </c>
      <c r="K1676" s="65" t="str">
        <f t="shared" si="1"/>
        <v>In</v>
      </c>
    </row>
    <row r="1677">
      <c r="A1677" s="62" t="s">
        <v>1815</v>
      </c>
      <c r="B1677" s="63">
        <v>44229.0</v>
      </c>
      <c r="C1677" s="62" t="s">
        <v>112</v>
      </c>
      <c r="D1677" s="64">
        <v>0.0</v>
      </c>
      <c r="E1677" s="62" t="s">
        <v>114</v>
      </c>
      <c r="F1677" s="62" t="s">
        <v>110</v>
      </c>
      <c r="G1677" s="64" t="s">
        <v>64</v>
      </c>
      <c r="H1677" s="3" t="s">
        <v>145</v>
      </c>
      <c r="I1677" s="65" t="str">
        <f>IFERROR(VLOOKUP(A1677,'3. Call duration'!$A:$C,3,0),"--")</f>
        <v>--</v>
      </c>
      <c r="J1677" s="65" t="str">
        <f t="array" ref="J1677">XLOOKUP(H1677,'2. Matching'!$A$2:$A$39,'2. Matching'!$B$2:$B$39,"--")</f>
        <v>SEO</v>
      </c>
      <c r="K1677" s="65" t="str">
        <f t="shared" si="1"/>
        <v>In</v>
      </c>
    </row>
    <row r="1678">
      <c r="A1678" s="62" t="s">
        <v>1816</v>
      </c>
      <c r="B1678" s="63">
        <v>44343.0</v>
      </c>
      <c r="C1678" s="62" t="s">
        <v>119</v>
      </c>
      <c r="D1678" s="64">
        <v>47.5</v>
      </c>
      <c r="E1678" s="62" t="s">
        <v>109</v>
      </c>
      <c r="F1678" s="62" t="s">
        <v>110</v>
      </c>
      <c r="G1678" s="64" t="s">
        <v>64</v>
      </c>
      <c r="H1678" s="3" t="s">
        <v>297</v>
      </c>
      <c r="I1678" s="65">
        <f>IFERROR(VLOOKUP(A1678,'3. Call duration'!$A:$C,3,0),"--")</f>
        <v>23.50524871</v>
      </c>
      <c r="J1678" s="65" t="str">
        <f t="array" ref="J1678">XLOOKUP(H1678,'2. Matching'!$A$2:$A$39,'2. Matching'!$B$2:$B$39,"--")</f>
        <v>Farming</v>
      </c>
      <c r="K1678" s="65" t="str">
        <f t="shared" si="1"/>
        <v>In</v>
      </c>
    </row>
    <row r="1679">
      <c r="A1679" s="62" t="s">
        <v>1817</v>
      </c>
      <c r="B1679" s="63">
        <v>44273.0</v>
      </c>
      <c r="C1679" s="62" t="s">
        <v>112</v>
      </c>
      <c r="D1679" s="64">
        <v>0.0</v>
      </c>
      <c r="E1679" s="62" t="s">
        <v>114</v>
      </c>
      <c r="F1679" s="62" t="s">
        <v>110</v>
      </c>
      <c r="G1679" s="64" t="s">
        <v>64</v>
      </c>
      <c r="H1679" s="3" t="s">
        <v>185</v>
      </c>
      <c r="I1679" s="65" t="str">
        <f>IFERROR(VLOOKUP(A1679,'3. Call duration'!$A:$C,3,0),"--")</f>
        <v>--</v>
      </c>
      <c r="J1679" s="65" t="str">
        <f t="array" ref="J1679">XLOOKUP(H1679,'2. Matching'!$A$2:$A$39,'2. Matching'!$B$2:$B$39,"--")</f>
        <v>SEO</v>
      </c>
      <c r="K1679" s="65" t="str">
        <f t="shared" si="1"/>
        <v>In</v>
      </c>
    </row>
    <row r="1680">
      <c r="A1680" s="62" t="s">
        <v>1818</v>
      </c>
      <c r="B1680" s="63">
        <v>44288.0</v>
      </c>
      <c r="C1680" s="62" t="s">
        <v>112</v>
      </c>
      <c r="D1680" s="64">
        <v>0.0</v>
      </c>
      <c r="E1680" s="62" t="s">
        <v>109</v>
      </c>
      <c r="F1680" s="62" t="s">
        <v>110</v>
      </c>
      <c r="G1680" s="64" t="s">
        <v>64</v>
      </c>
      <c r="H1680" s="3" t="s">
        <v>145</v>
      </c>
      <c r="I1680" s="65" t="str">
        <f>IFERROR(VLOOKUP(A1680,'3. Call duration'!$A:$C,3,0),"--")</f>
        <v>--</v>
      </c>
      <c r="J1680" s="65" t="str">
        <f t="array" ref="J1680">XLOOKUP(H1680,'2. Matching'!$A$2:$A$39,'2. Matching'!$B$2:$B$39,"--")</f>
        <v>SEO</v>
      </c>
      <c r="K1680" s="65" t="str">
        <f t="shared" si="1"/>
        <v>In</v>
      </c>
    </row>
    <row r="1681">
      <c r="A1681" s="62" t="s">
        <v>1819</v>
      </c>
      <c r="B1681" s="63">
        <v>44209.0</v>
      </c>
      <c r="C1681" s="62" t="s">
        <v>112</v>
      </c>
      <c r="D1681" s="64">
        <v>0.0</v>
      </c>
      <c r="E1681" s="62" t="s">
        <v>109</v>
      </c>
      <c r="F1681" s="62" t="s">
        <v>115</v>
      </c>
      <c r="G1681" s="64" t="s">
        <v>112</v>
      </c>
      <c r="H1681" s="3"/>
      <c r="I1681" s="65" t="str">
        <f>IFERROR(VLOOKUP(A1681,'3. Call duration'!$A:$C,3,0),"--")</f>
        <v>--</v>
      </c>
      <c r="J1681" s="65" t="str">
        <f t="array" ref="J1681">XLOOKUP(H1681,'2. Matching'!$A$2:$A$39,'2. Matching'!$B$2:$B$39,"--")</f>
        <v>--</v>
      </c>
      <c r="K1681" s="65" t="str">
        <f t="shared" si="1"/>
        <v>In</v>
      </c>
    </row>
    <row r="1682">
      <c r="A1682" s="62" t="s">
        <v>1820</v>
      </c>
      <c r="B1682" s="63">
        <v>44231.0</v>
      </c>
      <c r="C1682" s="62" t="s">
        <v>112</v>
      </c>
      <c r="D1682" s="64">
        <v>0.0</v>
      </c>
      <c r="E1682" s="62" t="s">
        <v>109</v>
      </c>
      <c r="F1682" s="62" t="s">
        <v>115</v>
      </c>
      <c r="G1682" s="64" t="s">
        <v>64</v>
      </c>
      <c r="H1682" s="3" t="s">
        <v>221</v>
      </c>
      <c r="I1682" s="65" t="str">
        <f>IFERROR(VLOOKUP(A1682,'3. Call duration'!$A:$C,3,0),"--")</f>
        <v>--</v>
      </c>
      <c r="J1682" s="65" t="str">
        <f t="array" ref="J1682">XLOOKUP(H1682,'2. Matching'!$A$2:$A$39,'2. Matching'!$B$2:$B$39,"--")</f>
        <v>Farming</v>
      </c>
      <c r="K1682" s="65" t="str">
        <f t="shared" si="1"/>
        <v>In</v>
      </c>
    </row>
    <row r="1683">
      <c r="A1683" s="62" t="s">
        <v>1821</v>
      </c>
      <c r="B1683" s="63">
        <v>44342.0</v>
      </c>
      <c r="C1683" s="62" t="s">
        <v>119</v>
      </c>
      <c r="D1683" s="64">
        <v>47.5</v>
      </c>
      <c r="E1683" s="62" t="s">
        <v>109</v>
      </c>
      <c r="F1683" s="62" t="s">
        <v>110</v>
      </c>
      <c r="G1683" s="64" t="s">
        <v>60</v>
      </c>
      <c r="H1683" s="3" t="s">
        <v>67</v>
      </c>
      <c r="I1683" s="65">
        <f>IFERROR(VLOOKUP(A1683,'3. Call duration'!$A:$C,3,0),"--")</f>
        <v>23.51507982</v>
      </c>
      <c r="J1683" s="65" t="str">
        <f t="array" ref="J1683">XLOOKUP(H1683,'2. Matching'!$A$2:$A$39,'2. Matching'!$B$2:$B$39,"--")</f>
        <v>Acquisition</v>
      </c>
      <c r="K1683" s="65" t="str">
        <f t="shared" si="1"/>
        <v>In</v>
      </c>
    </row>
    <row r="1684">
      <c r="A1684" s="62" t="s">
        <v>1822</v>
      </c>
      <c r="B1684" s="63">
        <v>44280.0</v>
      </c>
      <c r="C1684" s="62" t="s">
        <v>112</v>
      </c>
      <c r="D1684" s="64">
        <v>0.0</v>
      </c>
      <c r="E1684" s="62" t="s">
        <v>114</v>
      </c>
      <c r="F1684" s="62" t="s">
        <v>110</v>
      </c>
      <c r="G1684" s="64" t="s">
        <v>63</v>
      </c>
      <c r="H1684" s="3" t="s">
        <v>128</v>
      </c>
      <c r="I1684" s="65" t="str">
        <f>IFERROR(VLOOKUP(A1684,'3. Call duration'!$A:$C,3,0),"--")</f>
        <v>--</v>
      </c>
      <c r="J1684" s="65" t="str">
        <f t="array" ref="J1684">XLOOKUP(H1684,'2. Matching'!$A$2:$A$39,'2. Matching'!$B$2:$B$39,"--")</f>
        <v>Acquisition</v>
      </c>
      <c r="K1684" s="65" t="str">
        <f t="shared" si="1"/>
        <v>In</v>
      </c>
    </row>
    <row r="1685">
      <c r="A1685" s="62" t="s">
        <v>1823</v>
      </c>
      <c r="B1685" s="63">
        <v>44351.0</v>
      </c>
      <c r="C1685" s="62" t="s">
        <v>108</v>
      </c>
      <c r="D1685" s="64">
        <v>0.0</v>
      </c>
      <c r="E1685" s="62" t="s">
        <v>109</v>
      </c>
      <c r="F1685" s="62" t="s">
        <v>110</v>
      </c>
      <c r="G1685" s="64" t="s">
        <v>64</v>
      </c>
      <c r="H1685" s="3" t="s">
        <v>171</v>
      </c>
      <c r="I1685" s="65">
        <f>IFERROR(VLOOKUP(A1685,'3. Call duration'!$A:$C,3,0),"--")</f>
        <v>25.29853751</v>
      </c>
      <c r="J1685" s="65" t="str">
        <f t="array" ref="J1685">XLOOKUP(H1685,'2. Matching'!$A$2:$A$39,'2. Matching'!$B$2:$B$39,"--")</f>
        <v>SEO</v>
      </c>
      <c r="K1685" s="65" t="str">
        <f t="shared" si="1"/>
        <v>In</v>
      </c>
    </row>
    <row r="1686">
      <c r="A1686" s="62" t="s">
        <v>1824</v>
      </c>
      <c r="B1686" s="63">
        <v>44328.0</v>
      </c>
      <c r="C1686" s="62" t="s">
        <v>119</v>
      </c>
      <c r="D1686" s="64">
        <v>47.5</v>
      </c>
      <c r="E1686" s="62" t="s">
        <v>109</v>
      </c>
      <c r="F1686" s="62" t="s">
        <v>115</v>
      </c>
      <c r="G1686" s="64" t="s">
        <v>64</v>
      </c>
      <c r="H1686" s="3" t="s">
        <v>185</v>
      </c>
      <c r="I1686" s="65">
        <f>IFERROR(VLOOKUP(A1686,'3. Call duration'!$A:$C,3,0),"--")</f>
        <v>23.5237629</v>
      </c>
      <c r="J1686" s="65" t="str">
        <f t="array" ref="J1686">XLOOKUP(H1686,'2. Matching'!$A$2:$A$39,'2. Matching'!$B$2:$B$39,"--")</f>
        <v>SEO</v>
      </c>
      <c r="K1686" s="65" t="str">
        <f t="shared" si="1"/>
        <v>In</v>
      </c>
    </row>
    <row r="1687">
      <c r="A1687" s="62" t="s">
        <v>1825</v>
      </c>
      <c r="B1687" s="63">
        <v>44336.0</v>
      </c>
      <c r="C1687" s="62" t="s">
        <v>119</v>
      </c>
      <c r="D1687" s="64">
        <v>47.5</v>
      </c>
      <c r="E1687" s="62" t="s">
        <v>109</v>
      </c>
      <c r="F1687" s="62" t="s">
        <v>115</v>
      </c>
      <c r="G1687" s="64" t="s">
        <v>64</v>
      </c>
      <c r="H1687" s="3" t="s">
        <v>169</v>
      </c>
      <c r="I1687" s="65">
        <f>IFERROR(VLOOKUP(A1687,'3. Call duration'!$A:$C,3,0),"--")</f>
        <v>23.53150158</v>
      </c>
      <c r="J1687" s="65" t="str">
        <f t="array" ref="J1687">XLOOKUP(H1687,'2. Matching'!$A$2:$A$39,'2. Matching'!$B$2:$B$39,"--")</f>
        <v>SEO</v>
      </c>
      <c r="K1687" s="65" t="str">
        <f t="shared" si="1"/>
        <v>In</v>
      </c>
    </row>
    <row r="1688">
      <c r="A1688" s="62" t="s">
        <v>1826</v>
      </c>
      <c r="B1688" s="63">
        <v>44267.0</v>
      </c>
      <c r="C1688" s="62" t="s">
        <v>112</v>
      </c>
      <c r="D1688" s="64">
        <v>0.0</v>
      </c>
      <c r="E1688" s="62" t="s">
        <v>109</v>
      </c>
      <c r="F1688" s="62" t="s">
        <v>110</v>
      </c>
      <c r="G1688" s="64" t="s">
        <v>62</v>
      </c>
      <c r="H1688" s="3" t="s">
        <v>286</v>
      </c>
      <c r="I1688" s="65" t="str">
        <f>IFERROR(VLOOKUP(A1688,'3. Call duration'!$A:$C,3,0),"--")</f>
        <v>--</v>
      </c>
      <c r="J1688" s="65" t="str">
        <f t="array" ref="J1688">XLOOKUP(H1688,'2. Matching'!$A$2:$A$39,'2. Matching'!$B$2:$B$39,"--")</f>
        <v>Farming</v>
      </c>
      <c r="K1688" s="65" t="str">
        <f t="shared" si="1"/>
        <v>In</v>
      </c>
    </row>
    <row r="1689">
      <c r="A1689" s="62" t="s">
        <v>1827</v>
      </c>
      <c r="B1689" s="63">
        <v>44377.0</v>
      </c>
      <c r="C1689" s="62" t="s">
        <v>108</v>
      </c>
      <c r="D1689" s="64">
        <v>0.0</v>
      </c>
      <c r="E1689" s="62" t="s">
        <v>109</v>
      </c>
      <c r="F1689" s="62" t="s">
        <v>110</v>
      </c>
      <c r="G1689" s="64" t="s">
        <v>61</v>
      </c>
      <c r="H1689" s="3" t="s">
        <v>67</v>
      </c>
      <c r="I1689" s="65">
        <f>IFERROR(VLOOKUP(A1689,'3. Call duration'!$A:$C,3,0),"--")</f>
        <v>24.32692339</v>
      </c>
      <c r="J1689" s="65" t="str">
        <f t="array" ref="J1689">XLOOKUP(H1689,'2. Matching'!$A$2:$A$39,'2. Matching'!$B$2:$B$39,"--")</f>
        <v>Acquisition</v>
      </c>
      <c r="K1689" s="65" t="str">
        <f t="shared" si="1"/>
        <v>In</v>
      </c>
    </row>
    <row r="1690">
      <c r="A1690" s="62" t="s">
        <v>1828</v>
      </c>
      <c r="B1690" s="63">
        <v>44209.0</v>
      </c>
      <c r="C1690" s="62" t="s">
        <v>112</v>
      </c>
      <c r="D1690" s="64">
        <v>0.0</v>
      </c>
      <c r="E1690" s="62" t="s">
        <v>114</v>
      </c>
      <c r="F1690" s="62" t="s">
        <v>115</v>
      </c>
      <c r="G1690" s="64" t="s">
        <v>64</v>
      </c>
      <c r="H1690" s="3" t="s">
        <v>221</v>
      </c>
      <c r="I1690" s="65" t="str">
        <f>IFERROR(VLOOKUP(A1690,'3. Call duration'!$A:$C,3,0),"--")</f>
        <v>--</v>
      </c>
      <c r="J1690" s="65" t="str">
        <f t="array" ref="J1690">XLOOKUP(H1690,'2. Matching'!$A$2:$A$39,'2. Matching'!$B$2:$B$39,"--")</f>
        <v>Farming</v>
      </c>
      <c r="K1690" s="65" t="str">
        <f t="shared" si="1"/>
        <v>In</v>
      </c>
    </row>
    <row r="1691">
      <c r="A1691" s="62" t="s">
        <v>1829</v>
      </c>
      <c r="B1691" s="63">
        <v>44182.0</v>
      </c>
      <c r="C1691" s="62" t="s">
        <v>112</v>
      </c>
      <c r="D1691" s="64">
        <v>0.0</v>
      </c>
      <c r="E1691" s="62" t="s">
        <v>109</v>
      </c>
      <c r="F1691" s="62" t="s">
        <v>115</v>
      </c>
      <c r="G1691" s="64" t="s">
        <v>64</v>
      </c>
      <c r="H1691" s="3" t="s">
        <v>185</v>
      </c>
      <c r="I1691" s="65" t="str">
        <f>IFERROR(VLOOKUP(A1691,'3. Call duration'!$A:$C,3,0),"--")</f>
        <v>--</v>
      </c>
      <c r="J1691" s="65" t="str">
        <f t="array" ref="J1691">XLOOKUP(H1691,'2. Matching'!$A$2:$A$39,'2. Matching'!$B$2:$B$39,"--")</f>
        <v>SEO</v>
      </c>
      <c r="K1691" s="65" t="str">
        <f t="shared" si="1"/>
        <v>In</v>
      </c>
    </row>
    <row r="1692">
      <c r="A1692" s="62" t="s">
        <v>1830</v>
      </c>
      <c r="B1692" s="63">
        <v>44272.0</v>
      </c>
      <c r="C1692" s="62" t="s">
        <v>108</v>
      </c>
      <c r="D1692" s="64">
        <v>0.0</v>
      </c>
      <c r="E1692" s="62" t="s">
        <v>109</v>
      </c>
      <c r="F1692" s="62" t="s">
        <v>115</v>
      </c>
      <c r="G1692" s="64" t="s">
        <v>64</v>
      </c>
      <c r="H1692" s="3" t="s">
        <v>155</v>
      </c>
      <c r="I1692" s="65">
        <f>IFERROR(VLOOKUP(A1692,'3. Call duration'!$A:$C,3,0),"--")</f>
        <v>27.78656828</v>
      </c>
      <c r="J1692" s="65" t="str">
        <f t="array" ref="J1692">XLOOKUP(H1692,'2. Matching'!$A$2:$A$39,'2. Matching'!$B$2:$B$39,"--")</f>
        <v>SEO</v>
      </c>
      <c r="K1692" s="65" t="str">
        <f t="shared" si="1"/>
        <v>In</v>
      </c>
    </row>
    <row r="1693">
      <c r="A1693" s="62" t="s">
        <v>1831</v>
      </c>
      <c r="B1693" s="63">
        <v>44347.0</v>
      </c>
      <c r="C1693" s="62" t="s">
        <v>108</v>
      </c>
      <c r="D1693" s="64">
        <v>0.0</v>
      </c>
      <c r="E1693" s="62" t="s">
        <v>109</v>
      </c>
      <c r="F1693" s="62" t="s">
        <v>115</v>
      </c>
      <c r="G1693" s="64" t="s">
        <v>64</v>
      </c>
      <c r="H1693" s="3" t="s">
        <v>54</v>
      </c>
      <c r="I1693" s="65">
        <f>IFERROR(VLOOKUP(A1693,'3. Call duration'!$A:$C,3,0),"--")</f>
        <v>23.53871197</v>
      </c>
      <c r="J1693" s="65" t="str">
        <f t="array" ref="J1693">XLOOKUP(H1693,'2. Matching'!$A$2:$A$39,'2. Matching'!$B$2:$B$39,"--")</f>
        <v>Partnerships</v>
      </c>
      <c r="K1693" s="65" t="str">
        <f t="shared" si="1"/>
        <v>In</v>
      </c>
    </row>
    <row r="1694">
      <c r="A1694" s="62" t="s">
        <v>1832</v>
      </c>
      <c r="B1694" s="63">
        <v>44341.0</v>
      </c>
      <c r="C1694" s="62" t="s">
        <v>119</v>
      </c>
      <c r="D1694" s="64">
        <v>47.5</v>
      </c>
      <c r="E1694" s="62" t="s">
        <v>109</v>
      </c>
      <c r="F1694" s="62" t="s">
        <v>110</v>
      </c>
      <c r="G1694" s="64" t="s">
        <v>64</v>
      </c>
      <c r="H1694" s="3" t="s">
        <v>155</v>
      </c>
      <c r="I1694" s="65">
        <f>IFERROR(VLOOKUP(A1694,'3. Call duration'!$A:$C,3,0),"--")</f>
        <v>23.60613391</v>
      </c>
      <c r="J1694" s="65" t="str">
        <f t="array" ref="J1694">XLOOKUP(H1694,'2. Matching'!$A$2:$A$39,'2. Matching'!$B$2:$B$39,"--")</f>
        <v>SEO</v>
      </c>
      <c r="K1694" s="65" t="str">
        <f t="shared" si="1"/>
        <v>In</v>
      </c>
    </row>
    <row r="1695">
      <c r="A1695" s="62" t="s">
        <v>1833</v>
      </c>
      <c r="B1695" s="63">
        <v>44389.0</v>
      </c>
      <c r="C1695" s="62" t="s">
        <v>112</v>
      </c>
      <c r="D1695" s="64">
        <v>0.0</v>
      </c>
      <c r="E1695" s="62" t="s">
        <v>114</v>
      </c>
      <c r="F1695" s="62" t="s">
        <v>110</v>
      </c>
      <c r="G1695" s="64" t="s">
        <v>60</v>
      </c>
      <c r="H1695" s="3" t="s">
        <v>67</v>
      </c>
      <c r="I1695" s="65" t="str">
        <f>IFERROR(VLOOKUP(A1695,'3. Call duration'!$A:$C,3,0),"--")</f>
        <v>--</v>
      </c>
      <c r="J1695" s="65" t="str">
        <f t="array" ref="J1695">XLOOKUP(H1695,'2. Matching'!$A$2:$A$39,'2. Matching'!$B$2:$B$39,"--")</f>
        <v>Acquisition</v>
      </c>
      <c r="K1695" s="65" t="str">
        <f t="shared" si="1"/>
        <v>In</v>
      </c>
    </row>
    <row r="1696">
      <c r="A1696" s="62" t="s">
        <v>1834</v>
      </c>
      <c r="B1696" s="63">
        <v>44089.0</v>
      </c>
      <c r="C1696" s="62" t="s">
        <v>108</v>
      </c>
      <c r="D1696" s="64">
        <v>0.0</v>
      </c>
      <c r="E1696" s="62" t="s">
        <v>109</v>
      </c>
      <c r="F1696" s="62" t="s">
        <v>115</v>
      </c>
      <c r="G1696" s="64" t="s">
        <v>64</v>
      </c>
      <c r="H1696" s="3" t="s">
        <v>139</v>
      </c>
      <c r="I1696" s="65">
        <f>IFERROR(VLOOKUP(A1696,'3. Call duration'!$A:$C,3,0),"--")</f>
        <v>30.18476214</v>
      </c>
      <c r="J1696" s="65" t="str">
        <f t="array" ref="J1696">XLOOKUP(H1696,'2. Matching'!$A$2:$A$39,'2. Matching'!$B$2:$B$39,"--")</f>
        <v>Acquisition</v>
      </c>
      <c r="K1696" s="65" t="str">
        <f t="shared" si="1"/>
        <v>In</v>
      </c>
    </row>
    <row r="1697">
      <c r="A1697" s="62" t="s">
        <v>1835</v>
      </c>
      <c r="B1697" s="63">
        <v>44244.0</v>
      </c>
      <c r="C1697" s="62" t="s">
        <v>112</v>
      </c>
      <c r="D1697" s="64">
        <v>0.0</v>
      </c>
      <c r="E1697" s="62" t="s">
        <v>114</v>
      </c>
      <c r="F1697" s="62" t="s">
        <v>110</v>
      </c>
      <c r="G1697" s="64" t="s">
        <v>64</v>
      </c>
      <c r="H1697" s="3" t="s">
        <v>164</v>
      </c>
      <c r="I1697" s="65" t="str">
        <f>IFERROR(VLOOKUP(A1697,'3. Call duration'!$A:$C,3,0),"--")</f>
        <v>--</v>
      </c>
      <c r="J1697" s="65" t="str">
        <f t="array" ref="J1697">XLOOKUP(H1697,'2. Matching'!$A$2:$A$39,'2. Matching'!$B$2:$B$39,"--")</f>
        <v>SEO</v>
      </c>
      <c r="K1697" s="65" t="str">
        <f t="shared" si="1"/>
        <v>In</v>
      </c>
    </row>
    <row r="1698">
      <c r="A1698" s="62" t="s">
        <v>1836</v>
      </c>
      <c r="B1698" s="63">
        <v>44273.0</v>
      </c>
      <c r="C1698" s="62" t="s">
        <v>112</v>
      </c>
      <c r="D1698" s="64">
        <v>0.0</v>
      </c>
      <c r="E1698" s="62" t="s">
        <v>109</v>
      </c>
      <c r="F1698" s="62" t="s">
        <v>110</v>
      </c>
      <c r="G1698" s="64" t="s">
        <v>64</v>
      </c>
      <c r="H1698" s="3" t="s">
        <v>297</v>
      </c>
      <c r="I1698" s="65" t="str">
        <f>IFERROR(VLOOKUP(A1698,'3. Call duration'!$A:$C,3,0),"--")</f>
        <v>--</v>
      </c>
      <c r="J1698" s="65" t="str">
        <f t="array" ref="J1698">XLOOKUP(H1698,'2. Matching'!$A$2:$A$39,'2. Matching'!$B$2:$B$39,"--")</f>
        <v>Farming</v>
      </c>
      <c r="K1698" s="65" t="str">
        <f t="shared" si="1"/>
        <v>In</v>
      </c>
    </row>
    <row r="1699">
      <c r="A1699" s="62" t="s">
        <v>1837</v>
      </c>
      <c r="B1699" s="63">
        <v>44356.0</v>
      </c>
      <c r="C1699" s="62" t="s">
        <v>112</v>
      </c>
      <c r="D1699" s="64">
        <v>0.0</v>
      </c>
      <c r="E1699" s="62" t="s">
        <v>109</v>
      </c>
      <c r="F1699" s="62" t="s">
        <v>110</v>
      </c>
      <c r="G1699" s="64" t="s">
        <v>60</v>
      </c>
      <c r="H1699" s="3" t="s">
        <v>68</v>
      </c>
      <c r="I1699" s="65" t="str">
        <f>IFERROR(VLOOKUP(A1699,'3. Call duration'!$A:$C,3,0),"--")</f>
        <v>--</v>
      </c>
      <c r="J1699" s="65" t="str">
        <f t="array" ref="J1699">XLOOKUP(H1699,'2. Matching'!$A$2:$A$39,'2. Matching'!$B$2:$B$39,"--")</f>
        <v>Acquisition</v>
      </c>
      <c r="K1699" s="65" t="str">
        <f t="shared" si="1"/>
        <v>In</v>
      </c>
    </row>
    <row r="1700">
      <c r="A1700" s="62" t="s">
        <v>1838</v>
      </c>
      <c r="B1700" s="63">
        <v>44378.0</v>
      </c>
      <c r="C1700" s="62" t="s">
        <v>108</v>
      </c>
      <c r="D1700" s="64">
        <v>0.0</v>
      </c>
      <c r="E1700" s="62" t="s">
        <v>109</v>
      </c>
      <c r="F1700" s="62" t="s">
        <v>110</v>
      </c>
      <c r="G1700" s="64" t="s">
        <v>63</v>
      </c>
      <c r="H1700" s="3" t="s">
        <v>124</v>
      </c>
      <c r="I1700" s="65">
        <f>IFERROR(VLOOKUP(A1700,'3. Call duration'!$A:$C,3,0),"--")</f>
        <v>20.53042769</v>
      </c>
      <c r="J1700" s="65" t="str">
        <f t="array" ref="J1700">XLOOKUP(H1700,'2. Matching'!$A$2:$A$39,'2. Matching'!$B$2:$B$39,"--")</f>
        <v>Acquisition</v>
      </c>
      <c r="K1700" s="65" t="str">
        <f t="shared" si="1"/>
        <v>In</v>
      </c>
    </row>
    <row r="1701">
      <c r="A1701" s="62" t="s">
        <v>1839</v>
      </c>
      <c r="B1701" s="63">
        <v>44333.0</v>
      </c>
      <c r="C1701" s="62" t="s">
        <v>119</v>
      </c>
      <c r="D1701" s="64">
        <v>47.5</v>
      </c>
      <c r="E1701" s="62" t="s">
        <v>109</v>
      </c>
      <c r="F1701" s="62" t="s">
        <v>115</v>
      </c>
      <c r="G1701" s="64" t="s">
        <v>64</v>
      </c>
      <c r="H1701" s="3" t="s">
        <v>164</v>
      </c>
      <c r="I1701" s="65">
        <f>IFERROR(VLOOKUP(A1701,'3. Call duration'!$A:$C,3,0),"--")</f>
        <v>23.61311938</v>
      </c>
      <c r="J1701" s="65" t="str">
        <f t="array" ref="J1701">XLOOKUP(H1701,'2. Matching'!$A$2:$A$39,'2. Matching'!$B$2:$B$39,"--")</f>
        <v>SEO</v>
      </c>
      <c r="K1701" s="65" t="str">
        <f t="shared" si="1"/>
        <v>In</v>
      </c>
    </row>
    <row r="1702">
      <c r="A1702" s="62" t="s">
        <v>1840</v>
      </c>
      <c r="B1702" s="63">
        <v>44363.0</v>
      </c>
      <c r="C1702" s="62" t="s">
        <v>112</v>
      </c>
      <c r="D1702" s="64">
        <v>0.0</v>
      </c>
      <c r="E1702" s="62" t="s">
        <v>109</v>
      </c>
      <c r="F1702" s="62" t="s">
        <v>110</v>
      </c>
      <c r="G1702" s="64" t="s">
        <v>60</v>
      </c>
      <c r="H1702" s="3" t="s">
        <v>68</v>
      </c>
      <c r="I1702" s="65" t="str">
        <f>IFERROR(VLOOKUP(A1702,'3. Call duration'!$A:$C,3,0),"--")</f>
        <v>--</v>
      </c>
      <c r="J1702" s="65" t="str">
        <f t="array" ref="J1702">XLOOKUP(H1702,'2. Matching'!$A$2:$A$39,'2. Matching'!$B$2:$B$39,"--")</f>
        <v>Acquisition</v>
      </c>
      <c r="K1702" s="65" t="str">
        <f t="shared" si="1"/>
        <v>In</v>
      </c>
    </row>
    <row r="1703">
      <c r="A1703" s="62" t="s">
        <v>1841</v>
      </c>
      <c r="B1703" s="63">
        <v>44357.0</v>
      </c>
      <c r="C1703" s="62" t="s">
        <v>112</v>
      </c>
      <c r="D1703" s="64">
        <v>0.0</v>
      </c>
      <c r="E1703" s="62" t="s">
        <v>109</v>
      </c>
      <c r="F1703" s="62" t="s">
        <v>110</v>
      </c>
      <c r="G1703" s="64" t="s">
        <v>60</v>
      </c>
      <c r="H1703" s="3" t="s">
        <v>67</v>
      </c>
      <c r="I1703" s="65" t="str">
        <f>IFERROR(VLOOKUP(A1703,'3. Call duration'!$A:$C,3,0),"--")</f>
        <v>--</v>
      </c>
      <c r="J1703" s="65" t="str">
        <f t="array" ref="J1703">XLOOKUP(H1703,'2. Matching'!$A$2:$A$39,'2. Matching'!$B$2:$B$39,"--")</f>
        <v>Acquisition</v>
      </c>
      <c r="K1703" s="65" t="str">
        <f t="shared" si="1"/>
        <v>In</v>
      </c>
    </row>
    <row r="1704">
      <c r="A1704" s="62" t="s">
        <v>1842</v>
      </c>
      <c r="B1704" s="63">
        <v>44378.0</v>
      </c>
      <c r="C1704" s="62" t="s">
        <v>112</v>
      </c>
      <c r="D1704" s="64">
        <v>0.0</v>
      </c>
      <c r="E1704" s="62" t="s">
        <v>109</v>
      </c>
      <c r="F1704" s="62" t="s">
        <v>110</v>
      </c>
      <c r="G1704" s="64" t="s">
        <v>61</v>
      </c>
      <c r="H1704" s="3" t="s">
        <v>67</v>
      </c>
      <c r="I1704" s="65" t="str">
        <f>IFERROR(VLOOKUP(A1704,'3. Call duration'!$A:$C,3,0),"--")</f>
        <v>--</v>
      </c>
      <c r="J1704" s="65" t="str">
        <f t="array" ref="J1704">XLOOKUP(H1704,'2. Matching'!$A$2:$A$39,'2. Matching'!$B$2:$B$39,"--")</f>
        <v>Acquisition</v>
      </c>
      <c r="K1704" s="65" t="str">
        <f t="shared" si="1"/>
        <v>In</v>
      </c>
    </row>
    <row r="1705">
      <c r="A1705" s="62" t="s">
        <v>1843</v>
      </c>
      <c r="B1705" s="63">
        <v>44256.0</v>
      </c>
      <c r="C1705" s="62" t="s">
        <v>112</v>
      </c>
      <c r="D1705" s="64">
        <v>0.0</v>
      </c>
      <c r="E1705" s="62" t="s">
        <v>109</v>
      </c>
      <c r="F1705" s="62" t="s">
        <v>110</v>
      </c>
      <c r="G1705" s="64" t="s">
        <v>64</v>
      </c>
      <c r="H1705" s="3" t="s">
        <v>297</v>
      </c>
      <c r="I1705" s="65" t="str">
        <f>IFERROR(VLOOKUP(A1705,'3. Call duration'!$A:$C,3,0),"--")</f>
        <v>--</v>
      </c>
      <c r="J1705" s="65" t="str">
        <f t="array" ref="J1705">XLOOKUP(H1705,'2. Matching'!$A$2:$A$39,'2. Matching'!$B$2:$B$39,"--")</f>
        <v>Farming</v>
      </c>
      <c r="K1705" s="65" t="str">
        <f t="shared" si="1"/>
        <v>In</v>
      </c>
    </row>
    <row r="1706">
      <c r="A1706" s="62" t="s">
        <v>1844</v>
      </c>
      <c r="B1706" s="63">
        <v>44253.0</v>
      </c>
      <c r="C1706" s="62" t="s">
        <v>112</v>
      </c>
      <c r="D1706" s="64">
        <v>0.0</v>
      </c>
      <c r="E1706" s="62" t="s">
        <v>109</v>
      </c>
      <c r="F1706" s="62" t="s">
        <v>110</v>
      </c>
      <c r="G1706" s="64" t="s">
        <v>64</v>
      </c>
      <c r="H1706" s="3" t="s">
        <v>131</v>
      </c>
      <c r="I1706" s="65" t="str">
        <f>IFERROR(VLOOKUP(A1706,'3. Call duration'!$A:$C,3,0),"--")</f>
        <v>--</v>
      </c>
      <c r="J1706" s="65" t="str">
        <f t="array" ref="J1706">XLOOKUP(H1706,'2. Matching'!$A$2:$A$39,'2. Matching'!$B$2:$B$39,"--")</f>
        <v>Acquisition</v>
      </c>
      <c r="K1706" s="65" t="str">
        <f t="shared" si="1"/>
        <v>In</v>
      </c>
    </row>
    <row r="1707">
      <c r="A1707" s="62" t="s">
        <v>1845</v>
      </c>
      <c r="B1707" s="63">
        <v>44138.0</v>
      </c>
      <c r="C1707" s="62" t="s">
        <v>112</v>
      </c>
      <c r="D1707" s="64">
        <v>0.0</v>
      </c>
      <c r="E1707" s="62" t="s">
        <v>109</v>
      </c>
      <c r="F1707" s="62" t="s">
        <v>110</v>
      </c>
      <c r="G1707" s="64" t="s">
        <v>64</v>
      </c>
      <c r="H1707" s="3" t="s">
        <v>135</v>
      </c>
      <c r="I1707" s="65" t="str">
        <f>IFERROR(VLOOKUP(A1707,'3. Call duration'!$A:$C,3,0),"--")</f>
        <v>--</v>
      </c>
      <c r="J1707" s="65" t="str">
        <f t="array" ref="J1707">XLOOKUP(H1707,'2. Matching'!$A$2:$A$39,'2. Matching'!$B$2:$B$39,"--")</f>
        <v>Acquisition</v>
      </c>
      <c r="K1707" s="65" t="str">
        <f t="shared" si="1"/>
        <v>In</v>
      </c>
    </row>
    <row r="1708">
      <c r="A1708" s="62" t="s">
        <v>1846</v>
      </c>
      <c r="B1708" s="63">
        <v>44155.0</v>
      </c>
      <c r="C1708" s="62" t="s">
        <v>112</v>
      </c>
      <c r="D1708" s="64">
        <v>0.0</v>
      </c>
      <c r="E1708" s="62" t="s">
        <v>109</v>
      </c>
      <c r="F1708" s="62" t="s">
        <v>115</v>
      </c>
      <c r="G1708" s="64" t="s">
        <v>64</v>
      </c>
      <c r="H1708" s="3" t="s">
        <v>169</v>
      </c>
      <c r="I1708" s="65" t="str">
        <f>IFERROR(VLOOKUP(A1708,'3. Call duration'!$A:$C,3,0),"--")</f>
        <v>--</v>
      </c>
      <c r="J1708" s="65" t="str">
        <f t="array" ref="J1708">XLOOKUP(H1708,'2. Matching'!$A$2:$A$39,'2. Matching'!$B$2:$B$39,"--")</f>
        <v>SEO</v>
      </c>
      <c r="K1708" s="65" t="str">
        <f t="shared" si="1"/>
        <v>In</v>
      </c>
    </row>
    <row r="1709">
      <c r="A1709" s="62" t="s">
        <v>1847</v>
      </c>
      <c r="B1709" s="63">
        <v>44088.0</v>
      </c>
      <c r="C1709" s="62" t="s">
        <v>108</v>
      </c>
      <c r="D1709" s="64">
        <v>0.0</v>
      </c>
      <c r="E1709" s="62" t="s">
        <v>114</v>
      </c>
      <c r="F1709" s="62" t="s">
        <v>110</v>
      </c>
      <c r="G1709" s="64" t="s">
        <v>64</v>
      </c>
      <c r="H1709" s="3" t="s">
        <v>139</v>
      </c>
      <c r="I1709" s="65">
        <f>IFERROR(VLOOKUP(A1709,'3. Call duration'!$A:$C,3,0),"--")</f>
        <v>20.76639121</v>
      </c>
      <c r="J1709" s="65" t="str">
        <f t="array" ref="J1709">XLOOKUP(H1709,'2. Matching'!$A$2:$A$39,'2. Matching'!$B$2:$B$39,"--")</f>
        <v>Acquisition</v>
      </c>
      <c r="K1709" s="65" t="str">
        <f t="shared" si="1"/>
        <v>In</v>
      </c>
    </row>
    <row r="1710">
      <c r="A1710" s="62" t="s">
        <v>1848</v>
      </c>
      <c r="B1710" s="63">
        <v>44371.0</v>
      </c>
      <c r="C1710" s="62" t="s">
        <v>108</v>
      </c>
      <c r="D1710" s="64">
        <v>0.0</v>
      </c>
      <c r="E1710" s="62" t="s">
        <v>109</v>
      </c>
      <c r="F1710" s="62" t="s">
        <v>110</v>
      </c>
      <c r="G1710" s="64" t="s">
        <v>64</v>
      </c>
      <c r="H1710" s="3" t="s">
        <v>145</v>
      </c>
      <c r="I1710" s="65">
        <f>IFERROR(VLOOKUP(A1710,'3. Call duration'!$A:$C,3,0),"--")</f>
        <v>33.01175845</v>
      </c>
      <c r="J1710" s="65" t="str">
        <f t="array" ref="J1710">XLOOKUP(H1710,'2. Matching'!$A$2:$A$39,'2. Matching'!$B$2:$B$39,"--")</f>
        <v>SEO</v>
      </c>
      <c r="K1710" s="65" t="str">
        <f t="shared" si="1"/>
        <v>In</v>
      </c>
    </row>
    <row r="1711">
      <c r="A1711" s="62" t="s">
        <v>1849</v>
      </c>
      <c r="B1711" s="63">
        <v>44340.0</v>
      </c>
      <c r="C1711" s="62" t="s">
        <v>119</v>
      </c>
      <c r="D1711" s="64">
        <v>47.5</v>
      </c>
      <c r="E1711" s="62" t="s">
        <v>109</v>
      </c>
      <c r="F1711" s="62" t="s">
        <v>110</v>
      </c>
      <c r="G1711" s="64" t="s">
        <v>59</v>
      </c>
      <c r="H1711" s="3" t="s">
        <v>68</v>
      </c>
      <c r="I1711" s="65">
        <f>IFERROR(VLOOKUP(A1711,'3. Call duration'!$A:$C,3,0),"--")</f>
        <v>23.64167713</v>
      </c>
      <c r="J1711" s="65" t="str">
        <f t="array" ref="J1711">XLOOKUP(H1711,'2. Matching'!$A$2:$A$39,'2. Matching'!$B$2:$B$39,"--")</f>
        <v>Acquisition</v>
      </c>
      <c r="K1711" s="65" t="str">
        <f t="shared" si="1"/>
        <v>In</v>
      </c>
    </row>
    <row r="1712">
      <c r="A1712" s="62" t="s">
        <v>1850</v>
      </c>
      <c r="B1712" s="63">
        <v>44377.0</v>
      </c>
      <c r="C1712" s="62" t="s">
        <v>112</v>
      </c>
      <c r="D1712" s="64">
        <v>0.0</v>
      </c>
      <c r="E1712" s="62" t="s">
        <v>109</v>
      </c>
      <c r="F1712" s="62" t="s">
        <v>115</v>
      </c>
      <c r="G1712" s="64" t="s">
        <v>64</v>
      </c>
      <c r="H1712" s="3" t="s">
        <v>169</v>
      </c>
      <c r="I1712" s="65" t="str">
        <f>IFERROR(VLOOKUP(A1712,'3. Call duration'!$A:$C,3,0),"--")</f>
        <v>--</v>
      </c>
      <c r="J1712" s="65" t="str">
        <f t="array" ref="J1712">XLOOKUP(H1712,'2. Matching'!$A$2:$A$39,'2. Matching'!$B$2:$B$39,"--")</f>
        <v>SEO</v>
      </c>
      <c r="K1712" s="65" t="str">
        <f t="shared" si="1"/>
        <v>In</v>
      </c>
    </row>
    <row r="1713">
      <c r="A1713" s="62" t="s">
        <v>1851</v>
      </c>
      <c r="B1713" s="63">
        <v>44375.0</v>
      </c>
      <c r="C1713" s="62" t="s">
        <v>112</v>
      </c>
      <c r="D1713" s="64">
        <v>0.0</v>
      </c>
      <c r="E1713" s="62" t="s">
        <v>109</v>
      </c>
      <c r="F1713" s="62" t="s">
        <v>115</v>
      </c>
      <c r="G1713" s="64" t="s">
        <v>60</v>
      </c>
      <c r="H1713" s="3" t="s">
        <v>68</v>
      </c>
      <c r="I1713" s="65" t="str">
        <f>IFERROR(VLOOKUP(A1713,'3. Call duration'!$A:$C,3,0),"--")</f>
        <v>--</v>
      </c>
      <c r="J1713" s="65" t="str">
        <f t="array" ref="J1713">XLOOKUP(H1713,'2. Matching'!$A$2:$A$39,'2. Matching'!$B$2:$B$39,"--")</f>
        <v>Acquisition</v>
      </c>
      <c r="K1713" s="65" t="str">
        <f t="shared" si="1"/>
        <v>In</v>
      </c>
    </row>
    <row r="1714">
      <c r="A1714" s="62" t="s">
        <v>1852</v>
      </c>
      <c r="B1714" s="63">
        <v>44384.0</v>
      </c>
      <c r="C1714" s="62" t="s">
        <v>112</v>
      </c>
      <c r="D1714" s="64">
        <v>0.0</v>
      </c>
      <c r="E1714" s="62" t="s">
        <v>109</v>
      </c>
      <c r="F1714" s="62" t="s">
        <v>110</v>
      </c>
      <c r="G1714" s="64" t="s">
        <v>60</v>
      </c>
      <c r="H1714" s="3" t="s">
        <v>68</v>
      </c>
      <c r="I1714" s="65" t="str">
        <f>IFERROR(VLOOKUP(A1714,'3. Call duration'!$A:$C,3,0),"--")</f>
        <v>--</v>
      </c>
      <c r="J1714" s="65" t="str">
        <f t="array" ref="J1714">XLOOKUP(H1714,'2. Matching'!$A$2:$A$39,'2. Matching'!$B$2:$B$39,"--")</f>
        <v>Acquisition</v>
      </c>
      <c r="K1714" s="65" t="str">
        <f t="shared" si="1"/>
        <v>In</v>
      </c>
    </row>
    <row r="1715">
      <c r="A1715" s="62" t="s">
        <v>1853</v>
      </c>
      <c r="B1715" s="63">
        <v>44251.0</v>
      </c>
      <c r="C1715" s="62" t="s">
        <v>108</v>
      </c>
      <c r="D1715" s="64">
        <v>0.0</v>
      </c>
      <c r="E1715" s="62" t="s">
        <v>109</v>
      </c>
      <c r="F1715" s="62" t="s">
        <v>115</v>
      </c>
      <c r="G1715" s="64" t="s">
        <v>64</v>
      </c>
      <c r="H1715" s="3" t="s">
        <v>139</v>
      </c>
      <c r="I1715" s="65">
        <f>IFERROR(VLOOKUP(A1715,'3. Call duration'!$A:$C,3,0),"--")</f>
        <v>27.5970891</v>
      </c>
      <c r="J1715" s="65" t="str">
        <f t="array" ref="J1715">XLOOKUP(H1715,'2. Matching'!$A$2:$A$39,'2. Matching'!$B$2:$B$39,"--")</f>
        <v>Acquisition</v>
      </c>
      <c r="K1715" s="65" t="str">
        <f t="shared" si="1"/>
        <v>In</v>
      </c>
    </row>
    <row r="1716">
      <c r="A1716" s="62" t="s">
        <v>1854</v>
      </c>
      <c r="B1716" s="63">
        <v>44232.0</v>
      </c>
      <c r="C1716" s="62" t="s">
        <v>112</v>
      </c>
      <c r="D1716" s="64">
        <v>0.0</v>
      </c>
      <c r="E1716" s="62" t="s">
        <v>109</v>
      </c>
      <c r="F1716" s="62" t="s">
        <v>110</v>
      </c>
      <c r="G1716" s="64" t="s">
        <v>64</v>
      </c>
      <c r="H1716" s="3" t="s">
        <v>297</v>
      </c>
      <c r="I1716" s="65" t="str">
        <f>IFERROR(VLOOKUP(A1716,'3. Call duration'!$A:$C,3,0),"--")</f>
        <v>--</v>
      </c>
      <c r="J1716" s="65" t="str">
        <f t="array" ref="J1716">XLOOKUP(H1716,'2. Matching'!$A$2:$A$39,'2. Matching'!$B$2:$B$39,"--")</f>
        <v>Farming</v>
      </c>
      <c r="K1716" s="65" t="str">
        <f t="shared" si="1"/>
        <v>In</v>
      </c>
    </row>
    <row r="1717">
      <c r="A1717" s="62" t="s">
        <v>1855</v>
      </c>
      <c r="B1717" s="63">
        <v>44270.0</v>
      </c>
      <c r="C1717" s="62" t="s">
        <v>112</v>
      </c>
      <c r="D1717" s="64">
        <v>0.0</v>
      </c>
      <c r="E1717" s="62" t="s">
        <v>109</v>
      </c>
      <c r="F1717" s="62" t="s">
        <v>115</v>
      </c>
      <c r="G1717" s="64" t="s">
        <v>64</v>
      </c>
      <c r="H1717" s="3" t="s">
        <v>141</v>
      </c>
      <c r="I1717" s="65" t="str">
        <f>IFERROR(VLOOKUP(A1717,'3. Call duration'!$A:$C,3,0),"--")</f>
        <v>--</v>
      </c>
      <c r="J1717" s="65" t="str">
        <f t="array" ref="J1717">XLOOKUP(H1717,'2. Matching'!$A$2:$A$39,'2. Matching'!$B$2:$B$39,"--")</f>
        <v>Acquisition</v>
      </c>
      <c r="K1717" s="65" t="str">
        <f t="shared" si="1"/>
        <v>In</v>
      </c>
    </row>
    <row r="1718">
      <c r="A1718" s="62" t="s">
        <v>1856</v>
      </c>
      <c r="B1718" s="63">
        <v>44336.0</v>
      </c>
      <c r="C1718" s="62" t="s">
        <v>119</v>
      </c>
      <c r="D1718" s="64">
        <v>47.5</v>
      </c>
      <c r="E1718" s="62" t="s">
        <v>109</v>
      </c>
      <c r="F1718" s="62" t="s">
        <v>115</v>
      </c>
      <c r="G1718" s="64" t="s">
        <v>64</v>
      </c>
      <c r="H1718" s="3" t="s">
        <v>116</v>
      </c>
      <c r="I1718" s="65">
        <f>IFERROR(VLOOKUP(A1718,'3. Call duration'!$A:$C,3,0),"--")</f>
        <v>23.67720533</v>
      </c>
      <c r="J1718" s="65" t="str">
        <f t="array" ref="J1718">XLOOKUP(H1718,'2. Matching'!$A$2:$A$39,'2. Matching'!$B$2:$B$39,"--")</f>
        <v>Acquisition</v>
      </c>
      <c r="K1718" s="65" t="str">
        <f t="shared" si="1"/>
        <v>In</v>
      </c>
    </row>
    <row r="1719">
      <c r="A1719" s="62" t="s">
        <v>1857</v>
      </c>
      <c r="B1719" s="63">
        <v>44190.0</v>
      </c>
      <c r="C1719" s="62" t="s">
        <v>112</v>
      </c>
      <c r="D1719" s="64">
        <v>0.0</v>
      </c>
      <c r="E1719" s="62" t="s">
        <v>109</v>
      </c>
      <c r="F1719" s="62" t="s">
        <v>110</v>
      </c>
      <c r="G1719" s="64" t="s">
        <v>64</v>
      </c>
      <c r="H1719" s="3" t="s">
        <v>139</v>
      </c>
      <c r="I1719" s="65" t="str">
        <f>IFERROR(VLOOKUP(A1719,'3. Call duration'!$A:$C,3,0),"--")</f>
        <v>--</v>
      </c>
      <c r="J1719" s="65" t="str">
        <f t="array" ref="J1719">XLOOKUP(H1719,'2. Matching'!$A$2:$A$39,'2. Matching'!$B$2:$B$39,"--")</f>
        <v>Acquisition</v>
      </c>
      <c r="K1719" s="65" t="str">
        <f t="shared" si="1"/>
        <v>In</v>
      </c>
    </row>
    <row r="1720">
      <c r="A1720" s="62" t="s">
        <v>1858</v>
      </c>
      <c r="B1720" s="63">
        <v>44335.0</v>
      </c>
      <c r="C1720" s="62" t="s">
        <v>119</v>
      </c>
      <c r="D1720" s="64">
        <v>95.0</v>
      </c>
      <c r="E1720" s="62" t="s">
        <v>114</v>
      </c>
      <c r="F1720" s="62" t="s">
        <v>115</v>
      </c>
      <c r="G1720" s="64" t="s">
        <v>64</v>
      </c>
      <c r="H1720" s="3" t="s">
        <v>141</v>
      </c>
      <c r="I1720" s="65">
        <f>IFERROR(VLOOKUP(A1720,'3. Call duration'!$A:$C,3,0),"--")</f>
        <v>23.70863752</v>
      </c>
      <c r="J1720" s="65" t="str">
        <f t="array" ref="J1720">XLOOKUP(H1720,'2. Matching'!$A$2:$A$39,'2. Matching'!$B$2:$B$39,"--")</f>
        <v>Acquisition</v>
      </c>
      <c r="K1720" s="65" t="str">
        <f t="shared" si="1"/>
        <v>In</v>
      </c>
    </row>
    <row r="1721">
      <c r="A1721" s="62" t="s">
        <v>1859</v>
      </c>
      <c r="B1721" s="63">
        <v>44225.0</v>
      </c>
      <c r="C1721" s="62" t="s">
        <v>112</v>
      </c>
      <c r="D1721" s="64">
        <v>0.0</v>
      </c>
      <c r="E1721" s="62" t="s">
        <v>109</v>
      </c>
      <c r="F1721" s="62" t="s">
        <v>110</v>
      </c>
      <c r="G1721" s="64" t="s">
        <v>64</v>
      </c>
      <c r="H1721" s="3" t="s">
        <v>175</v>
      </c>
      <c r="I1721" s="65" t="str">
        <f>IFERROR(VLOOKUP(A1721,'3. Call duration'!$A:$C,3,0),"--")</f>
        <v>--</v>
      </c>
      <c r="J1721" s="65" t="str">
        <f t="array" ref="J1721">XLOOKUP(H1721,'2. Matching'!$A$2:$A$39,'2. Matching'!$B$2:$B$39,"--")</f>
        <v>SEO</v>
      </c>
      <c r="K1721" s="65" t="str">
        <f t="shared" si="1"/>
        <v>In</v>
      </c>
    </row>
    <row r="1722">
      <c r="A1722" s="62" t="s">
        <v>1860</v>
      </c>
      <c r="B1722" s="63">
        <v>44231.0</v>
      </c>
      <c r="C1722" s="62" t="s">
        <v>108</v>
      </c>
      <c r="D1722" s="64">
        <v>0.0</v>
      </c>
      <c r="E1722" s="62" t="s">
        <v>109</v>
      </c>
      <c r="F1722" s="62" t="s">
        <v>110</v>
      </c>
      <c r="G1722" s="64" t="s">
        <v>63</v>
      </c>
      <c r="H1722" s="3" t="s">
        <v>189</v>
      </c>
      <c r="I1722" s="65">
        <f>IFERROR(VLOOKUP(A1722,'3. Call duration'!$A:$C,3,0),"--")</f>
        <v>23.93360117</v>
      </c>
      <c r="J1722" s="65" t="str">
        <f t="array" ref="J1722">XLOOKUP(H1722,'2. Matching'!$A$2:$A$39,'2. Matching'!$B$2:$B$39,"--")</f>
        <v>SEO</v>
      </c>
      <c r="K1722" s="65" t="str">
        <f t="shared" si="1"/>
        <v>Out</v>
      </c>
    </row>
    <row r="1723">
      <c r="A1723" s="62" t="s">
        <v>1861</v>
      </c>
      <c r="B1723" s="63">
        <v>44389.0</v>
      </c>
      <c r="C1723" s="62" t="s">
        <v>112</v>
      </c>
      <c r="D1723" s="64">
        <v>0.0</v>
      </c>
      <c r="E1723" s="62" t="s">
        <v>114</v>
      </c>
      <c r="F1723" s="62" t="s">
        <v>110</v>
      </c>
      <c r="G1723" s="64" t="s">
        <v>61</v>
      </c>
      <c r="H1723" s="3" t="s">
        <v>67</v>
      </c>
      <c r="I1723" s="65" t="str">
        <f>IFERROR(VLOOKUP(A1723,'3. Call duration'!$A:$C,3,0),"--")</f>
        <v>--</v>
      </c>
      <c r="J1723" s="65" t="str">
        <f t="array" ref="J1723">XLOOKUP(H1723,'2. Matching'!$A$2:$A$39,'2. Matching'!$B$2:$B$39,"--")</f>
        <v>Acquisition</v>
      </c>
      <c r="K1723" s="65" t="str">
        <f t="shared" si="1"/>
        <v>In</v>
      </c>
    </row>
    <row r="1724">
      <c r="A1724" s="62" t="s">
        <v>1862</v>
      </c>
      <c r="B1724" s="63">
        <v>44375.0</v>
      </c>
      <c r="C1724" s="62" t="s">
        <v>112</v>
      </c>
      <c r="D1724" s="64">
        <v>0.0</v>
      </c>
      <c r="E1724" s="62" t="s">
        <v>109</v>
      </c>
      <c r="F1724" s="62" t="s">
        <v>110</v>
      </c>
      <c r="G1724" s="64" t="s">
        <v>63</v>
      </c>
      <c r="H1724" s="3" t="s">
        <v>228</v>
      </c>
      <c r="I1724" s="65" t="str">
        <f>IFERROR(VLOOKUP(A1724,'3. Call duration'!$A:$C,3,0),"--")</f>
        <v>--</v>
      </c>
      <c r="J1724" s="65" t="str">
        <f t="array" ref="J1724">XLOOKUP(H1724,'2. Matching'!$A$2:$A$39,'2. Matching'!$B$2:$B$39,"--")</f>
        <v>Farming</v>
      </c>
      <c r="K1724" s="65" t="str">
        <f t="shared" si="1"/>
        <v>In</v>
      </c>
    </row>
    <row r="1725">
      <c r="A1725" s="62" t="s">
        <v>1863</v>
      </c>
      <c r="B1725" s="63">
        <v>44377.0</v>
      </c>
      <c r="C1725" s="62" t="s">
        <v>112</v>
      </c>
      <c r="D1725" s="64">
        <v>0.0</v>
      </c>
      <c r="E1725" s="62" t="s">
        <v>109</v>
      </c>
      <c r="F1725" s="62" t="s">
        <v>115</v>
      </c>
      <c r="G1725" s="64" t="s">
        <v>64</v>
      </c>
      <c r="H1725" s="3" t="s">
        <v>185</v>
      </c>
      <c r="I1725" s="65" t="str">
        <f>IFERROR(VLOOKUP(A1725,'3. Call duration'!$A:$C,3,0),"--")</f>
        <v>--</v>
      </c>
      <c r="J1725" s="65" t="str">
        <f t="array" ref="J1725">XLOOKUP(H1725,'2. Matching'!$A$2:$A$39,'2. Matching'!$B$2:$B$39,"--")</f>
        <v>SEO</v>
      </c>
      <c r="K1725" s="65" t="str">
        <f t="shared" si="1"/>
        <v>In</v>
      </c>
    </row>
    <row r="1726">
      <c r="A1726" s="62" t="s">
        <v>1864</v>
      </c>
      <c r="B1726" s="63">
        <v>44377.0</v>
      </c>
      <c r="C1726" s="62" t="s">
        <v>112</v>
      </c>
      <c r="D1726" s="64">
        <v>0.0</v>
      </c>
      <c r="E1726" s="62" t="s">
        <v>109</v>
      </c>
      <c r="F1726" s="62" t="s">
        <v>115</v>
      </c>
      <c r="G1726" s="64" t="s">
        <v>64</v>
      </c>
      <c r="H1726" s="3" t="s">
        <v>169</v>
      </c>
      <c r="I1726" s="65" t="str">
        <f>IFERROR(VLOOKUP(A1726,'3. Call duration'!$A:$C,3,0),"--")</f>
        <v>--</v>
      </c>
      <c r="J1726" s="65" t="str">
        <f t="array" ref="J1726">XLOOKUP(H1726,'2. Matching'!$A$2:$A$39,'2. Matching'!$B$2:$B$39,"--")</f>
        <v>SEO</v>
      </c>
      <c r="K1726" s="65" t="str">
        <f t="shared" si="1"/>
        <v>In</v>
      </c>
    </row>
    <row r="1727">
      <c r="A1727" s="62" t="s">
        <v>1865</v>
      </c>
      <c r="B1727" s="63">
        <v>44358.0</v>
      </c>
      <c r="C1727" s="62" t="s">
        <v>112</v>
      </c>
      <c r="D1727" s="64">
        <v>0.0</v>
      </c>
      <c r="E1727" s="62" t="s">
        <v>109</v>
      </c>
      <c r="F1727" s="62" t="s">
        <v>110</v>
      </c>
      <c r="G1727" s="64" t="s">
        <v>60</v>
      </c>
      <c r="H1727" s="3" t="s">
        <v>68</v>
      </c>
      <c r="I1727" s="65" t="str">
        <f>IFERROR(VLOOKUP(A1727,'3. Call duration'!$A:$C,3,0),"--")</f>
        <v>--</v>
      </c>
      <c r="J1727" s="65" t="str">
        <f t="array" ref="J1727">XLOOKUP(H1727,'2. Matching'!$A$2:$A$39,'2. Matching'!$B$2:$B$39,"--")</f>
        <v>Acquisition</v>
      </c>
      <c r="K1727" s="65" t="str">
        <f t="shared" si="1"/>
        <v>In</v>
      </c>
    </row>
    <row r="1728">
      <c r="A1728" s="62" t="s">
        <v>1866</v>
      </c>
      <c r="B1728" s="63">
        <v>44357.0</v>
      </c>
      <c r="C1728" s="62" t="s">
        <v>108</v>
      </c>
      <c r="D1728" s="64">
        <v>0.0</v>
      </c>
      <c r="E1728" s="62" t="s">
        <v>114</v>
      </c>
      <c r="F1728" s="62" t="s">
        <v>110</v>
      </c>
      <c r="G1728" s="64" t="s">
        <v>64</v>
      </c>
      <c r="H1728" s="3" t="s">
        <v>116</v>
      </c>
      <c r="I1728" s="65">
        <f>IFERROR(VLOOKUP(A1728,'3. Call duration'!$A:$C,3,0),"--")</f>
        <v>21.37991979</v>
      </c>
      <c r="J1728" s="65" t="str">
        <f t="array" ref="J1728">XLOOKUP(H1728,'2. Matching'!$A$2:$A$39,'2. Matching'!$B$2:$B$39,"--")</f>
        <v>Acquisition</v>
      </c>
      <c r="K1728" s="65" t="str">
        <f t="shared" si="1"/>
        <v>In</v>
      </c>
    </row>
    <row r="1729">
      <c r="A1729" s="62" t="s">
        <v>1867</v>
      </c>
      <c r="B1729" s="63">
        <v>44333.0</v>
      </c>
      <c r="C1729" s="62" t="s">
        <v>119</v>
      </c>
      <c r="D1729" s="64">
        <v>47.5</v>
      </c>
      <c r="E1729" s="62" t="s">
        <v>109</v>
      </c>
      <c r="F1729" s="62" t="s">
        <v>115</v>
      </c>
      <c r="G1729" s="64" t="s">
        <v>64</v>
      </c>
      <c r="H1729" s="3" t="s">
        <v>164</v>
      </c>
      <c r="I1729" s="65">
        <f>IFERROR(VLOOKUP(A1729,'3. Call duration'!$A:$C,3,0),"--")</f>
        <v>23.75396526</v>
      </c>
      <c r="J1729" s="65" t="str">
        <f t="array" ref="J1729">XLOOKUP(H1729,'2. Matching'!$A$2:$A$39,'2. Matching'!$B$2:$B$39,"--")</f>
        <v>SEO</v>
      </c>
      <c r="K1729" s="65" t="str">
        <f t="shared" si="1"/>
        <v>In</v>
      </c>
    </row>
    <row r="1730">
      <c r="A1730" s="62" t="s">
        <v>1868</v>
      </c>
      <c r="B1730" s="63">
        <v>44357.0</v>
      </c>
      <c r="C1730" s="62" t="s">
        <v>112</v>
      </c>
      <c r="D1730" s="64">
        <v>0.0</v>
      </c>
      <c r="E1730" s="62" t="s">
        <v>114</v>
      </c>
      <c r="F1730" s="62" t="s">
        <v>110</v>
      </c>
      <c r="G1730" s="64" t="s">
        <v>60</v>
      </c>
      <c r="H1730" s="3" t="s">
        <v>67</v>
      </c>
      <c r="I1730" s="65" t="str">
        <f>IFERROR(VLOOKUP(A1730,'3. Call duration'!$A:$C,3,0),"--")</f>
        <v>--</v>
      </c>
      <c r="J1730" s="65" t="str">
        <f t="array" ref="J1730">XLOOKUP(H1730,'2. Matching'!$A$2:$A$39,'2. Matching'!$B$2:$B$39,"--")</f>
        <v>Acquisition</v>
      </c>
      <c r="K1730" s="65" t="str">
        <f t="shared" si="1"/>
        <v>In</v>
      </c>
    </row>
    <row r="1731">
      <c r="A1731" s="62" t="s">
        <v>1869</v>
      </c>
      <c r="B1731" s="63">
        <v>44375.0</v>
      </c>
      <c r="C1731" s="62" t="s">
        <v>112</v>
      </c>
      <c r="D1731" s="64">
        <v>0.0</v>
      </c>
      <c r="E1731" s="62" t="s">
        <v>109</v>
      </c>
      <c r="F1731" s="62" t="s">
        <v>110</v>
      </c>
      <c r="G1731" s="64" t="s">
        <v>60</v>
      </c>
      <c r="H1731" s="3" t="s">
        <v>68</v>
      </c>
      <c r="I1731" s="65" t="str">
        <f>IFERROR(VLOOKUP(A1731,'3. Call duration'!$A:$C,3,0),"--")</f>
        <v>--</v>
      </c>
      <c r="J1731" s="65" t="str">
        <f t="array" ref="J1731">XLOOKUP(H1731,'2. Matching'!$A$2:$A$39,'2. Matching'!$B$2:$B$39,"--")</f>
        <v>Acquisition</v>
      </c>
      <c r="K1731" s="65" t="str">
        <f t="shared" si="1"/>
        <v>In</v>
      </c>
    </row>
    <row r="1732">
      <c r="A1732" s="62" t="s">
        <v>1870</v>
      </c>
      <c r="B1732" s="63">
        <v>44380.0</v>
      </c>
      <c r="C1732" s="62" t="s">
        <v>112</v>
      </c>
      <c r="D1732" s="64">
        <v>0.0</v>
      </c>
      <c r="E1732" s="62" t="s">
        <v>114</v>
      </c>
      <c r="F1732" s="62" t="s">
        <v>110</v>
      </c>
      <c r="G1732" s="64" t="s">
        <v>60</v>
      </c>
      <c r="H1732" s="3" t="s">
        <v>68</v>
      </c>
      <c r="I1732" s="65" t="str">
        <f>IFERROR(VLOOKUP(A1732,'3. Call duration'!$A:$C,3,0),"--")</f>
        <v>--</v>
      </c>
      <c r="J1732" s="65" t="str">
        <f t="array" ref="J1732">XLOOKUP(H1732,'2. Matching'!$A$2:$A$39,'2. Matching'!$B$2:$B$39,"--")</f>
        <v>Acquisition</v>
      </c>
      <c r="K1732" s="65" t="str">
        <f t="shared" si="1"/>
        <v>In</v>
      </c>
    </row>
    <row r="1733">
      <c r="A1733" s="62" t="s">
        <v>1871</v>
      </c>
      <c r="B1733" s="63">
        <v>44277.0</v>
      </c>
      <c r="C1733" s="62" t="s">
        <v>112</v>
      </c>
      <c r="D1733" s="64">
        <v>0.0</v>
      </c>
      <c r="E1733" s="62" t="s">
        <v>109</v>
      </c>
      <c r="F1733" s="62" t="s">
        <v>110</v>
      </c>
      <c r="G1733" s="64" t="s">
        <v>64</v>
      </c>
      <c r="H1733" s="3" t="s">
        <v>164</v>
      </c>
      <c r="I1733" s="65" t="str">
        <f>IFERROR(VLOOKUP(A1733,'3. Call duration'!$A:$C,3,0),"--")</f>
        <v>--</v>
      </c>
      <c r="J1733" s="65" t="str">
        <f t="array" ref="J1733">XLOOKUP(H1733,'2. Matching'!$A$2:$A$39,'2. Matching'!$B$2:$B$39,"--")</f>
        <v>SEO</v>
      </c>
      <c r="K1733" s="65" t="str">
        <f t="shared" si="1"/>
        <v>In</v>
      </c>
    </row>
    <row r="1734">
      <c r="A1734" s="62" t="s">
        <v>1872</v>
      </c>
      <c r="B1734" s="63">
        <v>44358.0</v>
      </c>
      <c r="C1734" s="62" t="s">
        <v>108</v>
      </c>
      <c r="D1734" s="64">
        <v>0.0</v>
      </c>
      <c r="E1734" s="62" t="s">
        <v>109</v>
      </c>
      <c r="F1734" s="62" t="s">
        <v>115</v>
      </c>
      <c r="G1734" s="64" t="s">
        <v>59</v>
      </c>
      <c r="H1734" s="3" t="s">
        <v>68</v>
      </c>
      <c r="I1734" s="65">
        <f>IFERROR(VLOOKUP(A1734,'3. Call duration'!$A:$C,3,0),"--")</f>
        <v>33.21612975</v>
      </c>
      <c r="J1734" s="65" t="str">
        <f t="array" ref="J1734">XLOOKUP(H1734,'2. Matching'!$A$2:$A$39,'2. Matching'!$B$2:$B$39,"--")</f>
        <v>Acquisition</v>
      </c>
      <c r="K1734" s="65" t="str">
        <f t="shared" si="1"/>
        <v>In</v>
      </c>
    </row>
    <row r="1735">
      <c r="A1735" s="62" t="s">
        <v>1873</v>
      </c>
      <c r="B1735" s="63">
        <v>44149.0</v>
      </c>
      <c r="C1735" s="62" t="s">
        <v>112</v>
      </c>
      <c r="D1735" s="64">
        <v>0.0</v>
      </c>
      <c r="E1735" s="62" t="s">
        <v>109</v>
      </c>
      <c r="F1735" s="62" t="s">
        <v>110</v>
      </c>
      <c r="G1735" s="64" t="s">
        <v>60</v>
      </c>
      <c r="H1735" s="3" t="s">
        <v>68</v>
      </c>
      <c r="I1735" s="65" t="str">
        <f>IFERROR(VLOOKUP(A1735,'3. Call duration'!$A:$C,3,0),"--")</f>
        <v>--</v>
      </c>
      <c r="J1735" s="65" t="str">
        <f t="array" ref="J1735">XLOOKUP(H1735,'2. Matching'!$A$2:$A$39,'2. Matching'!$B$2:$B$39,"--")</f>
        <v>Acquisition</v>
      </c>
      <c r="K1735" s="65" t="str">
        <f t="shared" si="1"/>
        <v>In</v>
      </c>
    </row>
    <row r="1736">
      <c r="A1736" s="62" t="s">
        <v>1874</v>
      </c>
      <c r="B1736" s="63">
        <v>44326.0</v>
      </c>
      <c r="C1736" s="62" t="s">
        <v>119</v>
      </c>
      <c r="D1736" s="64">
        <v>47.5</v>
      </c>
      <c r="E1736" s="62" t="s">
        <v>109</v>
      </c>
      <c r="F1736" s="62" t="s">
        <v>115</v>
      </c>
      <c r="G1736" s="64" t="s">
        <v>64</v>
      </c>
      <c r="H1736" s="3" t="s">
        <v>116</v>
      </c>
      <c r="I1736" s="65">
        <f>IFERROR(VLOOKUP(A1736,'3. Call duration'!$A:$C,3,0),"--")</f>
        <v>23.79288772</v>
      </c>
      <c r="J1736" s="65" t="str">
        <f t="array" ref="J1736">XLOOKUP(H1736,'2. Matching'!$A$2:$A$39,'2. Matching'!$B$2:$B$39,"--")</f>
        <v>Acquisition</v>
      </c>
      <c r="K1736" s="65" t="str">
        <f t="shared" si="1"/>
        <v>In</v>
      </c>
    </row>
    <row r="1737">
      <c r="A1737" s="62" t="s">
        <v>1875</v>
      </c>
      <c r="B1737" s="63">
        <v>44393.0</v>
      </c>
      <c r="C1737" s="62" t="s">
        <v>112</v>
      </c>
      <c r="D1737" s="64">
        <v>0.0</v>
      </c>
      <c r="E1737" s="62" t="s">
        <v>109</v>
      </c>
      <c r="F1737" s="62" t="s">
        <v>110</v>
      </c>
      <c r="G1737" s="64" t="s">
        <v>61</v>
      </c>
      <c r="H1737" s="3" t="s">
        <v>67</v>
      </c>
      <c r="I1737" s="65" t="str">
        <f>IFERROR(VLOOKUP(A1737,'3. Call duration'!$A:$C,3,0),"--")</f>
        <v>--</v>
      </c>
      <c r="J1737" s="65" t="str">
        <f t="array" ref="J1737">XLOOKUP(H1737,'2. Matching'!$A$2:$A$39,'2. Matching'!$B$2:$B$39,"--")</f>
        <v>Acquisition</v>
      </c>
      <c r="K1737" s="65" t="str">
        <f t="shared" si="1"/>
        <v>In</v>
      </c>
    </row>
    <row r="1738">
      <c r="A1738" s="62" t="s">
        <v>1876</v>
      </c>
      <c r="B1738" s="63">
        <v>44349.0</v>
      </c>
      <c r="C1738" s="62" t="s">
        <v>108</v>
      </c>
      <c r="D1738" s="64">
        <v>0.0</v>
      </c>
      <c r="E1738" s="62" t="s">
        <v>109</v>
      </c>
      <c r="F1738" s="62" t="s">
        <v>110</v>
      </c>
      <c r="G1738" s="64" t="s">
        <v>60</v>
      </c>
      <c r="H1738" s="3" t="s">
        <v>68</v>
      </c>
      <c r="I1738" s="65">
        <f>IFERROR(VLOOKUP(A1738,'3. Call duration'!$A:$C,3,0),"--")</f>
        <v>28.77141871</v>
      </c>
      <c r="J1738" s="65" t="str">
        <f t="array" ref="J1738">XLOOKUP(H1738,'2. Matching'!$A$2:$A$39,'2. Matching'!$B$2:$B$39,"--")</f>
        <v>Acquisition</v>
      </c>
      <c r="K1738" s="65" t="str">
        <f t="shared" si="1"/>
        <v>In</v>
      </c>
    </row>
    <row r="1739">
      <c r="A1739" s="62" t="s">
        <v>1877</v>
      </c>
      <c r="B1739" s="63">
        <v>44327.0</v>
      </c>
      <c r="C1739" s="62" t="s">
        <v>119</v>
      </c>
      <c r="D1739" s="64">
        <v>47.5</v>
      </c>
      <c r="E1739" s="62" t="s">
        <v>109</v>
      </c>
      <c r="F1739" s="62" t="s">
        <v>115</v>
      </c>
      <c r="G1739" s="64" t="s">
        <v>63</v>
      </c>
      <c r="H1739" s="3" t="s">
        <v>128</v>
      </c>
      <c r="I1739" s="65">
        <f>IFERROR(VLOOKUP(A1739,'3. Call duration'!$A:$C,3,0),"--")</f>
        <v>23.80646743</v>
      </c>
      <c r="J1739" s="65" t="str">
        <f t="array" ref="J1739">XLOOKUP(H1739,'2. Matching'!$A$2:$A$39,'2. Matching'!$B$2:$B$39,"--")</f>
        <v>Acquisition</v>
      </c>
      <c r="K1739" s="65" t="str">
        <f t="shared" si="1"/>
        <v>In</v>
      </c>
    </row>
    <row r="1740">
      <c r="A1740" s="62" t="s">
        <v>1878</v>
      </c>
      <c r="B1740" s="63">
        <v>44278.0</v>
      </c>
      <c r="C1740" s="62" t="s">
        <v>112</v>
      </c>
      <c r="D1740" s="64">
        <v>0.0</v>
      </c>
      <c r="E1740" s="62" t="s">
        <v>109</v>
      </c>
      <c r="F1740" s="62" t="s">
        <v>110</v>
      </c>
      <c r="G1740" s="64" t="s">
        <v>63</v>
      </c>
      <c r="H1740" s="3" t="s">
        <v>128</v>
      </c>
      <c r="I1740" s="65" t="str">
        <f>IFERROR(VLOOKUP(A1740,'3. Call duration'!$A:$C,3,0),"--")</f>
        <v>--</v>
      </c>
      <c r="J1740" s="65" t="str">
        <f t="array" ref="J1740">XLOOKUP(H1740,'2. Matching'!$A$2:$A$39,'2. Matching'!$B$2:$B$39,"--")</f>
        <v>Acquisition</v>
      </c>
      <c r="K1740" s="65" t="str">
        <f t="shared" si="1"/>
        <v>In</v>
      </c>
    </row>
    <row r="1741">
      <c r="A1741" s="62" t="s">
        <v>1879</v>
      </c>
      <c r="B1741" s="63">
        <v>44354.0</v>
      </c>
      <c r="C1741" s="62" t="s">
        <v>108</v>
      </c>
      <c r="D1741" s="64">
        <v>0.0</v>
      </c>
      <c r="E1741" s="62" t="s">
        <v>109</v>
      </c>
      <c r="F1741" s="62" t="s">
        <v>110</v>
      </c>
      <c r="G1741" s="64" t="s">
        <v>59</v>
      </c>
      <c r="H1741" s="3" t="s">
        <v>68</v>
      </c>
      <c r="I1741" s="65">
        <f>IFERROR(VLOOKUP(A1741,'3. Call duration'!$A:$C,3,0),"--")</f>
        <v>30.53430909</v>
      </c>
      <c r="J1741" s="65" t="str">
        <f t="array" ref="J1741">XLOOKUP(H1741,'2. Matching'!$A$2:$A$39,'2. Matching'!$B$2:$B$39,"--")</f>
        <v>Acquisition</v>
      </c>
      <c r="K1741" s="65" t="str">
        <f t="shared" si="1"/>
        <v>In</v>
      </c>
    </row>
    <row r="1742">
      <c r="A1742" s="62" t="s">
        <v>1880</v>
      </c>
      <c r="B1742" s="63">
        <v>44364.0</v>
      </c>
      <c r="C1742" s="62" t="s">
        <v>108</v>
      </c>
      <c r="D1742" s="64">
        <v>0.0</v>
      </c>
      <c r="E1742" s="62" t="s">
        <v>114</v>
      </c>
      <c r="F1742" s="62" t="s">
        <v>115</v>
      </c>
      <c r="G1742" s="64" t="s">
        <v>59</v>
      </c>
      <c r="H1742" s="3" t="s">
        <v>68</v>
      </c>
      <c r="I1742" s="65">
        <f>IFERROR(VLOOKUP(A1742,'3. Call duration'!$A:$C,3,0),"--")</f>
        <v>10.88486838</v>
      </c>
      <c r="J1742" s="65" t="str">
        <f t="array" ref="J1742">XLOOKUP(H1742,'2. Matching'!$A$2:$A$39,'2. Matching'!$B$2:$B$39,"--")</f>
        <v>Acquisition</v>
      </c>
      <c r="K1742" s="65" t="str">
        <f t="shared" si="1"/>
        <v>In</v>
      </c>
    </row>
    <row r="1743">
      <c r="A1743" s="62" t="s">
        <v>1881</v>
      </c>
      <c r="B1743" s="63">
        <v>44281.0</v>
      </c>
      <c r="C1743" s="62" t="s">
        <v>108</v>
      </c>
      <c r="D1743" s="64">
        <v>0.0</v>
      </c>
      <c r="E1743" s="62" t="s">
        <v>109</v>
      </c>
      <c r="F1743" s="62" t="s">
        <v>115</v>
      </c>
      <c r="G1743" s="64" t="s">
        <v>64</v>
      </c>
      <c r="H1743" s="3" t="s">
        <v>155</v>
      </c>
      <c r="I1743" s="65">
        <f>IFERROR(VLOOKUP(A1743,'3. Call duration'!$A:$C,3,0),"--")</f>
        <v>32.09456151</v>
      </c>
      <c r="J1743" s="65" t="str">
        <f t="array" ref="J1743">XLOOKUP(H1743,'2. Matching'!$A$2:$A$39,'2. Matching'!$B$2:$B$39,"--")</f>
        <v>SEO</v>
      </c>
      <c r="K1743" s="65" t="str">
        <f t="shared" si="1"/>
        <v>In</v>
      </c>
    </row>
    <row r="1744">
      <c r="A1744" s="62" t="s">
        <v>1882</v>
      </c>
      <c r="B1744" s="63">
        <v>44323.0</v>
      </c>
      <c r="C1744" s="62" t="s">
        <v>108</v>
      </c>
      <c r="D1744" s="64">
        <v>0.0</v>
      </c>
      <c r="E1744" s="62" t="s">
        <v>109</v>
      </c>
      <c r="F1744" s="62" t="s">
        <v>115</v>
      </c>
      <c r="G1744" s="64" t="s">
        <v>64</v>
      </c>
      <c r="H1744" s="3" t="s">
        <v>155</v>
      </c>
      <c r="I1744" s="65">
        <f>IFERROR(VLOOKUP(A1744,'3. Call duration'!$A:$C,3,0),"--")</f>
        <v>23.80741708</v>
      </c>
      <c r="J1744" s="65" t="str">
        <f t="array" ref="J1744">XLOOKUP(H1744,'2. Matching'!$A$2:$A$39,'2. Matching'!$B$2:$B$39,"--")</f>
        <v>SEO</v>
      </c>
      <c r="K1744" s="65" t="str">
        <f t="shared" si="1"/>
        <v>In</v>
      </c>
    </row>
    <row r="1745">
      <c r="A1745" s="62" t="s">
        <v>1883</v>
      </c>
      <c r="B1745" s="63">
        <v>44377.0</v>
      </c>
      <c r="C1745" s="62" t="s">
        <v>112</v>
      </c>
      <c r="D1745" s="64">
        <v>0.0</v>
      </c>
      <c r="E1745" s="62" t="s">
        <v>109</v>
      </c>
      <c r="F1745" s="62" t="s">
        <v>110</v>
      </c>
      <c r="G1745" s="64" t="s">
        <v>64</v>
      </c>
      <c r="H1745" s="3" t="s">
        <v>52</v>
      </c>
      <c r="I1745" s="65" t="str">
        <f>IFERROR(VLOOKUP(A1745,'3. Call duration'!$A:$C,3,0),"--")</f>
        <v>--</v>
      </c>
      <c r="J1745" s="65" t="str">
        <f t="array" ref="J1745">XLOOKUP(H1745,'2. Matching'!$A$2:$A$39,'2. Matching'!$B$2:$B$39,"--")</f>
        <v>Partnerships</v>
      </c>
      <c r="K1745" s="65" t="str">
        <f t="shared" si="1"/>
        <v>In</v>
      </c>
    </row>
    <row r="1746">
      <c r="A1746" s="62" t="s">
        <v>1884</v>
      </c>
      <c r="B1746" s="63">
        <v>44278.0</v>
      </c>
      <c r="C1746" s="62" t="s">
        <v>112</v>
      </c>
      <c r="D1746" s="64">
        <v>0.0</v>
      </c>
      <c r="E1746" s="62" t="s">
        <v>109</v>
      </c>
      <c r="F1746" s="62" t="s">
        <v>110</v>
      </c>
      <c r="G1746" s="64" t="s">
        <v>64</v>
      </c>
      <c r="H1746" s="3" t="s">
        <v>164</v>
      </c>
      <c r="I1746" s="65" t="str">
        <f>IFERROR(VLOOKUP(A1746,'3. Call duration'!$A:$C,3,0),"--")</f>
        <v>--</v>
      </c>
      <c r="J1746" s="65" t="str">
        <f t="array" ref="J1746">XLOOKUP(H1746,'2. Matching'!$A$2:$A$39,'2. Matching'!$B$2:$B$39,"--")</f>
        <v>SEO</v>
      </c>
      <c r="K1746" s="65" t="str">
        <f t="shared" si="1"/>
        <v>In</v>
      </c>
    </row>
    <row r="1747">
      <c r="A1747" s="62" t="s">
        <v>1885</v>
      </c>
      <c r="B1747" s="63">
        <v>44273.0</v>
      </c>
      <c r="C1747" s="62" t="s">
        <v>112</v>
      </c>
      <c r="D1747" s="64">
        <v>0.0</v>
      </c>
      <c r="E1747" s="62" t="s">
        <v>109</v>
      </c>
      <c r="F1747" s="62" t="s">
        <v>110</v>
      </c>
      <c r="G1747" s="64" t="s">
        <v>64</v>
      </c>
      <c r="H1747" s="3" t="s">
        <v>169</v>
      </c>
      <c r="I1747" s="65" t="str">
        <f>IFERROR(VLOOKUP(A1747,'3. Call duration'!$A:$C,3,0),"--")</f>
        <v>--</v>
      </c>
      <c r="J1747" s="65" t="str">
        <f t="array" ref="J1747">XLOOKUP(H1747,'2. Matching'!$A$2:$A$39,'2. Matching'!$B$2:$B$39,"--")</f>
        <v>SEO</v>
      </c>
      <c r="K1747" s="65" t="str">
        <f t="shared" si="1"/>
        <v>In</v>
      </c>
    </row>
    <row r="1748">
      <c r="A1748" s="62" t="s">
        <v>1886</v>
      </c>
      <c r="B1748" s="63">
        <v>44223.0</v>
      </c>
      <c r="C1748" s="62" t="s">
        <v>112</v>
      </c>
      <c r="D1748" s="64">
        <v>0.0</v>
      </c>
      <c r="E1748" s="62" t="s">
        <v>109</v>
      </c>
      <c r="F1748" s="62" t="s">
        <v>110</v>
      </c>
      <c r="G1748" s="64" t="s">
        <v>64</v>
      </c>
      <c r="H1748" s="3" t="s">
        <v>221</v>
      </c>
      <c r="I1748" s="65" t="str">
        <f>IFERROR(VLOOKUP(A1748,'3. Call duration'!$A:$C,3,0),"--")</f>
        <v>--</v>
      </c>
      <c r="J1748" s="65" t="str">
        <f t="array" ref="J1748">XLOOKUP(H1748,'2. Matching'!$A$2:$A$39,'2. Matching'!$B$2:$B$39,"--")</f>
        <v>Farming</v>
      </c>
      <c r="K1748" s="65" t="str">
        <f t="shared" si="1"/>
        <v>In</v>
      </c>
    </row>
    <row r="1749">
      <c r="A1749" s="62" t="s">
        <v>1887</v>
      </c>
      <c r="B1749" s="63">
        <v>44267.0</v>
      </c>
      <c r="C1749" s="62" t="s">
        <v>112</v>
      </c>
      <c r="D1749" s="64">
        <v>0.0</v>
      </c>
      <c r="E1749" s="62" t="s">
        <v>109</v>
      </c>
      <c r="F1749" s="62" t="s">
        <v>110</v>
      </c>
      <c r="G1749" s="64" t="s">
        <v>62</v>
      </c>
      <c r="H1749" s="3" t="s">
        <v>203</v>
      </c>
      <c r="I1749" s="65" t="str">
        <f>IFERROR(VLOOKUP(A1749,'3. Call duration'!$A:$C,3,0),"--")</f>
        <v>--</v>
      </c>
      <c r="J1749" s="65" t="str">
        <f t="array" ref="J1749">XLOOKUP(H1749,'2. Matching'!$A$2:$A$39,'2. Matching'!$B$2:$B$39,"--")</f>
        <v>Farming</v>
      </c>
      <c r="K1749" s="65" t="str">
        <f t="shared" si="1"/>
        <v>In</v>
      </c>
    </row>
    <row r="1750">
      <c r="A1750" s="62" t="s">
        <v>1888</v>
      </c>
      <c r="B1750" s="63">
        <v>44358.0</v>
      </c>
      <c r="C1750" s="62" t="s">
        <v>112</v>
      </c>
      <c r="D1750" s="64">
        <v>0.0</v>
      </c>
      <c r="E1750" s="62" t="s">
        <v>109</v>
      </c>
      <c r="F1750" s="62" t="s">
        <v>115</v>
      </c>
      <c r="G1750" s="64" t="s">
        <v>64</v>
      </c>
      <c r="H1750" s="3" t="s">
        <v>169</v>
      </c>
      <c r="I1750" s="65" t="str">
        <f>IFERROR(VLOOKUP(A1750,'3. Call duration'!$A:$C,3,0),"--")</f>
        <v>--</v>
      </c>
      <c r="J1750" s="65" t="str">
        <f t="array" ref="J1750">XLOOKUP(H1750,'2. Matching'!$A$2:$A$39,'2. Matching'!$B$2:$B$39,"--")</f>
        <v>SEO</v>
      </c>
      <c r="K1750" s="65" t="str">
        <f t="shared" si="1"/>
        <v>In</v>
      </c>
    </row>
    <row r="1751">
      <c r="A1751" s="62" t="s">
        <v>1889</v>
      </c>
      <c r="B1751" s="63">
        <v>44354.0</v>
      </c>
      <c r="C1751" s="62" t="s">
        <v>112</v>
      </c>
      <c r="D1751" s="64">
        <v>0.0</v>
      </c>
      <c r="E1751" s="62" t="s">
        <v>109</v>
      </c>
      <c r="F1751" s="62" t="s">
        <v>110</v>
      </c>
      <c r="G1751" s="64" t="s">
        <v>63</v>
      </c>
      <c r="H1751" s="3" t="s">
        <v>128</v>
      </c>
      <c r="I1751" s="65" t="str">
        <f>IFERROR(VLOOKUP(A1751,'3. Call duration'!$A:$C,3,0),"--")</f>
        <v>--</v>
      </c>
      <c r="J1751" s="65" t="str">
        <f t="array" ref="J1751">XLOOKUP(H1751,'2. Matching'!$A$2:$A$39,'2. Matching'!$B$2:$B$39,"--")</f>
        <v>Acquisition</v>
      </c>
      <c r="K1751" s="65" t="str">
        <f t="shared" si="1"/>
        <v>In</v>
      </c>
    </row>
    <row r="1752">
      <c r="A1752" s="62" t="s">
        <v>1890</v>
      </c>
      <c r="B1752" s="63">
        <v>44222.0</v>
      </c>
      <c r="C1752" s="62" t="s">
        <v>108</v>
      </c>
      <c r="D1752" s="64">
        <v>0.0</v>
      </c>
      <c r="E1752" s="62" t="s">
        <v>109</v>
      </c>
      <c r="F1752" s="62" t="s">
        <v>115</v>
      </c>
      <c r="G1752" s="64" t="s">
        <v>64</v>
      </c>
      <c r="H1752" s="3" t="s">
        <v>150</v>
      </c>
      <c r="I1752" s="65">
        <f>IFERROR(VLOOKUP(A1752,'3. Call duration'!$A:$C,3,0),"--")</f>
        <v>24.37450793</v>
      </c>
      <c r="J1752" s="65" t="str">
        <f t="array" ref="J1752">XLOOKUP(H1752,'2. Matching'!$A$2:$A$39,'2. Matching'!$B$2:$B$39,"--")</f>
        <v>SEO</v>
      </c>
      <c r="K1752" s="65" t="str">
        <f t="shared" si="1"/>
        <v>In</v>
      </c>
    </row>
    <row r="1753">
      <c r="A1753" s="62" t="s">
        <v>1891</v>
      </c>
      <c r="B1753" s="63">
        <v>44277.0</v>
      </c>
      <c r="C1753" s="62" t="s">
        <v>112</v>
      </c>
      <c r="D1753" s="64">
        <v>0.0</v>
      </c>
      <c r="E1753" s="62" t="s">
        <v>114</v>
      </c>
      <c r="F1753" s="62" t="s">
        <v>115</v>
      </c>
      <c r="G1753" s="64" t="s">
        <v>62</v>
      </c>
      <c r="H1753" s="3" t="s">
        <v>203</v>
      </c>
      <c r="I1753" s="65" t="str">
        <f>IFERROR(VLOOKUP(A1753,'3. Call duration'!$A:$C,3,0),"--")</f>
        <v>--</v>
      </c>
      <c r="J1753" s="65" t="str">
        <f t="array" ref="J1753">XLOOKUP(H1753,'2. Matching'!$A$2:$A$39,'2. Matching'!$B$2:$B$39,"--")</f>
        <v>Farming</v>
      </c>
      <c r="K1753" s="65" t="str">
        <f t="shared" si="1"/>
        <v>In</v>
      </c>
    </row>
    <row r="1754">
      <c r="A1754" s="62" t="s">
        <v>1892</v>
      </c>
      <c r="B1754" s="63">
        <v>44385.0</v>
      </c>
      <c r="C1754" s="62" t="s">
        <v>112</v>
      </c>
      <c r="D1754" s="64">
        <v>0.0</v>
      </c>
      <c r="E1754" s="62" t="s">
        <v>109</v>
      </c>
      <c r="F1754" s="62" t="s">
        <v>115</v>
      </c>
      <c r="G1754" s="64" t="s">
        <v>59</v>
      </c>
      <c r="H1754" s="3" t="s">
        <v>68</v>
      </c>
      <c r="I1754" s="65" t="str">
        <f>IFERROR(VLOOKUP(A1754,'3. Call duration'!$A:$C,3,0),"--")</f>
        <v>--</v>
      </c>
      <c r="J1754" s="65" t="str">
        <f t="array" ref="J1754">XLOOKUP(H1754,'2. Matching'!$A$2:$A$39,'2. Matching'!$B$2:$B$39,"--")</f>
        <v>Acquisition</v>
      </c>
      <c r="K1754" s="65" t="str">
        <f t="shared" si="1"/>
        <v>In</v>
      </c>
    </row>
    <row r="1755">
      <c r="A1755" s="62" t="s">
        <v>1893</v>
      </c>
      <c r="B1755" s="63">
        <v>44064.0</v>
      </c>
      <c r="C1755" s="62" t="s">
        <v>112</v>
      </c>
      <c r="D1755" s="64">
        <v>0.0</v>
      </c>
      <c r="E1755" s="62" t="s">
        <v>109</v>
      </c>
      <c r="F1755" s="62" t="s">
        <v>115</v>
      </c>
      <c r="G1755" s="64" t="s">
        <v>64</v>
      </c>
      <c r="H1755" s="3" t="s">
        <v>175</v>
      </c>
      <c r="I1755" s="65" t="str">
        <f>IFERROR(VLOOKUP(A1755,'3. Call duration'!$A:$C,3,0),"--")</f>
        <v>--</v>
      </c>
      <c r="J1755" s="65" t="str">
        <f t="array" ref="J1755">XLOOKUP(H1755,'2. Matching'!$A$2:$A$39,'2. Matching'!$B$2:$B$39,"--")</f>
        <v>SEO</v>
      </c>
      <c r="K1755" s="65" t="str">
        <f t="shared" si="1"/>
        <v>In</v>
      </c>
    </row>
    <row r="1756">
      <c r="A1756" s="62" t="s">
        <v>1894</v>
      </c>
      <c r="B1756" s="63">
        <v>44287.0</v>
      </c>
      <c r="C1756" s="62" t="s">
        <v>112</v>
      </c>
      <c r="D1756" s="64">
        <v>0.0</v>
      </c>
      <c r="E1756" s="62" t="s">
        <v>109</v>
      </c>
      <c r="F1756" s="62" t="s">
        <v>115</v>
      </c>
      <c r="G1756" s="64" t="s">
        <v>59</v>
      </c>
      <c r="H1756" s="3" t="s">
        <v>70</v>
      </c>
      <c r="I1756" s="65" t="str">
        <f>IFERROR(VLOOKUP(A1756,'3. Call duration'!$A:$C,3,0),"--")</f>
        <v>--</v>
      </c>
      <c r="J1756" s="65" t="str">
        <f t="array" ref="J1756">XLOOKUP(H1756,'2. Matching'!$A$2:$A$39,'2. Matching'!$B$2:$B$39,"--")</f>
        <v>Farming</v>
      </c>
      <c r="K1756" s="65" t="str">
        <f t="shared" si="1"/>
        <v>In</v>
      </c>
    </row>
    <row r="1757">
      <c r="A1757" s="62" t="s">
        <v>1895</v>
      </c>
      <c r="B1757" s="63">
        <v>44370.0</v>
      </c>
      <c r="C1757" s="62" t="s">
        <v>108</v>
      </c>
      <c r="D1757" s="64">
        <v>0.0</v>
      </c>
      <c r="E1757" s="62" t="s">
        <v>109</v>
      </c>
      <c r="F1757" s="62" t="s">
        <v>110</v>
      </c>
      <c r="G1757" s="64" t="s">
        <v>63</v>
      </c>
      <c r="H1757" s="3" t="s">
        <v>228</v>
      </c>
      <c r="I1757" s="65">
        <f>IFERROR(VLOOKUP(A1757,'3. Call duration'!$A:$C,3,0),"--")</f>
        <v>10.64346082</v>
      </c>
      <c r="J1757" s="65" t="str">
        <f t="array" ref="J1757">XLOOKUP(H1757,'2. Matching'!$A$2:$A$39,'2. Matching'!$B$2:$B$39,"--")</f>
        <v>Farming</v>
      </c>
      <c r="K1757" s="65" t="str">
        <f t="shared" si="1"/>
        <v>In</v>
      </c>
    </row>
    <row r="1758">
      <c r="A1758" s="62" t="s">
        <v>1896</v>
      </c>
      <c r="B1758" s="63">
        <v>44347.0</v>
      </c>
      <c r="C1758" s="62" t="s">
        <v>108</v>
      </c>
      <c r="D1758" s="64">
        <v>0.0</v>
      </c>
      <c r="E1758" s="62" t="s">
        <v>109</v>
      </c>
      <c r="F1758" s="62" t="s">
        <v>115</v>
      </c>
      <c r="G1758" s="64" t="s">
        <v>64</v>
      </c>
      <c r="H1758" s="3" t="s">
        <v>139</v>
      </c>
      <c r="I1758" s="65">
        <f>IFERROR(VLOOKUP(A1758,'3. Call duration'!$A:$C,3,0),"--")</f>
        <v>23.81018462</v>
      </c>
      <c r="J1758" s="65" t="str">
        <f t="array" ref="J1758">XLOOKUP(H1758,'2. Matching'!$A$2:$A$39,'2. Matching'!$B$2:$B$39,"--")</f>
        <v>Acquisition</v>
      </c>
      <c r="K1758" s="65" t="str">
        <f t="shared" si="1"/>
        <v>In</v>
      </c>
    </row>
    <row r="1759">
      <c r="A1759" s="62" t="s">
        <v>1897</v>
      </c>
      <c r="B1759" s="63">
        <v>44334.0</v>
      </c>
      <c r="C1759" s="62" t="s">
        <v>119</v>
      </c>
      <c r="D1759" s="64">
        <v>47.5</v>
      </c>
      <c r="E1759" s="62" t="s">
        <v>109</v>
      </c>
      <c r="F1759" s="62" t="s">
        <v>110</v>
      </c>
      <c r="G1759" s="64" t="s">
        <v>64</v>
      </c>
      <c r="H1759" s="3" t="s">
        <v>139</v>
      </c>
      <c r="I1759" s="65">
        <f>IFERROR(VLOOKUP(A1759,'3. Call duration'!$A:$C,3,0),"--")</f>
        <v>23.87510112</v>
      </c>
      <c r="J1759" s="65" t="str">
        <f t="array" ref="J1759">XLOOKUP(H1759,'2. Matching'!$A$2:$A$39,'2. Matching'!$B$2:$B$39,"--")</f>
        <v>Acquisition</v>
      </c>
      <c r="K1759" s="65" t="str">
        <f t="shared" si="1"/>
        <v>In</v>
      </c>
    </row>
    <row r="1760">
      <c r="A1760" s="62" t="s">
        <v>1898</v>
      </c>
      <c r="B1760" s="63">
        <v>44350.0</v>
      </c>
      <c r="C1760" s="62" t="s">
        <v>112</v>
      </c>
      <c r="D1760" s="64">
        <v>0.0</v>
      </c>
      <c r="E1760" s="62" t="s">
        <v>109</v>
      </c>
      <c r="F1760" s="62" t="s">
        <v>110</v>
      </c>
      <c r="G1760" s="64" t="s">
        <v>60</v>
      </c>
      <c r="H1760" s="3" t="s">
        <v>67</v>
      </c>
      <c r="I1760" s="65" t="str">
        <f>IFERROR(VLOOKUP(A1760,'3. Call duration'!$A:$C,3,0),"--")</f>
        <v>--</v>
      </c>
      <c r="J1760" s="65" t="str">
        <f t="array" ref="J1760">XLOOKUP(H1760,'2. Matching'!$A$2:$A$39,'2. Matching'!$B$2:$B$39,"--")</f>
        <v>Acquisition</v>
      </c>
      <c r="K1760" s="65" t="str">
        <f t="shared" si="1"/>
        <v>In</v>
      </c>
    </row>
    <row r="1761">
      <c r="A1761" s="62" t="s">
        <v>1899</v>
      </c>
      <c r="B1761" s="63">
        <v>44370.0</v>
      </c>
      <c r="C1761" s="62" t="s">
        <v>108</v>
      </c>
      <c r="D1761" s="64">
        <v>0.0</v>
      </c>
      <c r="E1761" s="62" t="s">
        <v>109</v>
      </c>
      <c r="F1761" s="62" t="s">
        <v>110</v>
      </c>
      <c r="G1761" s="64" t="s">
        <v>61</v>
      </c>
      <c r="H1761" s="3" t="s">
        <v>69</v>
      </c>
      <c r="I1761" s="65">
        <f>IFERROR(VLOOKUP(A1761,'3. Call duration'!$A:$C,3,0),"--")</f>
        <v>30.78049232</v>
      </c>
      <c r="J1761" s="65" t="str">
        <f t="array" ref="J1761">XLOOKUP(H1761,'2. Matching'!$A$2:$A$39,'2. Matching'!$B$2:$B$39,"--")</f>
        <v>Acquisition</v>
      </c>
      <c r="K1761" s="65" t="str">
        <f t="shared" si="1"/>
        <v>In</v>
      </c>
    </row>
    <row r="1762">
      <c r="A1762" s="62" t="s">
        <v>1900</v>
      </c>
      <c r="B1762" s="63">
        <v>44148.0</v>
      </c>
      <c r="C1762" s="62" t="s">
        <v>108</v>
      </c>
      <c r="D1762" s="64">
        <v>0.0</v>
      </c>
      <c r="E1762" s="62" t="s">
        <v>109</v>
      </c>
      <c r="F1762" s="62" t="s">
        <v>115</v>
      </c>
      <c r="G1762" s="64" t="s">
        <v>64</v>
      </c>
      <c r="H1762" s="3" t="s">
        <v>139</v>
      </c>
      <c r="I1762" s="65">
        <f>IFERROR(VLOOKUP(A1762,'3. Call duration'!$A:$C,3,0),"--")</f>
        <v>28.40210775</v>
      </c>
      <c r="J1762" s="65" t="str">
        <f t="array" ref="J1762">XLOOKUP(H1762,'2. Matching'!$A$2:$A$39,'2. Matching'!$B$2:$B$39,"--")</f>
        <v>Acquisition</v>
      </c>
      <c r="K1762" s="65" t="str">
        <f t="shared" si="1"/>
        <v>In</v>
      </c>
    </row>
    <row r="1763">
      <c r="A1763" s="62" t="s">
        <v>1901</v>
      </c>
      <c r="B1763" s="63">
        <v>44147.0</v>
      </c>
      <c r="C1763" s="62" t="s">
        <v>112</v>
      </c>
      <c r="D1763" s="64">
        <v>0.0</v>
      </c>
      <c r="E1763" s="62" t="s">
        <v>109</v>
      </c>
      <c r="F1763" s="62" t="s">
        <v>115</v>
      </c>
      <c r="G1763" s="64" t="s">
        <v>64</v>
      </c>
      <c r="H1763" s="3" t="s">
        <v>169</v>
      </c>
      <c r="I1763" s="65" t="str">
        <f>IFERROR(VLOOKUP(A1763,'3. Call duration'!$A:$C,3,0),"--")</f>
        <v>--</v>
      </c>
      <c r="J1763" s="65" t="str">
        <f t="array" ref="J1763">XLOOKUP(H1763,'2. Matching'!$A$2:$A$39,'2. Matching'!$B$2:$B$39,"--")</f>
        <v>SEO</v>
      </c>
      <c r="K1763" s="65" t="str">
        <f t="shared" si="1"/>
        <v>In</v>
      </c>
    </row>
    <row r="1764">
      <c r="A1764" s="62" t="s">
        <v>1902</v>
      </c>
      <c r="B1764" s="63">
        <v>44365.0</v>
      </c>
      <c r="C1764" s="62" t="s">
        <v>112</v>
      </c>
      <c r="D1764" s="64">
        <v>0.0</v>
      </c>
      <c r="E1764" s="62" t="s">
        <v>109</v>
      </c>
      <c r="F1764" s="62" t="s">
        <v>110</v>
      </c>
      <c r="G1764" s="64" t="s">
        <v>60</v>
      </c>
      <c r="H1764" s="3" t="s">
        <v>68</v>
      </c>
      <c r="I1764" s="65" t="str">
        <f>IFERROR(VLOOKUP(A1764,'3. Call duration'!$A:$C,3,0),"--")</f>
        <v>--</v>
      </c>
      <c r="J1764" s="65" t="str">
        <f t="array" ref="J1764">XLOOKUP(H1764,'2. Matching'!$A$2:$A$39,'2. Matching'!$B$2:$B$39,"--")</f>
        <v>Acquisition</v>
      </c>
      <c r="K1764" s="65" t="str">
        <f t="shared" si="1"/>
        <v>In</v>
      </c>
    </row>
    <row r="1765">
      <c r="A1765" s="62" t="s">
        <v>1903</v>
      </c>
      <c r="B1765" s="63">
        <v>44227.0</v>
      </c>
      <c r="C1765" s="62" t="s">
        <v>112</v>
      </c>
      <c r="D1765" s="64">
        <v>0.0</v>
      </c>
      <c r="E1765" s="62" t="s">
        <v>109</v>
      </c>
      <c r="F1765" s="62" t="s">
        <v>115</v>
      </c>
      <c r="G1765" s="64" t="s">
        <v>64</v>
      </c>
      <c r="H1765" s="3" t="s">
        <v>139</v>
      </c>
      <c r="I1765" s="65" t="str">
        <f>IFERROR(VLOOKUP(A1765,'3. Call duration'!$A:$C,3,0),"--")</f>
        <v>--</v>
      </c>
      <c r="J1765" s="65" t="str">
        <f t="array" ref="J1765">XLOOKUP(H1765,'2. Matching'!$A$2:$A$39,'2. Matching'!$B$2:$B$39,"--")</f>
        <v>Acquisition</v>
      </c>
      <c r="K1765" s="65" t="str">
        <f t="shared" si="1"/>
        <v>In</v>
      </c>
    </row>
    <row r="1766">
      <c r="A1766" s="62" t="s">
        <v>1904</v>
      </c>
      <c r="B1766" s="63">
        <v>44378.0</v>
      </c>
      <c r="C1766" s="62" t="s">
        <v>112</v>
      </c>
      <c r="D1766" s="64">
        <v>0.0</v>
      </c>
      <c r="E1766" s="62" t="s">
        <v>109</v>
      </c>
      <c r="F1766" s="62" t="s">
        <v>110</v>
      </c>
      <c r="G1766" s="64" t="s">
        <v>61</v>
      </c>
      <c r="H1766" s="3" t="s">
        <v>67</v>
      </c>
      <c r="I1766" s="65" t="str">
        <f>IFERROR(VLOOKUP(A1766,'3. Call duration'!$A:$C,3,0),"--")</f>
        <v>--</v>
      </c>
      <c r="J1766" s="65" t="str">
        <f t="array" ref="J1766">XLOOKUP(H1766,'2. Matching'!$A$2:$A$39,'2. Matching'!$B$2:$B$39,"--")</f>
        <v>Acquisition</v>
      </c>
      <c r="K1766" s="65" t="str">
        <f t="shared" si="1"/>
        <v>In</v>
      </c>
    </row>
    <row r="1767">
      <c r="A1767" s="62" t="s">
        <v>1905</v>
      </c>
      <c r="B1767" s="63">
        <v>44331.0</v>
      </c>
      <c r="C1767" s="62" t="s">
        <v>119</v>
      </c>
      <c r="D1767" s="64">
        <v>47.5</v>
      </c>
      <c r="E1767" s="62" t="s">
        <v>109</v>
      </c>
      <c r="F1767" s="62" t="s">
        <v>115</v>
      </c>
      <c r="G1767" s="64" t="s">
        <v>64</v>
      </c>
      <c r="H1767" s="3" t="s">
        <v>185</v>
      </c>
      <c r="I1767" s="65">
        <f>IFERROR(VLOOKUP(A1767,'3. Call duration'!$A:$C,3,0),"--")</f>
        <v>23.877581</v>
      </c>
      <c r="J1767" s="65" t="str">
        <f t="array" ref="J1767">XLOOKUP(H1767,'2. Matching'!$A$2:$A$39,'2. Matching'!$B$2:$B$39,"--")</f>
        <v>SEO</v>
      </c>
      <c r="K1767" s="65" t="str">
        <f t="shared" si="1"/>
        <v>In</v>
      </c>
    </row>
    <row r="1768">
      <c r="A1768" s="62" t="s">
        <v>1906</v>
      </c>
      <c r="B1768" s="63">
        <v>44333.0</v>
      </c>
      <c r="C1768" s="62" t="s">
        <v>119</v>
      </c>
      <c r="D1768" s="64">
        <v>47.5</v>
      </c>
      <c r="E1768" s="62" t="s">
        <v>109</v>
      </c>
      <c r="F1768" s="62" t="s">
        <v>115</v>
      </c>
      <c r="G1768" s="64" t="s">
        <v>64</v>
      </c>
      <c r="H1768" s="3" t="s">
        <v>169</v>
      </c>
      <c r="I1768" s="65">
        <f>IFERROR(VLOOKUP(A1768,'3. Call duration'!$A:$C,3,0),"--")</f>
        <v>23.87877592</v>
      </c>
      <c r="J1768" s="65" t="str">
        <f t="array" ref="J1768">XLOOKUP(H1768,'2. Matching'!$A$2:$A$39,'2. Matching'!$B$2:$B$39,"--")</f>
        <v>SEO</v>
      </c>
      <c r="K1768" s="65" t="str">
        <f t="shared" si="1"/>
        <v>In</v>
      </c>
    </row>
    <row r="1769">
      <c r="A1769" s="62" t="s">
        <v>1907</v>
      </c>
      <c r="B1769" s="63">
        <v>44383.0</v>
      </c>
      <c r="C1769" s="62" t="s">
        <v>112</v>
      </c>
      <c r="D1769" s="64">
        <v>0.0</v>
      </c>
      <c r="E1769" s="62" t="s">
        <v>114</v>
      </c>
      <c r="F1769" s="62" t="s">
        <v>110</v>
      </c>
      <c r="G1769" s="64" t="s">
        <v>59</v>
      </c>
      <c r="H1769" s="3" t="s">
        <v>68</v>
      </c>
      <c r="I1769" s="65" t="str">
        <f>IFERROR(VLOOKUP(A1769,'3. Call duration'!$A:$C,3,0),"--")</f>
        <v>--</v>
      </c>
      <c r="J1769" s="65" t="str">
        <f t="array" ref="J1769">XLOOKUP(H1769,'2. Matching'!$A$2:$A$39,'2. Matching'!$B$2:$B$39,"--")</f>
        <v>Acquisition</v>
      </c>
      <c r="K1769" s="65" t="str">
        <f t="shared" si="1"/>
        <v>In</v>
      </c>
    </row>
    <row r="1770">
      <c r="A1770" s="62" t="s">
        <v>1908</v>
      </c>
      <c r="B1770" s="63">
        <v>44265.0</v>
      </c>
      <c r="C1770" s="62" t="s">
        <v>108</v>
      </c>
      <c r="D1770" s="64">
        <v>0.0</v>
      </c>
      <c r="E1770" s="62" t="s">
        <v>109</v>
      </c>
      <c r="F1770" s="62" t="s">
        <v>115</v>
      </c>
      <c r="G1770" s="64" t="s">
        <v>64</v>
      </c>
      <c r="H1770" s="3" t="s">
        <v>139</v>
      </c>
      <c r="I1770" s="65">
        <f>IFERROR(VLOOKUP(A1770,'3. Call duration'!$A:$C,3,0),"--")</f>
        <v>20.49881074</v>
      </c>
      <c r="J1770" s="65" t="str">
        <f t="array" ref="J1770">XLOOKUP(H1770,'2. Matching'!$A$2:$A$39,'2. Matching'!$B$2:$B$39,"--")</f>
        <v>Acquisition</v>
      </c>
      <c r="K1770" s="65" t="str">
        <f t="shared" si="1"/>
        <v>In</v>
      </c>
    </row>
    <row r="1771">
      <c r="A1771" s="62" t="s">
        <v>1909</v>
      </c>
      <c r="B1771" s="63">
        <v>44368.0</v>
      </c>
      <c r="C1771" s="62" t="s">
        <v>112</v>
      </c>
      <c r="D1771" s="64">
        <v>0.0</v>
      </c>
      <c r="E1771" s="62" t="s">
        <v>109</v>
      </c>
      <c r="F1771" s="62" t="s">
        <v>110</v>
      </c>
      <c r="G1771" s="64" t="s">
        <v>60</v>
      </c>
      <c r="H1771" s="3" t="s">
        <v>68</v>
      </c>
      <c r="I1771" s="65" t="str">
        <f>IFERROR(VLOOKUP(A1771,'3. Call duration'!$A:$C,3,0),"--")</f>
        <v>--</v>
      </c>
      <c r="J1771" s="65" t="str">
        <f t="array" ref="J1771">XLOOKUP(H1771,'2. Matching'!$A$2:$A$39,'2. Matching'!$B$2:$B$39,"--")</f>
        <v>Acquisition</v>
      </c>
      <c r="K1771" s="65" t="str">
        <f t="shared" si="1"/>
        <v>In</v>
      </c>
    </row>
    <row r="1772">
      <c r="A1772" s="62" t="s">
        <v>1910</v>
      </c>
      <c r="B1772" s="63">
        <v>44376.0</v>
      </c>
      <c r="C1772" s="62" t="s">
        <v>112</v>
      </c>
      <c r="D1772" s="64">
        <v>0.0</v>
      </c>
      <c r="E1772" s="62" t="s">
        <v>109</v>
      </c>
      <c r="F1772" s="62" t="s">
        <v>110</v>
      </c>
      <c r="G1772" s="64" t="s">
        <v>64</v>
      </c>
      <c r="H1772" s="3" t="s">
        <v>52</v>
      </c>
      <c r="I1772" s="65" t="str">
        <f>IFERROR(VLOOKUP(A1772,'3. Call duration'!$A:$C,3,0),"--")</f>
        <v>--</v>
      </c>
      <c r="J1772" s="65" t="str">
        <f t="array" ref="J1772">XLOOKUP(H1772,'2. Matching'!$A$2:$A$39,'2. Matching'!$B$2:$B$39,"--")</f>
        <v>Partnerships</v>
      </c>
      <c r="K1772" s="65" t="str">
        <f t="shared" si="1"/>
        <v>In</v>
      </c>
    </row>
    <row r="1773">
      <c r="A1773" s="62" t="s">
        <v>1911</v>
      </c>
      <c r="B1773" s="63">
        <v>44259.0</v>
      </c>
      <c r="C1773" s="62" t="s">
        <v>108</v>
      </c>
      <c r="D1773" s="64">
        <v>0.0</v>
      </c>
      <c r="E1773" s="62" t="s">
        <v>114</v>
      </c>
      <c r="F1773" s="62" t="s">
        <v>110</v>
      </c>
      <c r="G1773" s="64" t="s">
        <v>64</v>
      </c>
      <c r="H1773" s="3" t="s">
        <v>169</v>
      </c>
      <c r="I1773" s="65">
        <f>IFERROR(VLOOKUP(A1773,'3. Call duration'!$A:$C,3,0),"--")</f>
        <v>30.51844445</v>
      </c>
      <c r="J1773" s="65" t="str">
        <f t="array" ref="J1773">XLOOKUP(H1773,'2. Matching'!$A$2:$A$39,'2. Matching'!$B$2:$B$39,"--")</f>
        <v>SEO</v>
      </c>
      <c r="K1773" s="65" t="str">
        <f t="shared" si="1"/>
        <v>In</v>
      </c>
    </row>
    <row r="1774">
      <c r="A1774" s="62" t="s">
        <v>1912</v>
      </c>
      <c r="B1774" s="63">
        <v>44384.0</v>
      </c>
      <c r="C1774" s="62" t="s">
        <v>112</v>
      </c>
      <c r="D1774" s="64">
        <v>0.0</v>
      </c>
      <c r="E1774" s="62" t="s">
        <v>114</v>
      </c>
      <c r="F1774" s="62" t="s">
        <v>110</v>
      </c>
      <c r="G1774" s="64" t="s">
        <v>59</v>
      </c>
      <c r="H1774" s="3" t="s">
        <v>68</v>
      </c>
      <c r="I1774" s="65" t="str">
        <f>IFERROR(VLOOKUP(A1774,'3. Call duration'!$A:$C,3,0),"--")</f>
        <v>--</v>
      </c>
      <c r="J1774" s="65" t="str">
        <f t="array" ref="J1774">XLOOKUP(H1774,'2. Matching'!$A$2:$A$39,'2. Matching'!$B$2:$B$39,"--")</f>
        <v>Acquisition</v>
      </c>
      <c r="K1774" s="65" t="str">
        <f t="shared" si="1"/>
        <v>In</v>
      </c>
    </row>
    <row r="1775">
      <c r="A1775" s="62" t="s">
        <v>1913</v>
      </c>
      <c r="B1775" s="63">
        <v>44364.0</v>
      </c>
      <c r="C1775" s="62" t="s">
        <v>112</v>
      </c>
      <c r="D1775" s="64">
        <v>0.0</v>
      </c>
      <c r="E1775" s="62" t="s">
        <v>109</v>
      </c>
      <c r="F1775" s="62" t="s">
        <v>110</v>
      </c>
      <c r="G1775" s="64" t="s">
        <v>63</v>
      </c>
      <c r="H1775" s="3" t="s">
        <v>228</v>
      </c>
      <c r="I1775" s="65" t="str">
        <f>IFERROR(VLOOKUP(A1775,'3. Call duration'!$A:$C,3,0),"--")</f>
        <v>--</v>
      </c>
      <c r="J1775" s="65" t="str">
        <f t="array" ref="J1775">XLOOKUP(H1775,'2. Matching'!$A$2:$A$39,'2. Matching'!$B$2:$B$39,"--")</f>
        <v>Farming</v>
      </c>
      <c r="K1775" s="65" t="str">
        <f t="shared" si="1"/>
        <v>In</v>
      </c>
    </row>
    <row r="1776">
      <c r="A1776" s="62" t="s">
        <v>1914</v>
      </c>
      <c r="B1776" s="63">
        <v>44266.0</v>
      </c>
      <c r="C1776" s="62" t="s">
        <v>112</v>
      </c>
      <c r="D1776" s="64">
        <v>0.0</v>
      </c>
      <c r="E1776" s="62" t="s">
        <v>109</v>
      </c>
      <c r="F1776" s="62" t="s">
        <v>110</v>
      </c>
      <c r="G1776" s="64" t="s">
        <v>64</v>
      </c>
      <c r="H1776" s="3" t="s">
        <v>116</v>
      </c>
      <c r="I1776" s="65" t="str">
        <f>IFERROR(VLOOKUP(A1776,'3. Call duration'!$A:$C,3,0),"--")</f>
        <v>--</v>
      </c>
      <c r="J1776" s="65" t="str">
        <f t="array" ref="J1776">XLOOKUP(H1776,'2. Matching'!$A$2:$A$39,'2. Matching'!$B$2:$B$39,"--")</f>
        <v>Acquisition</v>
      </c>
      <c r="K1776" s="65" t="str">
        <f t="shared" si="1"/>
        <v>In</v>
      </c>
    </row>
    <row r="1777">
      <c r="A1777" s="62" t="s">
        <v>1915</v>
      </c>
      <c r="B1777" s="63">
        <v>44372.0</v>
      </c>
      <c r="C1777" s="62" t="s">
        <v>112</v>
      </c>
      <c r="D1777" s="64">
        <v>0.0</v>
      </c>
      <c r="E1777" s="62" t="s">
        <v>109</v>
      </c>
      <c r="F1777" s="62" t="s">
        <v>110</v>
      </c>
      <c r="G1777" s="64" t="s">
        <v>59</v>
      </c>
      <c r="H1777" s="3" t="s">
        <v>68</v>
      </c>
      <c r="I1777" s="65" t="str">
        <f>IFERROR(VLOOKUP(A1777,'3. Call duration'!$A:$C,3,0),"--")</f>
        <v>--</v>
      </c>
      <c r="J1777" s="65" t="str">
        <f t="array" ref="J1777">XLOOKUP(H1777,'2. Matching'!$A$2:$A$39,'2. Matching'!$B$2:$B$39,"--")</f>
        <v>Acquisition</v>
      </c>
      <c r="K1777" s="65" t="str">
        <f t="shared" si="1"/>
        <v>In</v>
      </c>
    </row>
    <row r="1778">
      <c r="A1778" s="62" t="s">
        <v>1916</v>
      </c>
      <c r="B1778" s="63">
        <v>44253.0</v>
      </c>
      <c r="C1778" s="62" t="s">
        <v>112</v>
      </c>
      <c r="D1778" s="64">
        <v>0.0</v>
      </c>
      <c r="E1778" s="62" t="s">
        <v>114</v>
      </c>
      <c r="F1778" s="62" t="s">
        <v>115</v>
      </c>
      <c r="G1778" s="64" t="s">
        <v>64</v>
      </c>
      <c r="H1778" s="3" t="s">
        <v>185</v>
      </c>
      <c r="I1778" s="65" t="str">
        <f>IFERROR(VLOOKUP(A1778,'3. Call duration'!$A:$C,3,0),"--")</f>
        <v>--</v>
      </c>
      <c r="J1778" s="65" t="str">
        <f t="array" ref="J1778">XLOOKUP(H1778,'2. Matching'!$A$2:$A$39,'2. Matching'!$B$2:$B$39,"--")</f>
        <v>SEO</v>
      </c>
      <c r="K1778" s="65" t="str">
        <f t="shared" si="1"/>
        <v>In</v>
      </c>
    </row>
    <row r="1779">
      <c r="A1779" s="62" t="s">
        <v>1917</v>
      </c>
      <c r="B1779" s="63">
        <v>44357.0</v>
      </c>
      <c r="C1779" s="62" t="s">
        <v>108</v>
      </c>
      <c r="D1779" s="64">
        <v>0.0</v>
      </c>
      <c r="E1779" s="62" t="s">
        <v>109</v>
      </c>
      <c r="F1779" s="62" t="s">
        <v>110</v>
      </c>
      <c r="G1779" s="64" t="s">
        <v>60</v>
      </c>
      <c r="H1779" s="3" t="s">
        <v>67</v>
      </c>
      <c r="I1779" s="65">
        <f>IFERROR(VLOOKUP(A1779,'3. Call duration'!$A:$C,3,0),"--")</f>
        <v>21.66377209</v>
      </c>
      <c r="J1779" s="65" t="str">
        <f t="array" ref="J1779">XLOOKUP(H1779,'2. Matching'!$A$2:$A$39,'2. Matching'!$B$2:$B$39,"--")</f>
        <v>Acquisition</v>
      </c>
      <c r="K1779" s="65" t="str">
        <f t="shared" si="1"/>
        <v>In</v>
      </c>
    </row>
    <row r="1780">
      <c r="A1780" s="62" t="s">
        <v>1918</v>
      </c>
      <c r="B1780" s="63">
        <v>44182.0</v>
      </c>
      <c r="C1780" s="62" t="s">
        <v>108</v>
      </c>
      <c r="D1780" s="64">
        <v>0.0</v>
      </c>
      <c r="E1780" s="62" t="s">
        <v>109</v>
      </c>
      <c r="F1780" s="62" t="s">
        <v>115</v>
      </c>
      <c r="G1780" s="64" t="s">
        <v>62</v>
      </c>
      <c r="H1780" s="3" t="s">
        <v>203</v>
      </c>
      <c r="I1780" s="65">
        <f>IFERROR(VLOOKUP(A1780,'3. Call duration'!$A:$C,3,0),"--")</f>
        <v>29.97115779</v>
      </c>
      <c r="J1780" s="65" t="str">
        <f t="array" ref="J1780">XLOOKUP(H1780,'2. Matching'!$A$2:$A$39,'2. Matching'!$B$2:$B$39,"--")</f>
        <v>Farming</v>
      </c>
      <c r="K1780" s="65" t="str">
        <f t="shared" si="1"/>
        <v>In</v>
      </c>
    </row>
    <row r="1781">
      <c r="A1781" s="62" t="s">
        <v>1919</v>
      </c>
      <c r="B1781" s="63">
        <v>44357.0</v>
      </c>
      <c r="C1781" s="62" t="s">
        <v>112</v>
      </c>
      <c r="D1781" s="64">
        <v>0.0</v>
      </c>
      <c r="E1781" s="62" t="s">
        <v>109</v>
      </c>
      <c r="F1781" s="62" t="s">
        <v>110</v>
      </c>
      <c r="G1781" s="64" t="s">
        <v>60</v>
      </c>
      <c r="H1781" s="3" t="s">
        <v>68</v>
      </c>
      <c r="I1781" s="65" t="str">
        <f>IFERROR(VLOOKUP(A1781,'3. Call duration'!$A:$C,3,0),"--")</f>
        <v>--</v>
      </c>
      <c r="J1781" s="65" t="str">
        <f t="array" ref="J1781">XLOOKUP(H1781,'2. Matching'!$A$2:$A$39,'2. Matching'!$B$2:$B$39,"--")</f>
        <v>Acquisition</v>
      </c>
      <c r="K1781" s="65" t="str">
        <f t="shared" si="1"/>
        <v>In</v>
      </c>
    </row>
    <row r="1782">
      <c r="A1782" s="62" t="s">
        <v>1920</v>
      </c>
      <c r="B1782" s="63">
        <v>44357.0</v>
      </c>
      <c r="C1782" s="62" t="s">
        <v>112</v>
      </c>
      <c r="D1782" s="64">
        <v>0.0</v>
      </c>
      <c r="E1782" s="62" t="s">
        <v>109</v>
      </c>
      <c r="F1782" s="62" t="s">
        <v>110</v>
      </c>
      <c r="G1782" s="64" t="s">
        <v>60</v>
      </c>
      <c r="H1782" s="3" t="s">
        <v>68</v>
      </c>
      <c r="I1782" s="65" t="str">
        <f>IFERROR(VLOOKUP(A1782,'3. Call duration'!$A:$C,3,0),"--")</f>
        <v>--</v>
      </c>
      <c r="J1782" s="65" t="str">
        <f t="array" ref="J1782">XLOOKUP(H1782,'2. Matching'!$A$2:$A$39,'2. Matching'!$B$2:$B$39,"--")</f>
        <v>Acquisition</v>
      </c>
      <c r="K1782" s="65" t="str">
        <f t="shared" si="1"/>
        <v>In</v>
      </c>
    </row>
    <row r="1783">
      <c r="A1783" s="62" t="s">
        <v>1921</v>
      </c>
      <c r="B1783" s="63">
        <v>44326.0</v>
      </c>
      <c r="C1783" s="62" t="s">
        <v>119</v>
      </c>
      <c r="D1783" s="64">
        <v>47.5</v>
      </c>
      <c r="E1783" s="62" t="s">
        <v>109</v>
      </c>
      <c r="F1783" s="62" t="s">
        <v>115</v>
      </c>
      <c r="G1783" s="64" t="s">
        <v>64</v>
      </c>
      <c r="H1783" s="3" t="s">
        <v>116</v>
      </c>
      <c r="I1783" s="65">
        <f>IFERROR(VLOOKUP(A1783,'3. Call duration'!$A:$C,3,0),"--")</f>
        <v>23.88528615</v>
      </c>
      <c r="J1783" s="65" t="str">
        <f t="array" ref="J1783">XLOOKUP(H1783,'2. Matching'!$A$2:$A$39,'2. Matching'!$B$2:$B$39,"--")</f>
        <v>Acquisition</v>
      </c>
      <c r="K1783" s="65" t="str">
        <f t="shared" si="1"/>
        <v>In</v>
      </c>
    </row>
    <row r="1784">
      <c r="A1784" s="62" t="s">
        <v>1922</v>
      </c>
      <c r="B1784" s="63">
        <v>44335.0</v>
      </c>
      <c r="C1784" s="62" t="s">
        <v>119</v>
      </c>
      <c r="D1784" s="64">
        <v>47.5</v>
      </c>
      <c r="E1784" s="62" t="s">
        <v>109</v>
      </c>
      <c r="F1784" s="62" t="s">
        <v>110</v>
      </c>
      <c r="G1784" s="64" t="s">
        <v>64</v>
      </c>
      <c r="H1784" s="3" t="s">
        <v>171</v>
      </c>
      <c r="I1784" s="65">
        <f>IFERROR(VLOOKUP(A1784,'3. Call duration'!$A:$C,3,0),"--")</f>
        <v>23.89125427</v>
      </c>
      <c r="J1784" s="65" t="str">
        <f t="array" ref="J1784">XLOOKUP(H1784,'2. Matching'!$A$2:$A$39,'2. Matching'!$B$2:$B$39,"--")</f>
        <v>SEO</v>
      </c>
      <c r="K1784" s="65" t="str">
        <f t="shared" si="1"/>
        <v>In</v>
      </c>
    </row>
    <row r="1785">
      <c r="A1785" s="62" t="s">
        <v>1923</v>
      </c>
      <c r="B1785" s="63">
        <v>44235.0</v>
      </c>
      <c r="C1785" s="62" t="s">
        <v>112</v>
      </c>
      <c r="D1785" s="64">
        <v>0.0</v>
      </c>
      <c r="E1785" s="62" t="s">
        <v>114</v>
      </c>
      <c r="F1785" s="62" t="s">
        <v>110</v>
      </c>
      <c r="G1785" s="64" t="s">
        <v>64</v>
      </c>
      <c r="H1785" s="3" t="s">
        <v>135</v>
      </c>
      <c r="I1785" s="65" t="str">
        <f>IFERROR(VLOOKUP(A1785,'3. Call duration'!$A:$C,3,0),"--")</f>
        <v>--</v>
      </c>
      <c r="J1785" s="65" t="str">
        <f t="array" ref="J1785">XLOOKUP(H1785,'2. Matching'!$A$2:$A$39,'2. Matching'!$B$2:$B$39,"--")</f>
        <v>Acquisition</v>
      </c>
      <c r="K1785" s="65" t="str">
        <f t="shared" si="1"/>
        <v>In</v>
      </c>
    </row>
    <row r="1786">
      <c r="A1786" s="62" t="s">
        <v>1924</v>
      </c>
      <c r="B1786" s="63">
        <v>44372.0</v>
      </c>
      <c r="C1786" s="62" t="s">
        <v>112</v>
      </c>
      <c r="D1786" s="64">
        <v>0.0</v>
      </c>
      <c r="E1786" s="62" t="s">
        <v>109</v>
      </c>
      <c r="F1786" s="62" t="s">
        <v>115</v>
      </c>
      <c r="G1786" s="64" t="s">
        <v>60</v>
      </c>
      <c r="H1786" s="3" t="s">
        <v>68</v>
      </c>
      <c r="I1786" s="65" t="str">
        <f>IFERROR(VLOOKUP(A1786,'3. Call duration'!$A:$C,3,0),"--")</f>
        <v>--</v>
      </c>
      <c r="J1786" s="65" t="str">
        <f t="array" ref="J1786">XLOOKUP(H1786,'2. Matching'!$A$2:$A$39,'2. Matching'!$B$2:$B$39,"--")</f>
        <v>Acquisition</v>
      </c>
      <c r="K1786" s="65" t="str">
        <f t="shared" si="1"/>
        <v>In</v>
      </c>
    </row>
    <row r="1787">
      <c r="A1787" s="62" t="s">
        <v>1925</v>
      </c>
      <c r="B1787" s="63">
        <v>44309.0</v>
      </c>
      <c r="C1787" s="62" t="s">
        <v>112</v>
      </c>
      <c r="D1787" s="64">
        <v>0.0</v>
      </c>
      <c r="E1787" s="62" t="s">
        <v>109</v>
      </c>
      <c r="F1787" s="62" t="s">
        <v>110</v>
      </c>
      <c r="G1787" s="64" t="s">
        <v>64</v>
      </c>
      <c r="H1787" s="3" t="s">
        <v>297</v>
      </c>
      <c r="I1787" s="65" t="str">
        <f>IFERROR(VLOOKUP(A1787,'3. Call duration'!$A:$C,3,0),"--")</f>
        <v>--</v>
      </c>
      <c r="J1787" s="65" t="str">
        <f t="array" ref="J1787">XLOOKUP(H1787,'2. Matching'!$A$2:$A$39,'2. Matching'!$B$2:$B$39,"--")</f>
        <v>Farming</v>
      </c>
      <c r="K1787" s="65" t="str">
        <f t="shared" si="1"/>
        <v>In</v>
      </c>
    </row>
    <row r="1788">
      <c r="A1788" s="62" t="s">
        <v>1926</v>
      </c>
      <c r="B1788" s="63">
        <v>44277.0</v>
      </c>
      <c r="C1788" s="62" t="s">
        <v>108</v>
      </c>
      <c r="D1788" s="64">
        <v>0.0</v>
      </c>
      <c r="E1788" s="62" t="s">
        <v>109</v>
      </c>
      <c r="F1788" s="62" t="s">
        <v>115</v>
      </c>
      <c r="G1788" s="64" t="s">
        <v>64</v>
      </c>
      <c r="H1788" s="3" t="s">
        <v>155</v>
      </c>
      <c r="I1788" s="65">
        <f>IFERROR(VLOOKUP(A1788,'3. Call duration'!$A:$C,3,0),"--")</f>
        <v>15.08174987</v>
      </c>
      <c r="J1788" s="65" t="str">
        <f t="array" ref="J1788">XLOOKUP(H1788,'2. Matching'!$A$2:$A$39,'2. Matching'!$B$2:$B$39,"--")</f>
        <v>SEO</v>
      </c>
      <c r="K1788" s="65" t="str">
        <f t="shared" si="1"/>
        <v>In</v>
      </c>
    </row>
    <row r="1789">
      <c r="A1789" s="62" t="s">
        <v>1927</v>
      </c>
      <c r="B1789" s="63">
        <v>44389.0</v>
      </c>
      <c r="C1789" s="62" t="s">
        <v>112</v>
      </c>
      <c r="D1789" s="64">
        <v>0.0</v>
      </c>
      <c r="E1789" s="62" t="s">
        <v>114</v>
      </c>
      <c r="F1789" s="62" t="s">
        <v>110</v>
      </c>
      <c r="G1789" s="64" t="s">
        <v>60</v>
      </c>
      <c r="H1789" s="3" t="s">
        <v>67</v>
      </c>
      <c r="I1789" s="65" t="str">
        <f>IFERROR(VLOOKUP(A1789,'3. Call duration'!$A:$C,3,0),"--")</f>
        <v>--</v>
      </c>
      <c r="J1789" s="65" t="str">
        <f t="array" ref="J1789">XLOOKUP(H1789,'2. Matching'!$A$2:$A$39,'2. Matching'!$B$2:$B$39,"--")</f>
        <v>Acquisition</v>
      </c>
      <c r="K1789" s="65" t="str">
        <f t="shared" si="1"/>
        <v>In</v>
      </c>
    </row>
    <row r="1790">
      <c r="A1790" s="62" t="s">
        <v>1928</v>
      </c>
      <c r="B1790" s="63">
        <v>44235.0</v>
      </c>
      <c r="C1790" s="62" t="s">
        <v>112</v>
      </c>
      <c r="D1790" s="64">
        <v>0.0</v>
      </c>
      <c r="E1790" s="62" t="s">
        <v>109</v>
      </c>
      <c r="F1790" s="62" t="s">
        <v>115</v>
      </c>
      <c r="G1790" s="64" t="s">
        <v>64</v>
      </c>
      <c r="H1790" s="3" t="s">
        <v>175</v>
      </c>
      <c r="I1790" s="65" t="str">
        <f>IFERROR(VLOOKUP(A1790,'3. Call duration'!$A:$C,3,0),"--")</f>
        <v>--</v>
      </c>
      <c r="J1790" s="65" t="str">
        <f t="array" ref="J1790">XLOOKUP(H1790,'2. Matching'!$A$2:$A$39,'2. Matching'!$B$2:$B$39,"--")</f>
        <v>SEO</v>
      </c>
      <c r="K1790" s="65" t="str">
        <f t="shared" si="1"/>
        <v>In</v>
      </c>
    </row>
    <row r="1791">
      <c r="A1791" s="62" t="s">
        <v>1929</v>
      </c>
      <c r="B1791" s="63">
        <v>44110.0</v>
      </c>
      <c r="C1791" s="62" t="s">
        <v>112</v>
      </c>
      <c r="D1791" s="64">
        <v>0.0</v>
      </c>
      <c r="E1791" s="62" t="s">
        <v>109</v>
      </c>
      <c r="F1791" s="62" t="s">
        <v>115</v>
      </c>
      <c r="G1791" s="64" t="s">
        <v>64</v>
      </c>
      <c r="H1791" s="3" t="s">
        <v>139</v>
      </c>
      <c r="I1791" s="65" t="str">
        <f>IFERROR(VLOOKUP(A1791,'3. Call duration'!$A:$C,3,0),"--")</f>
        <v>--</v>
      </c>
      <c r="J1791" s="65" t="str">
        <f t="array" ref="J1791">XLOOKUP(H1791,'2. Matching'!$A$2:$A$39,'2. Matching'!$B$2:$B$39,"--")</f>
        <v>Acquisition</v>
      </c>
      <c r="K1791" s="65" t="str">
        <f t="shared" si="1"/>
        <v>In</v>
      </c>
    </row>
    <row r="1792">
      <c r="A1792" s="62" t="s">
        <v>1930</v>
      </c>
      <c r="B1792" s="63">
        <v>44281.0</v>
      </c>
      <c r="C1792" s="62" t="s">
        <v>112</v>
      </c>
      <c r="D1792" s="64">
        <v>0.0</v>
      </c>
      <c r="E1792" s="62" t="s">
        <v>109</v>
      </c>
      <c r="F1792" s="62" t="s">
        <v>110</v>
      </c>
      <c r="G1792" s="64" t="s">
        <v>64</v>
      </c>
      <c r="H1792" s="3" t="s">
        <v>116</v>
      </c>
      <c r="I1792" s="65" t="str">
        <f>IFERROR(VLOOKUP(A1792,'3. Call duration'!$A:$C,3,0),"--")</f>
        <v>--</v>
      </c>
      <c r="J1792" s="65" t="str">
        <f t="array" ref="J1792">XLOOKUP(H1792,'2. Matching'!$A$2:$A$39,'2. Matching'!$B$2:$B$39,"--")</f>
        <v>Acquisition</v>
      </c>
      <c r="K1792" s="65" t="str">
        <f t="shared" si="1"/>
        <v>In</v>
      </c>
    </row>
    <row r="1793">
      <c r="A1793" s="62" t="s">
        <v>1931</v>
      </c>
      <c r="B1793" s="63">
        <v>44361.0</v>
      </c>
      <c r="C1793" s="62" t="s">
        <v>112</v>
      </c>
      <c r="D1793" s="64">
        <v>0.0</v>
      </c>
      <c r="E1793" s="62" t="s">
        <v>109</v>
      </c>
      <c r="F1793" s="62" t="s">
        <v>115</v>
      </c>
      <c r="G1793" s="64" t="s">
        <v>63</v>
      </c>
      <c r="H1793" s="3" t="s">
        <v>189</v>
      </c>
      <c r="I1793" s="65" t="str">
        <f>IFERROR(VLOOKUP(A1793,'3. Call duration'!$A:$C,3,0),"--")</f>
        <v>--</v>
      </c>
      <c r="J1793" s="65" t="str">
        <f t="array" ref="J1793">XLOOKUP(H1793,'2. Matching'!$A$2:$A$39,'2. Matching'!$B$2:$B$39,"--")</f>
        <v>SEO</v>
      </c>
      <c r="K1793" s="65" t="str">
        <f t="shared" si="1"/>
        <v>Out</v>
      </c>
    </row>
    <row r="1794">
      <c r="A1794" s="62" t="s">
        <v>1932</v>
      </c>
      <c r="B1794" s="63">
        <v>44060.0</v>
      </c>
      <c r="C1794" s="62" t="s">
        <v>112</v>
      </c>
      <c r="D1794" s="64">
        <v>0.0</v>
      </c>
      <c r="E1794" s="62" t="s">
        <v>109</v>
      </c>
      <c r="F1794" s="62" t="s">
        <v>115</v>
      </c>
      <c r="G1794" s="64" t="s">
        <v>64</v>
      </c>
      <c r="H1794" s="3" t="s">
        <v>175</v>
      </c>
      <c r="I1794" s="65" t="str">
        <f>IFERROR(VLOOKUP(A1794,'3. Call duration'!$A:$C,3,0),"--")</f>
        <v>--</v>
      </c>
      <c r="J1794" s="65" t="str">
        <f t="array" ref="J1794">XLOOKUP(H1794,'2. Matching'!$A$2:$A$39,'2. Matching'!$B$2:$B$39,"--")</f>
        <v>SEO</v>
      </c>
      <c r="K1794" s="65" t="str">
        <f t="shared" si="1"/>
        <v>In</v>
      </c>
    </row>
    <row r="1795">
      <c r="A1795" s="62" t="s">
        <v>1933</v>
      </c>
      <c r="B1795" s="63">
        <v>44377.0</v>
      </c>
      <c r="C1795" s="62" t="s">
        <v>108</v>
      </c>
      <c r="D1795" s="64">
        <v>0.0</v>
      </c>
      <c r="E1795" s="62" t="s">
        <v>109</v>
      </c>
      <c r="F1795" s="62" t="s">
        <v>110</v>
      </c>
      <c r="G1795" s="64" t="s">
        <v>59</v>
      </c>
      <c r="H1795" s="3" t="s">
        <v>68</v>
      </c>
      <c r="I1795" s="65">
        <f>IFERROR(VLOOKUP(A1795,'3. Call duration'!$A:$C,3,0),"--")</f>
        <v>31.92720939</v>
      </c>
      <c r="J1795" s="65" t="str">
        <f t="array" ref="J1795">XLOOKUP(H1795,'2. Matching'!$A$2:$A$39,'2. Matching'!$B$2:$B$39,"--")</f>
        <v>Acquisition</v>
      </c>
      <c r="K1795" s="65" t="str">
        <f t="shared" si="1"/>
        <v>In</v>
      </c>
    </row>
    <row r="1796">
      <c r="A1796" s="62" t="s">
        <v>1934</v>
      </c>
      <c r="B1796" s="63">
        <v>44236.0</v>
      </c>
      <c r="C1796" s="62" t="s">
        <v>112</v>
      </c>
      <c r="D1796" s="64">
        <v>0.0</v>
      </c>
      <c r="E1796" s="62" t="s">
        <v>109</v>
      </c>
      <c r="F1796" s="62" t="s">
        <v>110</v>
      </c>
      <c r="G1796" s="64" t="s">
        <v>64</v>
      </c>
      <c r="H1796" s="3" t="s">
        <v>155</v>
      </c>
      <c r="I1796" s="65" t="str">
        <f>IFERROR(VLOOKUP(A1796,'3. Call duration'!$A:$C,3,0),"--")</f>
        <v>--</v>
      </c>
      <c r="J1796" s="65" t="str">
        <f t="array" ref="J1796">XLOOKUP(H1796,'2. Matching'!$A$2:$A$39,'2. Matching'!$B$2:$B$39,"--")</f>
        <v>SEO</v>
      </c>
      <c r="K1796" s="65" t="str">
        <f t="shared" si="1"/>
        <v>In</v>
      </c>
    </row>
    <row r="1797">
      <c r="A1797" s="62" t="s">
        <v>1935</v>
      </c>
      <c r="B1797" s="63">
        <v>44330.0</v>
      </c>
      <c r="C1797" s="62" t="s">
        <v>119</v>
      </c>
      <c r="D1797" s="64">
        <v>95.0</v>
      </c>
      <c r="E1797" s="62" t="s">
        <v>114</v>
      </c>
      <c r="F1797" s="62" t="s">
        <v>110</v>
      </c>
      <c r="G1797" s="64" t="s">
        <v>63</v>
      </c>
      <c r="H1797" s="3" t="s">
        <v>183</v>
      </c>
      <c r="I1797" s="65">
        <f>IFERROR(VLOOKUP(A1797,'3. Call duration'!$A:$C,3,0),"--")</f>
        <v>23.91621131</v>
      </c>
      <c r="J1797" s="65" t="str">
        <f t="array" ref="J1797">XLOOKUP(H1797,'2. Matching'!$A$2:$A$39,'2. Matching'!$B$2:$B$39,"--")</f>
        <v>SEO</v>
      </c>
      <c r="K1797" s="65" t="str">
        <f t="shared" si="1"/>
        <v>In</v>
      </c>
    </row>
    <row r="1798">
      <c r="A1798" s="62" t="s">
        <v>1936</v>
      </c>
      <c r="B1798" s="63">
        <v>44222.0</v>
      </c>
      <c r="C1798" s="62" t="s">
        <v>112</v>
      </c>
      <c r="D1798" s="64">
        <v>0.0</v>
      </c>
      <c r="E1798" s="62" t="s">
        <v>109</v>
      </c>
      <c r="F1798" s="62" t="s">
        <v>115</v>
      </c>
      <c r="G1798" s="64" t="s">
        <v>64</v>
      </c>
      <c r="H1798" s="3" t="s">
        <v>70</v>
      </c>
      <c r="I1798" s="65" t="str">
        <f>IFERROR(VLOOKUP(A1798,'3. Call duration'!$A:$C,3,0),"--")</f>
        <v>--</v>
      </c>
      <c r="J1798" s="65" t="str">
        <f t="array" ref="J1798">XLOOKUP(H1798,'2. Matching'!$A$2:$A$39,'2. Matching'!$B$2:$B$39,"--")</f>
        <v>Farming</v>
      </c>
      <c r="K1798" s="65" t="str">
        <f t="shared" si="1"/>
        <v>In</v>
      </c>
    </row>
    <row r="1799">
      <c r="A1799" s="62" t="s">
        <v>1937</v>
      </c>
      <c r="B1799" s="63">
        <v>44064.0</v>
      </c>
      <c r="C1799" s="62" t="s">
        <v>108</v>
      </c>
      <c r="D1799" s="64">
        <v>0.0</v>
      </c>
      <c r="E1799" s="62" t="s">
        <v>109</v>
      </c>
      <c r="F1799" s="62" t="s">
        <v>115</v>
      </c>
      <c r="G1799" s="64" t="s">
        <v>64</v>
      </c>
      <c r="H1799" s="3" t="s">
        <v>169</v>
      </c>
      <c r="I1799" s="65">
        <f>IFERROR(VLOOKUP(A1799,'3. Call duration'!$A:$C,3,0),"--")</f>
        <v>24.37120925</v>
      </c>
      <c r="J1799" s="65" t="str">
        <f t="array" ref="J1799">XLOOKUP(H1799,'2. Matching'!$A$2:$A$39,'2. Matching'!$B$2:$B$39,"--")</f>
        <v>SEO</v>
      </c>
      <c r="K1799" s="65" t="str">
        <f t="shared" si="1"/>
        <v>In</v>
      </c>
    </row>
    <row r="1800">
      <c r="A1800" s="62" t="s">
        <v>1938</v>
      </c>
      <c r="B1800" s="63">
        <v>44281.0</v>
      </c>
      <c r="C1800" s="62" t="s">
        <v>112</v>
      </c>
      <c r="D1800" s="64">
        <v>0.0</v>
      </c>
      <c r="E1800" s="62" t="s">
        <v>112</v>
      </c>
      <c r="F1800" s="62" t="s">
        <v>115</v>
      </c>
      <c r="G1800" s="64" t="s">
        <v>64</v>
      </c>
      <c r="H1800" s="3" t="s">
        <v>116</v>
      </c>
      <c r="I1800" s="65" t="str">
        <f>IFERROR(VLOOKUP(A1800,'3. Call duration'!$A:$C,3,0),"--")</f>
        <v>--</v>
      </c>
      <c r="J1800" s="65" t="str">
        <f t="array" ref="J1800">XLOOKUP(H1800,'2. Matching'!$A$2:$A$39,'2. Matching'!$B$2:$B$39,"--")</f>
        <v>Acquisition</v>
      </c>
      <c r="K1800" s="65" t="str">
        <f t="shared" si="1"/>
        <v>In</v>
      </c>
    </row>
    <row r="1801">
      <c r="A1801" s="62" t="s">
        <v>1939</v>
      </c>
      <c r="B1801" s="63">
        <v>44149.0</v>
      </c>
      <c r="C1801" s="62" t="s">
        <v>108</v>
      </c>
      <c r="D1801" s="64">
        <v>0.0</v>
      </c>
      <c r="E1801" s="62" t="s">
        <v>109</v>
      </c>
      <c r="F1801" s="62" t="s">
        <v>115</v>
      </c>
      <c r="G1801" s="64" t="s">
        <v>64</v>
      </c>
      <c r="H1801" s="3" t="s">
        <v>139</v>
      </c>
      <c r="I1801" s="65">
        <f>IFERROR(VLOOKUP(A1801,'3. Call duration'!$A:$C,3,0),"--")</f>
        <v>27.41249789</v>
      </c>
      <c r="J1801" s="65" t="str">
        <f t="array" ref="J1801">XLOOKUP(H1801,'2. Matching'!$A$2:$A$39,'2. Matching'!$B$2:$B$39,"--")</f>
        <v>Acquisition</v>
      </c>
      <c r="K1801" s="65" t="str">
        <f t="shared" si="1"/>
        <v>In</v>
      </c>
    </row>
    <row r="1802">
      <c r="A1802" s="62" t="s">
        <v>1940</v>
      </c>
      <c r="B1802" s="63">
        <v>44377.0</v>
      </c>
      <c r="C1802" s="62" t="s">
        <v>112</v>
      </c>
      <c r="D1802" s="64">
        <v>0.0</v>
      </c>
      <c r="E1802" s="62" t="s">
        <v>109</v>
      </c>
      <c r="F1802" s="62" t="s">
        <v>115</v>
      </c>
      <c r="G1802" s="64" t="s">
        <v>64</v>
      </c>
      <c r="H1802" s="3" t="s">
        <v>171</v>
      </c>
      <c r="I1802" s="65" t="str">
        <f>IFERROR(VLOOKUP(A1802,'3. Call duration'!$A:$C,3,0),"--")</f>
        <v>--</v>
      </c>
      <c r="J1802" s="65" t="str">
        <f t="array" ref="J1802">XLOOKUP(H1802,'2. Matching'!$A$2:$A$39,'2. Matching'!$B$2:$B$39,"--")</f>
        <v>SEO</v>
      </c>
      <c r="K1802" s="65" t="str">
        <f t="shared" si="1"/>
        <v>In</v>
      </c>
    </row>
    <row r="1803">
      <c r="A1803" s="62" t="s">
        <v>1941</v>
      </c>
      <c r="B1803" s="63">
        <v>44194.0</v>
      </c>
      <c r="C1803" s="62" t="s">
        <v>112</v>
      </c>
      <c r="D1803" s="64">
        <v>0.0</v>
      </c>
      <c r="E1803" s="62" t="s">
        <v>109</v>
      </c>
      <c r="F1803" s="62" t="s">
        <v>110</v>
      </c>
      <c r="G1803" s="64" t="s">
        <v>64</v>
      </c>
      <c r="H1803" s="3" t="s">
        <v>171</v>
      </c>
      <c r="I1803" s="65" t="str">
        <f>IFERROR(VLOOKUP(A1803,'3. Call duration'!$A:$C,3,0),"--")</f>
        <v>--</v>
      </c>
      <c r="J1803" s="65" t="str">
        <f t="array" ref="J1803">XLOOKUP(H1803,'2. Matching'!$A$2:$A$39,'2. Matching'!$B$2:$B$39,"--")</f>
        <v>SEO</v>
      </c>
      <c r="K1803" s="65" t="str">
        <f t="shared" si="1"/>
        <v>In</v>
      </c>
    </row>
    <row r="1804">
      <c r="A1804" s="62" t="s">
        <v>1942</v>
      </c>
      <c r="B1804" s="63">
        <v>44377.0</v>
      </c>
      <c r="C1804" s="62" t="s">
        <v>108</v>
      </c>
      <c r="D1804" s="64">
        <v>0.0</v>
      </c>
      <c r="E1804" s="62" t="s">
        <v>114</v>
      </c>
      <c r="F1804" s="62" t="s">
        <v>110</v>
      </c>
      <c r="G1804" s="64" t="s">
        <v>60</v>
      </c>
      <c r="H1804" s="3" t="s">
        <v>67</v>
      </c>
      <c r="I1804" s="65">
        <f>IFERROR(VLOOKUP(A1804,'3. Call duration'!$A:$C,3,0),"--")</f>
        <v>21.26415127</v>
      </c>
      <c r="J1804" s="65" t="str">
        <f t="array" ref="J1804">XLOOKUP(H1804,'2. Matching'!$A$2:$A$39,'2. Matching'!$B$2:$B$39,"--")</f>
        <v>Acquisition</v>
      </c>
      <c r="K1804" s="65" t="str">
        <f t="shared" si="1"/>
        <v>In</v>
      </c>
    </row>
    <row r="1805">
      <c r="A1805" s="62" t="s">
        <v>1943</v>
      </c>
      <c r="B1805" s="63">
        <v>44148.0</v>
      </c>
      <c r="C1805" s="62" t="s">
        <v>112</v>
      </c>
      <c r="D1805" s="64">
        <v>0.0</v>
      </c>
      <c r="E1805" s="62" t="s">
        <v>114</v>
      </c>
      <c r="F1805" s="62" t="s">
        <v>110</v>
      </c>
      <c r="G1805" s="64" t="s">
        <v>64</v>
      </c>
      <c r="H1805" s="3" t="s">
        <v>221</v>
      </c>
      <c r="I1805" s="65" t="str">
        <f>IFERROR(VLOOKUP(A1805,'3. Call duration'!$A:$C,3,0),"--")</f>
        <v>--</v>
      </c>
      <c r="J1805" s="65" t="str">
        <f t="array" ref="J1805">XLOOKUP(H1805,'2. Matching'!$A$2:$A$39,'2. Matching'!$B$2:$B$39,"--")</f>
        <v>Farming</v>
      </c>
      <c r="K1805" s="65" t="str">
        <f t="shared" si="1"/>
        <v>In</v>
      </c>
    </row>
    <row r="1806">
      <c r="A1806" s="62" t="s">
        <v>1944</v>
      </c>
      <c r="B1806" s="63">
        <v>44080.0</v>
      </c>
      <c r="C1806" s="62" t="s">
        <v>108</v>
      </c>
      <c r="D1806" s="64">
        <v>0.0</v>
      </c>
      <c r="E1806" s="62" t="s">
        <v>109</v>
      </c>
      <c r="F1806" s="62" t="s">
        <v>115</v>
      </c>
      <c r="G1806" s="64" t="s">
        <v>64</v>
      </c>
      <c r="H1806" s="3" t="s">
        <v>139</v>
      </c>
      <c r="I1806" s="65">
        <f>IFERROR(VLOOKUP(A1806,'3. Call duration'!$A:$C,3,0),"--")</f>
        <v>31.4558859</v>
      </c>
      <c r="J1806" s="65" t="str">
        <f t="array" ref="J1806">XLOOKUP(H1806,'2. Matching'!$A$2:$A$39,'2. Matching'!$B$2:$B$39,"--")</f>
        <v>Acquisition</v>
      </c>
      <c r="K1806" s="65" t="str">
        <f t="shared" si="1"/>
        <v>In</v>
      </c>
    </row>
    <row r="1807">
      <c r="A1807" s="62" t="s">
        <v>1945</v>
      </c>
      <c r="B1807" s="63">
        <v>44071.0</v>
      </c>
      <c r="C1807" s="62" t="s">
        <v>112</v>
      </c>
      <c r="D1807" s="64">
        <v>0.0</v>
      </c>
      <c r="E1807" s="62" t="s">
        <v>109</v>
      </c>
      <c r="F1807" s="62" t="s">
        <v>115</v>
      </c>
      <c r="G1807" s="64" t="s">
        <v>59</v>
      </c>
      <c r="H1807" s="3" t="s">
        <v>68</v>
      </c>
      <c r="I1807" s="65" t="str">
        <f>IFERROR(VLOOKUP(A1807,'3. Call duration'!$A:$C,3,0),"--")</f>
        <v>--</v>
      </c>
      <c r="J1807" s="65" t="str">
        <f t="array" ref="J1807">XLOOKUP(H1807,'2. Matching'!$A$2:$A$39,'2. Matching'!$B$2:$B$39,"--")</f>
        <v>Acquisition</v>
      </c>
      <c r="K1807" s="65" t="str">
        <f t="shared" si="1"/>
        <v>In</v>
      </c>
    </row>
    <row r="1808">
      <c r="A1808" s="62" t="s">
        <v>1946</v>
      </c>
      <c r="B1808" s="63">
        <v>44363.0</v>
      </c>
      <c r="C1808" s="62" t="s">
        <v>112</v>
      </c>
      <c r="D1808" s="64">
        <v>0.0</v>
      </c>
      <c r="E1808" s="62" t="s">
        <v>109</v>
      </c>
      <c r="F1808" s="62" t="s">
        <v>110</v>
      </c>
      <c r="G1808" s="64" t="s">
        <v>63</v>
      </c>
      <c r="H1808" s="3" t="s">
        <v>183</v>
      </c>
      <c r="I1808" s="65" t="str">
        <f>IFERROR(VLOOKUP(A1808,'3. Call duration'!$A:$C,3,0),"--")</f>
        <v>--</v>
      </c>
      <c r="J1808" s="65" t="str">
        <f t="array" ref="J1808">XLOOKUP(H1808,'2. Matching'!$A$2:$A$39,'2. Matching'!$B$2:$B$39,"--")</f>
        <v>SEO</v>
      </c>
      <c r="K1808" s="65" t="str">
        <f t="shared" si="1"/>
        <v>In</v>
      </c>
    </row>
    <row r="1809">
      <c r="A1809" s="62" t="s">
        <v>1947</v>
      </c>
      <c r="B1809" s="63">
        <v>44230.0</v>
      </c>
      <c r="C1809" s="62" t="s">
        <v>108</v>
      </c>
      <c r="D1809" s="64">
        <v>0.0</v>
      </c>
      <c r="E1809" s="62" t="s">
        <v>109</v>
      </c>
      <c r="F1809" s="62" t="s">
        <v>115</v>
      </c>
      <c r="G1809" s="64" t="s">
        <v>64</v>
      </c>
      <c r="H1809" s="3" t="s">
        <v>155</v>
      </c>
      <c r="I1809" s="65">
        <f>IFERROR(VLOOKUP(A1809,'3. Call duration'!$A:$C,3,0),"--")</f>
        <v>29.89120633</v>
      </c>
      <c r="J1809" s="65" t="str">
        <f t="array" ref="J1809">XLOOKUP(H1809,'2. Matching'!$A$2:$A$39,'2. Matching'!$B$2:$B$39,"--")</f>
        <v>SEO</v>
      </c>
      <c r="K1809" s="65" t="str">
        <f t="shared" si="1"/>
        <v>In</v>
      </c>
    </row>
    <row r="1810">
      <c r="A1810" s="62" t="s">
        <v>1948</v>
      </c>
      <c r="B1810" s="63">
        <v>44294.0</v>
      </c>
      <c r="C1810" s="62" t="s">
        <v>112</v>
      </c>
      <c r="D1810" s="64">
        <v>0.0</v>
      </c>
      <c r="E1810" s="62" t="s">
        <v>109</v>
      </c>
      <c r="F1810" s="62" t="s">
        <v>115</v>
      </c>
      <c r="G1810" s="64" t="s">
        <v>64</v>
      </c>
      <c r="H1810" s="3" t="s">
        <v>169</v>
      </c>
      <c r="I1810" s="65" t="str">
        <f>IFERROR(VLOOKUP(A1810,'3. Call duration'!$A:$C,3,0),"--")</f>
        <v>--</v>
      </c>
      <c r="J1810" s="65" t="str">
        <f t="array" ref="J1810">XLOOKUP(H1810,'2. Matching'!$A$2:$A$39,'2. Matching'!$B$2:$B$39,"--")</f>
        <v>SEO</v>
      </c>
      <c r="K1810" s="65" t="str">
        <f t="shared" si="1"/>
        <v>In</v>
      </c>
    </row>
    <row r="1811">
      <c r="A1811" s="62" t="s">
        <v>1949</v>
      </c>
      <c r="B1811" s="63">
        <v>44308.0</v>
      </c>
      <c r="C1811" s="62" t="s">
        <v>108</v>
      </c>
      <c r="D1811" s="64">
        <v>0.0</v>
      </c>
      <c r="E1811" s="62" t="s">
        <v>109</v>
      </c>
      <c r="F1811" s="62" t="s">
        <v>110</v>
      </c>
      <c r="G1811" s="64" t="s">
        <v>64</v>
      </c>
      <c r="H1811" s="3" t="s">
        <v>221</v>
      </c>
      <c r="I1811" s="65">
        <f>IFERROR(VLOOKUP(A1811,'3. Call duration'!$A:$C,3,0),"--")</f>
        <v>24.3223856</v>
      </c>
      <c r="J1811" s="65" t="str">
        <f t="array" ref="J1811">XLOOKUP(H1811,'2. Matching'!$A$2:$A$39,'2. Matching'!$B$2:$B$39,"--")</f>
        <v>Farming</v>
      </c>
      <c r="K1811" s="65" t="str">
        <f t="shared" si="1"/>
        <v>In</v>
      </c>
    </row>
    <row r="1812">
      <c r="A1812" s="62" t="s">
        <v>1950</v>
      </c>
      <c r="B1812" s="63">
        <v>44077.0</v>
      </c>
      <c r="C1812" s="62" t="s">
        <v>112</v>
      </c>
      <c r="D1812" s="64">
        <v>0.0</v>
      </c>
      <c r="E1812" s="62" t="s">
        <v>109</v>
      </c>
      <c r="F1812" s="62" t="s">
        <v>115</v>
      </c>
      <c r="G1812" s="64" t="s">
        <v>64</v>
      </c>
      <c r="H1812" s="3" t="s">
        <v>175</v>
      </c>
      <c r="I1812" s="65" t="str">
        <f>IFERROR(VLOOKUP(A1812,'3. Call duration'!$A:$C,3,0),"--")</f>
        <v>--</v>
      </c>
      <c r="J1812" s="65" t="str">
        <f t="array" ref="J1812">XLOOKUP(H1812,'2. Matching'!$A$2:$A$39,'2. Matching'!$B$2:$B$39,"--")</f>
        <v>SEO</v>
      </c>
      <c r="K1812" s="65" t="str">
        <f t="shared" si="1"/>
        <v>In</v>
      </c>
    </row>
    <row r="1813">
      <c r="A1813" s="62" t="s">
        <v>1951</v>
      </c>
      <c r="B1813" s="63">
        <v>44223.0</v>
      </c>
      <c r="C1813" s="62" t="s">
        <v>108</v>
      </c>
      <c r="D1813" s="64">
        <v>0.0</v>
      </c>
      <c r="E1813" s="62" t="s">
        <v>109</v>
      </c>
      <c r="F1813" s="62" t="s">
        <v>115</v>
      </c>
      <c r="G1813" s="64" t="s">
        <v>62</v>
      </c>
      <c r="H1813" s="3" t="s">
        <v>294</v>
      </c>
      <c r="I1813" s="65">
        <f>IFERROR(VLOOKUP(A1813,'3. Call duration'!$A:$C,3,0),"--")</f>
        <v>29.13521271</v>
      </c>
      <c r="J1813" s="65" t="str">
        <f t="array" ref="J1813">XLOOKUP(H1813,'2. Matching'!$A$2:$A$39,'2. Matching'!$B$2:$B$39,"--")</f>
        <v>Farming</v>
      </c>
      <c r="K1813" s="65" t="str">
        <f t="shared" si="1"/>
        <v>In</v>
      </c>
    </row>
    <row r="1814">
      <c r="A1814" s="62" t="s">
        <v>1952</v>
      </c>
      <c r="B1814" s="63">
        <v>44394.0</v>
      </c>
      <c r="C1814" s="62" t="s">
        <v>112</v>
      </c>
      <c r="D1814" s="64">
        <v>0.0</v>
      </c>
      <c r="E1814" s="62" t="s">
        <v>109</v>
      </c>
      <c r="F1814" s="62" t="s">
        <v>110</v>
      </c>
      <c r="G1814" s="64" t="s">
        <v>63</v>
      </c>
      <c r="H1814" s="3" t="s">
        <v>124</v>
      </c>
      <c r="I1814" s="65" t="str">
        <f>IFERROR(VLOOKUP(A1814,'3. Call duration'!$A:$C,3,0),"--")</f>
        <v>--</v>
      </c>
      <c r="J1814" s="65" t="str">
        <f t="array" ref="J1814">XLOOKUP(H1814,'2. Matching'!$A$2:$A$39,'2. Matching'!$B$2:$B$39,"--")</f>
        <v>Acquisition</v>
      </c>
      <c r="K1814" s="65" t="str">
        <f t="shared" si="1"/>
        <v>In</v>
      </c>
    </row>
    <row r="1815">
      <c r="A1815" s="62" t="s">
        <v>1953</v>
      </c>
      <c r="B1815" s="63">
        <v>44244.0</v>
      </c>
      <c r="C1815" s="62" t="s">
        <v>112</v>
      </c>
      <c r="D1815" s="64">
        <v>0.0</v>
      </c>
      <c r="E1815" s="62" t="s">
        <v>109</v>
      </c>
      <c r="F1815" s="62" t="s">
        <v>115</v>
      </c>
      <c r="G1815" s="64" t="s">
        <v>64</v>
      </c>
      <c r="H1815" s="3" t="s">
        <v>155</v>
      </c>
      <c r="I1815" s="65" t="str">
        <f>IFERROR(VLOOKUP(A1815,'3. Call duration'!$A:$C,3,0),"--")</f>
        <v>--</v>
      </c>
      <c r="J1815" s="65" t="str">
        <f t="array" ref="J1815">XLOOKUP(H1815,'2. Matching'!$A$2:$A$39,'2. Matching'!$B$2:$B$39,"--")</f>
        <v>SEO</v>
      </c>
      <c r="K1815" s="65" t="str">
        <f t="shared" si="1"/>
        <v>In</v>
      </c>
    </row>
    <row r="1816">
      <c r="A1816" s="62" t="s">
        <v>1954</v>
      </c>
      <c r="B1816" s="63">
        <v>44223.0</v>
      </c>
      <c r="C1816" s="62" t="s">
        <v>112</v>
      </c>
      <c r="D1816" s="64">
        <v>0.0</v>
      </c>
      <c r="E1816" s="62" t="s">
        <v>109</v>
      </c>
      <c r="F1816" s="62" t="s">
        <v>110</v>
      </c>
      <c r="G1816" s="64" t="s">
        <v>64</v>
      </c>
      <c r="H1816" s="3" t="s">
        <v>131</v>
      </c>
      <c r="I1816" s="65" t="str">
        <f>IFERROR(VLOOKUP(A1816,'3. Call duration'!$A:$C,3,0),"--")</f>
        <v>--</v>
      </c>
      <c r="J1816" s="65" t="str">
        <f t="array" ref="J1816">XLOOKUP(H1816,'2. Matching'!$A$2:$A$39,'2. Matching'!$B$2:$B$39,"--")</f>
        <v>Acquisition</v>
      </c>
      <c r="K1816" s="65" t="str">
        <f t="shared" si="1"/>
        <v>In</v>
      </c>
    </row>
    <row r="1817">
      <c r="A1817" s="62" t="s">
        <v>1955</v>
      </c>
      <c r="B1817" s="63">
        <v>44342.0</v>
      </c>
      <c r="C1817" s="62" t="s">
        <v>119</v>
      </c>
      <c r="D1817" s="64">
        <v>47.5</v>
      </c>
      <c r="E1817" s="62" t="s">
        <v>109</v>
      </c>
      <c r="F1817" s="62" t="s">
        <v>110</v>
      </c>
      <c r="G1817" s="64" t="s">
        <v>64</v>
      </c>
      <c r="H1817" s="3" t="s">
        <v>171</v>
      </c>
      <c r="I1817" s="65">
        <f>IFERROR(VLOOKUP(A1817,'3. Call duration'!$A:$C,3,0),"--")</f>
        <v>23.97036057</v>
      </c>
      <c r="J1817" s="65" t="str">
        <f t="array" ref="J1817">XLOOKUP(H1817,'2. Matching'!$A$2:$A$39,'2. Matching'!$B$2:$B$39,"--")</f>
        <v>SEO</v>
      </c>
      <c r="K1817" s="65" t="str">
        <f t="shared" si="1"/>
        <v>In</v>
      </c>
    </row>
    <row r="1818">
      <c r="A1818" s="62" t="s">
        <v>1956</v>
      </c>
      <c r="B1818" s="63">
        <v>44399.0</v>
      </c>
      <c r="C1818" s="62" t="s">
        <v>112</v>
      </c>
      <c r="D1818" s="64">
        <v>0.0</v>
      </c>
      <c r="E1818" s="62" t="s">
        <v>114</v>
      </c>
      <c r="F1818" s="62" t="s">
        <v>115</v>
      </c>
      <c r="G1818" s="64" t="s">
        <v>61</v>
      </c>
      <c r="H1818" s="3" t="s">
        <v>68</v>
      </c>
      <c r="I1818" s="65" t="str">
        <f>IFERROR(VLOOKUP(A1818,'3. Call duration'!$A:$C,3,0),"--")</f>
        <v>--</v>
      </c>
      <c r="J1818" s="65" t="str">
        <f t="array" ref="J1818">XLOOKUP(H1818,'2. Matching'!$A$2:$A$39,'2. Matching'!$B$2:$B$39,"--")</f>
        <v>Acquisition</v>
      </c>
      <c r="K1818" s="65" t="str">
        <f t="shared" si="1"/>
        <v>In</v>
      </c>
    </row>
    <row r="1819">
      <c r="A1819" s="62" t="s">
        <v>1957</v>
      </c>
      <c r="B1819" s="63">
        <v>44362.0</v>
      </c>
      <c r="C1819" s="62" t="s">
        <v>112</v>
      </c>
      <c r="D1819" s="64">
        <v>0.0</v>
      </c>
      <c r="E1819" s="62" t="s">
        <v>109</v>
      </c>
      <c r="F1819" s="62" t="s">
        <v>115</v>
      </c>
      <c r="G1819" s="64" t="s">
        <v>64</v>
      </c>
      <c r="H1819" s="3" t="s">
        <v>139</v>
      </c>
      <c r="I1819" s="65" t="str">
        <f>IFERROR(VLOOKUP(A1819,'3. Call duration'!$A:$C,3,0),"--")</f>
        <v>--</v>
      </c>
      <c r="J1819" s="65" t="str">
        <f t="array" ref="J1819">XLOOKUP(H1819,'2. Matching'!$A$2:$A$39,'2. Matching'!$B$2:$B$39,"--")</f>
        <v>Acquisition</v>
      </c>
      <c r="K1819" s="65" t="str">
        <f t="shared" si="1"/>
        <v>In</v>
      </c>
    </row>
    <row r="1820">
      <c r="A1820" s="62" t="s">
        <v>1958</v>
      </c>
      <c r="B1820" s="63">
        <v>44368.0</v>
      </c>
      <c r="C1820" s="62" t="s">
        <v>108</v>
      </c>
      <c r="D1820" s="64">
        <v>0.0</v>
      </c>
      <c r="E1820" s="62" t="s">
        <v>114</v>
      </c>
      <c r="F1820" s="62" t="s">
        <v>115</v>
      </c>
      <c r="G1820" s="64" t="s">
        <v>64</v>
      </c>
      <c r="H1820" s="3" t="s">
        <v>139</v>
      </c>
      <c r="I1820" s="65">
        <f>IFERROR(VLOOKUP(A1820,'3. Call duration'!$A:$C,3,0),"--")</f>
        <v>12.4139435</v>
      </c>
      <c r="J1820" s="65" t="str">
        <f t="array" ref="J1820">XLOOKUP(H1820,'2. Matching'!$A$2:$A$39,'2. Matching'!$B$2:$B$39,"--")</f>
        <v>Acquisition</v>
      </c>
      <c r="K1820" s="65" t="str">
        <f t="shared" si="1"/>
        <v>In</v>
      </c>
    </row>
    <row r="1821">
      <c r="A1821" s="62" t="s">
        <v>1959</v>
      </c>
      <c r="B1821" s="63">
        <v>44062.0</v>
      </c>
      <c r="C1821" s="62" t="s">
        <v>112</v>
      </c>
      <c r="D1821" s="64">
        <v>0.0</v>
      </c>
      <c r="E1821" s="62" t="s">
        <v>109</v>
      </c>
      <c r="F1821" s="62" t="s">
        <v>115</v>
      </c>
      <c r="G1821" s="64" t="s">
        <v>64</v>
      </c>
      <c r="H1821" s="3" t="s">
        <v>169</v>
      </c>
      <c r="I1821" s="65" t="str">
        <f>IFERROR(VLOOKUP(A1821,'3. Call duration'!$A:$C,3,0),"--")</f>
        <v>--</v>
      </c>
      <c r="J1821" s="65" t="str">
        <f t="array" ref="J1821">XLOOKUP(H1821,'2. Matching'!$A$2:$A$39,'2. Matching'!$B$2:$B$39,"--")</f>
        <v>SEO</v>
      </c>
      <c r="K1821" s="65" t="str">
        <f t="shared" si="1"/>
        <v>In</v>
      </c>
    </row>
    <row r="1822">
      <c r="A1822" s="62" t="s">
        <v>1960</v>
      </c>
      <c r="B1822" s="63">
        <v>44177.0</v>
      </c>
      <c r="C1822" s="62" t="s">
        <v>112</v>
      </c>
      <c r="D1822" s="64">
        <v>0.0</v>
      </c>
      <c r="E1822" s="62" t="s">
        <v>109</v>
      </c>
      <c r="F1822" s="62" t="s">
        <v>115</v>
      </c>
      <c r="G1822" s="64" t="s">
        <v>64</v>
      </c>
      <c r="H1822" s="3" t="s">
        <v>139</v>
      </c>
      <c r="I1822" s="65" t="str">
        <f>IFERROR(VLOOKUP(A1822,'3. Call duration'!$A:$C,3,0),"--")</f>
        <v>--</v>
      </c>
      <c r="J1822" s="65" t="str">
        <f t="array" ref="J1822">XLOOKUP(H1822,'2. Matching'!$A$2:$A$39,'2. Matching'!$B$2:$B$39,"--")</f>
        <v>Acquisition</v>
      </c>
      <c r="K1822" s="65" t="str">
        <f t="shared" si="1"/>
        <v>In</v>
      </c>
    </row>
    <row r="1823">
      <c r="A1823" s="62" t="s">
        <v>1961</v>
      </c>
      <c r="B1823" s="63">
        <v>44294.0</v>
      </c>
      <c r="C1823" s="62" t="s">
        <v>108</v>
      </c>
      <c r="D1823" s="64">
        <v>0.0</v>
      </c>
      <c r="E1823" s="62" t="s">
        <v>109</v>
      </c>
      <c r="F1823" s="62" t="s">
        <v>110</v>
      </c>
      <c r="G1823" s="64" t="s">
        <v>64</v>
      </c>
      <c r="H1823" s="3" t="s">
        <v>175</v>
      </c>
      <c r="I1823" s="65">
        <f>IFERROR(VLOOKUP(A1823,'3. Call duration'!$A:$C,3,0),"--")</f>
        <v>14.77790381</v>
      </c>
      <c r="J1823" s="65" t="str">
        <f t="array" ref="J1823">XLOOKUP(H1823,'2. Matching'!$A$2:$A$39,'2. Matching'!$B$2:$B$39,"--")</f>
        <v>SEO</v>
      </c>
      <c r="K1823" s="65" t="str">
        <f t="shared" si="1"/>
        <v>In</v>
      </c>
    </row>
    <row r="1824">
      <c r="A1824" s="62" t="s">
        <v>1962</v>
      </c>
      <c r="B1824" s="63">
        <v>44378.0</v>
      </c>
      <c r="C1824" s="62" t="s">
        <v>112</v>
      </c>
      <c r="D1824" s="64">
        <v>0.0</v>
      </c>
      <c r="E1824" s="62" t="s">
        <v>109</v>
      </c>
      <c r="F1824" s="62" t="s">
        <v>110</v>
      </c>
      <c r="G1824" s="64" t="s">
        <v>60</v>
      </c>
      <c r="H1824" s="3" t="s">
        <v>68</v>
      </c>
      <c r="I1824" s="65" t="str">
        <f>IFERROR(VLOOKUP(A1824,'3. Call duration'!$A:$C,3,0),"--")</f>
        <v>--</v>
      </c>
      <c r="J1824" s="65" t="str">
        <f t="array" ref="J1824">XLOOKUP(H1824,'2. Matching'!$A$2:$A$39,'2. Matching'!$B$2:$B$39,"--")</f>
        <v>Acquisition</v>
      </c>
      <c r="K1824" s="65" t="str">
        <f t="shared" si="1"/>
        <v>In</v>
      </c>
    </row>
    <row r="1825">
      <c r="A1825" s="62" t="s">
        <v>1963</v>
      </c>
      <c r="B1825" s="63">
        <v>44228.0</v>
      </c>
      <c r="C1825" s="62" t="s">
        <v>108</v>
      </c>
      <c r="D1825" s="64">
        <v>0.0</v>
      </c>
      <c r="E1825" s="62" t="s">
        <v>109</v>
      </c>
      <c r="F1825" s="62" t="s">
        <v>115</v>
      </c>
      <c r="G1825" s="64" t="s">
        <v>64</v>
      </c>
      <c r="H1825" s="3" t="s">
        <v>139</v>
      </c>
      <c r="I1825" s="65">
        <f>IFERROR(VLOOKUP(A1825,'3. Call duration'!$A:$C,3,0),"--")</f>
        <v>21.81054938</v>
      </c>
      <c r="J1825" s="65" t="str">
        <f t="array" ref="J1825">XLOOKUP(H1825,'2. Matching'!$A$2:$A$39,'2. Matching'!$B$2:$B$39,"--")</f>
        <v>Acquisition</v>
      </c>
      <c r="K1825" s="65" t="str">
        <f t="shared" si="1"/>
        <v>In</v>
      </c>
    </row>
    <row r="1826">
      <c r="A1826" s="62" t="s">
        <v>1964</v>
      </c>
      <c r="B1826" s="63">
        <v>44348.0</v>
      </c>
      <c r="C1826" s="62" t="s">
        <v>112</v>
      </c>
      <c r="D1826" s="64">
        <v>0.0</v>
      </c>
      <c r="E1826" s="62" t="s">
        <v>114</v>
      </c>
      <c r="F1826" s="62" t="s">
        <v>110</v>
      </c>
      <c r="G1826" s="64" t="s">
        <v>60</v>
      </c>
      <c r="H1826" s="3" t="s">
        <v>67</v>
      </c>
      <c r="I1826" s="65" t="str">
        <f>IFERROR(VLOOKUP(A1826,'3. Call duration'!$A:$C,3,0),"--")</f>
        <v>--</v>
      </c>
      <c r="J1826" s="65" t="str">
        <f t="array" ref="J1826">XLOOKUP(H1826,'2. Matching'!$A$2:$A$39,'2. Matching'!$B$2:$B$39,"--")</f>
        <v>Acquisition</v>
      </c>
      <c r="K1826" s="65" t="str">
        <f t="shared" si="1"/>
        <v>In</v>
      </c>
    </row>
    <row r="1827">
      <c r="A1827" s="62" t="s">
        <v>1965</v>
      </c>
      <c r="B1827" s="63">
        <v>44264.0</v>
      </c>
      <c r="C1827" s="62" t="s">
        <v>112</v>
      </c>
      <c r="D1827" s="64">
        <v>0.0</v>
      </c>
      <c r="E1827" s="62" t="s">
        <v>109</v>
      </c>
      <c r="F1827" s="62" t="s">
        <v>110</v>
      </c>
      <c r="G1827" s="64" t="s">
        <v>64</v>
      </c>
      <c r="H1827" s="3" t="s">
        <v>297</v>
      </c>
      <c r="I1827" s="65" t="str">
        <f>IFERROR(VLOOKUP(A1827,'3. Call duration'!$A:$C,3,0),"--")</f>
        <v>--</v>
      </c>
      <c r="J1827" s="65" t="str">
        <f t="array" ref="J1827">XLOOKUP(H1827,'2. Matching'!$A$2:$A$39,'2. Matching'!$B$2:$B$39,"--")</f>
        <v>Farming</v>
      </c>
      <c r="K1827" s="65" t="str">
        <f t="shared" si="1"/>
        <v>In</v>
      </c>
    </row>
    <row r="1828">
      <c r="A1828" s="62" t="s">
        <v>1966</v>
      </c>
      <c r="B1828" s="63">
        <v>44200.0</v>
      </c>
      <c r="C1828" s="62" t="s">
        <v>108</v>
      </c>
      <c r="D1828" s="64">
        <v>0.0</v>
      </c>
      <c r="E1828" s="62" t="s">
        <v>114</v>
      </c>
      <c r="F1828" s="62" t="s">
        <v>110</v>
      </c>
      <c r="G1828" s="64" t="s">
        <v>64</v>
      </c>
      <c r="H1828" s="3" t="s">
        <v>139</v>
      </c>
      <c r="I1828" s="65">
        <f>IFERROR(VLOOKUP(A1828,'3. Call duration'!$A:$C,3,0),"--")</f>
        <v>21.79438944</v>
      </c>
      <c r="J1828" s="65" t="str">
        <f t="array" ref="J1828">XLOOKUP(H1828,'2. Matching'!$A$2:$A$39,'2. Matching'!$B$2:$B$39,"--")</f>
        <v>Acquisition</v>
      </c>
      <c r="K1828" s="65" t="str">
        <f t="shared" si="1"/>
        <v>In</v>
      </c>
    </row>
    <row r="1829">
      <c r="A1829" s="62" t="s">
        <v>1967</v>
      </c>
      <c r="B1829" s="63">
        <v>44222.0</v>
      </c>
      <c r="C1829" s="62" t="s">
        <v>108</v>
      </c>
      <c r="D1829" s="64">
        <v>0.0</v>
      </c>
      <c r="E1829" s="62" t="s">
        <v>109</v>
      </c>
      <c r="F1829" s="62" t="s">
        <v>115</v>
      </c>
      <c r="G1829" s="64" t="s">
        <v>64</v>
      </c>
      <c r="H1829" s="3" t="s">
        <v>185</v>
      </c>
      <c r="I1829" s="65">
        <f>IFERROR(VLOOKUP(A1829,'3. Call duration'!$A:$C,3,0),"--")</f>
        <v>33.34268386</v>
      </c>
      <c r="J1829" s="65" t="str">
        <f t="array" ref="J1829">XLOOKUP(H1829,'2. Matching'!$A$2:$A$39,'2. Matching'!$B$2:$B$39,"--")</f>
        <v>SEO</v>
      </c>
      <c r="K1829" s="65" t="str">
        <f t="shared" si="1"/>
        <v>In</v>
      </c>
    </row>
    <row r="1830">
      <c r="A1830" s="62" t="s">
        <v>1968</v>
      </c>
      <c r="B1830" s="63">
        <v>44322.0</v>
      </c>
      <c r="C1830" s="62" t="s">
        <v>119</v>
      </c>
      <c r="D1830" s="64">
        <v>47.5</v>
      </c>
      <c r="E1830" s="62" t="s">
        <v>109</v>
      </c>
      <c r="F1830" s="62" t="s">
        <v>115</v>
      </c>
      <c r="G1830" s="64" t="s">
        <v>59</v>
      </c>
      <c r="H1830" s="3" t="s">
        <v>68</v>
      </c>
      <c r="I1830" s="65">
        <f>IFERROR(VLOOKUP(A1830,'3. Call duration'!$A:$C,3,0),"--")</f>
        <v>23.9933148</v>
      </c>
      <c r="J1830" s="65" t="str">
        <f t="array" ref="J1830">XLOOKUP(H1830,'2. Matching'!$A$2:$A$39,'2. Matching'!$B$2:$B$39,"--")</f>
        <v>Acquisition</v>
      </c>
      <c r="K1830" s="65" t="str">
        <f t="shared" si="1"/>
        <v>In</v>
      </c>
    </row>
    <row r="1831">
      <c r="A1831" s="62" t="s">
        <v>1969</v>
      </c>
      <c r="B1831" s="63">
        <v>44148.0</v>
      </c>
      <c r="C1831" s="62" t="s">
        <v>108</v>
      </c>
      <c r="D1831" s="64">
        <v>0.0</v>
      </c>
      <c r="E1831" s="62" t="s">
        <v>114</v>
      </c>
      <c r="F1831" s="62" t="s">
        <v>115</v>
      </c>
      <c r="G1831" s="64" t="s">
        <v>64</v>
      </c>
      <c r="H1831" s="3" t="s">
        <v>139</v>
      </c>
      <c r="I1831" s="65">
        <f>IFERROR(VLOOKUP(A1831,'3. Call duration'!$A:$C,3,0),"--")</f>
        <v>29.87210566</v>
      </c>
      <c r="J1831" s="65" t="str">
        <f t="array" ref="J1831">XLOOKUP(H1831,'2. Matching'!$A$2:$A$39,'2. Matching'!$B$2:$B$39,"--")</f>
        <v>Acquisition</v>
      </c>
      <c r="K1831" s="65" t="str">
        <f t="shared" si="1"/>
        <v>In</v>
      </c>
    </row>
    <row r="1832">
      <c r="A1832" s="62" t="s">
        <v>1970</v>
      </c>
      <c r="B1832" s="63">
        <v>44377.0</v>
      </c>
      <c r="C1832" s="62" t="s">
        <v>112</v>
      </c>
      <c r="D1832" s="64">
        <v>0.0</v>
      </c>
      <c r="E1832" s="62" t="s">
        <v>109</v>
      </c>
      <c r="F1832" s="62" t="s">
        <v>115</v>
      </c>
      <c r="G1832" s="64" t="s">
        <v>60</v>
      </c>
      <c r="H1832" s="3" t="s">
        <v>68</v>
      </c>
      <c r="I1832" s="65" t="str">
        <f>IFERROR(VLOOKUP(A1832,'3. Call duration'!$A:$C,3,0),"--")</f>
        <v>--</v>
      </c>
      <c r="J1832" s="65" t="str">
        <f t="array" ref="J1832">XLOOKUP(H1832,'2. Matching'!$A$2:$A$39,'2. Matching'!$B$2:$B$39,"--")</f>
        <v>Acquisition</v>
      </c>
      <c r="K1832" s="65" t="str">
        <f t="shared" si="1"/>
        <v>In</v>
      </c>
    </row>
    <row r="1833">
      <c r="A1833" s="62" t="s">
        <v>1971</v>
      </c>
      <c r="B1833" s="63">
        <v>44230.0</v>
      </c>
      <c r="C1833" s="62" t="s">
        <v>108</v>
      </c>
      <c r="D1833" s="64">
        <v>0.0</v>
      </c>
      <c r="E1833" s="62" t="s">
        <v>109</v>
      </c>
      <c r="F1833" s="62" t="s">
        <v>115</v>
      </c>
      <c r="G1833" s="64" t="s">
        <v>64</v>
      </c>
      <c r="H1833" s="3" t="s">
        <v>135</v>
      </c>
      <c r="I1833" s="65">
        <f>IFERROR(VLOOKUP(A1833,'3. Call duration'!$A:$C,3,0),"--")</f>
        <v>36.01239188</v>
      </c>
      <c r="J1833" s="65" t="str">
        <f t="array" ref="J1833">XLOOKUP(H1833,'2. Matching'!$A$2:$A$39,'2. Matching'!$B$2:$B$39,"--")</f>
        <v>Acquisition</v>
      </c>
      <c r="K1833" s="65" t="str">
        <f t="shared" si="1"/>
        <v>In</v>
      </c>
    </row>
    <row r="1834">
      <c r="A1834" s="62" t="s">
        <v>1972</v>
      </c>
      <c r="B1834" s="63">
        <v>44237.0</v>
      </c>
      <c r="C1834" s="62" t="s">
        <v>112</v>
      </c>
      <c r="D1834" s="64">
        <v>0.0</v>
      </c>
      <c r="E1834" s="62" t="s">
        <v>109</v>
      </c>
      <c r="F1834" s="62" t="s">
        <v>115</v>
      </c>
      <c r="G1834" s="64" t="s">
        <v>64</v>
      </c>
      <c r="H1834" s="3" t="s">
        <v>169</v>
      </c>
      <c r="I1834" s="65" t="str">
        <f>IFERROR(VLOOKUP(A1834,'3. Call duration'!$A:$C,3,0),"--")</f>
        <v>--</v>
      </c>
      <c r="J1834" s="65" t="str">
        <f t="array" ref="J1834">XLOOKUP(H1834,'2. Matching'!$A$2:$A$39,'2. Matching'!$B$2:$B$39,"--")</f>
        <v>SEO</v>
      </c>
      <c r="K1834" s="65" t="str">
        <f t="shared" si="1"/>
        <v>In</v>
      </c>
    </row>
    <row r="1835">
      <c r="A1835" s="62" t="s">
        <v>1973</v>
      </c>
      <c r="B1835" s="63">
        <v>44270.0</v>
      </c>
      <c r="C1835" s="62" t="s">
        <v>108</v>
      </c>
      <c r="D1835" s="64">
        <v>0.0</v>
      </c>
      <c r="E1835" s="62" t="s">
        <v>109</v>
      </c>
      <c r="F1835" s="62" t="s">
        <v>115</v>
      </c>
      <c r="G1835" s="64" t="s">
        <v>64</v>
      </c>
      <c r="H1835" s="3" t="s">
        <v>185</v>
      </c>
      <c r="I1835" s="65">
        <f>IFERROR(VLOOKUP(A1835,'3. Call duration'!$A:$C,3,0),"--")</f>
        <v>25.6166231</v>
      </c>
      <c r="J1835" s="65" t="str">
        <f t="array" ref="J1835">XLOOKUP(H1835,'2. Matching'!$A$2:$A$39,'2. Matching'!$B$2:$B$39,"--")</f>
        <v>SEO</v>
      </c>
      <c r="K1835" s="65" t="str">
        <f t="shared" si="1"/>
        <v>In</v>
      </c>
    </row>
    <row r="1836">
      <c r="A1836" s="62" t="s">
        <v>1974</v>
      </c>
      <c r="B1836" s="63">
        <v>44175.0</v>
      </c>
      <c r="C1836" s="62" t="s">
        <v>108</v>
      </c>
      <c r="D1836" s="64">
        <v>0.0</v>
      </c>
      <c r="E1836" s="62" t="s">
        <v>109</v>
      </c>
      <c r="F1836" s="62" t="s">
        <v>110</v>
      </c>
      <c r="G1836" s="64" t="s">
        <v>62</v>
      </c>
      <c r="H1836" s="3" t="s">
        <v>286</v>
      </c>
      <c r="I1836" s="65" t="str">
        <f>IFERROR(VLOOKUP(A1836,'3. Call duration'!$A:$C,3,0),"--")</f>
        <v>--</v>
      </c>
      <c r="J1836" s="65" t="str">
        <f t="array" ref="J1836">XLOOKUP(H1836,'2. Matching'!$A$2:$A$39,'2. Matching'!$B$2:$B$39,"--")</f>
        <v>Farming</v>
      </c>
      <c r="K1836" s="65" t="str">
        <f t="shared" si="1"/>
        <v>In</v>
      </c>
    </row>
    <row r="1837">
      <c r="A1837" s="62" t="s">
        <v>1975</v>
      </c>
      <c r="B1837" s="63">
        <v>44155.0</v>
      </c>
      <c r="C1837" s="62" t="s">
        <v>112</v>
      </c>
      <c r="D1837" s="64">
        <v>0.0</v>
      </c>
      <c r="E1837" s="62" t="s">
        <v>109</v>
      </c>
      <c r="F1837" s="62" t="s">
        <v>115</v>
      </c>
      <c r="G1837" s="64" t="s">
        <v>64</v>
      </c>
      <c r="H1837" s="3" t="s">
        <v>155</v>
      </c>
      <c r="I1837" s="65" t="str">
        <f>IFERROR(VLOOKUP(A1837,'3. Call duration'!$A:$C,3,0),"--")</f>
        <v>--</v>
      </c>
      <c r="J1837" s="65" t="str">
        <f t="array" ref="J1837">XLOOKUP(H1837,'2. Matching'!$A$2:$A$39,'2. Matching'!$B$2:$B$39,"--")</f>
        <v>SEO</v>
      </c>
      <c r="K1837" s="65" t="str">
        <f t="shared" si="1"/>
        <v>In</v>
      </c>
    </row>
    <row r="1838">
      <c r="A1838" s="62" t="s">
        <v>1976</v>
      </c>
      <c r="B1838" s="63">
        <v>44338.0</v>
      </c>
      <c r="C1838" s="62" t="s">
        <v>119</v>
      </c>
      <c r="D1838" s="64">
        <v>47.5</v>
      </c>
      <c r="E1838" s="62" t="s">
        <v>109</v>
      </c>
      <c r="F1838" s="62" t="s">
        <v>115</v>
      </c>
      <c r="G1838" s="64" t="s">
        <v>64</v>
      </c>
      <c r="H1838" s="3" t="s">
        <v>139</v>
      </c>
      <c r="I1838" s="65">
        <f>IFERROR(VLOOKUP(A1838,'3. Call duration'!$A:$C,3,0),"--")</f>
        <v>24.01479024</v>
      </c>
      <c r="J1838" s="65" t="str">
        <f t="array" ref="J1838">XLOOKUP(H1838,'2. Matching'!$A$2:$A$39,'2. Matching'!$B$2:$B$39,"--")</f>
        <v>Acquisition</v>
      </c>
      <c r="K1838" s="65" t="str">
        <f t="shared" si="1"/>
        <v>In</v>
      </c>
    </row>
    <row r="1839">
      <c r="A1839" s="62" t="s">
        <v>1977</v>
      </c>
      <c r="B1839" s="63">
        <v>44277.0</v>
      </c>
      <c r="C1839" s="62" t="s">
        <v>112</v>
      </c>
      <c r="D1839" s="64">
        <v>0.0</v>
      </c>
      <c r="E1839" s="62" t="s">
        <v>109</v>
      </c>
      <c r="F1839" s="62" t="s">
        <v>115</v>
      </c>
      <c r="G1839" s="64" t="s">
        <v>64</v>
      </c>
      <c r="H1839" s="3" t="s">
        <v>155</v>
      </c>
      <c r="I1839" s="65" t="str">
        <f>IFERROR(VLOOKUP(A1839,'3. Call duration'!$A:$C,3,0),"--")</f>
        <v>--</v>
      </c>
      <c r="J1839" s="65" t="str">
        <f t="array" ref="J1839">XLOOKUP(H1839,'2. Matching'!$A$2:$A$39,'2. Matching'!$B$2:$B$39,"--")</f>
        <v>SEO</v>
      </c>
      <c r="K1839" s="65" t="str">
        <f t="shared" si="1"/>
        <v>In</v>
      </c>
    </row>
    <row r="1840">
      <c r="A1840" s="62" t="s">
        <v>1978</v>
      </c>
      <c r="B1840" s="63">
        <v>44301.0</v>
      </c>
      <c r="C1840" s="62" t="s">
        <v>112</v>
      </c>
      <c r="D1840" s="64">
        <v>0.0</v>
      </c>
      <c r="E1840" s="62" t="s">
        <v>109</v>
      </c>
      <c r="F1840" s="62" t="s">
        <v>115</v>
      </c>
      <c r="G1840" s="64" t="s">
        <v>64</v>
      </c>
      <c r="H1840" s="3" t="s">
        <v>145</v>
      </c>
      <c r="I1840" s="65" t="str">
        <f>IFERROR(VLOOKUP(A1840,'3. Call duration'!$A:$C,3,0),"--")</f>
        <v>--</v>
      </c>
      <c r="J1840" s="65" t="str">
        <f t="array" ref="J1840">XLOOKUP(H1840,'2. Matching'!$A$2:$A$39,'2. Matching'!$B$2:$B$39,"--")</f>
        <v>SEO</v>
      </c>
      <c r="K1840" s="65" t="str">
        <f t="shared" si="1"/>
        <v>In</v>
      </c>
    </row>
    <row r="1841">
      <c r="A1841" s="62" t="s">
        <v>1979</v>
      </c>
      <c r="B1841" s="63">
        <v>44384.0</v>
      </c>
      <c r="C1841" s="62" t="s">
        <v>112</v>
      </c>
      <c r="D1841" s="64">
        <v>0.0</v>
      </c>
      <c r="E1841" s="62" t="s">
        <v>109</v>
      </c>
      <c r="F1841" s="62" t="s">
        <v>110</v>
      </c>
      <c r="G1841" s="64" t="s">
        <v>60</v>
      </c>
      <c r="H1841" s="3" t="s">
        <v>68</v>
      </c>
      <c r="I1841" s="65" t="str">
        <f>IFERROR(VLOOKUP(A1841,'3. Call duration'!$A:$C,3,0),"--")</f>
        <v>--</v>
      </c>
      <c r="J1841" s="65" t="str">
        <f t="array" ref="J1841">XLOOKUP(H1841,'2. Matching'!$A$2:$A$39,'2. Matching'!$B$2:$B$39,"--")</f>
        <v>Acquisition</v>
      </c>
      <c r="K1841" s="65" t="str">
        <f t="shared" si="1"/>
        <v>In</v>
      </c>
    </row>
    <row r="1842">
      <c r="A1842" s="62" t="s">
        <v>1980</v>
      </c>
      <c r="B1842" s="63">
        <v>44333.0</v>
      </c>
      <c r="C1842" s="62" t="s">
        <v>108</v>
      </c>
      <c r="D1842" s="64">
        <v>0.0</v>
      </c>
      <c r="E1842" s="62" t="s">
        <v>114</v>
      </c>
      <c r="F1842" s="62" t="s">
        <v>115</v>
      </c>
      <c r="G1842" s="64" t="s">
        <v>63</v>
      </c>
      <c r="H1842" s="3" t="s">
        <v>189</v>
      </c>
      <c r="I1842" s="65">
        <f>IFERROR(VLOOKUP(A1842,'3. Call duration'!$A:$C,3,0),"--")</f>
        <v>24.03207339</v>
      </c>
      <c r="J1842" s="65" t="str">
        <f t="array" ref="J1842">XLOOKUP(H1842,'2. Matching'!$A$2:$A$39,'2. Matching'!$B$2:$B$39,"--")</f>
        <v>SEO</v>
      </c>
      <c r="K1842" s="65" t="str">
        <f t="shared" si="1"/>
        <v>Out</v>
      </c>
    </row>
    <row r="1843">
      <c r="A1843" s="62" t="s">
        <v>1981</v>
      </c>
      <c r="B1843" s="63">
        <v>44375.0</v>
      </c>
      <c r="C1843" s="62" t="s">
        <v>112</v>
      </c>
      <c r="D1843" s="64">
        <v>0.0</v>
      </c>
      <c r="E1843" s="62" t="s">
        <v>109</v>
      </c>
      <c r="F1843" s="62" t="s">
        <v>110</v>
      </c>
      <c r="G1843" s="64" t="s">
        <v>63</v>
      </c>
      <c r="H1843" s="3" t="s">
        <v>124</v>
      </c>
      <c r="I1843" s="65" t="str">
        <f>IFERROR(VLOOKUP(A1843,'3. Call duration'!$A:$C,3,0),"--")</f>
        <v>--</v>
      </c>
      <c r="J1843" s="65" t="str">
        <f t="array" ref="J1843">XLOOKUP(H1843,'2. Matching'!$A$2:$A$39,'2. Matching'!$B$2:$B$39,"--")</f>
        <v>Acquisition</v>
      </c>
      <c r="K1843" s="65" t="str">
        <f t="shared" si="1"/>
        <v>In</v>
      </c>
    </row>
    <row r="1844">
      <c r="A1844" s="62" t="s">
        <v>1982</v>
      </c>
      <c r="B1844" s="63">
        <v>44312.0</v>
      </c>
      <c r="C1844" s="62" t="s">
        <v>108</v>
      </c>
      <c r="D1844" s="64">
        <v>0.0</v>
      </c>
      <c r="E1844" s="62" t="s">
        <v>109</v>
      </c>
      <c r="F1844" s="62" t="s">
        <v>110</v>
      </c>
      <c r="G1844" s="64" t="s">
        <v>63</v>
      </c>
      <c r="H1844" s="3" t="s">
        <v>189</v>
      </c>
      <c r="I1844" s="65">
        <f>IFERROR(VLOOKUP(A1844,'3. Call duration'!$A:$C,3,0),"--")</f>
        <v>15.36921167</v>
      </c>
      <c r="J1844" s="65" t="str">
        <f t="array" ref="J1844">XLOOKUP(H1844,'2. Matching'!$A$2:$A$39,'2. Matching'!$B$2:$B$39,"--")</f>
        <v>SEO</v>
      </c>
      <c r="K1844" s="65" t="str">
        <f t="shared" si="1"/>
        <v>Out</v>
      </c>
    </row>
    <row r="1845">
      <c r="A1845" s="62" t="s">
        <v>1983</v>
      </c>
      <c r="B1845" s="63">
        <v>44273.0</v>
      </c>
      <c r="C1845" s="62" t="s">
        <v>112</v>
      </c>
      <c r="D1845" s="64">
        <v>0.0</v>
      </c>
      <c r="E1845" s="62" t="s">
        <v>109</v>
      </c>
      <c r="F1845" s="62" t="s">
        <v>110</v>
      </c>
      <c r="G1845" s="64" t="s">
        <v>64</v>
      </c>
      <c r="H1845" s="3" t="s">
        <v>116</v>
      </c>
      <c r="I1845" s="65" t="str">
        <f>IFERROR(VLOOKUP(A1845,'3. Call duration'!$A:$C,3,0),"--")</f>
        <v>--</v>
      </c>
      <c r="J1845" s="65" t="str">
        <f t="array" ref="J1845">XLOOKUP(H1845,'2. Matching'!$A$2:$A$39,'2. Matching'!$B$2:$B$39,"--")</f>
        <v>Acquisition</v>
      </c>
      <c r="K1845" s="65" t="str">
        <f t="shared" si="1"/>
        <v>In</v>
      </c>
    </row>
    <row r="1846">
      <c r="A1846" s="62" t="s">
        <v>1984</v>
      </c>
      <c r="B1846" s="63">
        <v>44376.0</v>
      </c>
      <c r="C1846" s="62" t="s">
        <v>112</v>
      </c>
      <c r="D1846" s="64">
        <v>0.0</v>
      </c>
      <c r="E1846" s="62" t="s">
        <v>109</v>
      </c>
      <c r="F1846" s="62" t="s">
        <v>115</v>
      </c>
      <c r="G1846" s="64" t="s">
        <v>63</v>
      </c>
      <c r="H1846" s="3" t="s">
        <v>124</v>
      </c>
      <c r="I1846" s="65" t="str">
        <f>IFERROR(VLOOKUP(A1846,'3. Call duration'!$A:$C,3,0),"--")</f>
        <v>--</v>
      </c>
      <c r="J1846" s="65" t="str">
        <f t="array" ref="J1846">XLOOKUP(H1846,'2. Matching'!$A$2:$A$39,'2. Matching'!$B$2:$B$39,"--")</f>
        <v>Acquisition</v>
      </c>
      <c r="K1846" s="65" t="str">
        <f t="shared" si="1"/>
        <v>In</v>
      </c>
    </row>
    <row r="1847">
      <c r="A1847" s="62" t="s">
        <v>1985</v>
      </c>
      <c r="B1847" s="63">
        <v>44365.0</v>
      </c>
      <c r="C1847" s="62" t="s">
        <v>112</v>
      </c>
      <c r="D1847" s="64">
        <v>0.0</v>
      </c>
      <c r="E1847" s="62" t="s">
        <v>109</v>
      </c>
      <c r="F1847" s="62" t="s">
        <v>115</v>
      </c>
      <c r="G1847" s="64" t="s">
        <v>64</v>
      </c>
      <c r="H1847" s="3" t="s">
        <v>297</v>
      </c>
      <c r="I1847" s="65" t="str">
        <f>IFERROR(VLOOKUP(A1847,'3. Call duration'!$A:$C,3,0),"--")</f>
        <v>--</v>
      </c>
      <c r="J1847" s="65" t="str">
        <f t="array" ref="J1847">XLOOKUP(H1847,'2. Matching'!$A$2:$A$39,'2. Matching'!$B$2:$B$39,"--")</f>
        <v>Farming</v>
      </c>
      <c r="K1847" s="65" t="str">
        <f t="shared" si="1"/>
        <v>In</v>
      </c>
    </row>
    <row r="1848">
      <c r="A1848" s="62" t="s">
        <v>1986</v>
      </c>
      <c r="B1848" s="63">
        <v>44386.0</v>
      </c>
      <c r="C1848" s="62" t="s">
        <v>112</v>
      </c>
      <c r="D1848" s="64">
        <v>0.0</v>
      </c>
      <c r="E1848" s="62" t="s">
        <v>114</v>
      </c>
      <c r="F1848" s="62" t="s">
        <v>110</v>
      </c>
      <c r="G1848" s="64" t="s">
        <v>60</v>
      </c>
      <c r="H1848" s="3" t="s">
        <v>67</v>
      </c>
      <c r="I1848" s="65" t="str">
        <f>IFERROR(VLOOKUP(A1848,'3. Call duration'!$A:$C,3,0),"--")</f>
        <v>--</v>
      </c>
      <c r="J1848" s="65" t="str">
        <f t="array" ref="J1848">XLOOKUP(H1848,'2. Matching'!$A$2:$A$39,'2. Matching'!$B$2:$B$39,"--")</f>
        <v>Acquisition</v>
      </c>
      <c r="K1848" s="65" t="str">
        <f t="shared" si="1"/>
        <v>In</v>
      </c>
    </row>
    <row r="1849">
      <c r="A1849" s="62" t="s">
        <v>1987</v>
      </c>
      <c r="B1849" s="63">
        <v>44292.0</v>
      </c>
      <c r="C1849" s="62" t="s">
        <v>112</v>
      </c>
      <c r="D1849" s="64">
        <v>0.0</v>
      </c>
      <c r="E1849" s="62" t="s">
        <v>109</v>
      </c>
      <c r="F1849" s="62" t="s">
        <v>110</v>
      </c>
      <c r="G1849" s="64" t="s">
        <v>64</v>
      </c>
      <c r="H1849" s="3" t="s">
        <v>169</v>
      </c>
      <c r="I1849" s="65" t="str">
        <f>IFERROR(VLOOKUP(A1849,'3. Call duration'!$A:$C,3,0),"--")</f>
        <v>--</v>
      </c>
      <c r="J1849" s="65" t="str">
        <f t="array" ref="J1849">XLOOKUP(H1849,'2. Matching'!$A$2:$A$39,'2. Matching'!$B$2:$B$39,"--")</f>
        <v>SEO</v>
      </c>
      <c r="K1849" s="65" t="str">
        <f t="shared" si="1"/>
        <v>In</v>
      </c>
    </row>
    <row r="1850">
      <c r="A1850" s="62" t="s">
        <v>1988</v>
      </c>
      <c r="B1850" s="63">
        <v>44347.0</v>
      </c>
      <c r="C1850" s="62" t="s">
        <v>119</v>
      </c>
      <c r="D1850" s="64">
        <v>47.5</v>
      </c>
      <c r="E1850" s="62" t="s">
        <v>109</v>
      </c>
      <c r="F1850" s="62" t="s">
        <v>110</v>
      </c>
      <c r="G1850" s="64" t="s">
        <v>63</v>
      </c>
      <c r="H1850" s="3" t="s">
        <v>183</v>
      </c>
      <c r="I1850" s="65">
        <f>IFERROR(VLOOKUP(A1850,'3. Call duration'!$A:$C,3,0),"--")</f>
        <v>24.13230364</v>
      </c>
      <c r="J1850" s="65" t="str">
        <f t="array" ref="J1850">XLOOKUP(H1850,'2. Matching'!$A$2:$A$39,'2. Matching'!$B$2:$B$39,"--")</f>
        <v>SEO</v>
      </c>
      <c r="K1850" s="65" t="str">
        <f t="shared" si="1"/>
        <v>In</v>
      </c>
    </row>
    <row r="1851">
      <c r="A1851" s="62" t="s">
        <v>1989</v>
      </c>
      <c r="B1851" s="63">
        <v>44237.0</v>
      </c>
      <c r="C1851" s="62" t="s">
        <v>112</v>
      </c>
      <c r="D1851" s="64">
        <v>0.0</v>
      </c>
      <c r="E1851" s="62" t="s">
        <v>109</v>
      </c>
      <c r="F1851" s="62" t="s">
        <v>110</v>
      </c>
      <c r="G1851" s="64" t="s">
        <v>64</v>
      </c>
      <c r="H1851" s="3" t="s">
        <v>175</v>
      </c>
      <c r="I1851" s="65" t="str">
        <f>IFERROR(VLOOKUP(A1851,'3. Call duration'!$A:$C,3,0),"--")</f>
        <v>--</v>
      </c>
      <c r="J1851" s="65" t="str">
        <f t="array" ref="J1851">XLOOKUP(H1851,'2. Matching'!$A$2:$A$39,'2. Matching'!$B$2:$B$39,"--")</f>
        <v>SEO</v>
      </c>
      <c r="K1851" s="65" t="str">
        <f t="shared" si="1"/>
        <v>In</v>
      </c>
    </row>
    <row r="1852">
      <c r="A1852" s="62" t="s">
        <v>1990</v>
      </c>
      <c r="B1852" s="63">
        <v>44222.0</v>
      </c>
      <c r="C1852" s="62" t="s">
        <v>108</v>
      </c>
      <c r="D1852" s="64">
        <v>0.0</v>
      </c>
      <c r="E1852" s="62" t="s">
        <v>109</v>
      </c>
      <c r="F1852" s="62" t="s">
        <v>115</v>
      </c>
      <c r="G1852" s="64" t="s">
        <v>64</v>
      </c>
      <c r="H1852" s="3" t="s">
        <v>131</v>
      </c>
      <c r="I1852" s="65">
        <f>IFERROR(VLOOKUP(A1852,'3. Call duration'!$A:$C,3,0),"--")</f>
        <v>26.36204165</v>
      </c>
      <c r="J1852" s="65" t="str">
        <f t="array" ref="J1852">XLOOKUP(H1852,'2. Matching'!$A$2:$A$39,'2. Matching'!$B$2:$B$39,"--")</f>
        <v>Acquisition</v>
      </c>
      <c r="K1852" s="65" t="str">
        <f t="shared" si="1"/>
        <v>In</v>
      </c>
    </row>
    <row r="1853">
      <c r="A1853" s="62" t="s">
        <v>1991</v>
      </c>
      <c r="B1853" s="63">
        <v>44237.0</v>
      </c>
      <c r="C1853" s="62" t="s">
        <v>112</v>
      </c>
      <c r="D1853" s="64">
        <v>0.0</v>
      </c>
      <c r="E1853" s="62" t="s">
        <v>109</v>
      </c>
      <c r="F1853" s="62" t="s">
        <v>110</v>
      </c>
      <c r="G1853" s="64" t="s">
        <v>64</v>
      </c>
      <c r="H1853" s="3" t="s">
        <v>145</v>
      </c>
      <c r="I1853" s="65" t="str">
        <f>IFERROR(VLOOKUP(A1853,'3. Call duration'!$A:$C,3,0),"--")</f>
        <v>--</v>
      </c>
      <c r="J1853" s="65" t="str">
        <f t="array" ref="J1853">XLOOKUP(H1853,'2. Matching'!$A$2:$A$39,'2. Matching'!$B$2:$B$39,"--")</f>
        <v>SEO</v>
      </c>
      <c r="K1853" s="65" t="str">
        <f t="shared" si="1"/>
        <v>In</v>
      </c>
    </row>
    <row r="1854">
      <c r="A1854" s="62" t="s">
        <v>1992</v>
      </c>
      <c r="B1854" s="63">
        <v>44270.0</v>
      </c>
      <c r="C1854" s="62" t="s">
        <v>112</v>
      </c>
      <c r="D1854" s="64">
        <v>0.0</v>
      </c>
      <c r="E1854" s="62" t="s">
        <v>109</v>
      </c>
      <c r="F1854" s="62" t="s">
        <v>110</v>
      </c>
      <c r="G1854" s="64" t="s">
        <v>64</v>
      </c>
      <c r="H1854" s="3" t="s">
        <v>116</v>
      </c>
      <c r="I1854" s="65" t="str">
        <f>IFERROR(VLOOKUP(A1854,'3. Call duration'!$A:$C,3,0),"--")</f>
        <v>--</v>
      </c>
      <c r="J1854" s="65" t="str">
        <f t="array" ref="J1854">XLOOKUP(H1854,'2. Matching'!$A$2:$A$39,'2. Matching'!$B$2:$B$39,"--")</f>
        <v>Acquisition</v>
      </c>
      <c r="K1854" s="65" t="str">
        <f t="shared" si="1"/>
        <v>In</v>
      </c>
    </row>
    <row r="1855">
      <c r="A1855" s="62" t="s">
        <v>1993</v>
      </c>
      <c r="B1855" s="63">
        <v>44271.0</v>
      </c>
      <c r="C1855" s="62" t="s">
        <v>112</v>
      </c>
      <c r="D1855" s="64">
        <v>0.0</v>
      </c>
      <c r="E1855" s="62" t="s">
        <v>109</v>
      </c>
      <c r="F1855" s="62" t="s">
        <v>110</v>
      </c>
      <c r="G1855" s="64" t="s">
        <v>63</v>
      </c>
      <c r="H1855" s="3" t="s">
        <v>128</v>
      </c>
      <c r="I1855" s="65" t="str">
        <f>IFERROR(VLOOKUP(A1855,'3. Call duration'!$A:$C,3,0),"--")</f>
        <v>--</v>
      </c>
      <c r="J1855" s="65" t="str">
        <f t="array" ref="J1855">XLOOKUP(H1855,'2. Matching'!$A$2:$A$39,'2. Matching'!$B$2:$B$39,"--")</f>
        <v>Acquisition</v>
      </c>
      <c r="K1855" s="65" t="str">
        <f t="shared" si="1"/>
        <v>In</v>
      </c>
    </row>
    <row r="1856">
      <c r="A1856" s="62" t="s">
        <v>1994</v>
      </c>
      <c r="B1856" s="63">
        <v>44333.0</v>
      </c>
      <c r="C1856" s="62" t="s">
        <v>119</v>
      </c>
      <c r="D1856" s="64">
        <v>47.5</v>
      </c>
      <c r="E1856" s="62" t="s">
        <v>109</v>
      </c>
      <c r="F1856" s="62" t="s">
        <v>115</v>
      </c>
      <c r="G1856" s="64" t="s">
        <v>59</v>
      </c>
      <c r="H1856" s="3" t="s">
        <v>68</v>
      </c>
      <c r="I1856" s="65">
        <f>IFERROR(VLOOKUP(A1856,'3. Call duration'!$A:$C,3,0),"--")</f>
        <v>24.14184855</v>
      </c>
      <c r="J1856" s="65" t="str">
        <f t="array" ref="J1856">XLOOKUP(H1856,'2. Matching'!$A$2:$A$39,'2. Matching'!$B$2:$B$39,"--")</f>
        <v>Acquisition</v>
      </c>
      <c r="K1856" s="65" t="str">
        <f t="shared" si="1"/>
        <v>In</v>
      </c>
    </row>
    <row r="1857">
      <c r="A1857" s="62" t="s">
        <v>1995</v>
      </c>
      <c r="B1857" s="63">
        <v>44145.0</v>
      </c>
      <c r="C1857" s="62" t="s">
        <v>112</v>
      </c>
      <c r="D1857" s="64">
        <v>0.0</v>
      </c>
      <c r="E1857" s="62" t="s">
        <v>109</v>
      </c>
      <c r="F1857" s="62" t="s">
        <v>115</v>
      </c>
      <c r="G1857" s="64" t="s">
        <v>64</v>
      </c>
      <c r="H1857" s="3" t="s">
        <v>235</v>
      </c>
      <c r="I1857" s="65" t="str">
        <f>IFERROR(VLOOKUP(A1857,'3. Call duration'!$A:$C,3,0),"--")</f>
        <v>--</v>
      </c>
      <c r="J1857" s="65" t="str">
        <f t="array" ref="J1857">XLOOKUP(H1857,'2. Matching'!$A$2:$A$39,'2. Matching'!$B$2:$B$39,"--")</f>
        <v>Farming</v>
      </c>
      <c r="K1857" s="65" t="str">
        <f t="shared" si="1"/>
        <v>In</v>
      </c>
    </row>
    <row r="1858">
      <c r="A1858" s="62" t="s">
        <v>1996</v>
      </c>
      <c r="B1858" s="63">
        <v>44305.0</v>
      </c>
      <c r="C1858" s="62" t="s">
        <v>112</v>
      </c>
      <c r="D1858" s="64">
        <v>0.0</v>
      </c>
      <c r="E1858" s="62" t="s">
        <v>109</v>
      </c>
      <c r="F1858" s="62" t="s">
        <v>110</v>
      </c>
      <c r="G1858" s="64" t="s">
        <v>64</v>
      </c>
      <c r="H1858" s="3" t="s">
        <v>145</v>
      </c>
      <c r="I1858" s="65" t="str">
        <f>IFERROR(VLOOKUP(A1858,'3. Call duration'!$A:$C,3,0),"--")</f>
        <v>--</v>
      </c>
      <c r="J1858" s="65" t="str">
        <f t="array" ref="J1858">XLOOKUP(H1858,'2. Matching'!$A$2:$A$39,'2. Matching'!$B$2:$B$39,"--")</f>
        <v>SEO</v>
      </c>
      <c r="K1858" s="65" t="str">
        <f t="shared" si="1"/>
        <v>In</v>
      </c>
    </row>
    <row r="1859">
      <c r="A1859" s="62" t="s">
        <v>1997</v>
      </c>
      <c r="B1859" s="63">
        <v>44365.0</v>
      </c>
      <c r="C1859" s="62" t="s">
        <v>112</v>
      </c>
      <c r="D1859" s="64">
        <v>0.0</v>
      </c>
      <c r="E1859" s="62" t="s">
        <v>109</v>
      </c>
      <c r="F1859" s="62" t="s">
        <v>110</v>
      </c>
      <c r="G1859" s="64" t="s">
        <v>60</v>
      </c>
      <c r="H1859" s="3" t="s">
        <v>67</v>
      </c>
      <c r="I1859" s="65" t="str">
        <f>IFERROR(VLOOKUP(A1859,'3. Call duration'!$A:$C,3,0),"--")</f>
        <v>--</v>
      </c>
      <c r="J1859" s="65" t="str">
        <f t="array" ref="J1859">XLOOKUP(H1859,'2. Matching'!$A$2:$A$39,'2. Matching'!$B$2:$B$39,"--")</f>
        <v>Acquisition</v>
      </c>
      <c r="K1859" s="65" t="str">
        <f t="shared" si="1"/>
        <v>In</v>
      </c>
    </row>
    <row r="1860">
      <c r="A1860" s="62" t="s">
        <v>1998</v>
      </c>
      <c r="B1860" s="63">
        <v>44356.0</v>
      </c>
      <c r="C1860" s="62" t="s">
        <v>112</v>
      </c>
      <c r="D1860" s="64">
        <v>0.0</v>
      </c>
      <c r="E1860" s="62" t="s">
        <v>114</v>
      </c>
      <c r="F1860" s="62" t="s">
        <v>110</v>
      </c>
      <c r="G1860" s="64" t="s">
        <v>60</v>
      </c>
      <c r="H1860" s="3" t="s">
        <v>67</v>
      </c>
      <c r="I1860" s="65" t="str">
        <f>IFERROR(VLOOKUP(A1860,'3. Call duration'!$A:$C,3,0),"--")</f>
        <v>--</v>
      </c>
      <c r="J1860" s="65" t="str">
        <f t="array" ref="J1860">XLOOKUP(H1860,'2. Matching'!$A$2:$A$39,'2. Matching'!$B$2:$B$39,"--")</f>
        <v>Acquisition</v>
      </c>
      <c r="K1860" s="65" t="str">
        <f t="shared" si="1"/>
        <v>In</v>
      </c>
    </row>
    <row r="1861">
      <c r="A1861" s="62" t="s">
        <v>1999</v>
      </c>
      <c r="B1861" s="63">
        <v>44384.0</v>
      </c>
      <c r="C1861" s="62" t="s">
        <v>112</v>
      </c>
      <c r="D1861" s="64">
        <v>0.0</v>
      </c>
      <c r="E1861" s="62" t="s">
        <v>109</v>
      </c>
      <c r="F1861" s="62" t="s">
        <v>110</v>
      </c>
      <c r="G1861" s="64" t="s">
        <v>60</v>
      </c>
      <c r="H1861" s="3" t="s">
        <v>68</v>
      </c>
      <c r="I1861" s="65" t="str">
        <f>IFERROR(VLOOKUP(A1861,'3. Call duration'!$A:$C,3,0),"--")</f>
        <v>--</v>
      </c>
      <c r="J1861" s="65" t="str">
        <f t="array" ref="J1861">XLOOKUP(H1861,'2. Matching'!$A$2:$A$39,'2. Matching'!$B$2:$B$39,"--")</f>
        <v>Acquisition</v>
      </c>
      <c r="K1861" s="65" t="str">
        <f t="shared" si="1"/>
        <v>In</v>
      </c>
    </row>
    <row r="1862">
      <c r="A1862" s="62" t="s">
        <v>2000</v>
      </c>
      <c r="B1862" s="63">
        <v>44175.0</v>
      </c>
      <c r="C1862" s="62" t="s">
        <v>112</v>
      </c>
      <c r="D1862" s="64">
        <v>0.0</v>
      </c>
      <c r="E1862" s="62" t="s">
        <v>114</v>
      </c>
      <c r="F1862" s="62" t="s">
        <v>115</v>
      </c>
      <c r="G1862" s="64" t="s">
        <v>64</v>
      </c>
      <c r="H1862" s="3" t="s">
        <v>139</v>
      </c>
      <c r="I1862" s="65" t="str">
        <f>IFERROR(VLOOKUP(A1862,'3. Call duration'!$A:$C,3,0),"--")</f>
        <v>--</v>
      </c>
      <c r="J1862" s="65" t="str">
        <f t="array" ref="J1862">XLOOKUP(H1862,'2. Matching'!$A$2:$A$39,'2. Matching'!$B$2:$B$39,"--")</f>
        <v>Acquisition</v>
      </c>
      <c r="K1862" s="65" t="str">
        <f t="shared" si="1"/>
        <v>In</v>
      </c>
    </row>
    <row r="1863">
      <c r="A1863" s="62" t="s">
        <v>2001</v>
      </c>
      <c r="B1863" s="63">
        <v>44266.0</v>
      </c>
      <c r="C1863" s="62" t="s">
        <v>108</v>
      </c>
      <c r="D1863" s="64">
        <v>0.0</v>
      </c>
      <c r="E1863" s="62" t="s">
        <v>114</v>
      </c>
      <c r="F1863" s="62" t="s">
        <v>110</v>
      </c>
      <c r="G1863" s="64" t="s">
        <v>64</v>
      </c>
      <c r="H1863" s="3" t="s">
        <v>55</v>
      </c>
      <c r="I1863" s="65">
        <f>IFERROR(VLOOKUP(A1863,'3. Call duration'!$A:$C,3,0),"--")</f>
        <v>17.22715921</v>
      </c>
      <c r="J1863" s="65" t="str">
        <f t="array" ref="J1863">XLOOKUP(H1863,'2. Matching'!$A$2:$A$39,'2. Matching'!$B$2:$B$39,"--")</f>
        <v>Partnerships</v>
      </c>
      <c r="K1863" s="65" t="str">
        <f t="shared" si="1"/>
        <v>In</v>
      </c>
    </row>
    <row r="1864">
      <c r="A1864" s="62" t="s">
        <v>2002</v>
      </c>
      <c r="B1864" s="63">
        <v>44134.0</v>
      </c>
      <c r="C1864" s="62" t="s">
        <v>112</v>
      </c>
      <c r="D1864" s="64">
        <v>0.0</v>
      </c>
      <c r="E1864" s="62" t="s">
        <v>109</v>
      </c>
      <c r="F1864" s="62" t="s">
        <v>115</v>
      </c>
      <c r="G1864" s="64" t="s">
        <v>62</v>
      </c>
      <c r="H1864" s="3" t="s">
        <v>294</v>
      </c>
      <c r="I1864" s="65" t="str">
        <f>IFERROR(VLOOKUP(A1864,'3. Call duration'!$A:$C,3,0),"--")</f>
        <v>--</v>
      </c>
      <c r="J1864" s="65" t="str">
        <f t="array" ref="J1864">XLOOKUP(H1864,'2. Matching'!$A$2:$A$39,'2. Matching'!$B$2:$B$39,"--")</f>
        <v>Farming</v>
      </c>
      <c r="K1864" s="65" t="str">
        <f t="shared" si="1"/>
        <v>In</v>
      </c>
    </row>
    <row r="1865">
      <c r="A1865" s="62" t="s">
        <v>2003</v>
      </c>
      <c r="B1865" s="63">
        <v>44341.0</v>
      </c>
      <c r="C1865" s="62" t="s">
        <v>119</v>
      </c>
      <c r="D1865" s="64">
        <v>95.0</v>
      </c>
      <c r="E1865" s="62" t="s">
        <v>114</v>
      </c>
      <c r="F1865" s="62" t="s">
        <v>115</v>
      </c>
      <c r="G1865" s="64" t="s">
        <v>64</v>
      </c>
      <c r="H1865" s="3" t="s">
        <v>155</v>
      </c>
      <c r="I1865" s="65">
        <f>IFERROR(VLOOKUP(A1865,'3. Call duration'!$A:$C,3,0),"--")</f>
        <v>24.21121974</v>
      </c>
      <c r="J1865" s="65" t="str">
        <f t="array" ref="J1865">XLOOKUP(H1865,'2. Matching'!$A$2:$A$39,'2. Matching'!$B$2:$B$39,"--")</f>
        <v>SEO</v>
      </c>
      <c r="K1865" s="65" t="str">
        <f t="shared" si="1"/>
        <v>In</v>
      </c>
    </row>
    <row r="1866">
      <c r="A1866" s="62" t="s">
        <v>2004</v>
      </c>
      <c r="B1866" s="63">
        <v>44371.0</v>
      </c>
      <c r="C1866" s="62" t="s">
        <v>112</v>
      </c>
      <c r="D1866" s="64">
        <v>0.0</v>
      </c>
      <c r="E1866" s="62" t="s">
        <v>109</v>
      </c>
      <c r="F1866" s="62" t="s">
        <v>115</v>
      </c>
      <c r="G1866" s="64" t="s">
        <v>63</v>
      </c>
      <c r="H1866" s="3" t="s">
        <v>124</v>
      </c>
      <c r="I1866" s="65" t="str">
        <f>IFERROR(VLOOKUP(A1866,'3. Call duration'!$A:$C,3,0),"--")</f>
        <v>--</v>
      </c>
      <c r="J1866" s="65" t="str">
        <f t="array" ref="J1866">XLOOKUP(H1866,'2. Matching'!$A$2:$A$39,'2. Matching'!$B$2:$B$39,"--")</f>
        <v>Acquisition</v>
      </c>
      <c r="K1866" s="65" t="str">
        <f t="shared" si="1"/>
        <v>In</v>
      </c>
    </row>
    <row r="1867">
      <c r="A1867" s="62" t="s">
        <v>2005</v>
      </c>
      <c r="B1867" s="63">
        <v>44287.0</v>
      </c>
      <c r="C1867" s="62" t="s">
        <v>112</v>
      </c>
      <c r="D1867" s="64">
        <v>0.0</v>
      </c>
      <c r="E1867" s="62" t="s">
        <v>109</v>
      </c>
      <c r="F1867" s="62" t="s">
        <v>115</v>
      </c>
      <c r="G1867" s="64" t="s">
        <v>64</v>
      </c>
      <c r="H1867" s="3" t="s">
        <v>49</v>
      </c>
      <c r="I1867" s="65" t="str">
        <f>IFERROR(VLOOKUP(A1867,'3. Call duration'!$A:$C,3,0),"--")</f>
        <v>--</v>
      </c>
      <c r="J1867" s="65" t="str">
        <f t="array" ref="J1867">XLOOKUP(H1867,'2. Matching'!$A$2:$A$39,'2. Matching'!$B$2:$B$39,"--")</f>
        <v>Partnerships</v>
      </c>
      <c r="K1867" s="65" t="str">
        <f t="shared" si="1"/>
        <v>In</v>
      </c>
    </row>
    <row r="1868">
      <c r="A1868" s="62" t="s">
        <v>2006</v>
      </c>
      <c r="B1868" s="63">
        <v>44330.0</v>
      </c>
      <c r="C1868" s="62" t="s">
        <v>119</v>
      </c>
      <c r="D1868" s="64">
        <v>47.5</v>
      </c>
      <c r="E1868" s="62" t="s">
        <v>109</v>
      </c>
      <c r="F1868" s="62" t="s">
        <v>110</v>
      </c>
      <c r="G1868" s="64" t="s">
        <v>59</v>
      </c>
      <c r="H1868" s="3" t="s">
        <v>68</v>
      </c>
      <c r="I1868" s="65">
        <f>IFERROR(VLOOKUP(A1868,'3. Call duration'!$A:$C,3,0),"--")</f>
        <v>24.23199174</v>
      </c>
      <c r="J1868" s="65" t="str">
        <f t="array" ref="J1868">XLOOKUP(H1868,'2. Matching'!$A$2:$A$39,'2. Matching'!$B$2:$B$39,"--")</f>
        <v>Acquisition</v>
      </c>
      <c r="K1868" s="65" t="str">
        <f t="shared" si="1"/>
        <v>In</v>
      </c>
    </row>
    <row r="1869">
      <c r="A1869" s="62" t="s">
        <v>2007</v>
      </c>
      <c r="B1869" s="63">
        <v>44228.0</v>
      </c>
      <c r="C1869" s="62" t="s">
        <v>108</v>
      </c>
      <c r="D1869" s="64">
        <v>0.0</v>
      </c>
      <c r="E1869" s="62" t="s">
        <v>109</v>
      </c>
      <c r="F1869" s="62" t="s">
        <v>115</v>
      </c>
      <c r="G1869" s="64" t="s">
        <v>64</v>
      </c>
      <c r="H1869" s="3" t="s">
        <v>185</v>
      </c>
      <c r="I1869" s="65">
        <f>IFERROR(VLOOKUP(A1869,'3. Call duration'!$A:$C,3,0),"--")</f>
        <v>31.32755671</v>
      </c>
      <c r="J1869" s="65" t="str">
        <f t="array" ref="J1869">XLOOKUP(H1869,'2. Matching'!$A$2:$A$39,'2. Matching'!$B$2:$B$39,"--")</f>
        <v>SEO</v>
      </c>
      <c r="K1869" s="65" t="str">
        <f t="shared" si="1"/>
        <v>In</v>
      </c>
    </row>
    <row r="1870">
      <c r="A1870" s="62" t="s">
        <v>2008</v>
      </c>
      <c r="B1870" s="63">
        <v>44274.0</v>
      </c>
      <c r="C1870" s="62" t="s">
        <v>112</v>
      </c>
      <c r="D1870" s="64">
        <v>0.0</v>
      </c>
      <c r="E1870" s="62" t="s">
        <v>109</v>
      </c>
      <c r="F1870" s="62" t="s">
        <v>110</v>
      </c>
      <c r="G1870" s="64" t="s">
        <v>64</v>
      </c>
      <c r="H1870" s="3" t="s">
        <v>297</v>
      </c>
      <c r="I1870" s="65" t="str">
        <f>IFERROR(VLOOKUP(A1870,'3. Call duration'!$A:$C,3,0),"--")</f>
        <v>--</v>
      </c>
      <c r="J1870" s="65" t="str">
        <f t="array" ref="J1870">XLOOKUP(H1870,'2. Matching'!$A$2:$A$39,'2. Matching'!$B$2:$B$39,"--")</f>
        <v>Farming</v>
      </c>
      <c r="K1870" s="65" t="str">
        <f t="shared" si="1"/>
        <v>In</v>
      </c>
    </row>
    <row r="1871">
      <c r="A1871" s="62" t="s">
        <v>2009</v>
      </c>
      <c r="B1871" s="63">
        <v>44230.0</v>
      </c>
      <c r="C1871" s="62" t="s">
        <v>112</v>
      </c>
      <c r="D1871" s="64">
        <v>0.0</v>
      </c>
      <c r="E1871" s="62" t="s">
        <v>109</v>
      </c>
      <c r="F1871" s="62" t="s">
        <v>110</v>
      </c>
      <c r="G1871" s="64" t="s">
        <v>64</v>
      </c>
      <c r="H1871" s="3" t="s">
        <v>49</v>
      </c>
      <c r="I1871" s="65" t="str">
        <f>IFERROR(VLOOKUP(A1871,'3. Call duration'!$A:$C,3,0),"--")</f>
        <v>--</v>
      </c>
      <c r="J1871" s="65" t="str">
        <f t="array" ref="J1871">XLOOKUP(H1871,'2. Matching'!$A$2:$A$39,'2. Matching'!$B$2:$B$39,"--")</f>
        <v>Partnerships</v>
      </c>
      <c r="K1871" s="65" t="str">
        <f t="shared" si="1"/>
        <v>In</v>
      </c>
    </row>
    <row r="1872">
      <c r="A1872" s="62" t="s">
        <v>2010</v>
      </c>
      <c r="B1872" s="63">
        <v>44064.0</v>
      </c>
      <c r="C1872" s="62" t="s">
        <v>112</v>
      </c>
      <c r="D1872" s="64">
        <v>0.0</v>
      </c>
      <c r="E1872" s="62" t="s">
        <v>109</v>
      </c>
      <c r="F1872" s="62" t="s">
        <v>115</v>
      </c>
      <c r="G1872" s="64" t="s">
        <v>64</v>
      </c>
      <c r="H1872" s="3" t="s">
        <v>235</v>
      </c>
      <c r="I1872" s="65" t="str">
        <f>IFERROR(VLOOKUP(A1872,'3. Call duration'!$A:$C,3,0),"--")</f>
        <v>--</v>
      </c>
      <c r="J1872" s="65" t="str">
        <f t="array" ref="J1872">XLOOKUP(H1872,'2. Matching'!$A$2:$A$39,'2. Matching'!$B$2:$B$39,"--")</f>
        <v>Farming</v>
      </c>
      <c r="K1872" s="65" t="str">
        <f t="shared" si="1"/>
        <v>In</v>
      </c>
    </row>
    <row r="1873">
      <c r="A1873" s="62" t="s">
        <v>2011</v>
      </c>
      <c r="B1873" s="63">
        <v>44285.0</v>
      </c>
      <c r="C1873" s="62" t="s">
        <v>112</v>
      </c>
      <c r="D1873" s="64">
        <v>0.0</v>
      </c>
      <c r="E1873" s="62" t="s">
        <v>109</v>
      </c>
      <c r="F1873" s="62" t="s">
        <v>110</v>
      </c>
      <c r="G1873" s="64" t="s">
        <v>64</v>
      </c>
      <c r="H1873" s="3" t="s">
        <v>116</v>
      </c>
      <c r="I1873" s="65" t="str">
        <f>IFERROR(VLOOKUP(A1873,'3. Call duration'!$A:$C,3,0),"--")</f>
        <v>--</v>
      </c>
      <c r="J1873" s="65" t="str">
        <f t="array" ref="J1873">XLOOKUP(H1873,'2. Matching'!$A$2:$A$39,'2. Matching'!$B$2:$B$39,"--")</f>
        <v>Acquisition</v>
      </c>
      <c r="K1873" s="65" t="str">
        <f t="shared" si="1"/>
        <v>In</v>
      </c>
    </row>
    <row r="1874">
      <c r="A1874" s="62" t="s">
        <v>2012</v>
      </c>
      <c r="B1874" s="63">
        <v>44335.0</v>
      </c>
      <c r="C1874" s="62" t="s">
        <v>119</v>
      </c>
      <c r="D1874" s="64">
        <v>47.5</v>
      </c>
      <c r="E1874" s="62" t="s">
        <v>109</v>
      </c>
      <c r="F1874" s="62" t="s">
        <v>110</v>
      </c>
      <c r="G1874" s="64" t="s">
        <v>63</v>
      </c>
      <c r="H1874" s="3" t="s">
        <v>189</v>
      </c>
      <c r="I1874" s="65">
        <f>IFERROR(VLOOKUP(A1874,'3. Call duration'!$A:$C,3,0),"--")</f>
        <v>24.29727081</v>
      </c>
      <c r="J1874" s="65" t="str">
        <f t="array" ref="J1874">XLOOKUP(H1874,'2. Matching'!$A$2:$A$39,'2. Matching'!$B$2:$B$39,"--")</f>
        <v>SEO</v>
      </c>
      <c r="K1874" s="65" t="str">
        <f t="shared" si="1"/>
        <v>Out</v>
      </c>
    </row>
    <row r="1875">
      <c r="A1875" s="62" t="s">
        <v>2013</v>
      </c>
      <c r="B1875" s="63">
        <v>44364.0</v>
      </c>
      <c r="C1875" s="62" t="s">
        <v>112</v>
      </c>
      <c r="D1875" s="64">
        <v>0.0</v>
      </c>
      <c r="E1875" s="62" t="s">
        <v>109</v>
      </c>
      <c r="F1875" s="62" t="s">
        <v>110</v>
      </c>
      <c r="G1875" s="64" t="s">
        <v>64</v>
      </c>
      <c r="H1875" s="3" t="s">
        <v>297</v>
      </c>
      <c r="I1875" s="65" t="str">
        <f>IFERROR(VLOOKUP(A1875,'3. Call duration'!$A:$C,3,0),"--")</f>
        <v>--</v>
      </c>
      <c r="J1875" s="65" t="str">
        <f t="array" ref="J1875">XLOOKUP(H1875,'2. Matching'!$A$2:$A$39,'2. Matching'!$B$2:$B$39,"--")</f>
        <v>Farming</v>
      </c>
      <c r="K1875" s="65" t="str">
        <f t="shared" si="1"/>
        <v>In</v>
      </c>
    </row>
    <row r="1876">
      <c r="A1876" s="62" t="s">
        <v>2014</v>
      </c>
      <c r="B1876" s="63">
        <v>44221.0</v>
      </c>
      <c r="C1876" s="62" t="s">
        <v>112</v>
      </c>
      <c r="D1876" s="64">
        <v>0.0</v>
      </c>
      <c r="E1876" s="62" t="s">
        <v>109</v>
      </c>
      <c r="F1876" s="62" t="s">
        <v>115</v>
      </c>
      <c r="G1876" s="64" t="s">
        <v>64</v>
      </c>
      <c r="H1876" s="3" t="s">
        <v>164</v>
      </c>
      <c r="I1876" s="65" t="str">
        <f>IFERROR(VLOOKUP(A1876,'3. Call duration'!$A:$C,3,0),"--")</f>
        <v>--</v>
      </c>
      <c r="J1876" s="65" t="str">
        <f t="array" ref="J1876">XLOOKUP(H1876,'2. Matching'!$A$2:$A$39,'2. Matching'!$B$2:$B$39,"--")</f>
        <v>SEO</v>
      </c>
      <c r="K1876" s="65" t="str">
        <f t="shared" si="1"/>
        <v>In</v>
      </c>
    </row>
    <row r="1877">
      <c r="A1877" s="62" t="s">
        <v>2015</v>
      </c>
      <c r="B1877" s="63">
        <v>44362.0</v>
      </c>
      <c r="C1877" s="62" t="s">
        <v>112</v>
      </c>
      <c r="D1877" s="64">
        <v>0.0</v>
      </c>
      <c r="E1877" s="62" t="s">
        <v>109</v>
      </c>
      <c r="F1877" s="62" t="s">
        <v>110</v>
      </c>
      <c r="G1877" s="64" t="s">
        <v>63</v>
      </c>
      <c r="H1877" s="3" t="s">
        <v>228</v>
      </c>
      <c r="I1877" s="65" t="str">
        <f>IFERROR(VLOOKUP(A1877,'3. Call duration'!$A:$C,3,0),"--")</f>
        <v>--</v>
      </c>
      <c r="J1877" s="65" t="str">
        <f t="array" ref="J1877">XLOOKUP(H1877,'2. Matching'!$A$2:$A$39,'2. Matching'!$B$2:$B$39,"--")</f>
        <v>Farming</v>
      </c>
      <c r="K1877" s="65" t="str">
        <f t="shared" si="1"/>
        <v>In</v>
      </c>
    </row>
    <row r="1878">
      <c r="A1878" s="62" t="s">
        <v>2016</v>
      </c>
      <c r="B1878" s="63">
        <v>44323.0</v>
      </c>
      <c r="C1878" s="62" t="s">
        <v>119</v>
      </c>
      <c r="D1878" s="64">
        <v>95.0</v>
      </c>
      <c r="E1878" s="62" t="s">
        <v>114</v>
      </c>
      <c r="F1878" s="62" t="s">
        <v>115</v>
      </c>
      <c r="G1878" s="64" t="s">
        <v>64</v>
      </c>
      <c r="H1878" s="3" t="s">
        <v>185</v>
      </c>
      <c r="I1878" s="65">
        <f>IFERROR(VLOOKUP(A1878,'3. Call duration'!$A:$C,3,0),"--")</f>
        <v>24.33439048</v>
      </c>
      <c r="J1878" s="65" t="str">
        <f t="array" ref="J1878">XLOOKUP(H1878,'2. Matching'!$A$2:$A$39,'2. Matching'!$B$2:$B$39,"--")</f>
        <v>SEO</v>
      </c>
      <c r="K1878" s="65" t="str">
        <f t="shared" si="1"/>
        <v>In</v>
      </c>
    </row>
    <row r="1879">
      <c r="A1879" s="62" t="s">
        <v>2017</v>
      </c>
      <c r="B1879" s="63">
        <v>44376.0</v>
      </c>
      <c r="C1879" s="62" t="s">
        <v>112</v>
      </c>
      <c r="D1879" s="64">
        <v>0.0</v>
      </c>
      <c r="E1879" s="62" t="s">
        <v>109</v>
      </c>
      <c r="F1879" s="62" t="s">
        <v>115</v>
      </c>
      <c r="G1879" s="64" t="s">
        <v>59</v>
      </c>
      <c r="H1879" s="3" t="s">
        <v>68</v>
      </c>
      <c r="I1879" s="65" t="str">
        <f>IFERROR(VLOOKUP(A1879,'3. Call duration'!$A:$C,3,0),"--")</f>
        <v>--</v>
      </c>
      <c r="J1879" s="65" t="str">
        <f t="array" ref="J1879">XLOOKUP(H1879,'2. Matching'!$A$2:$A$39,'2. Matching'!$B$2:$B$39,"--")</f>
        <v>Acquisition</v>
      </c>
      <c r="K1879" s="65" t="str">
        <f t="shared" si="1"/>
        <v>In</v>
      </c>
    </row>
    <row r="1880">
      <c r="A1880" s="62" t="s">
        <v>2018</v>
      </c>
      <c r="B1880" s="63">
        <v>44118.0</v>
      </c>
      <c r="C1880" s="62" t="s">
        <v>108</v>
      </c>
      <c r="D1880" s="64">
        <v>0.0</v>
      </c>
      <c r="E1880" s="62" t="s">
        <v>114</v>
      </c>
      <c r="F1880" s="62" t="s">
        <v>115</v>
      </c>
      <c r="G1880" s="64" t="s">
        <v>64</v>
      </c>
      <c r="H1880" s="3" t="s">
        <v>139</v>
      </c>
      <c r="I1880" s="65">
        <f>IFERROR(VLOOKUP(A1880,'3. Call duration'!$A:$C,3,0),"--")</f>
        <v>21.63776671</v>
      </c>
      <c r="J1880" s="65" t="str">
        <f t="array" ref="J1880">XLOOKUP(H1880,'2. Matching'!$A$2:$A$39,'2. Matching'!$B$2:$B$39,"--")</f>
        <v>Acquisition</v>
      </c>
      <c r="K1880" s="65" t="str">
        <f t="shared" si="1"/>
        <v>In</v>
      </c>
    </row>
    <row r="1881">
      <c r="A1881" s="62" t="s">
        <v>2019</v>
      </c>
      <c r="B1881" s="63">
        <v>44302.0</v>
      </c>
      <c r="C1881" s="62" t="s">
        <v>108</v>
      </c>
      <c r="D1881" s="64">
        <v>0.0</v>
      </c>
      <c r="E1881" s="62" t="s">
        <v>109</v>
      </c>
      <c r="F1881" s="62" t="s">
        <v>115</v>
      </c>
      <c r="G1881" s="64" t="s">
        <v>64</v>
      </c>
      <c r="H1881" s="3" t="s">
        <v>164</v>
      </c>
      <c r="I1881" s="65">
        <f>IFERROR(VLOOKUP(A1881,'3. Call duration'!$A:$C,3,0),"--")</f>
        <v>28.60462276</v>
      </c>
      <c r="J1881" s="65" t="str">
        <f t="array" ref="J1881">XLOOKUP(H1881,'2. Matching'!$A$2:$A$39,'2. Matching'!$B$2:$B$39,"--")</f>
        <v>SEO</v>
      </c>
      <c r="K1881" s="65" t="str">
        <f t="shared" si="1"/>
        <v>In</v>
      </c>
    </row>
    <row r="1882">
      <c r="A1882" s="62" t="s">
        <v>2020</v>
      </c>
      <c r="B1882" s="63">
        <v>44375.0</v>
      </c>
      <c r="C1882" s="62" t="s">
        <v>108</v>
      </c>
      <c r="D1882" s="64">
        <v>0.0</v>
      </c>
      <c r="E1882" s="62" t="s">
        <v>109</v>
      </c>
      <c r="F1882" s="62" t="s">
        <v>115</v>
      </c>
      <c r="G1882" s="64" t="s">
        <v>59</v>
      </c>
      <c r="H1882" s="3" t="s">
        <v>68</v>
      </c>
      <c r="I1882" s="65">
        <f>IFERROR(VLOOKUP(A1882,'3. Call duration'!$A:$C,3,0),"--")</f>
        <v>29.73947285</v>
      </c>
      <c r="J1882" s="65" t="str">
        <f t="array" ref="J1882">XLOOKUP(H1882,'2. Matching'!$A$2:$A$39,'2. Matching'!$B$2:$B$39,"--")</f>
        <v>Acquisition</v>
      </c>
      <c r="K1882" s="65" t="str">
        <f t="shared" si="1"/>
        <v>In</v>
      </c>
    </row>
    <row r="1883">
      <c r="A1883" s="62" t="s">
        <v>2021</v>
      </c>
      <c r="B1883" s="63">
        <v>44225.0</v>
      </c>
      <c r="C1883" s="62" t="s">
        <v>112</v>
      </c>
      <c r="D1883" s="64">
        <v>0.0</v>
      </c>
      <c r="E1883" s="62" t="s">
        <v>109</v>
      </c>
      <c r="F1883" s="62" t="s">
        <v>115</v>
      </c>
      <c r="G1883" s="64" t="s">
        <v>64</v>
      </c>
      <c r="H1883" s="3" t="s">
        <v>155</v>
      </c>
      <c r="I1883" s="65" t="str">
        <f>IFERROR(VLOOKUP(A1883,'3. Call duration'!$A:$C,3,0),"--")</f>
        <v>--</v>
      </c>
      <c r="J1883" s="65" t="str">
        <f t="array" ref="J1883">XLOOKUP(H1883,'2. Matching'!$A$2:$A$39,'2. Matching'!$B$2:$B$39,"--")</f>
        <v>SEO</v>
      </c>
      <c r="K1883" s="65" t="str">
        <f t="shared" si="1"/>
        <v>In</v>
      </c>
    </row>
    <row r="1884">
      <c r="A1884" s="62" t="s">
        <v>2022</v>
      </c>
      <c r="B1884" s="63">
        <v>44226.0</v>
      </c>
      <c r="C1884" s="62" t="s">
        <v>112</v>
      </c>
      <c r="D1884" s="64">
        <v>0.0</v>
      </c>
      <c r="E1884" s="62" t="s">
        <v>114</v>
      </c>
      <c r="F1884" s="62" t="s">
        <v>110</v>
      </c>
      <c r="G1884" s="64" t="s">
        <v>64</v>
      </c>
      <c r="H1884" s="3" t="s">
        <v>175</v>
      </c>
      <c r="I1884" s="65" t="str">
        <f>IFERROR(VLOOKUP(A1884,'3. Call duration'!$A:$C,3,0),"--")</f>
        <v>--</v>
      </c>
      <c r="J1884" s="65" t="str">
        <f t="array" ref="J1884">XLOOKUP(H1884,'2. Matching'!$A$2:$A$39,'2. Matching'!$B$2:$B$39,"--")</f>
        <v>SEO</v>
      </c>
      <c r="K1884" s="65" t="str">
        <f t="shared" si="1"/>
        <v>In</v>
      </c>
    </row>
    <row r="1885">
      <c r="A1885" s="62" t="s">
        <v>2023</v>
      </c>
      <c r="B1885" s="63">
        <v>44274.0</v>
      </c>
      <c r="C1885" s="62" t="s">
        <v>112</v>
      </c>
      <c r="D1885" s="64">
        <v>0.0</v>
      </c>
      <c r="E1885" s="62" t="s">
        <v>109</v>
      </c>
      <c r="F1885" s="62" t="s">
        <v>110</v>
      </c>
      <c r="G1885" s="64" t="s">
        <v>64</v>
      </c>
      <c r="H1885" s="3" t="s">
        <v>52</v>
      </c>
      <c r="I1885" s="65" t="str">
        <f>IFERROR(VLOOKUP(A1885,'3. Call duration'!$A:$C,3,0),"--")</f>
        <v>--</v>
      </c>
      <c r="J1885" s="65" t="str">
        <f t="array" ref="J1885">XLOOKUP(H1885,'2. Matching'!$A$2:$A$39,'2. Matching'!$B$2:$B$39,"--")</f>
        <v>Partnerships</v>
      </c>
      <c r="K1885" s="65" t="str">
        <f t="shared" si="1"/>
        <v>In</v>
      </c>
    </row>
    <row r="1886">
      <c r="A1886" s="62" t="s">
        <v>2024</v>
      </c>
      <c r="B1886" s="63">
        <v>44229.0</v>
      </c>
      <c r="C1886" s="62" t="s">
        <v>108</v>
      </c>
      <c r="D1886" s="64">
        <v>0.0</v>
      </c>
      <c r="E1886" s="62" t="s">
        <v>109</v>
      </c>
      <c r="F1886" s="62" t="s">
        <v>115</v>
      </c>
      <c r="G1886" s="64" t="s">
        <v>64</v>
      </c>
      <c r="H1886" s="3" t="s">
        <v>139</v>
      </c>
      <c r="I1886" s="65">
        <f>IFERROR(VLOOKUP(A1886,'3. Call duration'!$A:$C,3,0),"--")</f>
        <v>13.05198185</v>
      </c>
      <c r="J1886" s="65" t="str">
        <f t="array" ref="J1886">XLOOKUP(H1886,'2. Matching'!$A$2:$A$39,'2. Matching'!$B$2:$B$39,"--")</f>
        <v>Acquisition</v>
      </c>
      <c r="K1886" s="65" t="str">
        <f t="shared" si="1"/>
        <v>In</v>
      </c>
    </row>
    <row r="1887">
      <c r="A1887" s="62" t="s">
        <v>2025</v>
      </c>
      <c r="B1887" s="63">
        <v>44238.0</v>
      </c>
      <c r="C1887" s="62" t="s">
        <v>112</v>
      </c>
      <c r="D1887" s="64">
        <v>0.0</v>
      </c>
      <c r="E1887" s="62" t="s">
        <v>109</v>
      </c>
      <c r="F1887" s="62" t="s">
        <v>110</v>
      </c>
      <c r="G1887" s="64" t="s">
        <v>64</v>
      </c>
      <c r="H1887" s="3" t="s">
        <v>297</v>
      </c>
      <c r="I1887" s="65" t="str">
        <f>IFERROR(VLOOKUP(A1887,'3. Call duration'!$A:$C,3,0),"--")</f>
        <v>--</v>
      </c>
      <c r="J1887" s="65" t="str">
        <f t="array" ref="J1887">XLOOKUP(H1887,'2. Matching'!$A$2:$A$39,'2. Matching'!$B$2:$B$39,"--")</f>
        <v>Farming</v>
      </c>
      <c r="K1887" s="65" t="str">
        <f t="shared" si="1"/>
        <v>In</v>
      </c>
    </row>
    <row r="1888">
      <c r="A1888" s="62" t="s">
        <v>2026</v>
      </c>
      <c r="B1888" s="63">
        <v>44179.0</v>
      </c>
      <c r="C1888" s="62" t="s">
        <v>108</v>
      </c>
      <c r="D1888" s="64">
        <v>0.0</v>
      </c>
      <c r="E1888" s="62" t="s">
        <v>109</v>
      </c>
      <c r="F1888" s="62" t="s">
        <v>115</v>
      </c>
      <c r="G1888" s="64" t="s">
        <v>64</v>
      </c>
      <c r="H1888" s="3" t="s">
        <v>139</v>
      </c>
      <c r="I1888" s="65">
        <f>IFERROR(VLOOKUP(A1888,'3. Call duration'!$A:$C,3,0),"--")</f>
        <v>21.38569882</v>
      </c>
      <c r="J1888" s="65" t="str">
        <f t="array" ref="J1888">XLOOKUP(H1888,'2. Matching'!$A$2:$A$39,'2. Matching'!$B$2:$B$39,"--")</f>
        <v>Acquisition</v>
      </c>
      <c r="K1888" s="65" t="str">
        <f t="shared" si="1"/>
        <v>In</v>
      </c>
    </row>
    <row r="1889">
      <c r="A1889" s="62" t="s">
        <v>2027</v>
      </c>
      <c r="B1889" s="63">
        <v>44152.0</v>
      </c>
      <c r="C1889" s="62" t="s">
        <v>112</v>
      </c>
      <c r="D1889" s="64">
        <v>0.0</v>
      </c>
      <c r="E1889" s="62" t="s">
        <v>109</v>
      </c>
      <c r="F1889" s="62" t="s">
        <v>115</v>
      </c>
      <c r="G1889" s="64" t="s">
        <v>64</v>
      </c>
      <c r="H1889" s="3" t="s">
        <v>169</v>
      </c>
      <c r="I1889" s="65" t="str">
        <f>IFERROR(VLOOKUP(A1889,'3. Call duration'!$A:$C,3,0),"--")</f>
        <v>--</v>
      </c>
      <c r="J1889" s="65" t="str">
        <f t="array" ref="J1889">XLOOKUP(H1889,'2. Matching'!$A$2:$A$39,'2. Matching'!$B$2:$B$39,"--")</f>
        <v>SEO</v>
      </c>
      <c r="K1889" s="65" t="str">
        <f t="shared" si="1"/>
        <v>In</v>
      </c>
    </row>
    <row r="1890">
      <c r="A1890" s="62" t="s">
        <v>2028</v>
      </c>
      <c r="B1890" s="63">
        <v>44392.0</v>
      </c>
      <c r="C1890" s="62" t="s">
        <v>112</v>
      </c>
      <c r="D1890" s="64">
        <v>0.0</v>
      </c>
      <c r="E1890" s="62" t="s">
        <v>109</v>
      </c>
      <c r="F1890" s="62" t="s">
        <v>110</v>
      </c>
      <c r="G1890" s="64" t="s">
        <v>61</v>
      </c>
      <c r="H1890" s="3" t="s">
        <v>67</v>
      </c>
      <c r="I1890" s="65" t="str">
        <f>IFERROR(VLOOKUP(A1890,'3. Call duration'!$A:$C,3,0),"--")</f>
        <v>--</v>
      </c>
      <c r="J1890" s="65" t="str">
        <f t="array" ref="J1890">XLOOKUP(H1890,'2. Matching'!$A$2:$A$39,'2. Matching'!$B$2:$B$39,"--")</f>
        <v>Acquisition</v>
      </c>
      <c r="K1890" s="65" t="str">
        <f t="shared" si="1"/>
        <v>In</v>
      </c>
    </row>
    <row r="1891">
      <c r="A1891" s="62" t="s">
        <v>2029</v>
      </c>
      <c r="B1891" s="63">
        <v>44358.0</v>
      </c>
      <c r="C1891" s="62" t="s">
        <v>112</v>
      </c>
      <c r="D1891" s="64">
        <v>0.0</v>
      </c>
      <c r="E1891" s="62" t="s">
        <v>109</v>
      </c>
      <c r="F1891" s="62" t="s">
        <v>110</v>
      </c>
      <c r="G1891" s="64" t="s">
        <v>60</v>
      </c>
      <c r="H1891" s="3" t="s">
        <v>68</v>
      </c>
      <c r="I1891" s="65" t="str">
        <f>IFERROR(VLOOKUP(A1891,'3. Call duration'!$A:$C,3,0),"--")</f>
        <v>--</v>
      </c>
      <c r="J1891" s="65" t="str">
        <f t="array" ref="J1891">XLOOKUP(H1891,'2. Matching'!$A$2:$A$39,'2. Matching'!$B$2:$B$39,"--")</f>
        <v>Acquisition</v>
      </c>
      <c r="K1891" s="65" t="str">
        <f t="shared" si="1"/>
        <v>In</v>
      </c>
    </row>
    <row r="1892">
      <c r="A1892" s="62" t="s">
        <v>2030</v>
      </c>
      <c r="B1892" s="63">
        <v>44277.0</v>
      </c>
      <c r="C1892" s="62" t="s">
        <v>108</v>
      </c>
      <c r="D1892" s="64">
        <v>0.0</v>
      </c>
      <c r="E1892" s="62" t="s">
        <v>114</v>
      </c>
      <c r="F1892" s="62" t="s">
        <v>115</v>
      </c>
      <c r="G1892" s="64" t="s">
        <v>64</v>
      </c>
      <c r="H1892" s="3" t="s">
        <v>55</v>
      </c>
      <c r="I1892" s="65">
        <f>IFERROR(VLOOKUP(A1892,'3. Call duration'!$A:$C,3,0),"--")</f>
        <v>20.48390042</v>
      </c>
      <c r="J1892" s="65" t="str">
        <f t="array" ref="J1892">XLOOKUP(H1892,'2. Matching'!$A$2:$A$39,'2. Matching'!$B$2:$B$39,"--")</f>
        <v>Partnerships</v>
      </c>
      <c r="K1892" s="65" t="str">
        <f t="shared" si="1"/>
        <v>In</v>
      </c>
    </row>
    <row r="1893">
      <c r="A1893" s="62" t="s">
        <v>2031</v>
      </c>
      <c r="B1893" s="63">
        <v>44348.0</v>
      </c>
      <c r="C1893" s="62" t="s">
        <v>112</v>
      </c>
      <c r="D1893" s="64">
        <v>0.0</v>
      </c>
      <c r="E1893" s="62" t="s">
        <v>109</v>
      </c>
      <c r="F1893" s="62" t="s">
        <v>110</v>
      </c>
      <c r="G1893" s="64" t="s">
        <v>64</v>
      </c>
      <c r="H1893" s="3" t="s">
        <v>185</v>
      </c>
      <c r="I1893" s="65" t="str">
        <f>IFERROR(VLOOKUP(A1893,'3. Call duration'!$A:$C,3,0),"--")</f>
        <v>--</v>
      </c>
      <c r="J1893" s="65" t="str">
        <f t="array" ref="J1893">XLOOKUP(H1893,'2. Matching'!$A$2:$A$39,'2. Matching'!$B$2:$B$39,"--")</f>
        <v>SEO</v>
      </c>
      <c r="K1893" s="65" t="str">
        <f t="shared" si="1"/>
        <v>In</v>
      </c>
    </row>
    <row r="1894">
      <c r="A1894" s="62" t="s">
        <v>2032</v>
      </c>
      <c r="B1894" s="63">
        <v>44348.0</v>
      </c>
      <c r="C1894" s="62" t="s">
        <v>112</v>
      </c>
      <c r="D1894" s="64">
        <v>0.0</v>
      </c>
      <c r="E1894" s="62" t="s">
        <v>109</v>
      </c>
      <c r="F1894" s="62" t="s">
        <v>115</v>
      </c>
      <c r="G1894" s="64" t="s">
        <v>60</v>
      </c>
      <c r="H1894" s="3" t="s">
        <v>68</v>
      </c>
      <c r="I1894" s="65" t="str">
        <f>IFERROR(VLOOKUP(A1894,'3. Call duration'!$A:$C,3,0),"--")</f>
        <v>--</v>
      </c>
      <c r="J1894" s="65" t="str">
        <f t="array" ref="J1894">XLOOKUP(H1894,'2. Matching'!$A$2:$A$39,'2. Matching'!$B$2:$B$39,"--")</f>
        <v>Acquisition</v>
      </c>
      <c r="K1894" s="65" t="str">
        <f t="shared" si="1"/>
        <v>In</v>
      </c>
    </row>
    <row r="1895">
      <c r="A1895" s="62" t="s">
        <v>2033</v>
      </c>
      <c r="B1895" s="63">
        <v>44188.0</v>
      </c>
      <c r="C1895" s="62" t="s">
        <v>112</v>
      </c>
      <c r="D1895" s="64">
        <v>0.0</v>
      </c>
      <c r="E1895" s="62" t="s">
        <v>109</v>
      </c>
      <c r="F1895" s="62" t="s">
        <v>115</v>
      </c>
      <c r="G1895" s="64" t="s">
        <v>64</v>
      </c>
      <c r="H1895" s="3" t="s">
        <v>185</v>
      </c>
      <c r="I1895" s="65" t="str">
        <f>IFERROR(VLOOKUP(A1895,'3. Call duration'!$A:$C,3,0),"--")</f>
        <v>--</v>
      </c>
      <c r="J1895" s="65" t="str">
        <f t="array" ref="J1895">XLOOKUP(H1895,'2. Matching'!$A$2:$A$39,'2. Matching'!$B$2:$B$39,"--")</f>
        <v>SEO</v>
      </c>
      <c r="K1895" s="65" t="str">
        <f t="shared" si="1"/>
        <v>In</v>
      </c>
    </row>
    <row r="1896">
      <c r="A1896" s="62" t="s">
        <v>2034</v>
      </c>
      <c r="B1896" s="63">
        <v>44320.0</v>
      </c>
      <c r="C1896" s="62" t="s">
        <v>119</v>
      </c>
      <c r="D1896" s="64">
        <v>47.5</v>
      </c>
      <c r="E1896" s="62" t="s">
        <v>109</v>
      </c>
      <c r="F1896" s="62" t="s">
        <v>115</v>
      </c>
      <c r="G1896" s="64" t="s">
        <v>64</v>
      </c>
      <c r="H1896" s="3" t="s">
        <v>139</v>
      </c>
      <c r="I1896" s="65">
        <f>IFERROR(VLOOKUP(A1896,'3. Call duration'!$A:$C,3,0),"--")</f>
        <v>24.34203686</v>
      </c>
      <c r="J1896" s="65" t="str">
        <f t="array" ref="J1896">XLOOKUP(H1896,'2. Matching'!$A$2:$A$39,'2. Matching'!$B$2:$B$39,"--")</f>
        <v>Acquisition</v>
      </c>
      <c r="K1896" s="65" t="str">
        <f t="shared" si="1"/>
        <v>In</v>
      </c>
    </row>
    <row r="1897">
      <c r="A1897" s="62" t="s">
        <v>2035</v>
      </c>
      <c r="B1897" s="63">
        <v>44351.0</v>
      </c>
      <c r="C1897" s="62" t="s">
        <v>112</v>
      </c>
      <c r="D1897" s="64">
        <v>0.0</v>
      </c>
      <c r="E1897" s="62" t="s">
        <v>114</v>
      </c>
      <c r="F1897" s="62" t="s">
        <v>110</v>
      </c>
      <c r="G1897" s="64" t="s">
        <v>60</v>
      </c>
      <c r="H1897" s="3" t="s">
        <v>67</v>
      </c>
      <c r="I1897" s="65" t="str">
        <f>IFERROR(VLOOKUP(A1897,'3. Call duration'!$A:$C,3,0),"--")</f>
        <v>--</v>
      </c>
      <c r="J1897" s="65" t="str">
        <f t="array" ref="J1897">XLOOKUP(H1897,'2. Matching'!$A$2:$A$39,'2. Matching'!$B$2:$B$39,"--")</f>
        <v>Acquisition</v>
      </c>
      <c r="K1897" s="65" t="str">
        <f t="shared" si="1"/>
        <v>In</v>
      </c>
    </row>
    <row r="1898">
      <c r="A1898" s="62" t="s">
        <v>2036</v>
      </c>
      <c r="B1898" s="63">
        <v>44327.0</v>
      </c>
      <c r="C1898" s="62" t="s">
        <v>119</v>
      </c>
      <c r="D1898" s="64">
        <v>95.0</v>
      </c>
      <c r="E1898" s="62" t="s">
        <v>114</v>
      </c>
      <c r="F1898" s="62" t="s">
        <v>110</v>
      </c>
      <c r="G1898" s="64" t="s">
        <v>62</v>
      </c>
      <c r="H1898" s="3" t="s">
        <v>203</v>
      </c>
      <c r="I1898" s="65">
        <f>IFERROR(VLOOKUP(A1898,'3. Call duration'!$A:$C,3,0),"--")</f>
        <v>24.34997803</v>
      </c>
      <c r="J1898" s="65" t="str">
        <f t="array" ref="J1898">XLOOKUP(H1898,'2. Matching'!$A$2:$A$39,'2. Matching'!$B$2:$B$39,"--")</f>
        <v>Farming</v>
      </c>
      <c r="K1898" s="65" t="str">
        <f t="shared" si="1"/>
        <v>In</v>
      </c>
    </row>
    <row r="1899">
      <c r="A1899" s="62" t="s">
        <v>2037</v>
      </c>
      <c r="B1899" s="63">
        <v>44337.0</v>
      </c>
      <c r="C1899" s="62" t="s">
        <v>119</v>
      </c>
      <c r="D1899" s="64">
        <v>47.5</v>
      </c>
      <c r="E1899" s="62" t="s">
        <v>109</v>
      </c>
      <c r="F1899" s="62" t="s">
        <v>110</v>
      </c>
      <c r="G1899" s="64" t="s">
        <v>64</v>
      </c>
      <c r="H1899" s="3" t="s">
        <v>145</v>
      </c>
      <c r="I1899" s="65">
        <f>IFERROR(VLOOKUP(A1899,'3. Call duration'!$A:$C,3,0),"--")</f>
        <v>24.38013436</v>
      </c>
      <c r="J1899" s="65" t="str">
        <f t="array" ref="J1899">XLOOKUP(H1899,'2. Matching'!$A$2:$A$39,'2. Matching'!$B$2:$B$39,"--")</f>
        <v>SEO</v>
      </c>
      <c r="K1899" s="65" t="str">
        <f t="shared" si="1"/>
        <v>In</v>
      </c>
    </row>
    <row r="1900">
      <c r="A1900" s="62" t="s">
        <v>2038</v>
      </c>
      <c r="B1900" s="63">
        <v>44299.0</v>
      </c>
      <c r="C1900" s="62" t="s">
        <v>112</v>
      </c>
      <c r="D1900" s="64">
        <v>0.0</v>
      </c>
      <c r="E1900" s="62" t="s">
        <v>109</v>
      </c>
      <c r="F1900" s="62" t="s">
        <v>110</v>
      </c>
      <c r="G1900" s="64" t="s">
        <v>64</v>
      </c>
      <c r="H1900" s="3" t="s">
        <v>175</v>
      </c>
      <c r="I1900" s="65" t="str">
        <f>IFERROR(VLOOKUP(A1900,'3. Call duration'!$A:$C,3,0),"--")</f>
        <v>--</v>
      </c>
      <c r="J1900" s="65" t="str">
        <f t="array" ref="J1900">XLOOKUP(H1900,'2. Matching'!$A$2:$A$39,'2. Matching'!$B$2:$B$39,"--")</f>
        <v>SEO</v>
      </c>
      <c r="K1900" s="65" t="str">
        <f t="shared" si="1"/>
        <v>In</v>
      </c>
    </row>
    <row r="1901">
      <c r="A1901" s="62" t="s">
        <v>2039</v>
      </c>
      <c r="B1901" s="63">
        <v>44119.0</v>
      </c>
      <c r="C1901" s="62" t="s">
        <v>112</v>
      </c>
      <c r="D1901" s="64">
        <v>0.0</v>
      </c>
      <c r="E1901" s="62" t="s">
        <v>109</v>
      </c>
      <c r="F1901" s="62" t="s">
        <v>110</v>
      </c>
      <c r="G1901" s="64" t="s">
        <v>64</v>
      </c>
      <c r="H1901" s="3" t="s">
        <v>155</v>
      </c>
      <c r="I1901" s="65" t="str">
        <f>IFERROR(VLOOKUP(A1901,'3. Call duration'!$A:$C,3,0),"--")</f>
        <v>--</v>
      </c>
      <c r="J1901" s="65" t="str">
        <f t="array" ref="J1901">XLOOKUP(H1901,'2. Matching'!$A$2:$A$39,'2. Matching'!$B$2:$B$39,"--")</f>
        <v>SEO</v>
      </c>
      <c r="K1901" s="65" t="str">
        <f t="shared" si="1"/>
        <v>In</v>
      </c>
    </row>
    <row r="1902">
      <c r="A1902" s="62" t="s">
        <v>2040</v>
      </c>
      <c r="B1902" s="63">
        <v>44320.0</v>
      </c>
      <c r="C1902" s="62" t="s">
        <v>119</v>
      </c>
      <c r="D1902" s="64">
        <v>47.5</v>
      </c>
      <c r="E1902" s="62" t="s">
        <v>109</v>
      </c>
      <c r="F1902" s="62" t="s">
        <v>110</v>
      </c>
      <c r="G1902" s="64" t="s">
        <v>63</v>
      </c>
      <c r="H1902" s="3" t="s">
        <v>128</v>
      </c>
      <c r="I1902" s="65">
        <f>IFERROR(VLOOKUP(A1902,'3. Call duration'!$A:$C,3,0),"--")</f>
        <v>24.38280958</v>
      </c>
      <c r="J1902" s="65" t="str">
        <f t="array" ref="J1902">XLOOKUP(H1902,'2. Matching'!$A$2:$A$39,'2. Matching'!$B$2:$B$39,"--")</f>
        <v>Acquisition</v>
      </c>
      <c r="K1902" s="65" t="str">
        <f t="shared" si="1"/>
        <v>In</v>
      </c>
    </row>
    <row r="1903">
      <c r="A1903" s="62" t="s">
        <v>2041</v>
      </c>
      <c r="B1903" s="63">
        <v>44357.0</v>
      </c>
      <c r="C1903" s="62" t="s">
        <v>112</v>
      </c>
      <c r="D1903" s="64">
        <v>0.0</v>
      </c>
      <c r="E1903" s="62" t="s">
        <v>109</v>
      </c>
      <c r="F1903" s="62" t="s">
        <v>110</v>
      </c>
      <c r="G1903" s="64" t="s">
        <v>59</v>
      </c>
      <c r="H1903" s="3" t="s">
        <v>68</v>
      </c>
      <c r="I1903" s="65" t="str">
        <f>IFERROR(VLOOKUP(A1903,'3. Call duration'!$A:$C,3,0),"--")</f>
        <v>--</v>
      </c>
      <c r="J1903" s="65" t="str">
        <f t="array" ref="J1903">XLOOKUP(H1903,'2. Matching'!$A$2:$A$39,'2. Matching'!$B$2:$B$39,"--")</f>
        <v>Acquisition</v>
      </c>
      <c r="K1903" s="65" t="str">
        <f t="shared" si="1"/>
        <v>In</v>
      </c>
    </row>
    <row r="1904">
      <c r="A1904" s="62" t="s">
        <v>2042</v>
      </c>
      <c r="B1904" s="63">
        <v>44266.0</v>
      </c>
      <c r="C1904" s="62" t="s">
        <v>112</v>
      </c>
      <c r="D1904" s="64">
        <v>0.0</v>
      </c>
      <c r="E1904" s="62" t="s">
        <v>109</v>
      </c>
      <c r="F1904" s="62" t="s">
        <v>110</v>
      </c>
      <c r="G1904" s="64" t="s">
        <v>64</v>
      </c>
      <c r="H1904" s="3" t="s">
        <v>116</v>
      </c>
      <c r="I1904" s="65" t="str">
        <f>IFERROR(VLOOKUP(A1904,'3. Call duration'!$A:$C,3,0),"--")</f>
        <v>--</v>
      </c>
      <c r="J1904" s="65" t="str">
        <f t="array" ref="J1904">XLOOKUP(H1904,'2. Matching'!$A$2:$A$39,'2. Matching'!$B$2:$B$39,"--")</f>
        <v>Acquisition</v>
      </c>
      <c r="K1904" s="65" t="str">
        <f t="shared" si="1"/>
        <v>In</v>
      </c>
    </row>
    <row r="1905">
      <c r="A1905" s="62" t="s">
        <v>2043</v>
      </c>
      <c r="B1905" s="63">
        <v>44377.0</v>
      </c>
      <c r="C1905" s="62" t="s">
        <v>108</v>
      </c>
      <c r="D1905" s="64">
        <v>0.0</v>
      </c>
      <c r="E1905" s="62" t="s">
        <v>109</v>
      </c>
      <c r="F1905" s="62" t="s">
        <v>110</v>
      </c>
      <c r="G1905" s="64" t="s">
        <v>61</v>
      </c>
      <c r="H1905" s="3" t="s">
        <v>67</v>
      </c>
      <c r="I1905" s="65">
        <f>IFERROR(VLOOKUP(A1905,'3. Call duration'!$A:$C,3,0),"--")</f>
        <v>11.46529883</v>
      </c>
      <c r="J1905" s="65" t="str">
        <f t="array" ref="J1905">XLOOKUP(H1905,'2. Matching'!$A$2:$A$39,'2. Matching'!$B$2:$B$39,"--")</f>
        <v>Acquisition</v>
      </c>
      <c r="K1905" s="65" t="str">
        <f t="shared" si="1"/>
        <v>In</v>
      </c>
    </row>
    <row r="1906">
      <c r="A1906" s="62" t="s">
        <v>2044</v>
      </c>
      <c r="B1906" s="63">
        <v>44125.0</v>
      </c>
      <c r="C1906" s="62" t="s">
        <v>108</v>
      </c>
      <c r="D1906" s="64">
        <v>0.0</v>
      </c>
      <c r="E1906" s="62" t="s">
        <v>109</v>
      </c>
      <c r="F1906" s="62" t="s">
        <v>110</v>
      </c>
      <c r="G1906" s="64" t="s">
        <v>64</v>
      </c>
      <c r="H1906" s="3" t="s">
        <v>145</v>
      </c>
      <c r="I1906" s="65">
        <f>IFERROR(VLOOKUP(A1906,'3. Call duration'!$A:$C,3,0),"--")</f>
        <v>33.64803442</v>
      </c>
      <c r="J1906" s="65" t="str">
        <f t="array" ref="J1906">XLOOKUP(H1906,'2. Matching'!$A$2:$A$39,'2. Matching'!$B$2:$B$39,"--")</f>
        <v>SEO</v>
      </c>
      <c r="K1906" s="65" t="str">
        <f t="shared" si="1"/>
        <v>In</v>
      </c>
    </row>
    <row r="1907">
      <c r="A1907" s="62" t="s">
        <v>2045</v>
      </c>
      <c r="B1907" s="63">
        <v>44337.0</v>
      </c>
      <c r="C1907" s="62" t="s">
        <v>108</v>
      </c>
      <c r="D1907" s="64">
        <v>0.0</v>
      </c>
      <c r="E1907" s="62" t="s">
        <v>109</v>
      </c>
      <c r="F1907" s="62" t="s">
        <v>115</v>
      </c>
      <c r="G1907" s="64" t="s">
        <v>59</v>
      </c>
      <c r="H1907" s="3" t="s">
        <v>68</v>
      </c>
      <c r="I1907" s="65">
        <f>IFERROR(VLOOKUP(A1907,'3. Call duration'!$A:$C,3,0),"--")</f>
        <v>24.38472581</v>
      </c>
      <c r="J1907" s="65" t="str">
        <f t="array" ref="J1907">XLOOKUP(H1907,'2. Matching'!$A$2:$A$39,'2. Matching'!$B$2:$B$39,"--")</f>
        <v>Acquisition</v>
      </c>
      <c r="K1907" s="65" t="str">
        <f t="shared" si="1"/>
        <v>In</v>
      </c>
    </row>
    <row r="1908">
      <c r="A1908" s="62" t="s">
        <v>2046</v>
      </c>
      <c r="B1908" s="63">
        <v>44228.0</v>
      </c>
      <c r="C1908" s="62" t="s">
        <v>112</v>
      </c>
      <c r="D1908" s="64">
        <v>0.0</v>
      </c>
      <c r="E1908" s="62" t="s">
        <v>109</v>
      </c>
      <c r="F1908" s="62" t="s">
        <v>115</v>
      </c>
      <c r="G1908" s="64" t="s">
        <v>64</v>
      </c>
      <c r="H1908" s="3" t="s">
        <v>139</v>
      </c>
      <c r="I1908" s="65" t="str">
        <f>IFERROR(VLOOKUP(A1908,'3. Call duration'!$A:$C,3,0),"--")</f>
        <v>--</v>
      </c>
      <c r="J1908" s="65" t="str">
        <f t="array" ref="J1908">XLOOKUP(H1908,'2. Matching'!$A$2:$A$39,'2. Matching'!$B$2:$B$39,"--")</f>
        <v>Acquisition</v>
      </c>
      <c r="K1908" s="65" t="str">
        <f t="shared" si="1"/>
        <v>In</v>
      </c>
    </row>
    <row r="1909">
      <c r="A1909" s="62" t="s">
        <v>2047</v>
      </c>
      <c r="B1909" s="63">
        <v>44356.0</v>
      </c>
      <c r="C1909" s="62" t="s">
        <v>112</v>
      </c>
      <c r="D1909" s="64">
        <v>0.0</v>
      </c>
      <c r="E1909" s="62" t="s">
        <v>109</v>
      </c>
      <c r="F1909" s="62" t="s">
        <v>115</v>
      </c>
      <c r="G1909" s="64" t="s">
        <v>64</v>
      </c>
      <c r="H1909" s="3" t="s">
        <v>116</v>
      </c>
      <c r="I1909" s="65" t="str">
        <f>IFERROR(VLOOKUP(A1909,'3. Call duration'!$A:$C,3,0),"--")</f>
        <v>--</v>
      </c>
      <c r="J1909" s="65" t="str">
        <f t="array" ref="J1909">XLOOKUP(H1909,'2. Matching'!$A$2:$A$39,'2. Matching'!$B$2:$B$39,"--")</f>
        <v>Acquisition</v>
      </c>
      <c r="K1909" s="65" t="str">
        <f t="shared" si="1"/>
        <v>In</v>
      </c>
    </row>
    <row r="1910">
      <c r="A1910" s="62" t="s">
        <v>2048</v>
      </c>
      <c r="B1910" s="63">
        <v>44228.0</v>
      </c>
      <c r="C1910" s="62" t="s">
        <v>112</v>
      </c>
      <c r="D1910" s="64">
        <v>0.0</v>
      </c>
      <c r="E1910" s="62" t="s">
        <v>109</v>
      </c>
      <c r="F1910" s="62" t="s">
        <v>115</v>
      </c>
      <c r="G1910" s="64" t="s">
        <v>64</v>
      </c>
      <c r="H1910" s="3" t="s">
        <v>116</v>
      </c>
      <c r="I1910" s="65" t="str">
        <f>IFERROR(VLOOKUP(A1910,'3. Call duration'!$A:$C,3,0),"--")</f>
        <v>--</v>
      </c>
      <c r="J1910" s="65" t="str">
        <f t="array" ref="J1910">XLOOKUP(H1910,'2. Matching'!$A$2:$A$39,'2. Matching'!$B$2:$B$39,"--")</f>
        <v>Acquisition</v>
      </c>
      <c r="K1910" s="65" t="str">
        <f t="shared" si="1"/>
        <v>In</v>
      </c>
    </row>
    <row r="1911">
      <c r="A1911" s="62" t="s">
        <v>2049</v>
      </c>
      <c r="B1911" s="63">
        <v>44225.0</v>
      </c>
      <c r="C1911" s="62" t="s">
        <v>112</v>
      </c>
      <c r="D1911" s="64">
        <v>0.0</v>
      </c>
      <c r="E1911" s="62" t="s">
        <v>109</v>
      </c>
      <c r="F1911" s="62" t="s">
        <v>110</v>
      </c>
      <c r="G1911" s="64" t="s">
        <v>64</v>
      </c>
      <c r="H1911" s="3" t="s">
        <v>169</v>
      </c>
      <c r="I1911" s="65" t="str">
        <f>IFERROR(VLOOKUP(A1911,'3. Call duration'!$A:$C,3,0),"--")</f>
        <v>--</v>
      </c>
      <c r="J1911" s="65" t="str">
        <f t="array" ref="J1911">XLOOKUP(H1911,'2. Matching'!$A$2:$A$39,'2. Matching'!$B$2:$B$39,"--")</f>
        <v>SEO</v>
      </c>
      <c r="K1911" s="65" t="str">
        <f t="shared" si="1"/>
        <v>In</v>
      </c>
    </row>
    <row r="1912">
      <c r="A1912" s="62" t="s">
        <v>2050</v>
      </c>
      <c r="B1912" s="63">
        <v>44377.0</v>
      </c>
      <c r="C1912" s="62" t="s">
        <v>112</v>
      </c>
      <c r="D1912" s="64">
        <v>0.0</v>
      </c>
      <c r="E1912" s="62" t="s">
        <v>109</v>
      </c>
      <c r="F1912" s="62" t="s">
        <v>115</v>
      </c>
      <c r="G1912" s="64" t="s">
        <v>60</v>
      </c>
      <c r="H1912" s="3" t="s">
        <v>68</v>
      </c>
      <c r="I1912" s="65" t="str">
        <f>IFERROR(VLOOKUP(A1912,'3. Call duration'!$A:$C,3,0),"--")</f>
        <v>--</v>
      </c>
      <c r="J1912" s="65" t="str">
        <f t="array" ref="J1912">XLOOKUP(H1912,'2. Matching'!$A$2:$A$39,'2. Matching'!$B$2:$B$39,"--")</f>
        <v>Acquisition</v>
      </c>
      <c r="K1912" s="65" t="str">
        <f t="shared" si="1"/>
        <v>In</v>
      </c>
    </row>
    <row r="1913">
      <c r="A1913" s="62" t="s">
        <v>2051</v>
      </c>
      <c r="B1913" s="63">
        <v>44120.0</v>
      </c>
      <c r="C1913" s="62" t="s">
        <v>112</v>
      </c>
      <c r="D1913" s="64">
        <v>0.0</v>
      </c>
      <c r="E1913" s="62" t="s">
        <v>109</v>
      </c>
      <c r="F1913" s="62" t="s">
        <v>115</v>
      </c>
      <c r="G1913" s="64" t="s">
        <v>64</v>
      </c>
      <c r="H1913" s="3" t="s">
        <v>145</v>
      </c>
      <c r="I1913" s="65" t="str">
        <f>IFERROR(VLOOKUP(A1913,'3. Call duration'!$A:$C,3,0),"--")</f>
        <v>--</v>
      </c>
      <c r="J1913" s="65" t="str">
        <f t="array" ref="J1913">XLOOKUP(H1913,'2. Matching'!$A$2:$A$39,'2. Matching'!$B$2:$B$39,"--")</f>
        <v>SEO</v>
      </c>
      <c r="K1913" s="65" t="str">
        <f t="shared" si="1"/>
        <v>In</v>
      </c>
    </row>
    <row r="1914">
      <c r="A1914" s="62" t="s">
        <v>2052</v>
      </c>
      <c r="B1914" s="63">
        <v>44199.0</v>
      </c>
      <c r="C1914" s="62" t="s">
        <v>108</v>
      </c>
      <c r="D1914" s="64">
        <v>0.0</v>
      </c>
      <c r="E1914" s="62" t="s">
        <v>109</v>
      </c>
      <c r="F1914" s="62" t="s">
        <v>115</v>
      </c>
      <c r="G1914" s="64" t="s">
        <v>64</v>
      </c>
      <c r="H1914" s="3" t="s">
        <v>221</v>
      </c>
      <c r="I1914" s="65">
        <f>IFERROR(VLOOKUP(A1914,'3. Call duration'!$A:$C,3,0),"--")</f>
        <v>12.77553707</v>
      </c>
      <c r="J1914" s="65" t="str">
        <f t="array" ref="J1914">XLOOKUP(H1914,'2. Matching'!$A$2:$A$39,'2. Matching'!$B$2:$B$39,"--")</f>
        <v>Farming</v>
      </c>
      <c r="K1914" s="65" t="str">
        <f t="shared" si="1"/>
        <v>In</v>
      </c>
    </row>
    <row r="1915">
      <c r="A1915" s="62" t="s">
        <v>2053</v>
      </c>
      <c r="B1915" s="63">
        <v>44327.0</v>
      </c>
      <c r="C1915" s="62" t="s">
        <v>119</v>
      </c>
      <c r="D1915" s="64">
        <v>47.5</v>
      </c>
      <c r="E1915" s="62" t="s">
        <v>109</v>
      </c>
      <c r="F1915" s="62" t="s">
        <v>115</v>
      </c>
      <c r="G1915" s="64" t="s">
        <v>64</v>
      </c>
      <c r="H1915" s="3" t="s">
        <v>155</v>
      </c>
      <c r="I1915" s="65">
        <f>IFERROR(VLOOKUP(A1915,'3. Call duration'!$A:$C,3,0),"--")</f>
        <v>24.41624549</v>
      </c>
      <c r="J1915" s="65" t="str">
        <f t="array" ref="J1915">XLOOKUP(H1915,'2. Matching'!$A$2:$A$39,'2. Matching'!$B$2:$B$39,"--")</f>
        <v>SEO</v>
      </c>
      <c r="K1915" s="65" t="str">
        <f t="shared" si="1"/>
        <v>In</v>
      </c>
    </row>
    <row r="1916">
      <c r="A1916" s="62" t="s">
        <v>2054</v>
      </c>
      <c r="B1916" s="63">
        <v>44341.0</v>
      </c>
      <c r="C1916" s="62" t="s">
        <v>119</v>
      </c>
      <c r="D1916" s="64">
        <v>47.5</v>
      </c>
      <c r="E1916" s="62" t="s">
        <v>109</v>
      </c>
      <c r="F1916" s="62" t="s">
        <v>110</v>
      </c>
      <c r="G1916" s="64" t="s">
        <v>64</v>
      </c>
      <c r="H1916" s="3" t="s">
        <v>116</v>
      </c>
      <c r="I1916" s="65">
        <f>IFERROR(VLOOKUP(A1916,'3. Call duration'!$A:$C,3,0),"--")</f>
        <v>24.44285385</v>
      </c>
      <c r="J1916" s="65" t="str">
        <f t="array" ref="J1916">XLOOKUP(H1916,'2. Matching'!$A$2:$A$39,'2. Matching'!$B$2:$B$39,"--")</f>
        <v>Acquisition</v>
      </c>
      <c r="K1916" s="65" t="str">
        <f t="shared" si="1"/>
        <v>In</v>
      </c>
    </row>
    <row r="1917">
      <c r="A1917" s="62" t="s">
        <v>2055</v>
      </c>
      <c r="B1917" s="63">
        <v>44361.0</v>
      </c>
      <c r="C1917" s="62" t="s">
        <v>112</v>
      </c>
      <c r="D1917" s="64">
        <v>0.0</v>
      </c>
      <c r="E1917" s="62" t="s">
        <v>109</v>
      </c>
      <c r="F1917" s="62" t="s">
        <v>110</v>
      </c>
      <c r="G1917" s="64" t="s">
        <v>63</v>
      </c>
      <c r="H1917" s="3" t="s">
        <v>228</v>
      </c>
      <c r="I1917" s="65" t="str">
        <f>IFERROR(VLOOKUP(A1917,'3. Call duration'!$A:$C,3,0),"--")</f>
        <v>--</v>
      </c>
      <c r="J1917" s="65" t="str">
        <f t="array" ref="J1917">XLOOKUP(H1917,'2. Matching'!$A$2:$A$39,'2. Matching'!$B$2:$B$39,"--")</f>
        <v>Farming</v>
      </c>
      <c r="K1917" s="65" t="str">
        <f t="shared" si="1"/>
        <v>In</v>
      </c>
    </row>
    <row r="1918">
      <c r="A1918" s="62" t="s">
        <v>2056</v>
      </c>
      <c r="B1918" s="63">
        <v>44083.0</v>
      </c>
      <c r="C1918" s="62" t="s">
        <v>112</v>
      </c>
      <c r="D1918" s="64">
        <v>0.0</v>
      </c>
      <c r="E1918" s="62" t="s">
        <v>114</v>
      </c>
      <c r="F1918" s="62" t="s">
        <v>110</v>
      </c>
      <c r="G1918" s="64" t="s">
        <v>64</v>
      </c>
      <c r="H1918" s="3" t="s">
        <v>150</v>
      </c>
      <c r="I1918" s="65" t="str">
        <f>IFERROR(VLOOKUP(A1918,'3. Call duration'!$A:$C,3,0),"--")</f>
        <v>--</v>
      </c>
      <c r="J1918" s="65" t="str">
        <f t="array" ref="J1918">XLOOKUP(H1918,'2. Matching'!$A$2:$A$39,'2. Matching'!$B$2:$B$39,"--")</f>
        <v>SEO</v>
      </c>
      <c r="K1918" s="65" t="str">
        <f t="shared" si="1"/>
        <v>In</v>
      </c>
    </row>
    <row r="1919">
      <c r="A1919" s="62" t="s">
        <v>2057</v>
      </c>
      <c r="B1919" s="63">
        <v>44357.0</v>
      </c>
      <c r="C1919" s="62" t="s">
        <v>112</v>
      </c>
      <c r="D1919" s="64">
        <v>0.0</v>
      </c>
      <c r="E1919" s="62" t="s">
        <v>109</v>
      </c>
      <c r="F1919" s="62" t="s">
        <v>115</v>
      </c>
      <c r="G1919" s="64" t="s">
        <v>64</v>
      </c>
      <c r="H1919" s="3" t="s">
        <v>131</v>
      </c>
      <c r="I1919" s="65" t="str">
        <f>IFERROR(VLOOKUP(A1919,'3. Call duration'!$A:$C,3,0),"--")</f>
        <v>--</v>
      </c>
      <c r="J1919" s="65" t="str">
        <f t="array" ref="J1919">XLOOKUP(H1919,'2. Matching'!$A$2:$A$39,'2. Matching'!$B$2:$B$39,"--")</f>
        <v>Acquisition</v>
      </c>
      <c r="K1919" s="65" t="str">
        <f t="shared" si="1"/>
        <v>In</v>
      </c>
    </row>
    <row r="1920">
      <c r="A1920" s="62" t="s">
        <v>2058</v>
      </c>
      <c r="B1920" s="63">
        <v>44237.0</v>
      </c>
      <c r="C1920" s="62" t="s">
        <v>112</v>
      </c>
      <c r="D1920" s="64">
        <v>0.0</v>
      </c>
      <c r="E1920" s="62" t="s">
        <v>109</v>
      </c>
      <c r="F1920" s="62" t="s">
        <v>110</v>
      </c>
      <c r="G1920" s="64" t="s">
        <v>62</v>
      </c>
      <c r="H1920" s="3" t="s">
        <v>286</v>
      </c>
      <c r="I1920" s="65" t="str">
        <f>IFERROR(VLOOKUP(A1920,'3. Call duration'!$A:$C,3,0),"--")</f>
        <v>--</v>
      </c>
      <c r="J1920" s="65" t="str">
        <f t="array" ref="J1920">XLOOKUP(H1920,'2. Matching'!$A$2:$A$39,'2. Matching'!$B$2:$B$39,"--")</f>
        <v>Farming</v>
      </c>
      <c r="K1920" s="65" t="str">
        <f t="shared" si="1"/>
        <v>In</v>
      </c>
    </row>
    <row r="1921">
      <c r="A1921" s="62" t="s">
        <v>2059</v>
      </c>
      <c r="B1921" s="63">
        <v>44330.0</v>
      </c>
      <c r="C1921" s="62" t="s">
        <v>119</v>
      </c>
      <c r="D1921" s="64">
        <v>47.5</v>
      </c>
      <c r="E1921" s="62" t="s">
        <v>109</v>
      </c>
      <c r="F1921" s="62" t="s">
        <v>115</v>
      </c>
      <c r="G1921" s="64" t="s">
        <v>64</v>
      </c>
      <c r="H1921" s="3" t="s">
        <v>116</v>
      </c>
      <c r="I1921" s="65">
        <f>IFERROR(VLOOKUP(A1921,'3. Call duration'!$A:$C,3,0),"--")</f>
        <v>24.51631397</v>
      </c>
      <c r="J1921" s="65" t="str">
        <f t="array" ref="J1921">XLOOKUP(H1921,'2. Matching'!$A$2:$A$39,'2. Matching'!$B$2:$B$39,"--")</f>
        <v>Acquisition</v>
      </c>
      <c r="K1921" s="65" t="str">
        <f t="shared" si="1"/>
        <v>In</v>
      </c>
    </row>
    <row r="1922">
      <c r="A1922" s="62" t="s">
        <v>2060</v>
      </c>
      <c r="B1922" s="63">
        <v>44356.0</v>
      </c>
      <c r="C1922" s="62" t="s">
        <v>112</v>
      </c>
      <c r="D1922" s="64">
        <v>0.0</v>
      </c>
      <c r="E1922" s="62" t="s">
        <v>109</v>
      </c>
      <c r="F1922" s="62" t="s">
        <v>110</v>
      </c>
      <c r="G1922" s="64" t="s">
        <v>60</v>
      </c>
      <c r="H1922" s="3" t="s">
        <v>67</v>
      </c>
      <c r="I1922" s="65" t="str">
        <f>IFERROR(VLOOKUP(A1922,'3. Call duration'!$A:$C,3,0),"--")</f>
        <v>--</v>
      </c>
      <c r="J1922" s="65" t="str">
        <f t="array" ref="J1922">XLOOKUP(H1922,'2. Matching'!$A$2:$A$39,'2. Matching'!$B$2:$B$39,"--")</f>
        <v>Acquisition</v>
      </c>
      <c r="K1922" s="65" t="str">
        <f t="shared" si="1"/>
        <v>In</v>
      </c>
    </row>
    <row r="1923">
      <c r="A1923" s="62" t="s">
        <v>2061</v>
      </c>
      <c r="B1923" s="63">
        <v>44365.0</v>
      </c>
      <c r="C1923" s="62" t="s">
        <v>112</v>
      </c>
      <c r="D1923" s="64">
        <v>0.0</v>
      </c>
      <c r="E1923" s="62" t="s">
        <v>109</v>
      </c>
      <c r="F1923" s="62" t="s">
        <v>110</v>
      </c>
      <c r="G1923" s="64" t="s">
        <v>60</v>
      </c>
      <c r="H1923" s="3" t="s">
        <v>67</v>
      </c>
      <c r="I1923" s="65" t="str">
        <f>IFERROR(VLOOKUP(A1923,'3. Call duration'!$A:$C,3,0),"--")</f>
        <v>--</v>
      </c>
      <c r="J1923" s="65" t="str">
        <f t="array" ref="J1923">XLOOKUP(H1923,'2. Matching'!$A$2:$A$39,'2. Matching'!$B$2:$B$39,"--")</f>
        <v>Acquisition</v>
      </c>
      <c r="K1923" s="65" t="str">
        <f t="shared" si="1"/>
        <v>In</v>
      </c>
    </row>
    <row r="1924">
      <c r="A1924" s="62" t="s">
        <v>2062</v>
      </c>
      <c r="B1924" s="63">
        <v>44383.0</v>
      </c>
      <c r="C1924" s="62" t="s">
        <v>112</v>
      </c>
      <c r="D1924" s="64">
        <v>0.0</v>
      </c>
      <c r="E1924" s="62" t="s">
        <v>109</v>
      </c>
      <c r="F1924" s="62" t="s">
        <v>115</v>
      </c>
      <c r="G1924" s="64" t="s">
        <v>64</v>
      </c>
      <c r="H1924" s="3" t="s">
        <v>116</v>
      </c>
      <c r="I1924" s="65" t="str">
        <f>IFERROR(VLOOKUP(A1924,'3. Call duration'!$A:$C,3,0),"--")</f>
        <v>--</v>
      </c>
      <c r="J1924" s="65" t="str">
        <f t="array" ref="J1924">XLOOKUP(H1924,'2. Matching'!$A$2:$A$39,'2. Matching'!$B$2:$B$39,"--")</f>
        <v>Acquisition</v>
      </c>
      <c r="K1924" s="65" t="str">
        <f t="shared" si="1"/>
        <v>In</v>
      </c>
    </row>
    <row r="1925">
      <c r="A1925" s="62" t="s">
        <v>2063</v>
      </c>
      <c r="B1925" s="63">
        <v>44357.0</v>
      </c>
      <c r="C1925" s="62" t="s">
        <v>112</v>
      </c>
      <c r="D1925" s="64">
        <v>0.0</v>
      </c>
      <c r="E1925" s="62" t="s">
        <v>109</v>
      </c>
      <c r="F1925" s="62" t="s">
        <v>110</v>
      </c>
      <c r="G1925" s="64" t="s">
        <v>60</v>
      </c>
      <c r="H1925" s="3" t="s">
        <v>68</v>
      </c>
      <c r="I1925" s="65" t="str">
        <f>IFERROR(VLOOKUP(A1925,'3. Call duration'!$A:$C,3,0),"--")</f>
        <v>--</v>
      </c>
      <c r="J1925" s="65" t="str">
        <f t="array" ref="J1925">XLOOKUP(H1925,'2. Matching'!$A$2:$A$39,'2. Matching'!$B$2:$B$39,"--")</f>
        <v>Acquisition</v>
      </c>
      <c r="K1925" s="65" t="str">
        <f t="shared" si="1"/>
        <v>In</v>
      </c>
    </row>
    <row r="1926">
      <c r="A1926" s="62" t="s">
        <v>2064</v>
      </c>
      <c r="B1926" s="63">
        <v>44158.0</v>
      </c>
      <c r="C1926" s="62" t="s">
        <v>108</v>
      </c>
      <c r="D1926" s="64">
        <v>0.0</v>
      </c>
      <c r="E1926" s="62" t="s">
        <v>114</v>
      </c>
      <c r="F1926" s="62" t="s">
        <v>115</v>
      </c>
      <c r="G1926" s="64" t="s">
        <v>64</v>
      </c>
      <c r="H1926" s="3" t="s">
        <v>169</v>
      </c>
      <c r="I1926" s="65">
        <f>IFERROR(VLOOKUP(A1926,'3. Call duration'!$A:$C,3,0),"--")</f>
        <v>31.82074088</v>
      </c>
      <c r="J1926" s="65" t="str">
        <f t="array" ref="J1926">XLOOKUP(H1926,'2. Matching'!$A$2:$A$39,'2. Matching'!$B$2:$B$39,"--")</f>
        <v>SEO</v>
      </c>
      <c r="K1926" s="65" t="str">
        <f t="shared" si="1"/>
        <v>In</v>
      </c>
    </row>
    <row r="1927">
      <c r="A1927" s="62" t="s">
        <v>2065</v>
      </c>
      <c r="B1927" s="63">
        <v>44328.0</v>
      </c>
      <c r="C1927" s="62" t="s">
        <v>119</v>
      </c>
      <c r="D1927" s="64">
        <v>47.5</v>
      </c>
      <c r="E1927" s="62" t="s">
        <v>109</v>
      </c>
      <c r="F1927" s="62" t="s">
        <v>110</v>
      </c>
      <c r="G1927" s="64" t="s">
        <v>64</v>
      </c>
      <c r="H1927" s="3" t="s">
        <v>185</v>
      </c>
      <c r="I1927" s="65">
        <f>IFERROR(VLOOKUP(A1927,'3. Call duration'!$A:$C,3,0),"--")</f>
        <v>24.51930684</v>
      </c>
      <c r="J1927" s="65" t="str">
        <f t="array" ref="J1927">XLOOKUP(H1927,'2. Matching'!$A$2:$A$39,'2. Matching'!$B$2:$B$39,"--")</f>
        <v>SEO</v>
      </c>
      <c r="K1927" s="65" t="str">
        <f t="shared" si="1"/>
        <v>In</v>
      </c>
    </row>
    <row r="1928">
      <c r="A1928" s="62" t="s">
        <v>2066</v>
      </c>
      <c r="B1928" s="63">
        <v>44217.0</v>
      </c>
      <c r="C1928" s="62" t="s">
        <v>112</v>
      </c>
      <c r="D1928" s="64">
        <v>0.0</v>
      </c>
      <c r="E1928" s="62" t="s">
        <v>109</v>
      </c>
      <c r="F1928" s="62" t="s">
        <v>110</v>
      </c>
      <c r="G1928" s="64" t="s">
        <v>64</v>
      </c>
      <c r="H1928" s="3" t="s">
        <v>175</v>
      </c>
      <c r="I1928" s="65" t="str">
        <f>IFERROR(VLOOKUP(A1928,'3. Call duration'!$A:$C,3,0),"--")</f>
        <v>--</v>
      </c>
      <c r="J1928" s="65" t="str">
        <f t="array" ref="J1928">XLOOKUP(H1928,'2. Matching'!$A$2:$A$39,'2. Matching'!$B$2:$B$39,"--")</f>
        <v>SEO</v>
      </c>
      <c r="K1928" s="65" t="str">
        <f t="shared" si="1"/>
        <v>In</v>
      </c>
    </row>
    <row r="1929">
      <c r="A1929" s="62" t="s">
        <v>2067</v>
      </c>
      <c r="B1929" s="63">
        <v>44324.0</v>
      </c>
      <c r="C1929" s="62" t="s">
        <v>108</v>
      </c>
      <c r="D1929" s="64">
        <v>0.0</v>
      </c>
      <c r="E1929" s="62" t="s">
        <v>109</v>
      </c>
      <c r="F1929" s="62" t="s">
        <v>110</v>
      </c>
      <c r="G1929" s="64" t="s">
        <v>64</v>
      </c>
      <c r="H1929" s="3" t="s">
        <v>185</v>
      </c>
      <c r="I1929" s="65">
        <f>IFERROR(VLOOKUP(A1929,'3. Call duration'!$A:$C,3,0),"--")</f>
        <v>24.56892411</v>
      </c>
      <c r="J1929" s="65" t="str">
        <f t="array" ref="J1929">XLOOKUP(H1929,'2. Matching'!$A$2:$A$39,'2. Matching'!$B$2:$B$39,"--")</f>
        <v>SEO</v>
      </c>
      <c r="K1929" s="65" t="str">
        <f t="shared" si="1"/>
        <v>In</v>
      </c>
    </row>
    <row r="1930">
      <c r="A1930" s="62" t="s">
        <v>2068</v>
      </c>
      <c r="B1930" s="63">
        <v>44120.0</v>
      </c>
      <c r="C1930" s="62" t="s">
        <v>112</v>
      </c>
      <c r="D1930" s="64">
        <v>0.0</v>
      </c>
      <c r="E1930" s="62" t="s">
        <v>109</v>
      </c>
      <c r="F1930" s="62" t="s">
        <v>115</v>
      </c>
      <c r="G1930" s="64" t="s">
        <v>64</v>
      </c>
      <c r="H1930" s="3" t="s">
        <v>164</v>
      </c>
      <c r="I1930" s="65" t="str">
        <f>IFERROR(VLOOKUP(A1930,'3. Call duration'!$A:$C,3,0),"--")</f>
        <v>--</v>
      </c>
      <c r="J1930" s="65" t="str">
        <f t="array" ref="J1930">XLOOKUP(H1930,'2. Matching'!$A$2:$A$39,'2. Matching'!$B$2:$B$39,"--")</f>
        <v>SEO</v>
      </c>
      <c r="K1930" s="65" t="str">
        <f t="shared" si="1"/>
        <v>In</v>
      </c>
    </row>
    <row r="1931">
      <c r="A1931" s="62" t="s">
        <v>2069</v>
      </c>
      <c r="B1931" s="63">
        <v>44349.0</v>
      </c>
      <c r="C1931" s="62" t="s">
        <v>112</v>
      </c>
      <c r="D1931" s="64">
        <v>0.0</v>
      </c>
      <c r="E1931" s="62" t="s">
        <v>109</v>
      </c>
      <c r="F1931" s="62" t="s">
        <v>110</v>
      </c>
      <c r="G1931" s="64" t="s">
        <v>64</v>
      </c>
      <c r="H1931" s="3" t="s">
        <v>131</v>
      </c>
      <c r="I1931" s="65" t="str">
        <f>IFERROR(VLOOKUP(A1931,'3. Call duration'!$A:$C,3,0),"--")</f>
        <v>--</v>
      </c>
      <c r="J1931" s="65" t="str">
        <f t="array" ref="J1931">XLOOKUP(H1931,'2. Matching'!$A$2:$A$39,'2. Matching'!$B$2:$B$39,"--")</f>
        <v>Acquisition</v>
      </c>
      <c r="K1931" s="65" t="str">
        <f t="shared" si="1"/>
        <v>In</v>
      </c>
    </row>
    <row r="1932">
      <c r="A1932" s="62" t="s">
        <v>2070</v>
      </c>
      <c r="B1932" s="63">
        <v>44200.0</v>
      </c>
      <c r="C1932" s="62" t="s">
        <v>112</v>
      </c>
      <c r="D1932" s="64">
        <v>0.0</v>
      </c>
      <c r="E1932" s="62" t="s">
        <v>109</v>
      </c>
      <c r="F1932" s="62" t="s">
        <v>115</v>
      </c>
      <c r="G1932" s="64" t="s">
        <v>112</v>
      </c>
      <c r="H1932" s="3"/>
      <c r="I1932" s="65" t="str">
        <f>IFERROR(VLOOKUP(A1932,'3. Call duration'!$A:$C,3,0),"--")</f>
        <v>--</v>
      </c>
      <c r="J1932" s="65" t="str">
        <f t="array" ref="J1932">XLOOKUP(H1932,'2. Matching'!$A$2:$A$39,'2. Matching'!$B$2:$B$39,"--")</f>
        <v>--</v>
      </c>
      <c r="K1932" s="65" t="str">
        <f t="shared" si="1"/>
        <v>In</v>
      </c>
    </row>
    <row r="1933">
      <c r="A1933" s="62" t="s">
        <v>2071</v>
      </c>
      <c r="B1933" s="63">
        <v>44305.0</v>
      </c>
      <c r="C1933" s="62" t="s">
        <v>112</v>
      </c>
      <c r="D1933" s="64">
        <v>0.0</v>
      </c>
      <c r="E1933" s="62" t="s">
        <v>109</v>
      </c>
      <c r="F1933" s="62" t="s">
        <v>110</v>
      </c>
      <c r="G1933" s="64" t="s">
        <v>64</v>
      </c>
      <c r="H1933" s="3" t="s">
        <v>141</v>
      </c>
      <c r="I1933" s="65" t="str">
        <f>IFERROR(VLOOKUP(A1933,'3. Call duration'!$A:$C,3,0),"--")</f>
        <v>--</v>
      </c>
      <c r="J1933" s="65" t="str">
        <f t="array" ref="J1933">XLOOKUP(H1933,'2. Matching'!$A$2:$A$39,'2. Matching'!$B$2:$B$39,"--")</f>
        <v>Acquisition</v>
      </c>
      <c r="K1933" s="65" t="str">
        <f t="shared" si="1"/>
        <v>In</v>
      </c>
    </row>
    <row r="1934">
      <c r="A1934" s="62" t="s">
        <v>2072</v>
      </c>
      <c r="B1934" s="63">
        <v>44221.0</v>
      </c>
      <c r="C1934" s="62" t="s">
        <v>112</v>
      </c>
      <c r="D1934" s="64">
        <v>0.0</v>
      </c>
      <c r="E1934" s="62" t="s">
        <v>109</v>
      </c>
      <c r="F1934" s="62" t="s">
        <v>110</v>
      </c>
      <c r="G1934" s="64" t="s">
        <v>64</v>
      </c>
      <c r="H1934" s="3" t="s">
        <v>131</v>
      </c>
      <c r="I1934" s="65" t="str">
        <f>IFERROR(VLOOKUP(A1934,'3. Call duration'!$A:$C,3,0),"--")</f>
        <v>--</v>
      </c>
      <c r="J1934" s="65" t="str">
        <f t="array" ref="J1934">XLOOKUP(H1934,'2. Matching'!$A$2:$A$39,'2. Matching'!$B$2:$B$39,"--")</f>
        <v>Acquisition</v>
      </c>
      <c r="K1934" s="65" t="str">
        <f t="shared" si="1"/>
        <v>In</v>
      </c>
    </row>
    <row r="1935">
      <c r="A1935" s="62" t="s">
        <v>2073</v>
      </c>
      <c r="B1935" s="63">
        <v>44330.0</v>
      </c>
      <c r="C1935" s="62" t="s">
        <v>119</v>
      </c>
      <c r="D1935" s="64">
        <v>47.5</v>
      </c>
      <c r="E1935" s="62" t="s">
        <v>109</v>
      </c>
      <c r="F1935" s="62" t="s">
        <v>110</v>
      </c>
      <c r="G1935" s="64" t="s">
        <v>63</v>
      </c>
      <c r="H1935" s="3" t="s">
        <v>183</v>
      </c>
      <c r="I1935" s="65">
        <f>IFERROR(VLOOKUP(A1935,'3. Call duration'!$A:$C,3,0),"--")</f>
        <v>24.64399265</v>
      </c>
      <c r="J1935" s="65" t="str">
        <f t="array" ref="J1935">XLOOKUP(H1935,'2. Matching'!$A$2:$A$39,'2. Matching'!$B$2:$B$39,"--")</f>
        <v>SEO</v>
      </c>
      <c r="K1935" s="65" t="str">
        <f t="shared" si="1"/>
        <v>In</v>
      </c>
    </row>
    <row r="1936">
      <c r="A1936" s="62" t="s">
        <v>2074</v>
      </c>
      <c r="B1936" s="63">
        <v>44364.0</v>
      </c>
      <c r="C1936" s="62" t="s">
        <v>108</v>
      </c>
      <c r="D1936" s="64">
        <v>0.0</v>
      </c>
      <c r="E1936" s="62" t="s">
        <v>109</v>
      </c>
      <c r="F1936" s="62" t="s">
        <v>115</v>
      </c>
      <c r="G1936" s="64" t="s">
        <v>60</v>
      </c>
      <c r="H1936" s="3" t="s">
        <v>67</v>
      </c>
      <c r="I1936" s="65">
        <f>IFERROR(VLOOKUP(A1936,'3. Call duration'!$A:$C,3,0),"--")</f>
        <v>29.06231794</v>
      </c>
      <c r="J1936" s="65" t="str">
        <f t="array" ref="J1936">XLOOKUP(H1936,'2. Matching'!$A$2:$A$39,'2. Matching'!$B$2:$B$39,"--")</f>
        <v>Acquisition</v>
      </c>
      <c r="K1936" s="65" t="str">
        <f t="shared" si="1"/>
        <v>In</v>
      </c>
    </row>
    <row r="1937">
      <c r="A1937" s="62" t="s">
        <v>2075</v>
      </c>
      <c r="B1937" s="63">
        <v>44186.0</v>
      </c>
      <c r="C1937" s="62" t="s">
        <v>108</v>
      </c>
      <c r="D1937" s="64">
        <v>0.0</v>
      </c>
      <c r="E1937" s="62" t="s">
        <v>114</v>
      </c>
      <c r="F1937" s="62" t="s">
        <v>110</v>
      </c>
      <c r="G1937" s="64" t="s">
        <v>64</v>
      </c>
      <c r="H1937" s="3" t="s">
        <v>139</v>
      </c>
      <c r="I1937" s="65">
        <f>IFERROR(VLOOKUP(A1937,'3. Call duration'!$A:$C,3,0),"--")</f>
        <v>31.61387936</v>
      </c>
      <c r="J1937" s="65" t="str">
        <f t="array" ref="J1937">XLOOKUP(H1937,'2. Matching'!$A$2:$A$39,'2. Matching'!$B$2:$B$39,"--")</f>
        <v>Acquisition</v>
      </c>
      <c r="K1937" s="65" t="str">
        <f t="shared" si="1"/>
        <v>In</v>
      </c>
    </row>
    <row r="1938">
      <c r="A1938" s="62" t="s">
        <v>2076</v>
      </c>
      <c r="B1938" s="63">
        <v>44221.0</v>
      </c>
      <c r="C1938" s="62" t="s">
        <v>112</v>
      </c>
      <c r="D1938" s="64">
        <v>0.0</v>
      </c>
      <c r="E1938" s="62" t="s">
        <v>109</v>
      </c>
      <c r="F1938" s="62" t="s">
        <v>110</v>
      </c>
      <c r="G1938" s="64" t="s">
        <v>64</v>
      </c>
      <c r="H1938" s="3" t="s">
        <v>139</v>
      </c>
      <c r="I1938" s="65" t="str">
        <f>IFERROR(VLOOKUP(A1938,'3. Call duration'!$A:$C,3,0),"--")</f>
        <v>--</v>
      </c>
      <c r="J1938" s="65" t="str">
        <f t="array" ref="J1938">XLOOKUP(H1938,'2. Matching'!$A$2:$A$39,'2. Matching'!$B$2:$B$39,"--")</f>
        <v>Acquisition</v>
      </c>
      <c r="K1938" s="65" t="str">
        <f t="shared" si="1"/>
        <v>In</v>
      </c>
    </row>
    <row r="1939">
      <c r="A1939" s="62" t="s">
        <v>2077</v>
      </c>
      <c r="B1939" s="63">
        <v>44393.0</v>
      </c>
      <c r="C1939" s="62" t="s">
        <v>112</v>
      </c>
      <c r="D1939" s="64">
        <v>0.0</v>
      </c>
      <c r="E1939" s="62" t="s">
        <v>109</v>
      </c>
      <c r="F1939" s="62" t="s">
        <v>110</v>
      </c>
      <c r="G1939" s="64" t="s">
        <v>61</v>
      </c>
      <c r="H1939" s="3" t="s">
        <v>69</v>
      </c>
      <c r="I1939" s="65" t="str">
        <f>IFERROR(VLOOKUP(A1939,'3. Call duration'!$A:$C,3,0),"--")</f>
        <v>--</v>
      </c>
      <c r="J1939" s="65" t="str">
        <f t="array" ref="J1939">XLOOKUP(H1939,'2. Matching'!$A$2:$A$39,'2. Matching'!$B$2:$B$39,"--")</f>
        <v>Acquisition</v>
      </c>
      <c r="K1939" s="65" t="str">
        <f t="shared" si="1"/>
        <v>In</v>
      </c>
    </row>
    <row r="1940">
      <c r="A1940" s="62" t="s">
        <v>2078</v>
      </c>
      <c r="B1940" s="63">
        <v>44201.0</v>
      </c>
      <c r="C1940" s="62" t="s">
        <v>112</v>
      </c>
      <c r="D1940" s="64">
        <v>0.0</v>
      </c>
      <c r="E1940" s="62" t="s">
        <v>109</v>
      </c>
      <c r="F1940" s="62" t="s">
        <v>115</v>
      </c>
      <c r="G1940" s="64" t="s">
        <v>59</v>
      </c>
      <c r="H1940" s="3" t="s">
        <v>68</v>
      </c>
      <c r="I1940" s="65" t="str">
        <f>IFERROR(VLOOKUP(A1940,'3. Call duration'!$A:$C,3,0),"--")</f>
        <v>--</v>
      </c>
      <c r="J1940" s="65" t="str">
        <f t="array" ref="J1940">XLOOKUP(H1940,'2. Matching'!$A$2:$A$39,'2. Matching'!$B$2:$B$39,"--")</f>
        <v>Acquisition</v>
      </c>
      <c r="K1940" s="65" t="str">
        <f t="shared" si="1"/>
        <v>In</v>
      </c>
    </row>
    <row r="1941">
      <c r="A1941" s="62" t="s">
        <v>2079</v>
      </c>
      <c r="B1941" s="63">
        <v>44301.0</v>
      </c>
      <c r="C1941" s="62" t="s">
        <v>108</v>
      </c>
      <c r="D1941" s="64">
        <v>0.0</v>
      </c>
      <c r="E1941" s="62" t="s">
        <v>109</v>
      </c>
      <c r="F1941" s="62" t="s">
        <v>110</v>
      </c>
      <c r="G1941" s="64" t="s">
        <v>64</v>
      </c>
      <c r="H1941" s="3" t="s">
        <v>52</v>
      </c>
      <c r="I1941" s="65">
        <f>IFERROR(VLOOKUP(A1941,'3. Call duration'!$A:$C,3,0),"--")</f>
        <v>14.58192986</v>
      </c>
      <c r="J1941" s="65" t="str">
        <f t="array" ref="J1941">XLOOKUP(H1941,'2. Matching'!$A$2:$A$39,'2. Matching'!$B$2:$B$39,"--")</f>
        <v>Partnerships</v>
      </c>
      <c r="K1941" s="65" t="str">
        <f t="shared" si="1"/>
        <v>In</v>
      </c>
    </row>
    <row r="1942">
      <c r="A1942" s="62" t="s">
        <v>2080</v>
      </c>
      <c r="B1942" s="63">
        <v>44368.0</v>
      </c>
      <c r="C1942" s="62" t="s">
        <v>108</v>
      </c>
      <c r="D1942" s="64">
        <v>0.0</v>
      </c>
      <c r="E1942" s="62" t="s">
        <v>114</v>
      </c>
      <c r="F1942" s="62" t="s">
        <v>115</v>
      </c>
      <c r="G1942" s="64" t="s">
        <v>63</v>
      </c>
      <c r="H1942" s="3" t="s">
        <v>183</v>
      </c>
      <c r="I1942" s="65">
        <f>IFERROR(VLOOKUP(A1942,'3. Call duration'!$A:$C,3,0),"--")</f>
        <v>24.54209558</v>
      </c>
      <c r="J1942" s="65" t="str">
        <f t="array" ref="J1942">XLOOKUP(H1942,'2. Matching'!$A$2:$A$39,'2. Matching'!$B$2:$B$39,"--")</f>
        <v>SEO</v>
      </c>
      <c r="K1942" s="65" t="str">
        <f t="shared" si="1"/>
        <v>In</v>
      </c>
    </row>
    <row r="1943">
      <c r="A1943" s="62" t="s">
        <v>2081</v>
      </c>
      <c r="B1943" s="63">
        <v>44378.0</v>
      </c>
      <c r="C1943" s="62" t="s">
        <v>112</v>
      </c>
      <c r="D1943" s="64">
        <v>0.0</v>
      </c>
      <c r="E1943" s="62" t="s">
        <v>109</v>
      </c>
      <c r="F1943" s="62" t="s">
        <v>110</v>
      </c>
      <c r="G1943" s="64" t="s">
        <v>64</v>
      </c>
      <c r="H1943" s="3" t="s">
        <v>297</v>
      </c>
      <c r="I1943" s="65" t="str">
        <f>IFERROR(VLOOKUP(A1943,'3. Call duration'!$A:$C,3,0),"--")</f>
        <v>--</v>
      </c>
      <c r="J1943" s="65" t="str">
        <f t="array" ref="J1943">XLOOKUP(H1943,'2. Matching'!$A$2:$A$39,'2. Matching'!$B$2:$B$39,"--")</f>
        <v>Farming</v>
      </c>
      <c r="K1943" s="65" t="str">
        <f t="shared" si="1"/>
        <v>In</v>
      </c>
    </row>
    <row r="1944">
      <c r="A1944" s="62" t="s">
        <v>2082</v>
      </c>
      <c r="B1944" s="63">
        <v>44270.0</v>
      </c>
      <c r="C1944" s="62" t="s">
        <v>108</v>
      </c>
      <c r="D1944" s="64">
        <v>0.0</v>
      </c>
      <c r="E1944" s="62" t="s">
        <v>109</v>
      </c>
      <c r="F1944" s="62" t="s">
        <v>110</v>
      </c>
      <c r="G1944" s="64" t="s">
        <v>62</v>
      </c>
      <c r="H1944" s="3" t="s">
        <v>286</v>
      </c>
      <c r="I1944" s="65">
        <f>IFERROR(VLOOKUP(A1944,'3. Call duration'!$A:$C,3,0),"--")</f>
        <v>25.8432506</v>
      </c>
      <c r="J1944" s="65" t="str">
        <f t="array" ref="J1944">XLOOKUP(H1944,'2. Matching'!$A$2:$A$39,'2. Matching'!$B$2:$B$39,"--")</f>
        <v>Farming</v>
      </c>
      <c r="K1944" s="65" t="str">
        <f t="shared" si="1"/>
        <v>In</v>
      </c>
    </row>
    <row r="1945">
      <c r="A1945" s="62" t="s">
        <v>2083</v>
      </c>
      <c r="B1945" s="63">
        <v>44347.0</v>
      </c>
      <c r="C1945" s="62" t="s">
        <v>119</v>
      </c>
      <c r="D1945" s="64">
        <v>47.5</v>
      </c>
      <c r="E1945" s="62" t="s">
        <v>109</v>
      </c>
      <c r="F1945" s="62" t="s">
        <v>115</v>
      </c>
      <c r="G1945" s="64" t="s">
        <v>63</v>
      </c>
      <c r="H1945" s="3" t="s">
        <v>189</v>
      </c>
      <c r="I1945" s="65">
        <f>IFERROR(VLOOKUP(A1945,'3. Call duration'!$A:$C,3,0),"--")</f>
        <v>24.65568505</v>
      </c>
      <c r="J1945" s="65" t="str">
        <f t="array" ref="J1945">XLOOKUP(H1945,'2. Matching'!$A$2:$A$39,'2. Matching'!$B$2:$B$39,"--")</f>
        <v>SEO</v>
      </c>
      <c r="K1945" s="65" t="str">
        <f t="shared" si="1"/>
        <v>Out</v>
      </c>
    </row>
    <row r="1946">
      <c r="A1946" s="62" t="s">
        <v>2084</v>
      </c>
      <c r="B1946" s="63">
        <v>44259.0</v>
      </c>
      <c r="C1946" s="62" t="s">
        <v>108</v>
      </c>
      <c r="D1946" s="64">
        <v>0.0</v>
      </c>
      <c r="E1946" s="62" t="s">
        <v>114</v>
      </c>
      <c r="F1946" s="62" t="s">
        <v>115</v>
      </c>
      <c r="G1946" s="64" t="s">
        <v>64</v>
      </c>
      <c r="H1946" s="3" t="s">
        <v>131</v>
      </c>
      <c r="I1946" s="65">
        <f>IFERROR(VLOOKUP(A1946,'3. Call duration'!$A:$C,3,0),"--")</f>
        <v>49.82030628</v>
      </c>
      <c r="J1946" s="65" t="str">
        <f t="array" ref="J1946">XLOOKUP(H1946,'2. Matching'!$A$2:$A$39,'2. Matching'!$B$2:$B$39,"--")</f>
        <v>Acquisition</v>
      </c>
      <c r="K1946" s="65" t="str">
        <f t="shared" si="1"/>
        <v>In</v>
      </c>
    </row>
    <row r="1947">
      <c r="A1947" s="62" t="s">
        <v>2085</v>
      </c>
      <c r="B1947" s="63">
        <v>44168.0</v>
      </c>
      <c r="C1947" s="62" t="s">
        <v>108</v>
      </c>
      <c r="D1947" s="64">
        <v>0.0</v>
      </c>
      <c r="E1947" s="62" t="s">
        <v>114</v>
      </c>
      <c r="F1947" s="62" t="s">
        <v>115</v>
      </c>
      <c r="G1947" s="64" t="s">
        <v>64</v>
      </c>
      <c r="H1947" s="3" t="s">
        <v>221</v>
      </c>
      <c r="I1947" s="65">
        <f>IFERROR(VLOOKUP(A1947,'3. Call duration'!$A:$C,3,0),"--")</f>
        <v>22.60920283</v>
      </c>
      <c r="J1947" s="65" t="str">
        <f t="array" ref="J1947">XLOOKUP(H1947,'2. Matching'!$A$2:$A$39,'2. Matching'!$B$2:$B$39,"--")</f>
        <v>Farming</v>
      </c>
      <c r="K1947" s="65" t="str">
        <f t="shared" si="1"/>
        <v>In</v>
      </c>
    </row>
    <row r="1948">
      <c r="A1948" s="62" t="s">
        <v>2086</v>
      </c>
      <c r="B1948" s="63">
        <v>44248.0</v>
      </c>
      <c r="C1948" s="62" t="s">
        <v>108</v>
      </c>
      <c r="D1948" s="64">
        <v>0.0</v>
      </c>
      <c r="E1948" s="62" t="s">
        <v>109</v>
      </c>
      <c r="F1948" s="62" t="s">
        <v>115</v>
      </c>
      <c r="G1948" s="64" t="s">
        <v>64</v>
      </c>
      <c r="H1948" s="3" t="s">
        <v>139</v>
      </c>
      <c r="I1948" s="65">
        <f>IFERROR(VLOOKUP(A1948,'3. Call duration'!$A:$C,3,0),"--")</f>
        <v>28.96817327</v>
      </c>
      <c r="J1948" s="65" t="str">
        <f t="array" ref="J1948">XLOOKUP(H1948,'2. Matching'!$A$2:$A$39,'2. Matching'!$B$2:$B$39,"--")</f>
        <v>Acquisition</v>
      </c>
      <c r="K1948" s="65" t="str">
        <f t="shared" si="1"/>
        <v>In</v>
      </c>
    </row>
    <row r="1949">
      <c r="A1949" s="62" t="s">
        <v>2087</v>
      </c>
      <c r="B1949" s="63">
        <v>44378.0</v>
      </c>
      <c r="C1949" s="62" t="s">
        <v>112</v>
      </c>
      <c r="D1949" s="64">
        <v>0.0</v>
      </c>
      <c r="E1949" s="62" t="s">
        <v>109</v>
      </c>
      <c r="F1949" s="62" t="s">
        <v>110</v>
      </c>
      <c r="G1949" s="64" t="s">
        <v>61</v>
      </c>
      <c r="H1949" s="3" t="s">
        <v>67</v>
      </c>
      <c r="I1949" s="65" t="str">
        <f>IFERROR(VLOOKUP(A1949,'3. Call duration'!$A:$C,3,0),"--")</f>
        <v>--</v>
      </c>
      <c r="J1949" s="65" t="str">
        <f t="array" ref="J1949">XLOOKUP(H1949,'2. Matching'!$A$2:$A$39,'2. Matching'!$B$2:$B$39,"--")</f>
        <v>Acquisition</v>
      </c>
      <c r="K1949" s="65" t="str">
        <f t="shared" si="1"/>
        <v>In</v>
      </c>
    </row>
    <row r="1950">
      <c r="A1950" s="62" t="s">
        <v>2088</v>
      </c>
      <c r="B1950" s="63">
        <v>44117.0</v>
      </c>
      <c r="C1950" s="62" t="s">
        <v>112</v>
      </c>
      <c r="D1950" s="64">
        <v>0.0</v>
      </c>
      <c r="E1950" s="62" t="s">
        <v>114</v>
      </c>
      <c r="F1950" s="62" t="s">
        <v>110</v>
      </c>
      <c r="G1950" s="64" t="s">
        <v>64</v>
      </c>
      <c r="H1950" s="3" t="s">
        <v>150</v>
      </c>
      <c r="I1950" s="65" t="str">
        <f>IFERROR(VLOOKUP(A1950,'3. Call duration'!$A:$C,3,0),"--")</f>
        <v>--</v>
      </c>
      <c r="J1950" s="65" t="str">
        <f t="array" ref="J1950">XLOOKUP(H1950,'2. Matching'!$A$2:$A$39,'2. Matching'!$B$2:$B$39,"--")</f>
        <v>SEO</v>
      </c>
      <c r="K1950" s="65" t="str">
        <f t="shared" si="1"/>
        <v>In</v>
      </c>
    </row>
    <row r="1951">
      <c r="A1951" s="62" t="s">
        <v>2089</v>
      </c>
      <c r="B1951" s="63">
        <v>44167.0</v>
      </c>
      <c r="C1951" s="62" t="s">
        <v>112</v>
      </c>
      <c r="D1951" s="64">
        <v>0.0</v>
      </c>
      <c r="E1951" s="62" t="s">
        <v>109</v>
      </c>
      <c r="F1951" s="62" t="s">
        <v>115</v>
      </c>
      <c r="G1951" s="64" t="s">
        <v>64</v>
      </c>
      <c r="H1951" s="3" t="s">
        <v>171</v>
      </c>
      <c r="I1951" s="65" t="str">
        <f>IFERROR(VLOOKUP(A1951,'3. Call duration'!$A:$C,3,0),"--")</f>
        <v>--</v>
      </c>
      <c r="J1951" s="65" t="str">
        <f t="array" ref="J1951">XLOOKUP(H1951,'2. Matching'!$A$2:$A$39,'2. Matching'!$B$2:$B$39,"--")</f>
        <v>SEO</v>
      </c>
      <c r="K1951" s="65" t="str">
        <f t="shared" si="1"/>
        <v>In</v>
      </c>
    </row>
    <row r="1952">
      <c r="A1952" s="62" t="s">
        <v>2090</v>
      </c>
      <c r="B1952" s="63">
        <v>44342.0</v>
      </c>
      <c r="C1952" s="62" t="s">
        <v>119</v>
      </c>
      <c r="D1952" s="64">
        <v>47.5</v>
      </c>
      <c r="E1952" s="62" t="s">
        <v>109</v>
      </c>
      <c r="F1952" s="62" t="s">
        <v>115</v>
      </c>
      <c r="G1952" s="64" t="s">
        <v>63</v>
      </c>
      <c r="H1952" s="3" t="s">
        <v>189</v>
      </c>
      <c r="I1952" s="65">
        <f>IFERROR(VLOOKUP(A1952,'3. Call duration'!$A:$C,3,0),"--")</f>
        <v>24.69240371</v>
      </c>
      <c r="J1952" s="65" t="str">
        <f t="array" ref="J1952">XLOOKUP(H1952,'2. Matching'!$A$2:$A$39,'2. Matching'!$B$2:$B$39,"--")</f>
        <v>SEO</v>
      </c>
      <c r="K1952" s="65" t="str">
        <f t="shared" si="1"/>
        <v>Out</v>
      </c>
    </row>
    <row r="1953">
      <c r="A1953" s="62" t="s">
        <v>2091</v>
      </c>
      <c r="B1953" s="63">
        <v>44326.0</v>
      </c>
      <c r="C1953" s="62" t="s">
        <v>119</v>
      </c>
      <c r="D1953" s="64">
        <v>47.5</v>
      </c>
      <c r="E1953" s="62" t="s">
        <v>109</v>
      </c>
      <c r="F1953" s="62" t="s">
        <v>110</v>
      </c>
      <c r="G1953" s="64" t="s">
        <v>64</v>
      </c>
      <c r="H1953" s="3" t="s">
        <v>155</v>
      </c>
      <c r="I1953" s="65">
        <f>IFERROR(VLOOKUP(A1953,'3. Call duration'!$A:$C,3,0),"--")</f>
        <v>24.71754235</v>
      </c>
      <c r="J1953" s="65" t="str">
        <f t="array" ref="J1953">XLOOKUP(H1953,'2. Matching'!$A$2:$A$39,'2. Matching'!$B$2:$B$39,"--")</f>
        <v>SEO</v>
      </c>
      <c r="K1953" s="65" t="str">
        <f t="shared" si="1"/>
        <v>In</v>
      </c>
    </row>
    <row r="1954">
      <c r="A1954" s="62" t="s">
        <v>2092</v>
      </c>
      <c r="B1954" s="63">
        <v>44168.0</v>
      </c>
      <c r="C1954" s="62" t="s">
        <v>112</v>
      </c>
      <c r="D1954" s="64">
        <v>0.0</v>
      </c>
      <c r="E1954" s="62" t="s">
        <v>109</v>
      </c>
      <c r="F1954" s="62" t="s">
        <v>115</v>
      </c>
      <c r="G1954" s="64" t="s">
        <v>64</v>
      </c>
      <c r="H1954" s="3" t="s">
        <v>164</v>
      </c>
      <c r="I1954" s="65" t="str">
        <f>IFERROR(VLOOKUP(A1954,'3. Call duration'!$A:$C,3,0),"--")</f>
        <v>--</v>
      </c>
      <c r="J1954" s="65" t="str">
        <f t="array" ref="J1954">XLOOKUP(H1954,'2. Matching'!$A$2:$A$39,'2. Matching'!$B$2:$B$39,"--")</f>
        <v>SEO</v>
      </c>
      <c r="K1954" s="65" t="str">
        <f t="shared" si="1"/>
        <v>In</v>
      </c>
    </row>
    <row r="1955">
      <c r="A1955" s="62" t="s">
        <v>2093</v>
      </c>
      <c r="B1955" s="63">
        <v>44271.0</v>
      </c>
      <c r="C1955" s="62" t="s">
        <v>112</v>
      </c>
      <c r="D1955" s="64">
        <v>0.0</v>
      </c>
      <c r="E1955" s="62" t="s">
        <v>114</v>
      </c>
      <c r="F1955" s="62" t="s">
        <v>110</v>
      </c>
      <c r="G1955" s="64" t="s">
        <v>63</v>
      </c>
      <c r="H1955" s="3" t="s">
        <v>128</v>
      </c>
      <c r="I1955" s="65" t="str">
        <f>IFERROR(VLOOKUP(A1955,'3. Call duration'!$A:$C,3,0),"--")</f>
        <v>--</v>
      </c>
      <c r="J1955" s="65" t="str">
        <f t="array" ref="J1955">XLOOKUP(H1955,'2. Matching'!$A$2:$A$39,'2. Matching'!$B$2:$B$39,"--")</f>
        <v>Acquisition</v>
      </c>
      <c r="K1955" s="65" t="str">
        <f t="shared" si="1"/>
        <v>In</v>
      </c>
    </row>
    <row r="1956">
      <c r="A1956" s="62" t="s">
        <v>2094</v>
      </c>
      <c r="B1956" s="63">
        <v>44375.0</v>
      </c>
      <c r="C1956" s="62" t="s">
        <v>108</v>
      </c>
      <c r="D1956" s="64">
        <v>0.0</v>
      </c>
      <c r="E1956" s="62" t="s">
        <v>109</v>
      </c>
      <c r="F1956" s="62" t="s">
        <v>110</v>
      </c>
      <c r="G1956" s="64" t="s">
        <v>61</v>
      </c>
      <c r="H1956" s="3" t="s">
        <v>67</v>
      </c>
      <c r="I1956" s="65">
        <f>IFERROR(VLOOKUP(A1956,'3. Call duration'!$A:$C,3,0),"--")</f>
        <v>32.61808197</v>
      </c>
      <c r="J1956" s="65" t="str">
        <f t="array" ref="J1956">XLOOKUP(H1956,'2. Matching'!$A$2:$A$39,'2. Matching'!$B$2:$B$39,"--")</f>
        <v>Acquisition</v>
      </c>
      <c r="K1956" s="65" t="str">
        <f t="shared" si="1"/>
        <v>In</v>
      </c>
    </row>
    <row r="1957">
      <c r="A1957" s="62" t="s">
        <v>2095</v>
      </c>
      <c r="B1957" s="63">
        <v>44155.0</v>
      </c>
      <c r="C1957" s="62" t="s">
        <v>112</v>
      </c>
      <c r="D1957" s="64">
        <v>0.0</v>
      </c>
      <c r="E1957" s="62" t="s">
        <v>109</v>
      </c>
      <c r="F1957" s="62" t="s">
        <v>115</v>
      </c>
      <c r="G1957" s="64" t="s">
        <v>64</v>
      </c>
      <c r="H1957" s="3" t="s">
        <v>131</v>
      </c>
      <c r="I1957" s="65" t="str">
        <f>IFERROR(VLOOKUP(A1957,'3. Call duration'!$A:$C,3,0),"--")</f>
        <v>--</v>
      </c>
      <c r="J1957" s="65" t="str">
        <f t="array" ref="J1957">XLOOKUP(H1957,'2. Matching'!$A$2:$A$39,'2. Matching'!$B$2:$B$39,"--")</f>
        <v>Acquisition</v>
      </c>
      <c r="K1957" s="65" t="str">
        <f t="shared" si="1"/>
        <v>In</v>
      </c>
    </row>
    <row r="1958">
      <c r="A1958" s="62" t="s">
        <v>2096</v>
      </c>
      <c r="B1958" s="63">
        <v>44375.0</v>
      </c>
      <c r="C1958" s="62" t="s">
        <v>112</v>
      </c>
      <c r="D1958" s="64">
        <v>0.0</v>
      </c>
      <c r="E1958" s="62" t="s">
        <v>114</v>
      </c>
      <c r="F1958" s="62" t="s">
        <v>110</v>
      </c>
      <c r="G1958" s="64" t="s">
        <v>61</v>
      </c>
      <c r="H1958" s="3" t="s">
        <v>69</v>
      </c>
      <c r="I1958" s="65" t="str">
        <f>IFERROR(VLOOKUP(A1958,'3. Call duration'!$A:$C,3,0),"--")</f>
        <v>--</v>
      </c>
      <c r="J1958" s="65" t="str">
        <f t="array" ref="J1958">XLOOKUP(H1958,'2. Matching'!$A$2:$A$39,'2. Matching'!$B$2:$B$39,"--")</f>
        <v>Acquisition</v>
      </c>
      <c r="K1958" s="65" t="str">
        <f t="shared" si="1"/>
        <v>In</v>
      </c>
    </row>
    <row r="1959">
      <c r="A1959" s="62" t="s">
        <v>2097</v>
      </c>
      <c r="B1959" s="63">
        <v>44230.0</v>
      </c>
      <c r="C1959" s="62" t="s">
        <v>112</v>
      </c>
      <c r="D1959" s="64">
        <v>0.0</v>
      </c>
      <c r="E1959" s="62" t="s">
        <v>109</v>
      </c>
      <c r="F1959" s="62" t="s">
        <v>110</v>
      </c>
      <c r="G1959" s="64" t="s">
        <v>64</v>
      </c>
      <c r="H1959" s="3" t="s">
        <v>49</v>
      </c>
      <c r="I1959" s="65" t="str">
        <f>IFERROR(VLOOKUP(A1959,'3. Call duration'!$A:$C,3,0),"--")</f>
        <v>--</v>
      </c>
      <c r="J1959" s="65" t="str">
        <f t="array" ref="J1959">XLOOKUP(H1959,'2. Matching'!$A$2:$A$39,'2. Matching'!$B$2:$B$39,"--")</f>
        <v>Partnerships</v>
      </c>
      <c r="K1959" s="65" t="str">
        <f t="shared" si="1"/>
        <v>In</v>
      </c>
    </row>
    <row r="1960">
      <c r="A1960" s="62" t="s">
        <v>2098</v>
      </c>
      <c r="B1960" s="63">
        <v>44166.0</v>
      </c>
      <c r="C1960" s="62" t="s">
        <v>112</v>
      </c>
      <c r="D1960" s="64">
        <v>0.0</v>
      </c>
      <c r="E1960" s="62" t="s">
        <v>114</v>
      </c>
      <c r="F1960" s="62" t="s">
        <v>110</v>
      </c>
      <c r="G1960" s="64" t="s">
        <v>62</v>
      </c>
      <c r="H1960" s="3" t="s">
        <v>294</v>
      </c>
      <c r="I1960" s="65" t="str">
        <f>IFERROR(VLOOKUP(A1960,'3. Call duration'!$A:$C,3,0),"--")</f>
        <v>--</v>
      </c>
      <c r="J1960" s="65" t="str">
        <f t="array" ref="J1960">XLOOKUP(H1960,'2. Matching'!$A$2:$A$39,'2. Matching'!$B$2:$B$39,"--")</f>
        <v>Farming</v>
      </c>
      <c r="K1960" s="65" t="str">
        <f t="shared" si="1"/>
        <v>In</v>
      </c>
    </row>
    <row r="1961">
      <c r="A1961" s="62" t="s">
        <v>2099</v>
      </c>
      <c r="B1961" s="63">
        <v>44233.0</v>
      </c>
      <c r="C1961" s="62" t="s">
        <v>108</v>
      </c>
      <c r="D1961" s="64">
        <v>0.0</v>
      </c>
      <c r="E1961" s="62" t="s">
        <v>114</v>
      </c>
      <c r="F1961" s="62" t="s">
        <v>115</v>
      </c>
      <c r="G1961" s="64" t="s">
        <v>64</v>
      </c>
      <c r="H1961" s="3" t="s">
        <v>164</v>
      </c>
      <c r="I1961" s="65">
        <f>IFERROR(VLOOKUP(A1961,'3. Call duration'!$A:$C,3,0),"--")</f>
        <v>23.85468138</v>
      </c>
      <c r="J1961" s="65" t="str">
        <f t="array" ref="J1961">XLOOKUP(H1961,'2. Matching'!$A$2:$A$39,'2. Matching'!$B$2:$B$39,"--")</f>
        <v>SEO</v>
      </c>
      <c r="K1961" s="65" t="str">
        <f t="shared" si="1"/>
        <v>In</v>
      </c>
    </row>
    <row r="1962">
      <c r="A1962" s="62" t="s">
        <v>2100</v>
      </c>
      <c r="B1962" s="63">
        <v>44357.0</v>
      </c>
      <c r="C1962" s="62" t="s">
        <v>112</v>
      </c>
      <c r="D1962" s="64">
        <v>0.0</v>
      </c>
      <c r="E1962" s="62" t="s">
        <v>114</v>
      </c>
      <c r="F1962" s="62" t="s">
        <v>110</v>
      </c>
      <c r="G1962" s="64" t="s">
        <v>63</v>
      </c>
      <c r="H1962" s="3" t="s">
        <v>128</v>
      </c>
      <c r="I1962" s="65" t="str">
        <f>IFERROR(VLOOKUP(A1962,'3. Call duration'!$A:$C,3,0),"--")</f>
        <v>--</v>
      </c>
      <c r="J1962" s="65" t="str">
        <f t="array" ref="J1962">XLOOKUP(H1962,'2. Matching'!$A$2:$A$39,'2. Matching'!$B$2:$B$39,"--")</f>
        <v>Acquisition</v>
      </c>
      <c r="K1962" s="65" t="str">
        <f t="shared" si="1"/>
        <v>In</v>
      </c>
    </row>
    <row r="1963">
      <c r="A1963" s="62" t="s">
        <v>2101</v>
      </c>
      <c r="B1963" s="63">
        <v>44271.0</v>
      </c>
      <c r="C1963" s="62" t="s">
        <v>112</v>
      </c>
      <c r="D1963" s="64">
        <v>0.0</v>
      </c>
      <c r="E1963" s="62" t="s">
        <v>109</v>
      </c>
      <c r="F1963" s="62" t="s">
        <v>115</v>
      </c>
      <c r="G1963" s="64" t="s">
        <v>64</v>
      </c>
      <c r="H1963" s="3" t="s">
        <v>169</v>
      </c>
      <c r="I1963" s="65" t="str">
        <f>IFERROR(VLOOKUP(A1963,'3. Call duration'!$A:$C,3,0),"--")</f>
        <v>--</v>
      </c>
      <c r="J1963" s="65" t="str">
        <f t="array" ref="J1963">XLOOKUP(H1963,'2. Matching'!$A$2:$A$39,'2. Matching'!$B$2:$B$39,"--")</f>
        <v>SEO</v>
      </c>
      <c r="K1963" s="65" t="str">
        <f t="shared" si="1"/>
        <v>In</v>
      </c>
    </row>
    <row r="1964">
      <c r="A1964" s="62" t="s">
        <v>2102</v>
      </c>
      <c r="B1964" s="63">
        <v>44372.0</v>
      </c>
      <c r="C1964" s="62" t="s">
        <v>112</v>
      </c>
      <c r="D1964" s="64">
        <v>0.0</v>
      </c>
      <c r="E1964" s="62" t="s">
        <v>109</v>
      </c>
      <c r="F1964" s="62" t="s">
        <v>115</v>
      </c>
      <c r="G1964" s="64" t="s">
        <v>60</v>
      </c>
      <c r="H1964" s="3" t="s">
        <v>68</v>
      </c>
      <c r="I1964" s="65" t="str">
        <f>IFERROR(VLOOKUP(A1964,'3. Call duration'!$A:$C,3,0),"--")</f>
        <v>--</v>
      </c>
      <c r="J1964" s="65" t="str">
        <f t="array" ref="J1964">XLOOKUP(H1964,'2. Matching'!$A$2:$A$39,'2. Matching'!$B$2:$B$39,"--")</f>
        <v>Acquisition</v>
      </c>
      <c r="K1964" s="65" t="str">
        <f t="shared" si="1"/>
        <v>In</v>
      </c>
    </row>
    <row r="1965">
      <c r="A1965" s="62" t="s">
        <v>2103</v>
      </c>
      <c r="B1965" s="63">
        <v>44211.0</v>
      </c>
      <c r="C1965" s="62" t="s">
        <v>112</v>
      </c>
      <c r="D1965" s="64">
        <v>0.0</v>
      </c>
      <c r="E1965" s="62" t="s">
        <v>109</v>
      </c>
      <c r="F1965" s="62" t="s">
        <v>115</v>
      </c>
      <c r="G1965" s="64" t="s">
        <v>64</v>
      </c>
      <c r="H1965" s="3" t="s">
        <v>150</v>
      </c>
      <c r="I1965" s="65" t="str">
        <f>IFERROR(VLOOKUP(A1965,'3. Call duration'!$A:$C,3,0),"--")</f>
        <v>--</v>
      </c>
      <c r="J1965" s="65" t="str">
        <f t="array" ref="J1965">XLOOKUP(H1965,'2. Matching'!$A$2:$A$39,'2. Matching'!$B$2:$B$39,"--")</f>
        <v>SEO</v>
      </c>
      <c r="K1965" s="65" t="str">
        <f t="shared" si="1"/>
        <v>In</v>
      </c>
    </row>
    <row r="1966">
      <c r="A1966" s="62" t="s">
        <v>2104</v>
      </c>
      <c r="B1966" s="63">
        <v>44348.0</v>
      </c>
      <c r="C1966" s="62" t="s">
        <v>112</v>
      </c>
      <c r="D1966" s="64">
        <v>0.0</v>
      </c>
      <c r="E1966" s="62" t="s">
        <v>109</v>
      </c>
      <c r="F1966" s="62" t="s">
        <v>110</v>
      </c>
      <c r="G1966" s="64" t="s">
        <v>63</v>
      </c>
      <c r="H1966" s="3" t="s">
        <v>124</v>
      </c>
      <c r="I1966" s="65" t="str">
        <f>IFERROR(VLOOKUP(A1966,'3. Call duration'!$A:$C,3,0),"--")</f>
        <v>--</v>
      </c>
      <c r="J1966" s="65" t="str">
        <f t="array" ref="J1966">XLOOKUP(H1966,'2. Matching'!$A$2:$A$39,'2. Matching'!$B$2:$B$39,"--")</f>
        <v>Acquisition</v>
      </c>
      <c r="K1966" s="65" t="str">
        <f t="shared" si="1"/>
        <v>In</v>
      </c>
    </row>
    <row r="1967">
      <c r="A1967" s="62" t="s">
        <v>2105</v>
      </c>
      <c r="B1967" s="63">
        <v>44232.0</v>
      </c>
      <c r="C1967" s="62" t="s">
        <v>112</v>
      </c>
      <c r="D1967" s="64">
        <v>0.0</v>
      </c>
      <c r="E1967" s="62" t="s">
        <v>114</v>
      </c>
      <c r="F1967" s="62" t="s">
        <v>115</v>
      </c>
      <c r="G1967" s="64" t="s">
        <v>64</v>
      </c>
      <c r="H1967" s="3" t="s">
        <v>131</v>
      </c>
      <c r="I1967" s="65" t="str">
        <f>IFERROR(VLOOKUP(A1967,'3. Call duration'!$A:$C,3,0),"--")</f>
        <v>--</v>
      </c>
      <c r="J1967" s="65" t="str">
        <f t="array" ref="J1967">XLOOKUP(H1967,'2. Matching'!$A$2:$A$39,'2. Matching'!$B$2:$B$39,"--")</f>
        <v>Acquisition</v>
      </c>
      <c r="K1967" s="65" t="str">
        <f t="shared" si="1"/>
        <v>In</v>
      </c>
    </row>
    <row r="1968">
      <c r="A1968" s="62" t="s">
        <v>2106</v>
      </c>
      <c r="B1968" s="63">
        <v>44273.0</v>
      </c>
      <c r="C1968" s="62" t="s">
        <v>108</v>
      </c>
      <c r="D1968" s="64">
        <v>0.0</v>
      </c>
      <c r="E1968" s="62" t="s">
        <v>109</v>
      </c>
      <c r="F1968" s="62" t="s">
        <v>115</v>
      </c>
      <c r="G1968" s="64" t="s">
        <v>64</v>
      </c>
      <c r="H1968" s="3" t="s">
        <v>185</v>
      </c>
      <c r="I1968" s="65">
        <f>IFERROR(VLOOKUP(A1968,'3. Call duration'!$A:$C,3,0),"--")</f>
        <v>30.59593017</v>
      </c>
      <c r="J1968" s="65" t="str">
        <f t="array" ref="J1968">XLOOKUP(H1968,'2. Matching'!$A$2:$A$39,'2. Matching'!$B$2:$B$39,"--")</f>
        <v>SEO</v>
      </c>
      <c r="K1968" s="65" t="str">
        <f t="shared" si="1"/>
        <v>In</v>
      </c>
    </row>
    <row r="1969">
      <c r="A1969" s="62" t="s">
        <v>2107</v>
      </c>
      <c r="B1969" s="63">
        <v>44265.0</v>
      </c>
      <c r="C1969" s="62" t="s">
        <v>112</v>
      </c>
      <c r="D1969" s="64">
        <v>0.0</v>
      </c>
      <c r="E1969" s="62" t="s">
        <v>109</v>
      </c>
      <c r="F1969" s="62" t="s">
        <v>115</v>
      </c>
      <c r="G1969" s="64" t="s">
        <v>64</v>
      </c>
      <c r="H1969" s="3" t="s">
        <v>297</v>
      </c>
      <c r="I1969" s="65" t="str">
        <f>IFERROR(VLOOKUP(A1969,'3. Call duration'!$A:$C,3,0),"--")</f>
        <v>--</v>
      </c>
      <c r="J1969" s="65" t="str">
        <f t="array" ref="J1969">XLOOKUP(H1969,'2. Matching'!$A$2:$A$39,'2. Matching'!$B$2:$B$39,"--")</f>
        <v>Farming</v>
      </c>
      <c r="K1969" s="65" t="str">
        <f t="shared" si="1"/>
        <v>In</v>
      </c>
    </row>
    <row r="1970">
      <c r="A1970" s="62" t="s">
        <v>2108</v>
      </c>
      <c r="B1970" s="63">
        <v>44319.0</v>
      </c>
      <c r="C1970" s="62" t="s">
        <v>119</v>
      </c>
      <c r="D1970" s="64">
        <v>47.5</v>
      </c>
      <c r="E1970" s="62" t="s">
        <v>109</v>
      </c>
      <c r="F1970" s="62" t="s">
        <v>110</v>
      </c>
      <c r="G1970" s="64" t="s">
        <v>64</v>
      </c>
      <c r="H1970" s="3" t="s">
        <v>139</v>
      </c>
      <c r="I1970" s="65">
        <f>IFERROR(VLOOKUP(A1970,'3. Call duration'!$A:$C,3,0),"--")</f>
        <v>24.7352151</v>
      </c>
      <c r="J1970" s="65" t="str">
        <f t="array" ref="J1970">XLOOKUP(H1970,'2. Matching'!$A$2:$A$39,'2. Matching'!$B$2:$B$39,"--")</f>
        <v>Acquisition</v>
      </c>
      <c r="K1970" s="65" t="str">
        <f t="shared" si="1"/>
        <v>In</v>
      </c>
    </row>
    <row r="1971">
      <c r="A1971" s="62" t="s">
        <v>2109</v>
      </c>
      <c r="B1971" s="63">
        <v>44328.0</v>
      </c>
      <c r="C1971" s="62" t="s">
        <v>119</v>
      </c>
      <c r="D1971" s="64">
        <v>47.5</v>
      </c>
      <c r="E1971" s="62" t="s">
        <v>109</v>
      </c>
      <c r="F1971" s="62" t="s">
        <v>110</v>
      </c>
      <c r="G1971" s="64" t="s">
        <v>64</v>
      </c>
      <c r="H1971" s="3" t="s">
        <v>116</v>
      </c>
      <c r="I1971" s="65">
        <f>IFERROR(VLOOKUP(A1971,'3. Call duration'!$A:$C,3,0),"--")</f>
        <v>24.77852868</v>
      </c>
      <c r="J1971" s="65" t="str">
        <f t="array" ref="J1971">XLOOKUP(H1971,'2. Matching'!$A$2:$A$39,'2. Matching'!$B$2:$B$39,"--")</f>
        <v>Acquisition</v>
      </c>
      <c r="K1971" s="65" t="str">
        <f t="shared" si="1"/>
        <v>In</v>
      </c>
    </row>
    <row r="1972">
      <c r="A1972" s="62" t="s">
        <v>2110</v>
      </c>
      <c r="B1972" s="63">
        <v>44312.0</v>
      </c>
      <c r="C1972" s="62" t="s">
        <v>112</v>
      </c>
      <c r="D1972" s="64">
        <v>0.0</v>
      </c>
      <c r="E1972" s="62" t="s">
        <v>109</v>
      </c>
      <c r="F1972" s="62" t="s">
        <v>110</v>
      </c>
      <c r="G1972" s="64" t="s">
        <v>64</v>
      </c>
      <c r="H1972" s="3" t="s">
        <v>52</v>
      </c>
      <c r="I1972" s="65" t="str">
        <f>IFERROR(VLOOKUP(A1972,'3. Call duration'!$A:$C,3,0),"--")</f>
        <v>--</v>
      </c>
      <c r="J1972" s="65" t="str">
        <f t="array" ref="J1972">XLOOKUP(H1972,'2. Matching'!$A$2:$A$39,'2. Matching'!$B$2:$B$39,"--")</f>
        <v>Partnerships</v>
      </c>
      <c r="K1972" s="65" t="str">
        <f t="shared" si="1"/>
        <v>In</v>
      </c>
    </row>
    <row r="1973">
      <c r="A1973" s="62" t="s">
        <v>2111</v>
      </c>
      <c r="B1973" s="63">
        <v>44068.0</v>
      </c>
      <c r="C1973" s="62" t="s">
        <v>108</v>
      </c>
      <c r="D1973" s="64">
        <v>0.0</v>
      </c>
      <c r="E1973" s="62" t="s">
        <v>109</v>
      </c>
      <c r="F1973" s="62" t="s">
        <v>115</v>
      </c>
      <c r="G1973" s="64" t="s">
        <v>64</v>
      </c>
      <c r="H1973" s="3" t="s">
        <v>164</v>
      </c>
      <c r="I1973" s="65">
        <f>IFERROR(VLOOKUP(A1973,'3. Call duration'!$A:$C,3,0),"--")</f>
        <v>33.48926953</v>
      </c>
      <c r="J1973" s="65" t="str">
        <f t="array" ref="J1973">XLOOKUP(H1973,'2. Matching'!$A$2:$A$39,'2. Matching'!$B$2:$B$39,"--")</f>
        <v>SEO</v>
      </c>
      <c r="K1973" s="65" t="str">
        <f t="shared" si="1"/>
        <v>In</v>
      </c>
    </row>
    <row r="1974">
      <c r="A1974" s="62" t="s">
        <v>2112</v>
      </c>
      <c r="B1974" s="63">
        <v>44323.0</v>
      </c>
      <c r="C1974" s="62" t="s">
        <v>108</v>
      </c>
      <c r="D1974" s="64">
        <v>0.0</v>
      </c>
      <c r="E1974" s="62" t="s">
        <v>114</v>
      </c>
      <c r="F1974" s="62" t="s">
        <v>115</v>
      </c>
      <c r="G1974" s="64" t="s">
        <v>64</v>
      </c>
      <c r="H1974" s="3" t="s">
        <v>141</v>
      </c>
      <c r="I1974" s="65">
        <f>IFERROR(VLOOKUP(A1974,'3. Call duration'!$A:$C,3,0),"--")</f>
        <v>24.80216374</v>
      </c>
      <c r="J1974" s="65" t="str">
        <f t="array" ref="J1974">XLOOKUP(H1974,'2. Matching'!$A$2:$A$39,'2. Matching'!$B$2:$B$39,"--")</f>
        <v>Acquisition</v>
      </c>
      <c r="K1974" s="65" t="str">
        <f t="shared" si="1"/>
        <v>In</v>
      </c>
    </row>
    <row r="1975">
      <c r="A1975" s="62" t="s">
        <v>2113</v>
      </c>
      <c r="B1975" s="63">
        <v>44233.0</v>
      </c>
      <c r="C1975" s="62" t="s">
        <v>112</v>
      </c>
      <c r="D1975" s="64">
        <v>0.0</v>
      </c>
      <c r="E1975" s="62" t="s">
        <v>109</v>
      </c>
      <c r="F1975" s="62" t="s">
        <v>110</v>
      </c>
      <c r="G1975" s="64" t="s">
        <v>62</v>
      </c>
      <c r="H1975" s="3" t="s">
        <v>286</v>
      </c>
      <c r="I1975" s="65" t="str">
        <f>IFERROR(VLOOKUP(A1975,'3. Call duration'!$A:$C,3,0),"--")</f>
        <v>--</v>
      </c>
      <c r="J1975" s="65" t="str">
        <f t="array" ref="J1975">XLOOKUP(H1975,'2. Matching'!$A$2:$A$39,'2. Matching'!$B$2:$B$39,"--")</f>
        <v>Farming</v>
      </c>
      <c r="K1975" s="65" t="str">
        <f t="shared" si="1"/>
        <v>In</v>
      </c>
    </row>
    <row r="1976">
      <c r="A1976" s="62" t="s">
        <v>2114</v>
      </c>
      <c r="B1976" s="63">
        <v>44076.0</v>
      </c>
      <c r="C1976" s="62" t="s">
        <v>108</v>
      </c>
      <c r="D1976" s="64">
        <v>0.0</v>
      </c>
      <c r="E1976" s="62" t="s">
        <v>109</v>
      </c>
      <c r="F1976" s="62" t="s">
        <v>110</v>
      </c>
      <c r="G1976" s="64" t="s">
        <v>64</v>
      </c>
      <c r="H1976" s="3" t="s">
        <v>139</v>
      </c>
      <c r="I1976" s="65">
        <f>IFERROR(VLOOKUP(A1976,'3. Call duration'!$A:$C,3,0),"--")</f>
        <v>31.33076263</v>
      </c>
      <c r="J1976" s="65" t="str">
        <f t="array" ref="J1976">XLOOKUP(H1976,'2. Matching'!$A$2:$A$39,'2. Matching'!$B$2:$B$39,"--")</f>
        <v>Acquisition</v>
      </c>
      <c r="K1976" s="65" t="str">
        <f t="shared" si="1"/>
        <v>In</v>
      </c>
    </row>
    <row r="1977">
      <c r="A1977" s="62" t="s">
        <v>2115</v>
      </c>
      <c r="B1977" s="63">
        <v>44307.0</v>
      </c>
      <c r="C1977" s="62" t="s">
        <v>112</v>
      </c>
      <c r="D1977" s="64">
        <v>0.0</v>
      </c>
      <c r="E1977" s="62" t="s">
        <v>109</v>
      </c>
      <c r="F1977" s="62" t="s">
        <v>110</v>
      </c>
      <c r="G1977" s="64" t="s">
        <v>64</v>
      </c>
      <c r="H1977" s="3" t="s">
        <v>116</v>
      </c>
      <c r="I1977" s="65" t="str">
        <f>IFERROR(VLOOKUP(A1977,'3. Call duration'!$A:$C,3,0),"--")</f>
        <v>--</v>
      </c>
      <c r="J1977" s="65" t="str">
        <f t="array" ref="J1977">XLOOKUP(H1977,'2. Matching'!$A$2:$A$39,'2. Matching'!$B$2:$B$39,"--")</f>
        <v>Acquisition</v>
      </c>
      <c r="K1977" s="65" t="str">
        <f t="shared" si="1"/>
        <v>In</v>
      </c>
    </row>
    <row r="1978">
      <c r="A1978" s="62" t="s">
        <v>2116</v>
      </c>
      <c r="B1978" s="63">
        <v>44355.0</v>
      </c>
      <c r="C1978" s="62" t="s">
        <v>112</v>
      </c>
      <c r="D1978" s="64">
        <v>0.0</v>
      </c>
      <c r="E1978" s="62" t="s">
        <v>109</v>
      </c>
      <c r="F1978" s="62" t="s">
        <v>110</v>
      </c>
      <c r="G1978" s="64" t="s">
        <v>59</v>
      </c>
      <c r="H1978" s="3" t="s">
        <v>68</v>
      </c>
      <c r="I1978" s="65" t="str">
        <f>IFERROR(VLOOKUP(A1978,'3. Call duration'!$A:$C,3,0),"--")</f>
        <v>--</v>
      </c>
      <c r="J1978" s="65" t="str">
        <f t="array" ref="J1978">XLOOKUP(H1978,'2. Matching'!$A$2:$A$39,'2. Matching'!$B$2:$B$39,"--")</f>
        <v>Acquisition</v>
      </c>
      <c r="K1978" s="65" t="str">
        <f t="shared" si="1"/>
        <v>In</v>
      </c>
    </row>
    <row r="1979">
      <c r="A1979" s="62" t="s">
        <v>2117</v>
      </c>
      <c r="B1979" s="63">
        <v>44342.0</v>
      </c>
      <c r="C1979" s="62" t="s">
        <v>108</v>
      </c>
      <c r="D1979" s="64">
        <v>0.0</v>
      </c>
      <c r="E1979" s="62" t="s">
        <v>109</v>
      </c>
      <c r="F1979" s="62" t="s">
        <v>115</v>
      </c>
      <c r="G1979" s="64" t="s">
        <v>63</v>
      </c>
      <c r="H1979" s="3" t="s">
        <v>128</v>
      </c>
      <c r="I1979" s="65">
        <f>IFERROR(VLOOKUP(A1979,'3. Call duration'!$A:$C,3,0),"--")</f>
        <v>24.80669052</v>
      </c>
      <c r="J1979" s="65" t="str">
        <f t="array" ref="J1979">XLOOKUP(H1979,'2. Matching'!$A$2:$A$39,'2. Matching'!$B$2:$B$39,"--")</f>
        <v>Acquisition</v>
      </c>
      <c r="K1979" s="65" t="str">
        <f t="shared" si="1"/>
        <v>In</v>
      </c>
    </row>
    <row r="1980">
      <c r="A1980" s="62" t="s">
        <v>2118</v>
      </c>
      <c r="B1980" s="63">
        <v>44224.0</v>
      </c>
      <c r="C1980" s="62" t="s">
        <v>112</v>
      </c>
      <c r="D1980" s="64">
        <v>0.0</v>
      </c>
      <c r="E1980" s="62" t="s">
        <v>109</v>
      </c>
      <c r="F1980" s="62" t="s">
        <v>110</v>
      </c>
      <c r="G1980" s="64" t="s">
        <v>62</v>
      </c>
      <c r="H1980" s="3" t="s">
        <v>294</v>
      </c>
      <c r="I1980" s="65" t="str">
        <f>IFERROR(VLOOKUP(A1980,'3. Call duration'!$A:$C,3,0),"--")</f>
        <v>--</v>
      </c>
      <c r="J1980" s="65" t="str">
        <f t="array" ref="J1980">XLOOKUP(H1980,'2. Matching'!$A$2:$A$39,'2. Matching'!$B$2:$B$39,"--")</f>
        <v>Farming</v>
      </c>
      <c r="K1980" s="65" t="str">
        <f t="shared" si="1"/>
        <v>In</v>
      </c>
    </row>
    <row r="1981">
      <c r="A1981" s="62" t="s">
        <v>2119</v>
      </c>
      <c r="B1981" s="63">
        <v>44375.0</v>
      </c>
      <c r="C1981" s="62" t="s">
        <v>112</v>
      </c>
      <c r="D1981" s="64">
        <v>0.0</v>
      </c>
      <c r="E1981" s="62" t="s">
        <v>114</v>
      </c>
      <c r="F1981" s="62" t="s">
        <v>110</v>
      </c>
      <c r="G1981" s="64" t="s">
        <v>64</v>
      </c>
      <c r="H1981" s="3" t="s">
        <v>175</v>
      </c>
      <c r="I1981" s="65" t="str">
        <f>IFERROR(VLOOKUP(A1981,'3. Call duration'!$A:$C,3,0),"--")</f>
        <v>--</v>
      </c>
      <c r="J1981" s="65" t="str">
        <f t="array" ref="J1981">XLOOKUP(H1981,'2. Matching'!$A$2:$A$39,'2. Matching'!$B$2:$B$39,"--")</f>
        <v>SEO</v>
      </c>
      <c r="K1981" s="65" t="str">
        <f t="shared" si="1"/>
        <v>In</v>
      </c>
    </row>
    <row r="1982">
      <c r="A1982" s="62" t="s">
        <v>2120</v>
      </c>
      <c r="B1982" s="63">
        <v>44377.0</v>
      </c>
      <c r="C1982" s="62" t="s">
        <v>108</v>
      </c>
      <c r="D1982" s="64">
        <v>0.0</v>
      </c>
      <c r="E1982" s="62" t="s">
        <v>109</v>
      </c>
      <c r="F1982" s="62" t="s">
        <v>110</v>
      </c>
      <c r="G1982" s="64" t="s">
        <v>60</v>
      </c>
      <c r="H1982" s="3" t="s">
        <v>67</v>
      </c>
      <c r="I1982" s="65">
        <f>IFERROR(VLOOKUP(A1982,'3. Call duration'!$A:$C,3,0),"--")</f>
        <v>33.48303017</v>
      </c>
      <c r="J1982" s="65" t="str">
        <f t="array" ref="J1982">XLOOKUP(H1982,'2. Matching'!$A$2:$A$39,'2. Matching'!$B$2:$B$39,"--")</f>
        <v>Acquisition</v>
      </c>
      <c r="K1982" s="65" t="str">
        <f t="shared" si="1"/>
        <v>In</v>
      </c>
    </row>
    <row r="1983">
      <c r="A1983" s="62" t="s">
        <v>2121</v>
      </c>
      <c r="B1983" s="63">
        <v>44368.0</v>
      </c>
      <c r="C1983" s="62" t="s">
        <v>112</v>
      </c>
      <c r="D1983" s="64">
        <v>0.0</v>
      </c>
      <c r="E1983" s="62" t="s">
        <v>109</v>
      </c>
      <c r="F1983" s="62" t="s">
        <v>110</v>
      </c>
      <c r="G1983" s="64" t="s">
        <v>60</v>
      </c>
      <c r="H1983" s="3" t="s">
        <v>67</v>
      </c>
      <c r="I1983" s="65" t="str">
        <f>IFERROR(VLOOKUP(A1983,'3. Call duration'!$A:$C,3,0),"--")</f>
        <v>--</v>
      </c>
      <c r="J1983" s="65" t="str">
        <f t="array" ref="J1983">XLOOKUP(H1983,'2. Matching'!$A$2:$A$39,'2. Matching'!$B$2:$B$39,"--")</f>
        <v>Acquisition</v>
      </c>
      <c r="K1983" s="65" t="str">
        <f t="shared" si="1"/>
        <v>In</v>
      </c>
    </row>
    <row r="1984">
      <c r="A1984" s="62" t="s">
        <v>2122</v>
      </c>
      <c r="B1984" s="63">
        <v>44113.0</v>
      </c>
      <c r="C1984" s="62" t="s">
        <v>112</v>
      </c>
      <c r="D1984" s="64">
        <v>0.0</v>
      </c>
      <c r="E1984" s="62" t="s">
        <v>109</v>
      </c>
      <c r="F1984" s="62" t="s">
        <v>115</v>
      </c>
      <c r="G1984" s="64" t="s">
        <v>62</v>
      </c>
      <c r="H1984" s="3" t="s">
        <v>294</v>
      </c>
      <c r="I1984" s="65" t="str">
        <f>IFERROR(VLOOKUP(A1984,'3. Call duration'!$A:$C,3,0),"--")</f>
        <v>--</v>
      </c>
      <c r="J1984" s="65" t="str">
        <f t="array" ref="J1984">XLOOKUP(H1984,'2. Matching'!$A$2:$A$39,'2. Matching'!$B$2:$B$39,"--")</f>
        <v>Farming</v>
      </c>
      <c r="K1984" s="65" t="str">
        <f t="shared" si="1"/>
        <v>In</v>
      </c>
    </row>
    <row r="1985">
      <c r="A1985" s="62" t="s">
        <v>2123</v>
      </c>
      <c r="B1985" s="63">
        <v>44375.0</v>
      </c>
      <c r="C1985" s="62" t="s">
        <v>108</v>
      </c>
      <c r="D1985" s="64">
        <v>0.0</v>
      </c>
      <c r="E1985" s="62" t="s">
        <v>114</v>
      </c>
      <c r="F1985" s="62" t="s">
        <v>115</v>
      </c>
      <c r="G1985" s="64" t="s">
        <v>64</v>
      </c>
      <c r="H1985" s="3" t="s">
        <v>221</v>
      </c>
      <c r="I1985" s="65">
        <f>IFERROR(VLOOKUP(A1985,'3. Call duration'!$A:$C,3,0),"--")</f>
        <v>12.75699087</v>
      </c>
      <c r="J1985" s="65" t="str">
        <f t="array" ref="J1985">XLOOKUP(H1985,'2. Matching'!$A$2:$A$39,'2. Matching'!$B$2:$B$39,"--")</f>
        <v>Farming</v>
      </c>
      <c r="K1985" s="65" t="str">
        <f t="shared" si="1"/>
        <v>In</v>
      </c>
    </row>
    <row r="1986">
      <c r="A1986" s="62" t="s">
        <v>2124</v>
      </c>
      <c r="B1986" s="63">
        <v>44326.0</v>
      </c>
      <c r="C1986" s="62" t="s">
        <v>119</v>
      </c>
      <c r="D1986" s="64">
        <v>47.5</v>
      </c>
      <c r="E1986" s="62" t="s">
        <v>109</v>
      </c>
      <c r="F1986" s="62" t="s">
        <v>115</v>
      </c>
      <c r="G1986" s="64" t="s">
        <v>64</v>
      </c>
      <c r="H1986" s="3" t="s">
        <v>155</v>
      </c>
      <c r="I1986" s="65">
        <f>IFERROR(VLOOKUP(A1986,'3. Call duration'!$A:$C,3,0),"--")</f>
        <v>24.84016752</v>
      </c>
      <c r="J1986" s="65" t="str">
        <f t="array" ref="J1986">XLOOKUP(H1986,'2. Matching'!$A$2:$A$39,'2. Matching'!$B$2:$B$39,"--")</f>
        <v>SEO</v>
      </c>
      <c r="K1986" s="65" t="str">
        <f t="shared" si="1"/>
        <v>In</v>
      </c>
    </row>
    <row r="1987">
      <c r="A1987" s="62" t="s">
        <v>2125</v>
      </c>
      <c r="B1987" s="63">
        <v>44238.0</v>
      </c>
      <c r="C1987" s="62" t="s">
        <v>112</v>
      </c>
      <c r="D1987" s="64">
        <v>0.0</v>
      </c>
      <c r="E1987" s="62" t="s">
        <v>109</v>
      </c>
      <c r="F1987" s="62" t="s">
        <v>110</v>
      </c>
      <c r="G1987" s="64" t="s">
        <v>64</v>
      </c>
      <c r="H1987" s="3" t="s">
        <v>141</v>
      </c>
      <c r="I1987" s="65" t="str">
        <f>IFERROR(VLOOKUP(A1987,'3. Call duration'!$A:$C,3,0),"--")</f>
        <v>--</v>
      </c>
      <c r="J1987" s="65" t="str">
        <f t="array" ref="J1987">XLOOKUP(H1987,'2. Matching'!$A$2:$A$39,'2. Matching'!$B$2:$B$39,"--")</f>
        <v>Acquisition</v>
      </c>
      <c r="K1987" s="65" t="str">
        <f t="shared" si="1"/>
        <v>In</v>
      </c>
    </row>
    <row r="1988">
      <c r="A1988" s="62" t="s">
        <v>2126</v>
      </c>
      <c r="B1988" s="63">
        <v>44223.0</v>
      </c>
      <c r="C1988" s="62" t="s">
        <v>112</v>
      </c>
      <c r="D1988" s="64">
        <v>0.0</v>
      </c>
      <c r="E1988" s="62" t="s">
        <v>109</v>
      </c>
      <c r="F1988" s="62" t="s">
        <v>110</v>
      </c>
      <c r="G1988" s="64" t="s">
        <v>64</v>
      </c>
      <c r="H1988" s="3" t="s">
        <v>169</v>
      </c>
      <c r="I1988" s="65" t="str">
        <f>IFERROR(VLOOKUP(A1988,'3. Call duration'!$A:$C,3,0),"--")</f>
        <v>--</v>
      </c>
      <c r="J1988" s="65" t="str">
        <f t="array" ref="J1988">XLOOKUP(H1988,'2. Matching'!$A$2:$A$39,'2. Matching'!$B$2:$B$39,"--")</f>
        <v>SEO</v>
      </c>
      <c r="K1988" s="65" t="str">
        <f t="shared" si="1"/>
        <v>In</v>
      </c>
    </row>
    <row r="1989">
      <c r="A1989" s="62" t="s">
        <v>2127</v>
      </c>
      <c r="B1989" s="63">
        <v>44343.0</v>
      </c>
      <c r="C1989" s="62" t="s">
        <v>119</v>
      </c>
      <c r="D1989" s="64">
        <v>47.5</v>
      </c>
      <c r="E1989" s="62" t="s">
        <v>109</v>
      </c>
      <c r="F1989" s="62" t="s">
        <v>110</v>
      </c>
      <c r="G1989" s="64" t="s">
        <v>63</v>
      </c>
      <c r="H1989" s="3" t="s">
        <v>183</v>
      </c>
      <c r="I1989" s="65">
        <f>IFERROR(VLOOKUP(A1989,'3. Call duration'!$A:$C,3,0),"--")</f>
        <v>24.85811905</v>
      </c>
      <c r="J1989" s="65" t="str">
        <f t="array" ref="J1989">XLOOKUP(H1989,'2. Matching'!$A$2:$A$39,'2. Matching'!$B$2:$B$39,"--")</f>
        <v>SEO</v>
      </c>
      <c r="K1989" s="65" t="str">
        <f t="shared" si="1"/>
        <v>In</v>
      </c>
    </row>
    <row r="1990">
      <c r="A1990" s="62" t="s">
        <v>2128</v>
      </c>
      <c r="B1990" s="63">
        <v>44060.0</v>
      </c>
      <c r="C1990" s="62" t="s">
        <v>112</v>
      </c>
      <c r="D1990" s="64">
        <v>0.0</v>
      </c>
      <c r="E1990" s="62" t="s">
        <v>109</v>
      </c>
      <c r="F1990" s="62" t="s">
        <v>115</v>
      </c>
      <c r="G1990" s="64" t="s">
        <v>64</v>
      </c>
      <c r="H1990" s="3" t="s">
        <v>150</v>
      </c>
      <c r="I1990" s="65" t="str">
        <f>IFERROR(VLOOKUP(A1990,'3. Call duration'!$A:$C,3,0),"--")</f>
        <v>--</v>
      </c>
      <c r="J1990" s="65" t="str">
        <f t="array" ref="J1990">XLOOKUP(H1990,'2. Matching'!$A$2:$A$39,'2. Matching'!$B$2:$B$39,"--")</f>
        <v>SEO</v>
      </c>
      <c r="K1990" s="65" t="str">
        <f t="shared" si="1"/>
        <v>In</v>
      </c>
    </row>
    <row r="1991">
      <c r="A1991" s="62" t="s">
        <v>2129</v>
      </c>
      <c r="B1991" s="63">
        <v>44175.0</v>
      </c>
      <c r="C1991" s="62" t="s">
        <v>112</v>
      </c>
      <c r="D1991" s="64">
        <v>0.0</v>
      </c>
      <c r="E1991" s="62" t="s">
        <v>109</v>
      </c>
      <c r="F1991" s="62" t="s">
        <v>115</v>
      </c>
      <c r="G1991" s="64" t="s">
        <v>64</v>
      </c>
      <c r="H1991" s="3" t="s">
        <v>155</v>
      </c>
      <c r="I1991" s="65" t="str">
        <f>IFERROR(VLOOKUP(A1991,'3. Call duration'!$A:$C,3,0),"--")</f>
        <v>--</v>
      </c>
      <c r="J1991" s="65" t="str">
        <f t="array" ref="J1991">XLOOKUP(H1991,'2. Matching'!$A$2:$A$39,'2. Matching'!$B$2:$B$39,"--")</f>
        <v>SEO</v>
      </c>
      <c r="K1991" s="65" t="str">
        <f t="shared" si="1"/>
        <v>In</v>
      </c>
    </row>
    <row r="1992">
      <c r="A1992" s="62" t="s">
        <v>2130</v>
      </c>
      <c r="B1992" s="63">
        <v>44151.0</v>
      </c>
      <c r="C1992" s="62" t="s">
        <v>112</v>
      </c>
      <c r="D1992" s="64">
        <v>0.0</v>
      </c>
      <c r="E1992" s="62" t="s">
        <v>109</v>
      </c>
      <c r="F1992" s="62" t="s">
        <v>115</v>
      </c>
      <c r="G1992" s="64" t="s">
        <v>64</v>
      </c>
      <c r="H1992" s="3" t="s">
        <v>150</v>
      </c>
      <c r="I1992" s="65" t="str">
        <f>IFERROR(VLOOKUP(A1992,'3. Call duration'!$A:$C,3,0),"--")</f>
        <v>--</v>
      </c>
      <c r="J1992" s="65" t="str">
        <f t="array" ref="J1992">XLOOKUP(H1992,'2. Matching'!$A$2:$A$39,'2. Matching'!$B$2:$B$39,"--")</f>
        <v>SEO</v>
      </c>
      <c r="K1992" s="65" t="str">
        <f t="shared" si="1"/>
        <v>In</v>
      </c>
    </row>
    <row r="1993">
      <c r="A1993" s="62" t="s">
        <v>2131</v>
      </c>
      <c r="B1993" s="63">
        <v>44334.0</v>
      </c>
      <c r="C1993" s="62" t="s">
        <v>119</v>
      </c>
      <c r="D1993" s="64">
        <v>47.5</v>
      </c>
      <c r="E1993" s="62" t="s">
        <v>109</v>
      </c>
      <c r="F1993" s="62" t="s">
        <v>115</v>
      </c>
      <c r="G1993" s="64" t="s">
        <v>64</v>
      </c>
      <c r="H1993" s="3" t="s">
        <v>139</v>
      </c>
      <c r="I1993" s="65">
        <f>IFERROR(VLOOKUP(A1993,'3. Call duration'!$A:$C,3,0),"--")</f>
        <v>24.88191618</v>
      </c>
      <c r="J1993" s="65" t="str">
        <f t="array" ref="J1993">XLOOKUP(H1993,'2. Matching'!$A$2:$A$39,'2. Matching'!$B$2:$B$39,"--")</f>
        <v>Acquisition</v>
      </c>
      <c r="K1993" s="65" t="str">
        <f t="shared" si="1"/>
        <v>In</v>
      </c>
    </row>
    <row r="1994">
      <c r="A1994" s="62" t="s">
        <v>2132</v>
      </c>
      <c r="B1994" s="63">
        <v>44377.0</v>
      </c>
      <c r="C1994" s="62" t="s">
        <v>108</v>
      </c>
      <c r="D1994" s="64">
        <v>0.0</v>
      </c>
      <c r="E1994" s="62" t="s">
        <v>109</v>
      </c>
      <c r="F1994" s="62" t="s">
        <v>110</v>
      </c>
      <c r="G1994" s="64" t="s">
        <v>61</v>
      </c>
      <c r="H1994" s="3" t="s">
        <v>67</v>
      </c>
      <c r="I1994" s="65">
        <f>IFERROR(VLOOKUP(A1994,'3. Call duration'!$A:$C,3,0),"--")</f>
        <v>22.98563272</v>
      </c>
      <c r="J1994" s="65" t="str">
        <f t="array" ref="J1994">XLOOKUP(H1994,'2. Matching'!$A$2:$A$39,'2. Matching'!$B$2:$B$39,"--")</f>
        <v>Acquisition</v>
      </c>
      <c r="K1994" s="65" t="str">
        <f t="shared" si="1"/>
        <v>In</v>
      </c>
    </row>
    <row r="1995">
      <c r="A1995" s="62" t="s">
        <v>2133</v>
      </c>
      <c r="B1995" s="63">
        <v>44218.0</v>
      </c>
      <c r="C1995" s="62" t="s">
        <v>112</v>
      </c>
      <c r="D1995" s="64">
        <v>0.0</v>
      </c>
      <c r="E1995" s="62" t="s">
        <v>109</v>
      </c>
      <c r="F1995" s="62" t="s">
        <v>110</v>
      </c>
      <c r="G1995" s="64" t="s">
        <v>64</v>
      </c>
      <c r="H1995" s="3" t="s">
        <v>116</v>
      </c>
      <c r="I1995" s="65" t="str">
        <f>IFERROR(VLOOKUP(A1995,'3. Call duration'!$A:$C,3,0),"--")</f>
        <v>--</v>
      </c>
      <c r="J1995" s="65" t="str">
        <f t="array" ref="J1995">XLOOKUP(H1995,'2. Matching'!$A$2:$A$39,'2. Matching'!$B$2:$B$39,"--")</f>
        <v>Acquisition</v>
      </c>
      <c r="K1995" s="65" t="str">
        <f t="shared" si="1"/>
        <v>In</v>
      </c>
    </row>
    <row r="1996">
      <c r="A1996" s="62" t="s">
        <v>2134</v>
      </c>
      <c r="B1996" s="63">
        <v>44102.0</v>
      </c>
      <c r="C1996" s="62" t="s">
        <v>108</v>
      </c>
      <c r="D1996" s="64">
        <v>0.0</v>
      </c>
      <c r="E1996" s="62" t="s">
        <v>109</v>
      </c>
      <c r="F1996" s="62" t="s">
        <v>115</v>
      </c>
      <c r="G1996" s="64" t="s">
        <v>64</v>
      </c>
      <c r="H1996" s="3" t="s">
        <v>150</v>
      </c>
      <c r="I1996" s="65">
        <f>IFERROR(VLOOKUP(A1996,'3. Call duration'!$A:$C,3,0),"--")</f>
        <v>20.13349379</v>
      </c>
      <c r="J1996" s="65" t="str">
        <f t="array" ref="J1996">XLOOKUP(H1996,'2. Matching'!$A$2:$A$39,'2. Matching'!$B$2:$B$39,"--")</f>
        <v>SEO</v>
      </c>
      <c r="K1996" s="65" t="str">
        <f t="shared" si="1"/>
        <v>In</v>
      </c>
    </row>
    <row r="1997">
      <c r="A1997" s="62" t="s">
        <v>2135</v>
      </c>
      <c r="B1997" s="63">
        <v>44277.0</v>
      </c>
      <c r="C1997" s="62" t="s">
        <v>112</v>
      </c>
      <c r="D1997" s="64">
        <v>0.0</v>
      </c>
      <c r="E1997" s="62" t="s">
        <v>109</v>
      </c>
      <c r="F1997" s="62" t="s">
        <v>115</v>
      </c>
      <c r="G1997" s="64" t="s">
        <v>64</v>
      </c>
      <c r="H1997" s="3" t="s">
        <v>164</v>
      </c>
      <c r="I1997" s="65" t="str">
        <f>IFERROR(VLOOKUP(A1997,'3. Call duration'!$A:$C,3,0),"--")</f>
        <v>--</v>
      </c>
      <c r="J1997" s="65" t="str">
        <f t="array" ref="J1997">XLOOKUP(H1997,'2. Matching'!$A$2:$A$39,'2. Matching'!$B$2:$B$39,"--")</f>
        <v>SEO</v>
      </c>
      <c r="K1997" s="65" t="str">
        <f t="shared" si="1"/>
        <v>In</v>
      </c>
    </row>
    <row r="1998">
      <c r="A1998" s="62" t="s">
        <v>2136</v>
      </c>
      <c r="B1998" s="63">
        <v>44358.0</v>
      </c>
      <c r="C1998" s="62" t="s">
        <v>112</v>
      </c>
      <c r="D1998" s="64">
        <v>0.0</v>
      </c>
      <c r="E1998" s="62" t="s">
        <v>109</v>
      </c>
      <c r="F1998" s="62" t="s">
        <v>110</v>
      </c>
      <c r="G1998" s="64" t="s">
        <v>59</v>
      </c>
      <c r="H1998" s="3" t="s">
        <v>68</v>
      </c>
      <c r="I1998" s="65" t="str">
        <f>IFERROR(VLOOKUP(A1998,'3. Call duration'!$A:$C,3,0),"--")</f>
        <v>--</v>
      </c>
      <c r="J1998" s="65" t="str">
        <f t="array" ref="J1998">XLOOKUP(H1998,'2. Matching'!$A$2:$A$39,'2. Matching'!$B$2:$B$39,"--")</f>
        <v>Acquisition</v>
      </c>
      <c r="K1998" s="65" t="str">
        <f t="shared" si="1"/>
        <v>In</v>
      </c>
    </row>
    <row r="1999">
      <c r="A1999" s="62" t="s">
        <v>2137</v>
      </c>
      <c r="B1999" s="63">
        <v>44200.0</v>
      </c>
      <c r="C1999" s="62" t="s">
        <v>112</v>
      </c>
      <c r="D1999" s="64">
        <v>0.0</v>
      </c>
      <c r="E1999" s="62" t="s">
        <v>109</v>
      </c>
      <c r="F1999" s="62" t="s">
        <v>115</v>
      </c>
      <c r="G1999" s="64" t="s">
        <v>64</v>
      </c>
      <c r="H1999" s="3" t="s">
        <v>175</v>
      </c>
      <c r="I1999" s="65" t="str">
        <f>IFERROR(VLOOKUP(A1999,'3. Call duration'!$A:$C,3,0),"--")</f>
        <v>--</v>
      </c>
      <c r="J1999" s="65" t="str">
        <f t="array" ref="J1999">XLOOKUP(H1999,'2. Matching'!$A$2:$A$39,'2. Matching'!$B$2:$B$39,"--")</f>
        <v>SEO</v>
      </c>
      <c r="K1999" s="65" t="str">
        <f t="shared" si="1"/>
        <v>In</v>
      </c>
    </row>
    <row r="2000">
      <c r="A2000" s="62" t="s">
        <v>2138</v>
      </c>
      <c r="B2000" s="63">
        <v>44326.0</v>
      </c>
      <c r="C2000" s="62" t="s">
        <v>119</v>
      </c>
      <c r="D2000" s="64">
        <v>95.0</v>
      </c>
      <c r="E2000" s="62" t="s">
        <v>114</v>
      </c>
      <c r="F2000" s="62" t="s">
        <v>110</v>
      </c>
      <c r="G2000" s="64" t="s">
        <v>59</v>
      </c>
      <c r="H2000" s="3" t="s">
        <v>68</v>
      </c>
      <c r="I2000" s="65">
        <f>IFERROR(VLOOKUP(A2000,'3. Call duration'!$A:$C,3,0),"--")</f>
        <v>24.90814115</v>
      </c>
      <c r="J2000" s="65" t="str">
        <f t="array" ref="J2000">XLOOKUP(H2000,'2. Matching'!$A$2:$A$39,'2. Matching'!$B$2:$B$39,"--")</f>
        <v>Acquisition</v>
      </c>
      <c r="K2000" s="65" t="str">
        <f t="shared" si="1"/>
        <v>In</v>
      </c>
    </row>
    <row r="2001">
      <c r="A2001" s="62" t="s">
        <v>2139</v>
      </c>
      <c r="B2001" s="63">
        <v>44281.0</v>
      </c>
      <c r="C2001" s="62" t="s">
        <v>112</v>
      </c>
      <c r="D2001" s="64">
        <v>0.0</v>
      </c>
      <c r="E2001" s="62" t="s">
        <v>114</v>
      </c>
      <c r="F2001" s="62" t="s">
        <v>110</v>
      </c>
      <c r="G2001" s="64" t="s">
        <v>64</v>
      </c>
      <c r="H2001" s="3" t="s">
        <v>297</v>
      </c>
      <c r="I2001" s="65" t="str">
        <f>IFERROR(VLOOKUP(A2001,'3. Call duration'!$A:$C,3,0),"--")</f>
        <v>--</v>
      </c>
      <c r="J2001" s="65" t="str">
        <f t="array" ref="J2001">XLOOKUP(H2001,'2. Matching'!$A$2:$A$39,'2. Matching'!$B$2:$B$39,"--")</f>
        <v>Farming</v>
      </c>
      <c r="K2001" s="65" t="str">
        <f t="shared" si="1"/>
        <v>In</v>
      </c>
    </row>
    <row r="2002">
      <c r="A2002" s="62" t="s">
        <v>2140</v>
      </c>
      <c r="B2002" s="63">
        <v>44284.0</v>
      </c>
      <c r="C2002" s="62" t="s">
        <v>112</v>
      </c>
      <c r="D2002" s="64">
        <v>0.0</v>
      </c>
      <c r="E2002" s="62" t="s">
        <v>109</v>
      </c>
      <c r="F2002" s="62" t="s">
        <v>110</v>
      </c>
      <c r="G2002" s="64" t="s">
        <v>62</v>
      </c>
      <c r="H2002" s="3" t="s">
        <v>203</v>
      </c>
      <c r="I2002" s="65" t="str">
        <f>IFERROR(VLOOKUP(A2002,'3. Call duration'!$A:$C,3,0),"--")</f>
        <v>--</v>
      </c>
      <c r="J2002" s="65" t="str">
        <f t="array" ref="J2002">XLOOKUP(H2002,'2. Matching'!$A$2:$A$39,'2. Matching'!$B$2:$B$39,"--")</f>
        <v>Farming</v>
      </c>
      <c r="K2002" s="65" t="str">
        <f t="shared" si="1"/>
        <v>In</v>
      </c>
    </row>
    <row r="2003">
      <c r="A2003" s="62" t="s">
        <v>2141</v>
      </c>
      <c r="B2003" s="63">
        <v>44071.0</v>
      </c>
      <c r="C2003" s="62" t="s">
        <v>119</v>
      </c>
      <c r="D2003" s="64">
        <v>40.0</v>
      </c>
      <c r="E2003" s="62" t="s">
        <v>109</v>
      </c>
      <c r="F2003" s="62" t="s">
        <v>115</v>
      </c>
      <c r="G2003" s="64" t="s">
        <v>64</v>
      </c>
      <c r="H2003" s="3" t="s">
        <v>139</v>
      </c>
      <c r="I2003" s="65">
        <f>IFERROR(VLOOKUP(A2003,'3. Call duration'!$A:$C,3,0),"--")</f>
        <v>24.33029403</v>
      </c>
      <c r="J2003" s="65" t="str">
        <f t="array" ref="J2003">XLOOKUP(H2003,'2. Matching'!$A$2:$A$39,'2. Matching'!$B$2:$B$39,"--")</f>
        <v>Acquisition</v>
      </c>
      <c r="K2003" s="65" t="str">
        <f t="shared" si="1"/>
        <v>In</v>
      </c>
    </row>
    <row r="2004">
      <c r="A2004" s="62" t="s">
        <v>2142</v>
      </c>
      <c r="B2004" s="63">
        <v>44068.0</v>
      </c>
      <c r="C2004" s="62" t="s">
        <v>119</v>
      </c>
      <c r="D2004" s="64">
        <v>40.0</v>
      </c>
      <c r="E2004" s="62" t="s">
        <v>109</v>
      </c>
      <c r="F2004" s="62" t="s">
        <v>115</v>
      </c>
      <c r="G2004" s="64" t="s">
        <v>64</v>
      </c>
      <c r="H2004" s="3" t="s">
        <v>131</v>
      </c>
      <c r="I2004" s="65">
        <f>IFERROR(VLOOKUP(A2004,'3. Call duration'!$A:$C,3,0),"--")</f>
        <v>26.74705032</v>
      </c>
      <c r="J2004" s="65" t="str">
        <f t="array" ref="J2004">XLOOKUP(H2004,'2. Matching'!$A$2:$A$39,'2. Matching'!$B$2:$B$39,"--")</f>
        <v>Acquisition</v>
      </c>
      <c r="K2004" s="65" t="str">
        <f t="shared" si="1"/>
        <v>In</v>
      </c>
    </row>
    <row r="2005">
      <c r="A2005" s="62" t="s">
        <v>2143</v>
      </c>
      <c r="B2005" s="63">
        <v>44061.0</v>
      </c>
      <c r="C2005" s="62" t="s">
        <v>119</v>
      </c>
      <c r="D2005" s="64">
        <v>40.0</v>
      </c>
      <c r="E2005" s="62" t="s">
        <v>109</v>
      </c>
      <c r="F2005" s="62" t="s">
        <v>115</v>
      </c>
      <c r="G2005" s="64" t="s">
        <v>64</v>
      </c>
      <c r="H2005" s="3" t="s">
        <v>145</v>
      </c>
      <c r="I2005" s="65">
        <f>IFERROR(VLOOKUP(A2005,'3. Call duration'!$A:$C,3,0),"--")</f>
        <v>29.42010992</v>
      </c>
      <c r="J2005" s="65" t="str">
        <f t="array" ref="J2005">XLOOKUP(H2005,'2. Matching'!$A$2:$A$39,'2. Matching'!$B$2:$B$39,"--")</f>
        <v>SEO</v>
      </c>
      <c r="K2005" s="65" t="str">
        <f t="shared" si="1"/>
        <v>In</v>
      </c>
    </row>
    <row r="2006">
      <c r="A2006" s="62" t="s">
        <v>2144</v>
      </c>
      <c r="B2006" s="63">
        <v>44069.0</v>
      </c>
      <c r="C2006" s="62" t="s">
        <v>119</v>
      </c>
      <c r="D2006" s="64">
        <v>40.0</v>
      </c>
      <c r="E2006" s="62" t="s">
        <v>109</v>
      </c>
      <c r="F2006" s="62" t="s">
        <v>115</v>
      </c>
      <c r="G2006" s="64" t="s">
        <v>112</v>
      </c>
      <c r="H2006" s="3"/>
      <c r="I2006" s="65">
        <f>IFERROR(VLOOKUP(A2006,'3. Call duration'!$A:$C,3,0),"--")</f>
        <v>15.71986129</v>
      </c>
      <c r="J2006" s="65" t="str">
        <f t="array" ref="J2006">XLOOKUP(H2006,'2. Matching'!$A$2:$A$39,'2. Matching'!$B$2:$B$39,"--")</f>
        <v>--</v>
      </c>
      <c r="K2006" s="65" t="str">
        <f t="shared" si="1"/>
        <v>In</v>
      </c>
    </row>
    <row r="2007">
      <c r="A2007" s="62" t="s">
        <v>2145</v>
      </c>
      <c r="B2007" s="63">
        <v>44062.0</v>
      </c>
      <c r="C2007" s="62" t="s">
        <v>119</v>
      </c>
      <c r="D2007" s="64">
        <v>40.0</v>
      </c>
      <c r="E2007" s="62" t="s">
        <v>109</v>
      </c>
      <c r="F2007" s="62" t="s">
        <v>115</v>
      </c>
      <c r="G2007" s="64" t="s">
        <v>64</v>
      </c>
      <c r="H2007" s="3" t="s">
        <v>150</v>
      </c>
      <c r="I2007" s="65">
        <f>IFERROR(VLOOKUP(A2007,'3. Call duration'!$A:$C,3,0),"--")</f>
        <v>31.05187002</v>
      </c>
      <c r="J2007" s="65" t="str">
        <f t="array" ref="J2007">XLOOKUP(H2007,'2. Matching'!$A$2:$A$39,'2. Matching'!$B$2:$B$39,"--")</f>
        <v>SEO</v>
      </c>
      <c r="K2007" s="65" t="str">
        <f t="shared" si="1"/>
        <v>In</v>
      </c>
    </row>
    <row r="2008">
      <c r="A2008" s="62" t="s">
        <v>2146</v>
      </c>
      <c r="B2008" s="63">
        <v>44062.0</v>
      </c>
      <c r="C2008" s="62" t="s">
        <v>119</v>
      </c>
      <c r="D2008" s="64">
        <v>40.0</v>
      </c>
      <c r="E2008" s="62" t="s">
        <v>109</v>
      </c>
      <c r="F2008" s="62" t="s">
        <v>115</v>
      </c>
      <c r="G2008" s="64" t="s">
        <v>64</v>
      </c>
      <c r="H2008" s="3" t="s">
        <v>155</v>
      </c>
      <c r="I2008" s="65">
        <f>IFERROR(VLOOKUP(A2008,'3. Call duration'!$A:$C,3,0),"--")</f>
        <v>31.17535783</v>
      </c>
      <c r="J2008" s="65" t="str">
        <f t="array" ref="J2008">XLOOKUP(H2008,'2. Matching'!$A$2:$A$39,'2. Matching'!$B$2:$B$39,"--")</f>
        <v>SEO</v>
      </c>
      <c r="K2008" s="65" t="str">
        <f t="shared" si="1"/>
        <v>In</v>
      </c>
    </row>
    <row r="2009">
      <c r="A2009" s="62" t="s">
        <v>2147</v>
      </c>
      <c r="B2009" s="63">
        <v>44069.0</v>
      </c>
      <c r="C2009" s="62" t="s">
        <v>119</v>
      </c>
      <c r="D2009" s="64">
        <v>40.0</v>
      </c>
      <c r="E2009" s="62" t="s">
        <v>109</v>
      </c>
      <c r="F2009" s="62" t="s">
        <v>115</v>
      </c>
      <c r="G2009" s="64" t="s">
        <v>64</v>
      </c>
      <c r="H2009" s="3" t="s">
        <v>139</v>
      </c>
      <c r="I2009" s="65">
        <f>IFERROR(VLOOKUP(A2009,'3. Call duration'!$A:$C,3,0),"--")</f>
        <v>29.44627835</v>
      </c>
      <c r="J2009" s="65" t="str">
        <f t="array" ref="J2009">XLOOKUP(H2009,'2. Matching'!$A$2:$A$39,'2. Matching'!$B$2:$B$39,"--")</f>
        <v>Acquisition</v>
      </c>
      <c r="K2009" s="65" t="str">
        <f t="shared" si="1"/>
        <v>In</v>
      </c>
    </row>
    <row r="2010">
      <c r="A2010" s="62" t="s">
        <v>2148</v>
      </c>
      <c r="B2010" s="63">
        <v>44061.0</v>
      </c>
      <c r="C2010" s="62" t="s">
        <v>119</v>
      </c>
      <c r="D2010" s="64">
        <v>40.0</v>
      </c>
      <c r="E2010" s="62" t="s">
        <v>109</v>
      </c>
      <c r="F2010" s="62" t="s">
        <v>115</v>
      </c>
      <c r="G2010" s="64" t="s">
        <v>64</v>
      </c>
      <c r="H2010" s="3" t="s">
        <v>169</v>
      </c>
      <c r="I2010" s="65">
        <f>IFERROR(VLOOKUP(A2010,'3. Call duration'!$A:$C,3,0),"--")</f>
        <v>31.6296998</v>
      </c>
      <c r="J2010" s="65" t="str">
        <f t="array" ref="J2010">XLOOKUP(H2010,'2. Matching'!$A$2:$A$39,'2. Matching'!$B$2:$B$39,"--")</f>
        <v>SEO</v>
      </c>
      <c r="K2010" s="65" t="str">
        <f t="shared" si="1"/>
        <v>In</v>
      </c>
    </row>
    <row r="2011">
      <c r="A2011" s="62" t="s">
        <v>2149</v>
      </c>
      <c r="B2011" s="63">
        <v>44071.0</v>
      </c>
      <c r="C2011" s="62" t="s">
        <v>119</v>
      </c>
      <c r="D2011" s="64">
        <v>40.0</v>
      </c>
      <c r="E2011" s="62" t="s">
        <v>109</v>
      </c>
      <c r="F2011" s="62" t="s">
        <v>115</v>
      </c>
      <c r="G2011" s="64" t="s">
        <v>64</v>
      </c>
      <c r="H2011" s="3" t="s">
        <v>164</v>
      </c>
      <c r="I2011" s="65">
        <f>IFERROR(VLOOKUP(A2011,'3. Call duration'!$A:$C,3,0),"--")</f>
        <v>30.18761303</v>
      </c>
      <c r="J2011" s="65" t="str">
        <f t="array" ref="J2011">XLOOKUP(H2011,'2. Matching'!$A$2:$A$39,'2. Matching'!$B$2:$B$39,"--")</f>
        <v>SEO</v>
      </c>
      <c r="K2011" s="65" t="str">
        <f t="shared" si="1"/>
        <v>In</v>
      </c>
    </row>
    <row r="2012">
      <c r="A2012" s="62" t="s">
        <v>2150</v>
      </c>
      <c r="B2012" s="63">
        <v>44074.0</v>
      </c>
      <c r="C2012" s="62" t="s">
        <v>119</v>
      </c>
      <c r="D2012" s="64">
        <v>40.0</v>
      </c>
      <c r="E2012" s="62" t="s">
        <v>109</v>
      </c>
      <c r="F2012" s="62" t="s">
        <v>115</v>
      </c>
      <c r="G2012" s="64" t="s">
        <v>64</v>
      </c>
      <c r="H2012" s="3" t="s">
        <v>139</v>
      </c>
      <c r="I2012" s="65">
        <f>IFERROR(VLOOKUP(A2012,'3. Call duration'!$A:$C,3,0),"--")</f>
        <v>31.66096929</v>
      </c>
      <c r="J2012" s="65" t="str">
        <f t="array" ref="J2012">XLOOKUP(H2012,'2. Matching'!$A$2:$A$39,'2. Matching'!$B$2:$B$39,"--")</f>
        <v>Acquisition</v>
      </c>
      <c r="K2012" s="65" t="str">
        <f t="shared" si="1"/>
        <v>In</v>
      </c>
    </row>
    <row r="2013">
      <c r="A2013" s="62" t="s">
        <v>2151</v>
      </c>
      <c r="B2013" s="63">
        <v>44064.0</v>
      </c>
      <c r="C2013" s="62" t="s">
        <v>119</v>
      </c>
      <c r="D2013" s="64">
        <v>40.0</v>
      </c>
      <c r="E2013" s="62" t="s">
        <v>109</v>
      </c>
      <c r="F2013" s="62" t="s">
        <v>115</v>
      </c>
      <c r="G2013" s="64" t="s">
        <v>64</v>
      </c>
      <c r="H2013" s="3" t="s">
        <v>169</v>
      </c>
      <c r="I2013" s="65">
        <f>IFERROR(VLOOKUP(A2013,'3. Call duration'!$A:$C,3,0),"--")</f>
        <v>27.62967686</v>
      </c>
      <c r="J2013" s="65" t="str">
        <f t="array" ref="J2013">XLOOKUP(H2013,'2. Matching'!$A$2:$A$39,'2. Matching'!$B$2:$B$39,"--")</f>
        <v>SEO</v>
      </c>
      <c r="K2013" s="65" t="str">
        <f t="shared" si="1"/>
        <v>In</v>
      </c>
    </row>
    <row r="2014">
      <c r="A2014" s="62" t="s">
        <v>2152</v>
      </c>
      <c r="B2014" s="63">
        <v>44069.0</v>
      </c>
      <c r="C2014" s="62" t="s">
        <v>119</v>
      </c>
      <c r="D2014" s="64">
        <v>40.0</v>
      </c>
      <c r="E2014" s="62" t="s">
        <v>109</v>
      </c>
      <c r="F2014" s="62" t="s">
        <v>115</v>
      </c>
      <c r="G2014" s="64" t="s">
        <v>64</v>
      </c>
      <c r="H2014" s="3" t="s">
        <v>169</v>
      </c>
      <c r="I2014" s="65">
        <f>IFERROR(VLOOKUP(A2014,'3. Call duration'!$A:$C,3,0),"--")</f>
        <v>28.09628758</v>
      </c>
      <c r="J2014" s="65" t="str">
        <f t="array" ref="J2014">XLOOKUP(H2014,'2. Matching'!$A$2:$A$39,'2. Matching'!$B$2:$B$39,"--")</f>
        <v>SEO</v>
      </c>
      <c r="K2014" s="65" t="str">
        <f t="shared" si="1"/>
        <v>In</v>
      </c>
    </row>
    <row r="2015">
      <c r="A2015" s="62" t="s">
        <v>2153</v>
      </c>
      <c r="B2015" s="63">
        <v>44069.0</v>
      </c>
      <c r="C2015" s="62" t="s">
        <v>119</v>
      </c>
      <c r="D2015" s="64">
        <v>40.0</v>
      </c>
      <c r="E2015" s="62" t="s">
        <v>109</v>
      </c>
      <c r="F2015" s="62" t="s">
        <v>115</v>
      </c>
      <c r="G2015" s="64" t="s">
        <v>64</v>
      </c>
      <c r="H2015" s="3" t="s">
        <v>139</v>
      </c>
      <c r="I2015" s="65">
        <f>IFERROR(VLOOKUP(A2015,'3. Call duration'!$A:$C,3,0),"--")</f>
        <v>29.02243685</v>
      </c>
      <c r="J2015" s="65" t="str">
        <f t="array" ref="J2015">XLOOKUP(H2015,'2. Matching'!$A$2:$A$39,'2. Matching'!$B$2:$B$39,"--")</f>
        <v>Acquisition</v>
      </c>
      <c r="K2015" s="65" t="str">
        <f t="shared" si="1"/>
        <v>In</v>
      </c>
    </row>
    <row r="2016">
      <c r="A2016" s="62" t="s">
        <v>2154</v>
      </c>
      <c r="B2016" s="63">
        <v>44072.0</v>
      </c>
      <c r="C2016" s="62" t="s">
        <v>119</v>
      </c>
      <c r="D2016" s="64">
        <v>40.0</v>
      </c>
      <c r="E2016" s="62" t="s">
        <v>109</v>
      </c>
      <c r="F2016" s="62" t="s">
        <v>110</v>
      </c>
      <c r="G2016" s="64" t="s">
        <v>64</v>
      </c>
      <c r="H2016" s="3" t="s">
        <v>235</v>
      </c>
      <c r="I2016" s="65">
        <f>IFERROR(VLOOKUP(A2016,'3. Call duration'!$A:$C,3,0),"--")</f>
        <v>30.20293585</v>
      </c>
      <c r="J2016" s="65" t="str">
        <f t="array" ref="J2016">XLOOKUP(H2016,'2. Matching'!$A$2:$A$39,'2. Matching'!$B$2:$B$39,"--")</f>
        <v>Farming</v>
      </c>
      <c r="K2016" s="65" t="str">
        <f t="shared" si="1"/>
        <v>In</v>
      </c>
    </row>
    <row r="2017">
      <c r="A2017" s="62" t="s">
        <v>2155</v>
      </c>
      <c r="B2017" s="63">
        <v>44062.0</v>
      </c>
      <c r="C2017" s="62" t="s">
        <v>119</v>
      </c>
      <c r="D2017" s="64">
        <v>40.0</v>
      </c>
      <c r="E2017" s="62" t="s">
        <v>109</v>
      </c>
      <c r="F2017" s="62" t="s">
        <v>115</v>
      </c>
      <c r="G2017" s="64" t="s">
        <v>64</v>
      </c>
      <c r="H2017" s="3" t="s">
        <v>131</v>
      </c>
      <c r="I2017" s="65">
        <f>IFERROR(VLOOKUP(A2017,'3. Call duration'!$A:$C,3,0),"--")</f>
        <v>31.20868045</v>
      </c>
      <c r="J2017" s="65" t="str">
        <f t="array" ref="J2017">XLOOKUP(H2017,'2. Matching'!$A$2:$A$39,'2. Matching'!$B$2:$B$39,"--")</f>
        <v>Acquisition</v>
      </c>
      <c r="K2017" s="65" t="str">
        <f t="shared" si="1"/>
        <v>In</v>
      </c>
    </row>
    <row r="2018">
      <c r="A2018" s="62" t="s">
        <v>2156</v>
      </c>
      <c r="B2018" s="63">
        <v>44061.0</v>
      </c>
      <c r="C2018" s="62" t="s">
        <v>119</v>
      </c>
      <c r="D2018" s="64">
        <v>40.0</v>
      </c>
      <c r="E2018" s="62" t="s">
        <v>109</v>
      </c>
      <c r="F2018" s="62" t="s">
        <v>115</v>
      </c>
      <c r="G2018" s="64" t="s">
        <v>64</v>
      </c>
      <c r="H2018" s="3" t="s">
        <v>145</v>
      </c>
      <c r="I2018" s="65" t="str">
        <f>IFERROR(VLOOKUP(A2018,'3. Call duration'!$A:$C,3,0),"--")</f>
        <v>--</v>
      </c>
      <c r="J2018" s="65" t="str">
        <f t="array" ref="J2018">XLOOKUP(H2018,'2. Matching'!$A$2:$A$39,'2. Matching'!$B$2:$B$39,"--")</f>
        <v>SEO</v>
      </c>
      <c r="K2018" s="65" t="str">
        <f t="shared" si="1"/>
        <v>In</v>
      </c>
    </row>
    <row r="2019">
      <c r="A2019" s="62" t="s">
        <v>2157</v>
      </c>
      <c r="B2019" s="63">
        <v>44064.0</v>
      </c>
      <c r="C2019" s="62" t="s">
        <v>119</v>
      </c>
      <c r="D2019" s="64">
        <v>40.0</v>
      </c>
      <c r="E2019" s="62" t="s">
        <v>109</v>
      </c>
      <c r="F2019" s="62" t="s">
        <v>115</v>
      </c>
      <c r="G2019" s="64" t="s">
        <v>64</v>
      </c>
      <c r="H2019" s="3" t="s">
        <v>131</v>
      </c>
      <c r="I2019" s="65">
        <f>IFERROR(VLOOKUP(A2019,'3. Call duration'!$A:$C,3,0),"--")</f>
        <v>32.15997724</v>
      </c>
      <c r="J2019" s="65" t="str">
        <f t="array" ref="J2019">XLOOKUP(H2019,'2. Matching'!$A$2:$A$39,'2. Matching'!$B$2:$B$39,"--")</f>
        <v>Acquisition</v>
      </c>
      <c r="K2019" s="65" t="str">
        <f t="shared" si="1"/>
        <v>In</v>
      </c>
    </row>
    <row r="2020">
      <c r="A2020" s="62" t="s">
        <v>2158</v>
      </c>
      <c r="B2020" s="63">
        <v>44067.0</v>
      </c>
      <c r="C2020" s="62" t="s">
        <v>119</v>
      </c>
      <c r="D2020" s="64">
        <v>40.0</v>
      </c>
      <c r="E2020" s="62" t="s">
        <v>109</v>
      </c>
      <c r="F2020" s="62" t="s">
        <v>115</v>
      </c>
      <c r="G2020" s="64" t="s">
        <v>64</v>
      </c>
      <c r="H2020" s="3" t="s">
        <v>175</v>
      </c>
      <c r="I2020" s="65">
        <f>IFERROR(VLOOKUP(A2020,'3. Call duration'!$A:$C,3,0),"--")</f>
        <v>33.83863274</v>
      </c>
      <c r="J2020" s="65" t="str">
        <f t="array" ref="J2020">XLOOKUP(H2020,'2. Matching'!$A$2:$A$39,'2. Matching'!$B$2:$B$39,"--")</f>
        <v>SEO</v>
      </c>
      <c r="K2020" s="65" t="str">
        <f t="shared" si="1"/>
        <v>In</v>
      </c>
    </row>
    <row r="2021">
      <c r="A2021" s="62" t="s">
        <v>2159</v>
      </c>
      <c r="B2021" s="63">
        <v>44061.0</v>
      </c>
      <c r="C2021" s="62" t="s">
        <v>119</v>
      </c>
      <c r="D2021" s="64">
        <v>40.0</v>
      </c>
      <c r="E2021" s="62" t="s">
        <v>109</v>
      </c>
      <c r="F2021" s="62" t="s">
        <v>115</v>
      </c>
      <c r="G2021" s="64" t="s">
        <v>64</v>
      </c>
      <c r="H2021" s="3" t="s">
        <v>169</v>
      </c>
      <c r="I2021" s="65">
        <f>IFERROR(VLOOKUP(A2021,'3. Call duration'!$A:$C,3,0),"--")</f>
        <v>32.3518894</v>
      </c>
      <c r="J2021" s="65" t="str">
        <f t="array" ref="J2021">XLOOKUP(H2021,'2. Matching'!$A$2:$A$39,'2. Matching'!$B$2:$B$39,"--")</f>
        <v>SEO</v>
      </c>
      <c r="K2021" s="65" t="str">
        <f t="shared" si="1"/>
        <v>In</v>
      </c>
    </row>
    <row r="2022">
      <c r="A2022" s="62" t="s">
        <v>2160</v>
      </c>
      <c r="B2022" s="63">
        <v>44061.0</v>
      </c>
      <c r="C2022" s="62" t="s">
        <v>119</v>
      </c>
      <c r="D2022" s="64">
        <v>40.0</v>
      </c>
      <c r="E2022" s="62" t="s">
        <v>109</v>
      </c>
      <c r="F2022" s="62" t="s">
        <v>115</v>
      </c>
      <c r="G2022" s="64" t="s">
        <v>64</v>
      </c>
      <c r="H2022" s="3" t="s">
        <v>131</v>
      </c>
      <c r="I2022" s="65">
        <f>IFERROR(VLOOKUP(A2022,'3. Call duration'!$A:$C,3,0),"--")</f>
        <v>13.63523266</v>
      </c>
      <c r="J2022" s="65" t="str">
        <f t="array" ref="J2022">XLOOKUP(H2022,'2. Matching'!$A$2:$A$39,'2. Matching'!$B$2:$B$39,"--")</f>
        <v>Acquisition</v>
      </c>
      <c r="K2022" s="65" t="str">
        <f t="shared" si="1"/>
        <v>In</v>
      </c>
    </row>
    <row r="2023">
      <c r="A2023" s="62" t="s">
        <v>2161</v>
      </c>
      <c r="B2023" s="63">
        <v>44060.0</v>
      </c>
      <c r="C2023" s="62" t="s">
        <v>119</v>
      </c>
      <c r="D2023" s="64">
        <v>40.0</v>
      </c>
      <c r="E2023" s="62" t="s">
        <v>109</v>
      </c>
      <c r="F2023" s="62" t="s">
        <v>115</v>
      </c>
      <c r="G2023" s="64" t="s">
        <v>64</v>
      </c>
      <c r="H2023" s="3" t="s">
        <v>155</v>
      </c>
      <c r="I2023" s="65">
        <f>IFERROR(VLOOKUP(A2023,'3. Call duration'!$A:$C,3,0),"--")</f>
        <v>25.87840302</v>
      </c>
      <c r="J2023" s="65" t="str">
        <f t="array" ref="J2023">XLOOKUP(H2023,'2. Matching'!$A$2:$A$39,'2. Matching'!$B$2:$B$39,"--")</f>
        <v>SEO</v>
      </c>
      <c r="K2023" s="65" t="str">
        <f t="shared" si="1"/>
        <v>In</v>
      </c>
    </row>
    <row r="2024">
      <c r="A2024" s="62" t="s">
        <v>2162</v>
      </c>
      <c r="B2024" s="63">
        <v>44068.0</v>
      </c>
      <c r="C2024" s="62" t="s">
        <v>119</v>
      </c>
      <c r="D2024" s="64">
        <v>40.0</v>
      </c>
      <c r="E2024" s="62" t="s">
        <v>109</v>
      </c>
      <c r="F2024" s="62" t="s">
        <v>115</v>
      </c>
      <c r="G2024" s="64" t="s">
        <v>64</v>
      </c>
      <c r="H2024" s="3" t="s">
        <v>139</v>
      </c>
      <c r="I2024" s="65">
        <f>IFERROR(VLOOKUP(A2024,'3. Call duration'!$A:$C,3,0),"--")</f>
        <v>26.66957288</v>
      </c>
      <c r="J2024" s="65" t="str">
        <f t="array" ref="J2024">XLOOKUP(H2024,'2. Matching'!$A$2:$A$39,'2. Matching'!$B$2:$B$39,"--")</f>
        <v>Acquisition</v>
      </c>
      <c r="K2024" s="65" t="str">
        <f t="shared" si="1"/>
        <v>In</v>
      </c>
    </row>
    <row r="2025">
      <c r="A2025" s="62" t="s">
        <v>2163</v>
      </c>
      <c r="B2025" s="63">
        <v>44070.0</v>
      </c>
      <c r="C2025" s="62" t="s">
        <v>119</v>
      </c>
      <c r="D2025" s="64">
        <v>40.0</v>
      </c>
      <c r="E2025" s="62" t="s">
        <v>109</v>
      </c>
      <c r="F2025" s="62" t="s">
        <v>110</v>
      </c>
      <c r="G2025" s="64" t="s">
        <v>64</v>
      </c>
      <c r="H2025" s="3" t="s">
        <v>139</v>
      </c>
      <c r="I2025" s="65">
        <f>IFERROR(VLOOKUP(A2025,'3. Call duration'!$A:$C,3,0),"--")</f>
        <v>28.06973824</v>
      </c>
      <c r="J2025" s="65" t="str">
        <f t="array" ref="J2025">XLOOKUP(H2025,'2. Matching'!$A$2:$A$39,'2. Matching'!$B$2:$B$39,"--")</f>
        <v>Acquisition</v>
      </c>
      <c r="K2025" s="65" t="str">
        <f t="shared" si="1"/>
        <v>In</v>
      </c>
    </row>
    <row r="2026">
      <c r="A2026" s="62" t="s">
        <v>2164</v>
      </c>
      <c r="B2026" s="63">
        <v>44064.0</v>
      </c>
      <c r="C2026" s="62" t="s">
        <v>119</v>
      </c>
      <c r="D2026" s="64">
        <v>40.0</v>
      </c>
      <c r="E2026" s="62" t="s">
        <v>109</v>
      </c>
      <c r="F2026" s="62" t="s">
        <v>115</v>
      </c>
      <c r="G2026" s="64" t="s">
        <v>64</v>
      </c>
      <c r="H2026" s="3" t="s">
        <v>155</v>
      </c>
      <c r="I2026" s="65">
        <f>IFERROR(VLOOKUP(A2026,'3. Call duration'!$A:$C,3,0),"--")</f>
        <v>27.05636729</v>
      </c>
      <c r="J2026" s="65" t="str">
        <f t="array" ref="J2026">XLOOKUP(H2026,'2. Matching'!$A$2:$A$39,'2. Matching'!$B$2:$B$39,"--")</f>
        <v>SEO</v>
      </c>
      <c r="K2026" s="65" t="str">
        <f t="shared" si="1"/>
        <v>In</v>
      </c>
    </row>
    <row r="2027">
      <c r="A2027" s="62" t="s">
        <v>2165</v>
      </c>
      <c r="B2027" s="63">
        <v>44062.0</v>
      </c>
      <c r="C2027" s="62" t="s">
        <v>119</v>
      </c>
      <c r="D2027" s="64">
        <v>40.0</v>
      </c>
      <c r="E2027" s="62" t="s">
        <v>109</v>
      </c>
      <c r="F2027" s="62" t="s">
        <v>115</v>
      </c>
      <c r="G2027" s="64" t="s">
        <v>64</v>
      </c>
      <c r="H2027" s="3" t="s">
        <v>169</v>
      </c>
      <c r="I2027" s="65">
        <f>IFERROR(VLOOKUP(A2027,'3. Call duration'!$A:$C,3,0),"--")</f>
        <v>29.98369786</v>
      </c>
      <c r="J2027" s="65" t="str">
        <f t="array" ref="J2027">XLOOKUP(H2027,'2. Matching'!$A$2:$A$39,'2. Matching'!$B$2:$B$39,"--")</f>
        <v>SEO</v>
      </c>
      <c r="K2027" s="65" t="str">
        <f t="shared" si="1"/>
        <v>In</v>
      </c>
    </row>
    <row r="2028">
      <c r="A2028" s="62" t="s">
        <v>2166</v>
      </c>
      <c r="B2028" s="63">
        <v>44063.0</v>
      </c>
      <c r="C2028" s="62" t="s">
        <v>119</v>
      </c>
      <c r="D2028" s="64">
        <v>40.0</v>
      </c>
      <c r="E2028" s="62" t="s">
        <v>109</v>
      </c>
      <c r="F2028" s="62" t="s">
        <v>115</v>
      </c>
      <c r="G2028" s="64" t="s">
        <v>64</v>
      </c>
      <c r="H2028" s="3" t="s">
        <v>57</v>
      </c>
      <c r="I2028" s="65">
        <f>IFERROR(VLOOKUP(A2028,'3. Call duration'!$A:$C,3,0),"--")</f>
        <v>20.50608248</v>
      </c>
      <c r="J2028" s="65" t="str">
        <f t="array" ref="J2028">XLOOKUP(H2028,'2. Matching'!$A$2:$A$39,'2. Matching'!$B$2:$B$39,"--")</f>
        <v>Partnerships</v>
      </c>
      <c r="K2028" s="65" t="str">
        <f t="shared" si="1"/>
        <v>In</v>
      </c>
    </row>
    <row r="2029">
      <c r="A2029" s="62" t="s">
        <v>2167</v>
      </c>
      <c r="B2029" s="63">
        <v>44063.0</v>
      </c>
      <c r="C2029" s="62" t="s">
        <v>119</v>
      </c>
      <c r="D2029" s="64">
        <v>40.0</v>
      </c>
      <c r="E2029" s="62" t="s">
        <v>109</v>
      </c>
      <c r="F2029" s="62" t="s">
        <v>115</v>
      </c>
      <c r="G2029" s="64" t="s">
        <v>64</v>
      </c>
      <c r="H2029" s="3" t="s">
        <v>57</v>
      </c>
      <c r="I2029" s="65">
        <f>IFERROR(VLOOKUP(A2029,'3. Call duration'!$A:$C,3,0),"--")</f>
        <v>19.12598819</v>
      </c>
      <c r="J2029" s="65" t="str">
        <f t="array" ref="J2029">XLOOKUP(H2029,'2. Matching'!$A$2:$A$39,'2. Matching'!$B$2:$B$39,"--")</f>
        <v>Partnerships</v>
      </c>
      <c r="K2029" s="65" t="str">
        <f t="shared" si="1"/>
        <v>In</v>
      </c>
    </row>
    <row r="2030">
      <c r="A2030" s="62" t="s">
        <v>2168</v>
      </c>
      <c r="B2030" s="63">
        <v>44061.0</v>
      </c>
      <c r="C2030" s="62" t="s">
        <v>119</v>
      </c>
      <c r="D2030" s="64">
        <v>40.0</v>
      </c>
      <c r="E2030" s="62" t="s">
        <v>109</v>
      </c>
      <c r="F2030" s="62" t="s">
        <v>115</v>
      </c>
      <c r="G2030" s="64" t="s">
        <v>64</v>
      </c>
      <c r="H2030" s="3" t="s">
        <v>175</v>
      </c>
      <c r="I2030" s="65">
        <f>IFERROR(VLOOKUP(A2030,'3. Call duration'!$A:$C,3,0),"--")</f>
        <v>28.53063757</v>
      </c>
      <c r="J2030" s="65" t="str">
        <f t="array" ref="J2030">XLOOKUP(H2030,'2. Matching'!$A$2:$A$39,'2. Matching'!$B$2:$B$39,"--")</f>
        <v>SEO</v>
      </c>
      <c r="K2030" s="65" t="str">
        <f t="shared" si="1"/>
        <v>In</v>
      </c>
    </row>
    <row r="2031">
      <c r="A2031" s="62" t="s">
        <v>2169</v>
      </c>
      <c r="B2031" s="63">
        <v>44067.0</v>
      </c>
      <c r="C2031" s="62" t="s">
        <v>119</v>
      </c>
      <c r="D2031" s="64">
        <v>40.0</v>
      </c>
      <c r="E2031" s="62" t="s">
        <v>109</v>
      </c>
      <c r="F2031" s="62" t="s">
        <v>115</v>
      </c>
      <c r="G2031" s="64" t="s">
        <v>64</v>
      </c>
      <c r="H2031" s="3" t="s">
        <v>145</v>
      </c>
      <c r="I2031" s="65">
        <f>IFERROR(VLOOKUP(A2031,'3. Call duration'!$A:$C,3,0),"--")</f>
        <v>27.49368066</v>
      </c>
      <c r="J2031" s="65" t="str">
        <f t="array" ref="J2031">XLOOKUP(H2031,'2. Matching'!$A$2:$A$39,'2. Matching'!$B$2:$B$39,"--")</f>
        <v>SEO</v>
      </c>
      <c r="K2031" s="65" t="str">
        <f t="shared" si="1"/>
        <v>In</v>
      </c>
    </row>
    <row r="2032">
      <c r="A2032" s="62" t="s">
        <v>2170</v>
      </c>
      <c r="B2032" s="63">
        <v>44062.0</v>
      </c>
      <c r="C2032" s="62" t="s">
        <v>119</v>
      </c>
      <c r="D2032" s="64">
        <v>40.0</v>
      </c>
      <c r="E2032" s="62" t="s">
        <v>109</v>
      </c>
      <c r="F2032" s="62" t="s">
        <v>115</v>
      </c>
      <c r="G2032" s="64" t="s">
        <v>64</v>
      </c>
      <c r="H2032" s="3" t="s">
        <v>235</v>
      </c>
      <c r="I2032" s="65">
        <f>IFERROR(VLOOKUP(A2032,'3. Call duration'!$A:$C,3,0),"--")</f>
        <v>24.6293458</v>
      </c>
      <c r="J2032" s="65" t="str">
        <f t="array" ref="J2032">XLOOKUP(H2032,'2. Matching'!$A$2:$A$39,'2. Matching'!$B$2:$B$39,"--")</f>
        <v>Farming</v>
      </c>
      <c r="K2032" s="65" t="str">
        <f t="shared" si="1"/>
        <v>In</v>
      </c>
    </row>
    <row r="2033">
      <c r="A2033" s="62" t="s">
        <v>2171</v>
      </c>
      <c r="B2033" s="63">
        <v>44062.0</v>
      </c>
      <c r="C2033" s="62" t="s">
        <v>119</v>
      </c>
      <c r="D2033" s="64">
        <v>40.0</v>
      </c>
      <c r="E2033" s="62" t="s">
        <v>109</v>
      </c>
      <c r="F2033" s="62" t="s">
        <v>115</v>
      </c>
      <c r="G2033" s="64" t="s">
        <v>64</v>
      </c>
      <c r="H2033" s="3" t="s">
        <v>175</v>
      </c>
      <c r="I2033" s="65">
        <f>IFERROR(VLOOKUP(A2033,'3. Call duration'!$A:$C,3,0),"--")</f>
        <v>24.90631711</v>
      </c>
      <c r="J2033" s="65" t="str">
        <f t="array" ref="J2033">XLOOKUP(H2033,'2. Matching'!$A$2:$A$39,'2. Matching'!$B$2:$B$39,"--")</f>
        <v>SEO</v>
      </c>
      <c r="K2033" s="65" t="str">
        <f t="shared" si="1"/>
        <v>In</v>
      </c>
    </row>
    <row r="2034">
      <c r="A2034" s="62" t="s">
        <v>2172</v>
      </c>
      <c r="B2034" s="63">
        <v>44070.0</v>
      </c>
      <c r="C2034" s="62" t="s">
        <v>119</v>
      </c>
      <c r="D2034" s="64">
        <v>40.0</v>
      </c>
      <c r="E2034" s="62" t="s">
        <v>109</v>
      </c>
      <c r="F2034" s="62" t="s">
        <v>115</v>
      </c>
      <c r="G2034" s="64" t="s">
        <v>64</v>
      </c>
      <c r="H2034" s="3"/>
      <c r="I2034" s="65">
        <f>IFERROR(VLOOKUP(A2034,'3. Call duration'!$A:$C,3,0),"--")</f>
        <v>27.19202361</v>
      </c>
      <c r="J2034" s="65" t="str">
        <f t="array" ref="J2034">XLOOKUP(H2034,'2. Matching'!$A$2:$A$39,'2. Matching'!$B$2:$B$39,"--")</f>
        <v>--</v>
      </c>
      <c r="K2034" s="65" t="str">
        <f t="shared" si="1"/>
        <v>In</v>
      </c>
    </row>
    <row r="2035">
      <c r="A2035" s="62" t="s">
        <v>2173</v>
      </c>
      <c r="B2035" s="63">
        <v>44063.0</v>
      </c>
      <c r="C2035" s="62" t="s">
        <v>119</v>
      </c>
      <c r="D2035" s="64">
        <v>40.0</v>
      </c>
      <c r="E2035" s="62" t="s">
        <v>109</v>
      </c>
      <c r="F2035" s="62" t="s">
        <v>115</v>
      </c>
      <c r="G2035" s="64" t="s">
        <v>64</v>
      </c>
      <c r="H2035" s="3" t="s">
        <v>235</v>
      </c>
      <c r="I2035" s="65">
        <f>IFERROR(VLOOKUP(A2035,'3. Call duration'!$A:$C,3,0),"--")</f>
        <v>33.61621538</v>
      </c>
      <c r="J2035" s="65" t="str">
        <f t="array" ref="J2035">XLOOKUP(H2035,'2. Matching'!$A$2:$A$39,'2. Matching'!$B$2:$B$39,"--")</f>
        <v>Farming</v>
      </c>
      <c r="K2035" s="65" t="str">
        <f t="shared" si="1"/>
        <v>In</v>
      </c>
    </row>
    <row r="2036">
      <c r="A2036" s="62" t="s">
        <v>2174</v>
      </c>
      <c r="B2036" s="63">
        <v>44071.0</v>
      </c>
      <c r="C2036" s="62" t="s">
        <v>119</v>
      </c>
      <c r="D2036" s="64">
        <v>40.0</v>
      </c>
      <c r="E2036" s="62" t="s">
        <v>109</v>
      </c>
      <c r="F2036" s="62" t="s">
        <v>115</v>
      </c>
      <c r="G2036" s="64" t="s">
        <v>64</v>
      </c>
      <c r="H2036" s="3" t="s">
        <v>139</v>
      </c>
      <c r="I2036" s="65">
        <f>IFERROR(VLOOKUP(A2036,'3. Call duration'!$A:$C,3,0),"--")</f>
        <v>24.08799076</v>
      </c>
      <c r="J2036" s="65" t="str">
        <f t="array" ref="J2036">XLOOKUP(H2036,'2. Matching'!$A$2:$A$39,'2. Matching'!$B$2:$B$39,"--")</f>
        <v>Acquisition</v>
      </c>
      <c r="K2036" s="65" t="str">
        <f t="shared" si="1"/>
        <v>In</v>
      </c>
    </row>
    <row r="2037">
      <c r="A2037" s="62" t="s">
        <v>2175</v>
      </c>
      <c r="B2037" s="63">
        <v>44072.0</v>
      </c>
      <c r="C2037" s="62" t="s">
        <v>119</v>
      </c>
      <c r="D2037" s="64">
        <v>40.0</v>
      </c>
      <c r="E2037" s="62" t="s">
        <v>109</v>
      </c>
      <c r="F2037" s="62" t="s">
        <v>115</v>
      </c>
      <c r="G2037" s="64" t="s">
        <v>64</v>
      </c>
      <c r="H2037" s="3" t="s">
        <v>139</v>
      </c>
      <c r="I2037" s="65">
        <f>IFERROR(VLOOKUP(A2037,'3. Call duration'!$A:$C,3,0),"--")</f>
        <v>28.40548153</v>
      </c>
      <c r="J2037" s="65" t="str">
        <f t="array" ref="J2037">XLOOKUP(H2037,'2. Matching'!$A$2:$A$39,'2. Matching'!$B$2:$B$39,"--")</f>
        <v>Acquisition</v>
      </c>
      <c r="K2037" s="65" t="str">
        <f t="shared" si="1"/>
        <v>In</v>
      </c>
    </row>
    <row r="2038">
      <c r="A2038" s="62" t="s">
        <v>2176</v>
      </c>
      <c r="B2038" s="63">
        <v>44062.0</v>
      </c>
      <c r="C2038" s="62" t="s">
        <v>119</v>
      </c>
      <c r="D2038" s="64">
        <v>40.0</v>
      </c>
      <c r="E2038" s="62" t="s">
        <v>109</v>
      </c>
      <c r="F2038" s="62" t="s">
        <v>115</v>
      </c>
      <c r="G2038" s="64" t="s">
        <v>64</v>
      </c>
      <c r="H2038" s="3" t="s">
        <v>150</v>
      </c>
      <c r="I2038" s="65">
        <f>IFERROR(VLOOKUP(A2038,'3. Call duration'!$A:$C,3,0),"--")</f>
        <v>24.22479139</v>
      </c>
      <c r="J2038" s="65" t="str">
        <f t="array" ref="J2038">XLOOKUP(H2038,'2. Matching'!$A$2:$A$39,'2. Matching'!$B$2:$B$39,"--")</f>
        <v>SEO</v>
      </c>
      <c r="K2038" s="65" t="str">
        <f t="shared" si="1"/>
        <v>In</v>
      </c>
    </row>
    <row r="2039">
      <c r="A2039" s="62" t="s">
        <v>2177</v>
      </c>
      <c r="B2039" s="63">
        <v>44072.0</v>
      </c>
      <c r="C2039" s="62" t="s">
        <v>119</v>
      </c>
      <c r="D2039" s="64">
        <v>40.0</v>
      </c>
      <c r="E2039" s="62" t="s">
        <v>109</v>
      </c>
      <c r="F2039" s="62" t="s">
        <v>115</v>
      </c>
      <c r="G2039" s="64" t="s">
        <v>64</v>
      </c>
      <c r="H2039" s="3" t="s">
        <v>139</v>
      </c>
      <c r="I2039" s="65">
        <f>IFERROR(VLOOKUP(A2039,'3. Call duration'!$A:$C,3,0),"--")</f>
        <v>25.14005469</v>
      </c>
      <c r="J2039" s="65" t="str">
        <f t="array" ref="J2039">XLOOKUP(H2039,'2. Matching'!$A$2:$A$39,'2. Matching'!$B$2:$B$39,"--")</f>
        <v>Acquisition</v>
      </c>
      <c r="K2039" s="65" t="str">
        <f t="shared" si="1"/>
        <v>In</v>
      </c>
    </row>
    <row r="2040">
      <c r="A2040" s="62" t="s">
        <v>2178</v>
      </c>
      <c r="B2040" s="63">
        <v>44073.0</v>
      </c>
      <c r="C2040" s="62" t="s">
        <v>119</v>
      </c>
      <c r="D2040" s="64">
        <v>40.0</v>
      </c>
      <c r="E2040" s="62" t="s">
        <v>109</v>
      </c>
      <c r="F2040" s="62" t="s">
        <v>115</v>
      </c>
      <c r="G2040" s="64" t="s">
        <v>64</v>
      </c>
      <c r="H2040" s="3" t="s">
        <v>139</v>
      </c>
      <c r="I2040" s="65">
        <f>IFERROR(VLOOKUP(A2040,'3. Call duration'!$A:$C,3,0),"--")</f>
        <v>33.04247082</v>
      </c>
      <c r="J2040" s="65" t="str">
        <f t="array" ref="J2040">XLOOKUP(H2040,'2. Matching'!$A$2:$A$39,'2. Matching'!$B$2:$B$39,"--")</f>
        <v>Acquisition</v>
      </c>
      <c r="K2040" s="65" t="str">
        <f t="shared" si="1"/>
        <v>In</v>
      </c>
    </row>
    <row r="2041">
      <c r="A2041" s="62" t="s">
        <v>2179</v>
      </c>
      <c r="B2041" s="63">
        <v>44063.0</v>
      </c>
      <c r="C2041" s="62" t="s">
        <v>119</v>
      </c>
      <c r="D2041" s="64">
        <v>40.0</v>
      </c>
      <c r="E2041" s="62" t="s">
        <v>109</v>
      </c>
      <c r="F2041" s="62" t="s">
        <v>115</v>
      </c>
      <c r="G2041" s="64" t="s">
        <v>64</v>
      </c>
      <c r="H2041" s="3" t="s">
        <v>164</v>
      </c>
      <c r="I2041" s="65">
        <f>IFERROR(VLOOKUP(A2041,'3. Call duration'!$A:$C,3,0),"--")</f>
        <v>30.29141906</v>
      </c>
      <c r="J2041" s="65" t="str">
        <f t="array" ref="J2041">XLOOKUP(H2041,'2. Matching'!$A$2:$A$39,'2. Matching'!$B$2:$B$39,"--")</f>
        <v>SEO</v>
      </c>
      <c r="K2041" s="65" t="str">
        <f t="shared" si="1"/>
        <v>In</v>
      </c>
    </row>
    <row r="2042">
      <c r="A2042" s="62" t="s">
        <v>2180</v>
      </c>
      <c r="B2042" s="63">
        <v>44070.0</v>
      </c>
      <c r="C2042" s="62" t="s">
        <v>119</v>
      </c>
      <c r="D2042" s="64">
        <v>40.0</v>
      </c>
      <c r="E2042" s="62" t="s">
        <v>109</v>
      </c>
      <c r="F2042" s="62" t="s">
        <v>115</v>
      </c>
      <c r="G2042" s="64" t="s">
        <v>64</v>
      </c>
      <c r="H2042" s="3"/>
      <c r="I2042" s="65">
        <f>IFERROR(VLOOKUP(A2042,'3. Call duration'!$A:$C,3,0),"--")</f>
        <v>32.30977007</v>
      </c>
      <c r="J2042" s="65" t="str">
        <f t="array" ref="J2042">XLOOKUP(H2042,'2. Matching'!$A$2:$A$39,'2. Matching'!$B$2:$B$39,"--")</f>
        <v>--</v>
      </c>
      <c r="K2042" s="65" t="str">
        <f t="shared" si="1"/>
        <v>In</v>
      </c>
    </row>
    <row r="2043">
      <c r="A2043" s="62" t="s">
        <v>2181</v>
      </c>
      <c r="B2043" s="63">
        <v>44060.0</v>
      </c>
      <c r="C2043" s="62" t="s">
        <v>119</v>
      </c>
      <c r="D2043" s="64">
        <v>40.0</v>
      </c>
      <c r="E2043" s="62" t="s">
        <v>109</v>
      </c>
      <c r="F2043" s="62" t="s">
        <v>115</v>
      </c>
      <c r="G2043" s="64" t="s">
        <v>64</v>
      </c>
      <c r="H2043" s="3" t="s">
        <v>131</v>
      </c>
      <c r="I2043" s="65">
        <f>IFERROR(VLOOKUP(A2043,'3. Call duration'!$A:$C,3,0),"--")</f>
        <v>23.05179279</v>
      </c>
      <c r="J2043" s="65" t="str">
        <f t="array" ref="J2043">XLOOKUP(H2043,'2. Matching'!$A$2:$A$39,'2. Matching'!$B$2:$B$39,"--")</f>
        <v>Acquisition</v>
      </c>
      <c r="K2043" s="65" t="str">
        <f t="shared" si="1"/>
        <v>In</v>
      </c>
    </row>
    <row r="2044">
      <c r="A2044" s="62" t="s">
        <v>2182</v>
      </c>
      <c r="B2044" s="63">
        <v>44068.0</v>
      </c>
      <c r="C2044" s="62" t="s">
        <v>119</v>
      </c>
      <c r="D2044" s="64">
        <v>40.0</v>
      </c>
      <c r="E2044" s="62" t="s">
        <v>109</v>
      </c>
      <c r="F2044" s="62" t="s">
        <v>115</v>
      </c>
      <c r="G2044" s="64" t="s">
        <v>64</v>
      </c>
      <c r="H2044" s="3" t="s">
        <v>131</v>
      </c>
      <c r="I2044" s="65">
        <f>IFERROR(VLOOKUP(A2044,'3. Call duration'!$A:$C,3,0),"--")</f>
        <v>11.78727278</v>
      </c>
      <c r="J2044" s="65" t="str">
        <f t="array" ref="J2044">XLOOKUP(H2044,'2. Matching'!$A$2:$A$39,'2. Matching'!$B$2:$B$39,"--")</f>
        <v>Acquisition</v>
      </c>
      <c r="K2044" s="65" t="str">
        <f t="shared" si="1"/>
        <v>In</v>
      </c>
    </row>
    <row r="2045">
      <c r="A2045" s="62" t="s">
        <v>2183</v>
      </c>
      <c r="B2045" s="63">
        <v>44072.0</v>
      </c>
      <c r="C2045" s="62" t="s">
        <v>119</v>
      </c>
      <c r="D2045" s="64">
        <v>40.0</v>
      </c>
      <c r="E2045" s="62" t="s">
        <v>109</v>
      </c>
      <c r="F2045" s="62" t="s">
        <v>115</v>
      </c>
      <c r="G2045" s="64" t="s">
        <v>64</v>
      </c>
      <c r="H2045" s="3" t="s">
        <v>139</v>
      </c>
      <c r="I2045" s="65">
        <f>IFERROR(VLOOKUP(A2045,'3. Call duration'!$A:$C,3,0),"--")</f>
        <v>28.24628022</v>
      </c>
      <c r="J2045" s="65" t="str">
        <f t="array" ref="J2045">XLOOKUP(H2045,'2. Matching'!$A$2:$A$39,'2. Matching'!$B$2:$B$39,"--")</f>
        <v>Acquisition</v>
      </c>
      <c r="K2045" s="65" t="str">
        <f t="shared" si="1"/>
        <v>In</v>
      </c>
    </row>
    <row r="2046">
      <c r="A2046" s="62" t="s">
        <v>2184</v>
      </c>
      <c r="B2046" s="63">
        <v>44070.0</v>
      </c>
      <c r="C2046" s="62" t="s">
        <v>119</v>
      </c>
      <c r="D2046" s="64">
        <v>40.0</v>
      </c>
      <c r="E2046" s="62" t="s">
        <v>109</v>
      </c>
      <c r="F2046" s="62" t="s">
        <v>110</v>
      </c>
      <c r="G2046" s="64" t="s">
        <v>64</v>
      </c>
      <c r="H2046" s="3" t="s">
        <v>131</v>
      </c>
      <c r="I2046" s="65">
        <f>IFERROR(VLOOKUP(A2046,'3. Call duration'!$A:$C,3,0),"--")</f>
        <v>24.61274079</v>
      </c>
      <c r="J2046" s="65" t="str">
        <f t="array" ref="J2046">XLOOKUP(H2046,'2. Matching'!$A$2:$A$39,'2. Matching'!$B$2:$B$39,"--")</f>
        <v>Acquisition</v>
      </c>
      <c r="K2046" s="65" t="str">
        <f t="shared" si="1"/>
        <v>In</v>
      </c>
    </row>
    <row r="2047">
      <c r="A2047" s="62" t="s">
        <v>2185</v>
      </c>
      <c r="B2047" s="63">
        <v>44063.0</v>
      </c>
      <c r="C2047" s="62" t="s">
        <v>119</v>
      </c>
      <c r="D2047" s="64">
        <v>40.0</v>
      </c>
      <c r="E2047" s="62" t="s">
        <v>109</v>
      </c>
      <c r="F2047" s="62" t="s">
        <v>115</v>
      </c>
      <c r="G2047" s="64" t="s">
        <v>64</v>
      </c>
      <c r="H2047" s="3" t="s">
        <v>135</v>
      </c>
      <c r="I2047" s="65">
        <f>IFERROR(VLOOKUP(A2047,'3. Call duration'!$A:$C,3,0),"--")</f>
        <v>13.72162889</v>
      </c>
      <c r="J2047" s="65" t="str">
        <f t="array" ref="J2047">XLOOKUP(H2047,'2. Matching'!$A$2:$A$39,'2. Matching'!$B$2:$B$39,"--")</f>
        <v>Acquisition</v>
      </c>
      <c r="K2047" s="65" t="str">
        <f t="shared" si="1"/>
        <v>In</v>
      </c>
    </row>
    <row r="2048">
      <c r="A2048" s="62" t="s">
        <v>2186</v>
      </c>
      <c r="B2048" s="63">
        <v>44069.0</v>
      </c>
      <c r="C2048" s="62" t="s">
        <v>119</v>
      </c>
      <c r="D2048" s="64">
        <v>40.0</v>
      </c>
      <c r="E2048" s="62" t="s">
        <v>109</v>
      </c>
      <c r="F2048" s="62" t="s">
        <v>115</v>
      </c>
      <c r="G2048" s="64" t="s">
        <v>64</v>
      </c>
      <c r="H2048" s="3" t="s">
        <v>139</v>
      </c>
      <c r="I2048" s="65">
        <f>IFERROR(VLOOKUP(A2048,'3. Call duration'!$A:$C,3,0),"--")</f>
        <v>44.28061834</v>
      </c>
      <c r="J2048" s="65" t="str">
        <f t="array" ref="J2048">XLOOKUP(H2048,'2. Matching'!$A$2:$A$39,'2. Matching'!$B$2:$B$39,"--")</f>
        <v>Acquisition</v>
      </c>
      <c r="K2048" s="65" t="str">
        <f t="shared" si="1"/>
        <v>In</v>
      </c>
    </row>
    <row r="2049">
      <c r="A2049" s="62" t="s">
        <v>2187</v>
      </c>
      <c r="B2049" s="63">
        <v>44063.0</v>
      </c>
      <c r="C2049" s="62" t="s">
        <v>119</v>
      </c>
      <c r="D2049" s="64">
        <v>40.0</v>
      </c>
      <c r="E2049" s="62" t="s">
        <v>109</v>
      </c>
      <c r="F2049" s="62" t="s">
        <v>115</v>
      </c>
      <c r="G2049" s="64" t="s">
        <v>64</v>
      </c>
      <c r="H2049" s="3" t="s">
        <v>145</v>
      </c>
      <c r="I2049" s="65">
        <f>IFERROR(VLOOKUP(A2049,'3. Call duration'!$A:$C,3,0),"--")</f>
        <v>21.57461632</v>
      </c>
      <c r="J2049" s="65" t="str">
        <f t="array" ref="J2049">XLOOKUP(H2049,'2. Matching'!$A$2:$A$39,'2. Matching'!$B$2:$B$39,"--")</f>
        <v>SEO</v>
      </c>
      <c r="K2049" s="65" t="str">
        <f t="shared" si="1"/>
        <v>In</v>
      </c>
    </row>
    <row r="2050">
      <c r="A2050" s="62" t="s">
        <v>2188</v>
      </c>
      <c r="B2050" s="63">
        <v>44064.0</v>
      </c>
      <c r="C2050" s="62" t="s">
        <v>119</v>
      </c>
      <c r="D2050" s="64">
        <v>40.0</v>
      </c>
      <c r="E2050" s="62" t="s">
        <v>109</v>
      </c>
      <c r="F2050" s="62" t="s">
        <v>115</v>
      </c>
      <c r="G2050" s="64" t="s">
        <v>62</v>
      </c>
      <c r="H2050" s="3" t="s">
        <v>286</v>
      </c>
      <c r="I2050" s="65">
        <f>IFERROR(VLOOKUP(A2050,'3. Call duration'!$A:$C,3,0),"--")</f>
        <v>11.51715817</v>
      </c>
      <c r="J2050" s="65" t="str">
        <f t="array" ref="J2050">XLOOKUP(H2050,'2. Matching'!$A$2:$A$39,'2. Matching'!$B$2:$B$39,"--")</f>
        <v>Farming</v>
      </c>
      <c r="K2050" s="65" t="str">
        <f t="shared" si="1"/>
        <v>In</v>
      </c>
    </row>
    <row r="2051">
      <c r="A2051" s="62" t="s">
        <v>2189</v>
      </c>
      <c r="B2051" s="63">
        <v>44061.0</v>
      </c>
      <c r="C2051" s="62" t="s">
        <v>119</v>
      </c>
      <c r="D2051" s="64">
        <v>40.0</v>
      </c>
      <c r="E2051" s="62" t="s">
        <v>109</v>
      </c>
      <c r="F2051" s="62" t="s">
        <v>115</v>
      </c>
      <c r="G2051" s="64" t="s">
        <v>64</v>
      </c>
      <c r="H2051" s="3" t="s">
        <v>169</v>
      </c>
      <c r="I2051" s="65">
        <f>IFERROR(VLOOKUP(A2051,'3. Call duration'!$A:$C,3,0),"--")</f>
        <v>10.59659916</v>
      </c>
      <c r="J2051" s="65" t="str">
        <f t="array" ref="J2051">XLOOKUP(H2051,'2. Matching'!$A$2:$A$39,'2. Matching'!$B$2:$B$39,"--")</f>
        <v>SEO</v>
      </c>
      <c r="K2051" s="65" t="str">
        <f t="shared" si="1"/>
        <v>In</v>
      </c>
    </row>
    <row r="2052">
      <c r="A2052" s="62" t="s">
        <v>2190</v>
      </c>
      <c r="B2052" s="63">
        <v>44062.0</v>
      </c>
      <c r="C2052" s="62" t="s">
        <v>119</v>
      </c>
      <c r="D2052" s="64">
        <v>40.0</v>
      </c>
      <c r="E2052" s="62" t="s">
        <v>109</v>
      </c>
      <c r="F2052" s="62" t="s">
        <v>115</v>
      </c>
      <c r="G2052" s="64" t="s">
        <v>64</v>
      </c>
      <c r="H2052" s="3" t="s">
        <v>145</v>
      </c>
      <c r="I2052" s="65">
        <f>IFERROR(VLOOKUP(A2052,'3. Call duration'!$A:$C,3,0),"--")</f>
        <v>33.45198759</v>
      </c>
      <c r="J2052" s="65" t="str">
        <f t="array" ref="J2052">XLOOKUP(H2052,'2. Matching'!$A$2:$A$39,'2. Matching'!$B$2:$B$39,"--")</f>
        <v>SEO</v>
      </c>
      <c r="K2052" s="65" t="str">
        <f t="shared" si="1"/>
        <v>In</v>
      </c>
    </row>
    <row r="2053">
      <c r="A2053" s="62" t="s">
        <v>2191</v>
      </c>
      <c r="B2053" s="63">
        <v>44063.0</v>
      </c>
      <c r="C2053" s="62" t="s">
        <v>119</v>
      </c>
      <c r="D2053" s="64">
        <v>40.0</v>
      </c>
      <c r="E2053" s="62" t="s">
        <v>109</v>
      </c>
      <c r="F2053" s="62" t="s">
        <v>115</v>
      </c>
      <c r="G2053" s="64" t="s">
        <v>64</v>
      </c>
      <c r="H2053" s="3" t="s">
        <v>131</v>
      </c>
      <c r="I2053" s="65">
        <f>IFERROR(VLOOKUP(A2053,'3. Call duration'!$A:$C,3,0),"--")</f>
        <v>22.86502247</v>
      </c>
      <c r="J2053" s="65" t="str">
        <f t="array" ref="J2053">XLOOKUP(H2053,'2. Matching'!$A$2:$A$39,'2. Matching'!$B$2:$B$39,"--")</f>
        <v>Acquisition</v>
      </c>
      <c r="K2053" s="65" t="str">
        <f t="shared" si="1"/>
        <v>In</v>
      </c>
    </row>
    <row r="2054">
      <c r="A2054" s="62" t="s">
        <v>2192</v>
      </c>
      <c r="B2054" s="63">
        <v>44054.0</v>
      </c>
      <c r="C2054" s="62" t="s">
        <v>119</v>
      </c>
      <c r="D2054" s="64">
        <v>40.0</v>
      </c>
      <c r="E2054" s="62" t="s">
        <v>109</v>
      </c>
      <c r="F2054" s="62" t="s">
        <v>115</v>
      </c>
      <c r="G2054" s="64" t="s">
        <v>64</v>
      </c>
      <c r="H2054" s="3" t="s">
        <v>145</v>
      </c>
      <c r="I2054" s="65" t="str">
        <f>IFERROR(VLOOKUP(A2054,'3. Call duration'!$A:$C,3,0),"--")</f>
        <v>--</v>
      </c>
      <c r="J2054" s="65" t="str">
        <f t="array" ref="J2054">XLOOKUP(H2054,'2. Matching'!$A$2:$A$39,'2. Matching'!$B$2:$B$39,"--")</f>
        <v>SEO</v>
      </c>
      <c r="K2054" s="65" t="str">
        <f t="shared" si="1"/>
        <v>In</v>
      </c>
    </row>
    <row r="2055">
      <c r="A2055" s="62" t="s">
        <v>2193</v>
      </c>
      <c r="B2055" s="63">
        <v>44071.0</v>
      </c>
      <c r="C2055" s="62" t="s">
        <v>119</v>
      </c>
      <c r="D2055" s="64">
        <v>40.0</v>
      </c>
      <c r="E2055" s="62" t="s">
        <v>109</v>
      </c>
      <c r="F2055" s="62" t="s">
        <v>115</v>
      </c>
      <c r="G2055" s="64" t="s">
        <v>64</v>
      </c>
      <c r="H2055" s="3" t="s">
        <v>139</v>
      </c>
      <c r="I2055" s="65">
        <f>IFERROR(VLOOKUP(A2055,'3. Call duration'!$A:$C,3,0),"--")</f>
        <v>26.46997664</v>
      </c>
      <c r="J2055" s="65" t="str">
        <f t="array" ref="J2055">XLOOKUP(H2055,'2. Matching'!$A$2:$A$39,'2. Matching'!$B$2:$B$39,"--")</f>
        <v>Acquisition</v>
      </c>
      <c r="K2055" s="65" t="str">
        <f t="shared" si="1"/>
        <v>In</v>
      </c>
    </row>
    <row r="2056">
      <c r="A2056" s="62" t="s">
        <v>2194</v>
      </c>
      <c r="B2056" s="63">
        <v>44069.0</v>
      </c>
      <c r="C2056" s="62" t="s">
        <v>119</v>
      </c>
      <c r="D2056" s="64">
        <v>40.0</v>
      </c>
      <c r="E2056" s="62" t="s">
        <v>109</v>
      </c>
      <c r="F2056" s="62" t="s">
        <v>115</v>
      </c>
      <c r="G2056" s="64" t="s">
        <v>64</v>
      </c>
      <c r="H2056" s="3" t="s">
        <v>139</v>
      </c>
      <c r="I2056" s="65" t="str">
        <f>IFERROR(VLOOKUP(A2056,'3. Call duration'!$A:$C,3,0),"--")</f>
        <v>--</v>
      </c>
      <c r="J2056" s="65" t="str">
        <f t="array" ref="J2056">XLOOKUP(H2056,'2. Matching'!$A$2:$A$39,'2. Matching'!$B$2:$B$39,"--")</f>
        <v>Acquisition</v>
      </c>
      <c r="K2056" s="65" t="str">
        <f t="shared" si="1"/>
        <v>In</v>
      </c>
    </row>
    <row r="2057">
      <c r="A2057" s="62" t="s">
        <v>2195</v>
      </c>
      <c r="B2057" s="63">
        <v>44071.0</v>
      </c>
      <c r="C2057" s="62" t="s">
        <v>119</v>
      </c>
      <c r="D2057" s="64">
        <v>40.0</v>
      </c>
      <c r="E2057" s="62" t="s">
        <v>109</v>
      </c>
      <c r="F2057" s="62" t="s">
        <v>115</v>
      </c>
      <c r="G2057" s="64" t="s">
        <v>64</v>
      </c>
      <c r="H2057" s="3" t="s">
        <v>139</v>
      </c>
      <c r="I2057" s="65">
        <f>IFERROR(VLOOKUP(A2057,'3. Call duration'!$A:$C,3,0),"--")</f>
        <v>22.46127993</v>
      </c>
      <c r="J2057" s="65" t="str">
        <f t="array" ref="J2057">XLOOKUP(H2057,'2. Matching'!$A$2:$A$39,'2. Matching'!$B$2:$B$39,"--")</f>
        <v>Acquisition</v>
      </c>
      <c r="K2057" s="65" t="str">
        <f t="shared" si="1"/>
        <v>In</v>
      </c>
    </row>
    <row r="2058">
      <c r="A2058" s="62" t="s">
        <v>2196</v>
      </c>
      <c r="B2058" s="63">
        <v>44068.0</v>
      </c>
      <c r="C2058" s="62" t="s">
        <v>119</v>
      </c>
      <c r="D2058" s="64">
        <v>40.0</v>
      </c>
      <c r="E2058" s="62" t="s">
        <v>109</v>
      </c>
      <c r="F2058" s="62" t="s">
        <v>115</v>
      </c>
      <c r="G2058" s="64" t="s">
        <v>64</v>
      </c>
      <c r="H2058" s="3" t="s">
        <v>169</v>
      </c>
      <c r="I2058" s="65">
        <f>IFERROR(VLOOKUP(A2058,'3. Call duration'!$A:$C,3,0),"--")</f>
        <v>38.2671042</v>
      </c>
      <c r="J2058" s="65" t="str">
        <f t="array" ref="J2058">XLOOKUP(H2058,'2. Matching'!$A$2:$A$39,'2. Matching'!$B$2:$B$39,"--")</f>
        <v>SEO</v>
      </c>
      <c r="K2058" s="65" t="str">
        <f t="shared" si="1"/>
        <v>In</v>
      </c>
    </row>
    <row r="2059">
      <c r="A2059" s="62" t="s">
        <v>2197</v>
      </c>
      <c r="B2059" s="63">
        <v>44072.0</v>
      </c>
      <c r="C2059" s="62" t="s">
        <v>119</v>
      </c>
      <c r="D2059" s="64">
        <v>40.0</v>
      </c>
      <c r="E2059" s="62" t="s">
        <v>109</v>
      </c>
      <c r="F2059" s="62" t="s">
        <v>115</v>
      </c>
      <c r="G2059" s="64" t="s">
        <v>64</v>
      </c>
      <c r="H2059" s="3" t="s">
        <v>139</v>
      </c>
      <c r="I2059" s="65">
        <f>IFERROR(VLOOKUP(A2059,'3. Call duration'!$A:$C,3,0),"--")</f>
        <v>23.63864908</v>
      </c>
      <c r="J2059" s="65" t="str">
        <f t="array" ref="J2059">XLOOKUP(H2059,'2. Matching'!$A$2:$A$39,'2. Matching'!$B$2:$B$39,"--")</f>
        <v>Acquisition</v>
      </c>
      <c r="K2059" s="65" t="str">
        <f t="shared" si="1"/>
        <v>In</v>
      </c>
    </row>
    <row r="2060">
      <c r="A2060" s="62" t="s">
        <v>2198</v>
      </c>
      <c r="B2060" s="63">
        <v>44071.0</v>
      </c>
      <c r="C2060" s="62" t="s">
        <v>119</v>
      </c>
      <c r="D2060" s="64">
        <v>40.0</v>
      </c>
      <c r="E2060" s="62" t="s">
        <v>109</v>
      </c>
      <c r="F2060" s="62" t="s">
        <v>115</v>
      </c>
      <c r="G2060" s="64" t="s">
        <v>64</v>
      </c>
      <c r="H2060" s="3" t="s">
        <v>169</v>
      </c>
      <c r="I2060" s="65">
        <f>IFERROR(VLOOKUP(A2060,'3. Call duration'!$A:$C,3,0),"--")</f>
        <v>29.89795207</v>
      </c>
      <c r="J2060" s="65" t="str">
        <f t="array" ref="J2060">XLOOKUP(H2060,'2. Matching'!$A$2:$A$39,'2. Matching'!$B$2:$B$39,"--")</f>
        <v>SEO</v>
      </c>
      <c r="K2060" s="65" t="str">
        <f t="shared" si="1"/>
        <v>In</v>
      </c>
    </row>
    <row r="2061">
      <c r="A2061" s="62" t="s">
        <v>2199</v>
      </c>
      <c r="B2061" s="63">
        <v>44061.0</v>
      </c>
      <c r="C2061" s="62" t="s">
        <v>119</v>
      </c>
      <c r="D2061" s="64">
        <v>40.0</v>
      </c>
      <c r="E2061" s="62" t="s">
        <v>109</v>
      </c>
      <c r="F2061" s="62" t="s">
        <v>115</v>
      </c>
      <c r="G2061" s="64" t="s">
        <v>64</v>
      </c>
      <c r="H2061" s="3" t="s">
        <v>169</v>
      </c>
      <c r="I2061" s="65" t="str">
        <f>IFERROR(VLOOKUP(A2061,'3. Call duration'!$A:$C,3,0),"--")</f>
        <v>--</v>
      </c>
      <c r="J2061" s="65" t="str">
        <f t="array" ref="J2061">XLOOKUP(H2061,'2. Matching'!$A$2:$A$39,'2. Matching'!$B$2:$B$39,"--")</f>
        <v>SEO</v>
      </c>
      <c r="K2061" s="65" t="str">
        <f t="shared" si="1"/>
        <v>In</v>
      </c>
    </row>
    <row r="2062">
      <c r="A2062" s="62" t="s">
        <v>2200</v>
      </c>
      <c r="B2062" s="63">
        <v>44058.0</v>
      </c>
      <c r="C2062" s="62" t="s">
        <v>119</v>
      </c>
      <c r="D2062" s="64">
        <v>40.0</v>
      </c>
      <c r="E2062" s="62" t="s">
        <v>109</v>
      </c>
      <c r="F2062" s="62" t="s">
        <v>115</v>
      </c>
      <c r="G2062" s="64" t="s">
        <v>64</v>
      </c>
      <c r="H2062" s="3" t="s">
        <v>164</v>
      </c>
      <c r="I2062" s="65">
        <f>IFERROR(VLOOKUP(A2062,'3. Call duration'!$A:$C,3,0),"--")</f>
        <v>32.94836695</v>
      </c>
      <c r="J2062" s="65" t="str">
        <f t="array" ref="J2062">XLOOKUP(H2062,'2. Matching'!$A$2:$A$39,'2. Matching'!$B$2:$B$39,"--")</f>
        <v>SEO</v>
      </c>
      <c r="K2062" s="65" t="str">
        <f t="shared" si="1"/>
        <v>In</v>
      </c>
    </row>
    <row r="2063">
      <c r="A2063" s="62" t="s">
        <v>2201</v>
      </c>
      <c r="B2063" s="63">
        <v>44071.0</v>
      </c>
      <c r="C2063" s="62" t="s">
        <v>119</v>
      </c>
      <c r="D2063" s="64">
        <v>40.0</v>
      </c>
      <c r="E2063" s="62" t="s">
        <v>109</v>
      </c>
      <c r="F2063" s="62" t="s">
        <v>115</v>
      </c>
      <c r="G2063" s="64" t="s">
        <v>64</v>
      </c>
      <c r="H2063" s="3" t="s">
        <v>131</v>
      </c>
      <c r="I2063" s="65">
        <f>IFERROR(VLOOKUP(A2063,'3. Call duration'!$A:$C,3,0),"--")</f>
        <v>23.99104324</v>
      </c>
      <c r="J2063" s="65" t="str">
        <f t="array" ref="J2063">XLOOKUP(H2063,'2. Matching'!$A$2:$A$39,'2. Matching'!$B$2:$B$39,"--")</f>
        <v>Acquisition</v>
      </c>
      <c r="K2063" s="65" t="str">
        <f t="shared" si="1"/>
        <v>In</v>
      </c>
    </row>
    <row r="2064">
      <c r="A2064" s="62" t="s">
        <v>2202</v>
      </c>
      <c r="B2064" s="63">
        <v>44063.0</v>
      </c>
      <c r="C2064" s="62" t="s">
        <v>119</v>
      </c>
      <c r="D2064" s="64">
        <v>40.0</v>
      </c>
      <c r="E2064" s="62" t="s">
        <v>109</v>
      </c>
      <c r="F2064" s="62" t="s">
        <v>115</v>
      </c>
      <c r="G2064" s="64" t="s">
        <v>64</v>
      </c>
      <c r="H2064" s="3" t="s">
        <v>131</v>
      </c>
      <c r="I2064" s="65">
        <f>IFERROR(VLOOKUP(A2064,'3. Call duration'!$A:$C,3,0),"--")</f>
        <v>25.13262432</v>
      </c>
      <c r="J2064" s="65" t="str">
        <f t="array" ref="J2064">XLOOKUP(H2064,'2. Matching'!$A$2:$A$39,'2. Matching'!$B$2:$B$39,"--")</f>
        <v>Acquisition</v>
      </c>
      <c r="K2064" s="65" t="str">
        <f t="shared" si="1"/>
        <v>In</v>
      </c>
    </row>
    <row r="2065">
      <c r="A2065" s="62" t="s">
        <v>2203</v>
      </c>
      <c r="B2065" s="63">
        <v>44074.0</v>
      </c>
      <c r="C2065" s="62" t="s">
        <v>119</v>
      </c>
      <c r="D2065" s="64">
        <v>40.0</v>
      </c>
      <c r="E2065" s="62" t="s">
        <v>109</v>
      </c>
      <c r="F2065" s="62" t="s">
        <v>115</v>
      </c>
      <c r="G2065" s="64" t="s">
        <v>64</v>
      </c>
      <c r="H2065" s="3" t="s">
        <v>175</v>
      </c>
      <c r="I2065" s="65">
        <f>IFERROR(VLOOKUP(A2065,'3. Call duration'!$A:$C,3,0),"--")</f>
        <v>31.33775815</v>
      </c>
      <c r="J2065" s="65" t="str">
        <f t="array" ref="J2065">XLOOKUP(H2065,'2. Matching'!$A$2:$A$39,'2. Matching'!$B$2:$B$39,"--")</f>
        <v>SEO</v>
      </c>
      <c r="K2065" s="65" t="str">
        <f t="shared" si="1"/>
        <v>In</v>
      </c>
    </row>
    <row r="2066">
      <c r="A2066" s="62" t="s">
        <v>2204</v>
      </c>
      <c r="B2066" s="63">
        <v>44060.0</v>
      </c>
      <c r="C2066" s="62" t="s">
        <v>119</v>
      </c>
      <c r="D2066" s="64">
        <v>40.0</v>
      </c>
      <c r="E2066" s="62" t="s">
        <v>109</v>
      </c>
      <c r="F2066" s="62" t="s">
        <v>115</v>
      </c>
      <c r="G2066" s="64" t="s">
        <v>64</v>
      </c>
      <c r="H2066" s="3" t="s">
        <v>164</v>
      </c>
      <c r="I2066" s="65">
        <f>IFERROR(VLOOKUP(A2066,'3. Call duration'!$A:$C,3,0),"--")</f>
        <v>33.57560913</v>
      </c>
      <c r="J2066" s="65" t="str">
        <f t="array" ref="J2066">XLOOKUP(H2066,'2. Matching'!$A$2:$A$39,'2. Matching'!$B$2:$B$39,"--")</f>
        <v>SEO</v>
      </c>
      <c r="K2066" s="65" t="str">
        <f t="shared" si="1"/>
        <v>In</v>
      </c>
    </row>
    <row r="2067">
      <c r="A2067" s="62" t="s">
        <v>2205</v>
      </c>
      <c r="B2067" s="63">
        <v>44062.0</v>
      </c>
      <c r="C2067" s="62" t="s">
        <v>119</v>
      </c>
      <c r="D2067" s="64">
        <v>40.0</v>
      </c>
      <c r="E2067" s="62" t="s">
        <v>109</v>
      </c>
      <c r="F2067" s="62" t="s">
        <v>110</v>
      </c>
      <c r="G2067" s="64" t="s">
        <v>64</v>
      </c>
      <c r="H2067" s="3" t="s">
        <v>145</v>
      </c>
      <c r="I2067" s="65">
        <f>IFERROR(VLOOKUP(A2067,'3. Call duration'!$A:$C,3,0),"--")</f>
        <v>20.21109251</v>
      </c>
      <c r="J2067" s="65" t="str">
        <f t="array" ref="J2067">XLOOKUP(H2067,'2. Matching'!$A$2:$A$39,'2. Matching'!$B$2:$B$39,"--")</f>
        <v>SEO</v>
      </c>
      <c r="K2067" s="65" t="str">
        <f t="shared" si="1"/>
        <v>In</v>
      </c>
    </row>
    <row r="2068">
      <c r="A2068" s="62" t="s">
        <v>2206</v>
      </c>
      <c r="B2068" s="63">
        <v>44066.0</v>
      </c>
      <c r="C2068" s="62" t="s">
        <v>119</v>
      </c>
      <c r="D2068" s="64">
        <v>40.0</v>
      </c>
      <c r="E2068" s="62" t="s">
        <v>109</v>
      </c>
      <c r="F2068" s="62" t="s">
        <v>115</v>
      </c>
      <c r="G2068" s="64" t="s">
        <v>64</v>
      </c>
      <c r="H2068" s="3" t="s">
        <v>175</v>
      </c>
      <c r="I2068" s="65">
        <f>IFERROR(VLOOKUP(A2068,'3. Call duration'!$A:$C,3,0),"--")</f>
        <v>33.08992157</v>
      </c>
      <c r="J2068" s="65" t="str">
        <f t="array" ref="J2068">XLOOKUP(H2068,'2. Matching'!$A$2:$A$39,'2. Matching'!$B$2:$B$39,"--")</f>
        <v>SEO</v>
      </c>
      <c r="K2068" s="65" t="str">
        <f t="shared" si="1"/>
        <v>In</v>
      </c>
    </row>
    <row r="2069">
      <c r="A2069" s="62" t="s">
        <v>2207</v>
      </c>
      <c r="B2069" s="63">
        <v>44060.0</v>
      </c>
      <c r="C2069" s="62" t="s">
        <v>119</v>
      </c>
      <c r="D2069" s="64">
        <v>40.0</v>
      </c>
      <c r="E2069" s="62" t="s">
        <v>109</v>
      </c>
      <c r="F2069" s="62" t="s">
        <v>115</v>
      </c>
      <c r="G2069" s="64" t="s">
        <v>64</v>
      </c>
      <c r="H2069" s="3" t="s">
        <v>169</v>
      </c>
      <c r="I2069" s="65">
        <f>IFERROR(VLOOKUP(A2069,'3. Call duration'!$A:$C,3,0),"--")</f>
        <v>29.41398363</v>
      </c>
      <c r="J2069" s="65" t="str">
        <f t="array" ref="J2069">XLOOKUP(H2069,'2. Matching'!$A$2:$A$39,'2. Matching'!$B$2:$B$39,"--")</f>
        <v>SEO</v>
      </c>
      <c r="K2069" s="65" t="str">
        <f t="shared" si="1"/>
        <v>In</v>
      </c>
    </row>
    <row r="2070">
      <c r="A2070" s="62" t="s">
        <v>2208</v>
      </c>
      <c r="B2070" s="63">
        <v>44061.0</v>
      </c>
      <c r="C2070" s="62" t="s">
        <v>119</v>
      </c>
      <c r="D2070" s="64">
        <v>40.0</v>
      </c>
      <c r="E2070" s="62" t="s">
        <v>109</v>
      </c>
      <c r="F2070" s="62" t="s">
        <v>115</v>
      </c>
      <c r="G2070" s="64" t="s">
        <v>64</v>
      </c>
      <c r="H2070" s="3" t="s">
        <v>150</v>
      </c>
      <c r="I2070" s="65">
        <f>IFERROR(VLOOKUP(A2070,'3. Call duration'!$A:$C,3,0),"--")</f>
        <v>32.60111885</v>
      </c>
      <c r="J2070" s="65" t="str">
        <f t="array" ref="J2070">XLOOKUP(H2070,'2. Matching'!$A$2:$A$39,'2. Matching'!$B$2:$B$39,"--")</f>
        <v>SEO</v>
      </c>
      <c r="K2070" s="65" t="str">
        <f t="shared" si="1"/>
        <v>In</v>
      </c>
    </row>
    <row r="2071">
      <c r="A2071" s="62" t="s">
        <v>2209</v>
      </c>
      <c r="B2071" s="63">
        <v>44072.0</v>
      </c>
      <c r="C2071" s="62" t="s">
        <v>119</v>
      </c>
      <c r="D2071" s="64">
        <v>40.0</v>
      </c>
      <c r="E2071" s="62" t="s">
        <v>109</v>
      </c>
      <c r="F2071" s="62" t="s">
        <v>115</v>
      </c>
      <c r="G2071" s="64" t="s">
        <v>62</v>
      </c>
      <c r="H2071" s="3" t="s">
        <v>286</v>
      </c>
      <c r="I2071" s="65">
        <f>IFERROR(VLOOKUP(A2071,'3. Call duration'!$A:$C,3,0),"--")</f>
        <v>29.12748726</v>
      </c>
      <c r="J2071" s="65" t="str">
        <f t="array" ref="J2071">XLOOKUP(H2071,'2. Matching'!$A$2:$A$39,'2. Matching'!$B$2:$B$39,"--")</f>
        <v>Farming</v>
      </c>
      <c r="K2071" s="65" t="str">
        <f t="shared" si="1"/>
        <v>In</v>
      </c>
    </row>
    <row r="2072">
      <c r="A2072" s="62" t="s">
        <v>2210</v>
      </c>
      <c r="B2072" s="63">
        <v>44071.0</v>
      </c>
      <c r="C2072" s="62" t="s">
        <v>119</v>
      </c>
      <c r="D2072" s="64">
        <v>40.0</v>
      </c>
      <c r="E2072" s="62" t="s">
        <v>109</v>
      </c>
      <c r="F2072" s="62" t="s">
        <v>115</v>
      </c>
      <c r="G2072" s="64" t="s">
        <v>64</v>
      </c>
      <c r="H2072" s="3" t="s">
        <v>150</v>
      </c>
      <c r="I2072" s="65">
        <f>IFERROR(VLOOKUP(A2072,'3. Call duration'!$A:$C,3,0),"--")</f>
        <v>20.65806061</v>
      </c>
      <c r="J2072" s="65" t="str">
        <f t="array" ref="J2072">XLOOKUP(H2072,'2. Matching'!$A$2:$A$39,'2. Matching'!$B$2:$B$39,"--")</f>
        <v>SEO</v>
      </c>
      <c r="K2072" s="65" t="str">
        <f t="shared" si="1"/>
        <v>In</v>
      </c>
    </row>
    <row r="2073">
      <c r="A2073" s="62" t="s">
        <v>2211</v>
      </c>
      <c r="B2073" s="63">
        <v>44063.0</v>
      </c>
      <c r="C2073" s="62" t="s">
        <v>119</v>
      </c>
      <c r="D2073" s="64">
        <v>40.0</v>
      </c>
      <c r="E2073" s="62" t="s">
        <v>109</v>
      </c>
      <c r="F2073" s="62" t="s">
        <v>115</v>
      </c>
      <c r="G2073" s="64" t="s">
        <v>64</v>
      </c>
      <c r="H2073" s="3" t="s">
        <v>131</v>
      </c>
      <c r="I2073" s="65">
        <f>IFERROR(VLOOKUP(A2073,'3. Call duration'!$A:$C,3,0),"--")</f>
        <v>10.91058835</v>
      </c>
      <c r="J2073" s="65" t="str">
        <f t="array" ref="J2073">XLOOKUP(H2073,'2. Matching'!$A$2:$A$39,'2. Matching'!$B$2:$B$39,"--")</f>
        <v>Acquisition</v>
      </c>
      <c r="K2073" s="65" t="str">
        <f t="shared" si="1"/>
        <v>In</v>
      </c>
    </row>
    <row r="2074">
      <c r="A2074" s="62" t="s">
        <v>2212</v>
      </c>
      <c r="B2074" s="63">
        <v>44055.0</v>
      </c>
      <c r="C2074" s="62" t="s">
        <v>119</v>
      </c>
      <c r="D2074" s="64">
        <v>40.0</v>
      </c>
      <c r="E2074" s="62" t="s">
        <v>109</v>
      </c>
      <c r="F2074" s="62" t="s">
        <v>115</v>
      </c>
      <c r="G2074" s="64" t="s">
        <v>64</v>
      </c>
      <c r="H2074" s="3" t="s">
        <v>175</v>
      </c>
      <c r="I2074" s="65">
        <f>IFERROR(VLOOKUP(A2074,'3. Call duration'!$A:$C,3,0),"--")</f>
        <v>31.29507289</v>
      </c>
      <c r="J2074" s="65" t="str">
        <f t="array" ref="J2074">XLOOKUP(H2074,'2. Matching'!$A$2:$A$39,'2. Matching'!$B$2:$B$39,"--")</f>
        <v>SEO</v>
      </c>
      <c r="K2074" s="65" t="str">
        <f t="shared" si="1"/>
        <v>In</v>
      </c>
    </row>
    <row r="2075">
      <c r="A2075" s="62" t="s">
        <v>2213</v>
      </c>
      <c r="B2075" s="63">
        <v>44064.0</v>
      </c>
      <c r="C2075" s="62" t="s">
        <v>119</v>
      </c>
      <c r="D2075" s="64">
        <v>40.0</v>
      </c>
      <c r="E2075" s="62" t="s">
        <v>109</v>
      </c>
      <c r="F2075" s="62" t="s">
        <v>115</v>
      </c>
      <c r="G2075" s="64" t="s">
        <v>64</v>
      </c>
      <c r="H2075" s="3" t="s">
        <v>164</v>
      </c>
      <c r="I2075" s="65">
        <f>IFERROR(VLOOKUP(A2075,'3. Call duration'!$A:$C,3,0),"--")</f>
        <v>46.00721189</v>
      </c>
      <c r="J2075" s="65" t="str">
        <f t="array" ref="J2075">XLOOKUP(H2075,'2. Matching'!$A$2:$A$39,'2. Matching'!$B$2:$B$39,"--")</f>
        <v>SEO</v>
      </c>
      <c r="K2075" s="65" t="str">
        <f t="shared" si="1"/>
        <v>In</v>
      </c>
    </row>
    <row r="2076">
      <c r="A2076" s="62" t="s">
        <v>2214</v>
      </c>
      <c r="B2076" s="63">
        <v>44063.0</v>
      </c>
      <c r="C2076" s="62" t="s">
        <v>119</v>
      </c>
      <c r="D2076" s="64">
        <v>40.0</v>
      </c>
      <c r="E2076" s="62" t="s">
        <v>109</v>
      </c>
      <c r="F2076" s="62" t="s">
        <v>115</v>
      </c>
      <c r="G2076" s="64" t="s">
        <v>64</v>
      </c>
      <c r="H2076" s="3" t="s">
        <v>164</v>
      </c>
      <c r="I2076" s="65">
        <f>IFERROR(VLOOKUP(A2076,'3. Call duration'!$A:$C,3,0),"--")</f>
        <v>31.41197292</v>
      </c>
      <c r="J2076" s="65" t="str">
        <f t="array" ref="J2076">XLOOKUP(H2076,'2. Matching'!$A$2:$A$39,'2. Matching'!$B$2:$B$39,"--")</f>
        <v>SEO</v>
      </c>
      <c r="K2076" s="65" t="str">
        <f t="shared" si="1"/>
        <v>In</v>
      </c>
    </row>
    <row r="2077">
      <c r="A2077" s="62" t="s">
        <v>2215</v>
      </c>
      <c r="B2077" s="63">
        <v>44071.0</v>
      </c>
      <c r="C2077" s="62" t="s">
        <v>119</v>
      </c>
      <c r="D2077" s="64">
        <v>40.0</v>
      </c>
      <c r="E2077" s="62" t="s">
        <v>109</v>
      </c>
      <c r="F2077" s="62" t="s">
        <v>115</v>
      </c>
      <c r="G2077" s="64" t="s">
        <v>64</v>
      </c>
      <c r="H2077" s="3" t="s">
        <v>139</v>
      </c>
      <c r="I2077" s="65">
        <f>IFERROR(VLOOKUP(A2077,'3. Call duration'!$A:$C,3,0),"--")</f>
        <v>11.37318134</v>
      </c>
      <c r="J2077" s="65" t="str">
        <f t="array" ref="J2077">XLOOKUP(H2077,'2. Matching'!$A$2:$A$39,'2. Matching'!$B$2:$B$39,"--")</f>
        <v>Acquisition</v>
      </c>
      <c r="K2077" s="65" t="str">
        <f t="shared" si="1"/>
        <v>In</v>
      </c>
    </row>
    <row r="2078">
      <c r="A2078" s="62" t="s">
        <v>2216</v>
      </c>
      <c r="B2078" s="63">
        <v>44063.0</v>
      </c>
      <c r="C2078" s="62" t="s">
        <v>119</v>
      </c>
      <c r="D2078" s="64">
        <v>40.0</v>
      </c>
      <c r="E2078" s="62" t="s">
        <v>109</v>
      </c>
      <c r="F2078" s="62" t="s">
        <v>115</v>
      </c>
      <c r="G2078" s="64" t="s">
        <v>64</v>
      </c>
      <c r="H2078" s="3" t="s">
        <v>131</v>
      </c>
      <c r="I2078" s="65">
        <f>IFERROR(VLOOKUP(A2078,'3. Call duration'!$A:$C,3,0),"--")</f>
        <v>46.76551243</v>
      </c>
      <c r="J2078" s="65" t="str">
        <f t="array" ref="J2078">XLOOKUP(H2078,'2. Matching'!$A$2:$A$39,'2. Matching'!$B$2:$B$39,"--")</f>
        <v>Acquisition</v>
      </c>
      <c r="K2078" s="65" t="str">
        <f t="shared" si="1"/>
        <v>In</v>
      </c>
    </row>
    <row r="2079">
      <c r="A2079" s="62" t="s">
        <v>2217</v>
      </c>
      <c r="B2079" s="63">
        <v>44048.0</v>
      </c>
      <c r="C2079" s="62" t="s">
        <v>119</v>
      </c>
      <c r="D2079" s="64">
        <v>40.0</v>
      </c>
      <c r="E2079" s="62" t="s">
        <v>109</v>
      </c>
      <c r="F2079" s="62" t="s">
        <v>115</v>
      </c>
      <c r="G2079" s="64" t="s">
        <v>64</v>
      </c>
      <c r="H2079" s="3" t="s">
        <v>175</v>
      </c>
      <c r="I2079" s="65">
        <f>IFERROR(VLOOKUP(A2079,'3. Call duration'!$A:$C,3,0),"--")</f>
        <v>42.911975</v>
      </c>
      <c r="J2079" s="65" t="str">
        <f t="array" ref="J2079">XLOOKUP(H2079,'2. Matching'!$A$2:$A$39,'2. Matching'!$B$2:$B$39,"--")</f>
        <v>SEO</v>
      </c>
      <c r="K2079" s="65" t="str">
        <f t="shared" si="1"/>
        <v>In</v>
      </c>
    </row>
    <row r="2080">
      <c r="A2080" s="62" t="s">
        <v>2218</v>
      </c>
      <c r="B2080" s="63">
        <v>44062.0</v>
      </c>
      <c r="C2080" s="62" t="s">
        <v>119</v>
      </c>
      <c r="D2080" s="64">
        <v>40.0</v>
      </c>
      <c r="E2080" s="62" t="s">
        <v>109</v>
      </c>
      <c r="F2080" s="62" t="s">
        <v>115</v>
      </c>
      <c r="G2080" s="64" t="s">
        <v>64</v>
      </c>
      <c r="H2080" s="3" t="s">
        <v>175</v>
      </c>
      <c r="I2080" s="65">
        <f>IFERROR(VLOOKUP(A2080,'3. Call duration'!$A:$C,3,0),"--")</f>
        <v>47.87373017</v>
      </c>
      <c r="J2080" s="65" t="str">
        <f t="array" ref="J2080">XLOOKUP(H2080,'2. Matching'!$A$2:$A$39,'2. Matching'!$B$2:$B$39,"--")</f>
        <v>SEO</v>
      </c>
      <c r="K2080" s="65" t="str">
        <f t="shared" si="1"/>
        <v>In</v>
      </c>
    </row>
    <row r="2081">
      <c r="A2081" s="62" t="s">
        <v>2219</v>
      </c>
      <c r="B2081" s="63">
        <v>44074.0</v>
      </c>
      <c r="C2081" s="62" t="s">
        <v>119</v>
      </c>
      <c r="D2081" s="64">
        <v>40.0</v>
      </c>
      <c r="E2081" s="62" t="s">
        <v>109</v>
      </c>
      <c r="F2081" s="62" t="s">
        <v>115</v>
      </c>
      <c r="G2081" s="64" t="s">
        <v>64</v>
      </c>
      <c r="H2081" s="3" t="s">
        <v>155</v>
      </c>
      <c r="I2081" s="65">
        <f>IFERROR(VLOOKUP(A2081,'3. Call duration'!$A:$C,3,0),"--")</f>
        <v>30.91789774</v>
      </c>
      <c r="J2081" s="65" t="str">
        <f t="array" ref="J2081">XLOOKUP(H2081,'2. Matching'!$A$2:$A$39,'2. Matching'!$B$2:$B$39,"--")</f>
        <v>SEO</v>
      </c>
      <c r="K2081" s="65" t="str">
        <f t="shared" si="1"/>
        <v>In</v>
      </c>
    </row>
    <row r="2082">
      <c r="A2082" s="62" t="s">
        <v>2220</v>
      </c>
      <c r="B2082" s="63">
        <v>44070.0</v>
      </c>
      <c r="C2082" s="62" t="s">
        <v>119</v>
      </c>
      <c r="D2082" s="64">
        <v>40.0</v>
      </c>
      <c r="E2082" s="62" t="s">
        <v>109</v>
      </c>
      <c r="F2082" s="62" t="s">
        <v>115</v>
      </c>
      <c r="G2082" s="64" t="s">
        <v>64</v>
      </c>
      <c r="H2082" s="3" t="s">
        <v>131</v>
      </c>
      <c r="I2082" s="65">
        <f>IFERROR(VLOOKUP(A2082,'3. Call duration'!$A:$C,3,0),"--")</f>
        <v>30.468304</v>
      </c>
      <c r="J2082" s="65" t="str">
        <f t="array" ref="J2082">XLOOKUP(H2082,'2. Matching'!$A$2:$A$39,'2. Matching'!$B$2:$B$39,"--")</f>
        <v>Acquisition</v>
      </c>
      <c r="K2082" s="65" t="str">
        <f t="shared" si="1"/>
        <v>In</v>
      </c>
    </row>
    <row r="2083">
      <c r="A2083" s="62" t="s">
        <v>2221</v>
      </c>
      <c r="B2083" s="63">
        <v>44070.0</v>
      </c>
      <c r="C2083" s="62" t="s">
        <v>119</v>
      </c>
      <c r="D2083" s="64">
        <v>40.0</v>
      </c>
      <c r="E2083" s="62" t="s">
        <v>109</v>
      </c>
      <c r="F2083" s="62" t="s">
        <v>115</v>
      </c>
      <c r="G2083" s="64" t="s">
        <v>64</v>
      </c>
      <c r="H2083" s="3" t="s">
        <v>131</v>
      </c>
      <c r="I2083" s="65">
        <f>IFERROR(VLOOKUP(A2083,'3. Call duration'!$A:$C,3,0),"--")</f>
        <v>31.08721542</v>
      </c>
      <c r="J2083" s="65" t="str">
        <f t="array" ref="J2083">XLOOKUP(H2083,'2. Matching'!$A$2:$A$39,'2. Matching'!$B$2:$B$39,"--")</f>
        <v>Acquisition</v>
      </c>
      <c r="K2083" s="65" t="str">
        <f t="shared" si="1"/>
        <v>In</v>
      </c>
    </row>
    <row r="2084">
      <c r="A2084" s="62" t="s">
        <v>2222</v>
      </c>
      <c r="B2084" s="63">
        <v>44071.0</v>
      </c>
      <c r="C2084" s="62" t="s">
        <v>119</v>
      </c>
      <c r="D2084" s="64">
        <v>40.0</v>
      </c>
      <c r="E2084" s="62" t="s">
        <v>109</v>
      </c>
      <c r="F2084" s="62" t="s">
        <v>115</v>
      </c>
      <c r="G2084" s="64" t="s">
        <v>64</v>
      </c>
      <c r="H2084" s="3" t="s">
        <v>139</v>
      </c>
      <c r="I2084" s="65" t="str">
        <f>IFERROR(VLOOKUP(A2084,'3. Call duration'!$A:$C,3,0),"--")</f>
        <v>--</v>
      </c>
      <c r="J2084" s="65" t="str">
        <f t="array" ref="J2084">XLOOKUP(H2084,'2. Matching'!$A$2:$A$39,'2. Matching'!$B$2:$B$39,"--")</f>
        <v>Acquisition</v>
      </c>
      <c r="K2084" s="65" t="str">
        <f t="shared" si="1"/>
        <v>In</v>
      </c>
    </row>
    <row r="2085">
      <c r="A2085" s="62" t="s">
        <v>2223</v>
      </c>
      <c r="B2085" s="63">
        <v>44062.0</v>
      </c>
      <c r="C2085" s="62" t="s">
        <v>119</v>
      </c>
      <c r="D2085" s="64">
        <v>40.0</v>
      </c>
      <c r="E2085" s="62" t="s">
        <v>109</v>
      </c>
      <c r="F2085" s="62" t="s">
        <v>115</v>
      </c>
      <c r="G2085" s="64" t="s">
        <v>64</v>
      </c>
      <c r="H2085" s="3" t="s">
        <v>131</v>
      </c>
      <c r="I2085" s="65">
        <f>IFERROR(VLOOKUP(A2085,'3. Call duration'!$A:$C,3,0),"--")</f>
        <v>20.60416246</v>
      </c>
      <c r="J2085" s="65" t="str">
        <f t="array" ref="J2085">XLOOKUP(H2085,'2. Matching'!$A$2:$A$39,'2. Matching'!$B$2:$B$39,"--")</f>
        <v>Acquisition</v>
      </c>
      <c r="K2085" s="65" t="str">
        <f t="shared" si="1"/>
        <v>In</v>
      </c>
    </row>
    <row r="2086">
      <c r="A2086" s="62" t="s">
        <v>2224</v>
      </c>
      <c r="B2086" s="63">
        <v>44061.0</v>
      </c>
      <c r="C2086" s="62" t="s">
        <v>119</v>
      </c>
      <c r="D2086" s="64">
        <v>40.0</v>
      </c>
      <c r="E2086" s="62" t="s">
        <v>109</v>
      </c>
      <c r="F2086" s="62" t="s">
        <v>115</v>
      </c>
      <c r="G2086" s="64" t="s">
        <v>64</v>
      </c>
      <c r="H2086" s="3" t="s">
        <v>131</v>
      </c>
      <c r="I2086" s="65">
        <f>IFERROR(VLOOKUP(A2086,'3. Call duration'!$A:$C,3,0),"--")</f>
        <v>31.53959233</v>
      </c>
      <c r="J2086" s="65" t="str">
        <f t="array" ref="J2086">XLOOKUP(H2086,'2. Matching'!$A$2:$A$39,'2. Matching'!$B$2:$B$39,"--")</f>
        <v>Acquisition</v>
      </c>
      <c r="K2086" s="65" t="str">
        <f t="shared" si="1"/>
        <v>In</v>
      </c>
    </row>
    <row r="2087">
      <c r="A2087" s="62" t="s">
        <v>2225</v>
      </c>
      <c r="B2087" s="63">
        <v>44060.0</v>
      </c>
      <c r="C2087" s="62" t="s">
        <v>119</v>
      </c>
      <c r="D2087" s="64">
        <v>40.0</v>
      </c>
      <c r="E2087" s="62" t="s">
        <v>109</v>
      </c>
      <c r="F2087" s="62" t="s">
        <v>115</v>
      </c>
      <c r="G2087" s="64" t="s">
        <v>64</v>
      </c>
      <c r="H2087" s="3" t="s">
        <v>175</v>
      </c>
      <c r="I2087" s="65">
        <f>IFERROR(VLOOKUP(A2087,'3. Call duration'!$A:$C,3,0),"--")</f>
        <v>23.75655412</v>
      </c>
      <c r="J2087" s="65" t="str">
        <f t="array" ref="J2087">XLOOKUP(H2087,'2. Matching'!$A$2:$A$39,'2. Matching'!$B$2:$B$39,"--")</f>
        <v>SEO</v>
      </c>
      <c r="K2087" s="65" t="str">
        <f t="shared" si="1"/>
        <v>In</v>
      </c>
    </row>
    <row r="2088">
      <c r="A2088" s="62" t="s">
        <v>2226</v>
      </c>
      <c r="B2088" s="63">
        <v>44074.0</v>
      </c>
      <c r="C2088" s="62" t="s">
        <v>119</v>
      </c>
      <c r="D2088" s="64">
        <v>40.0</v>
      </c>
      <c r="E2088" s="62" t="s">
        <v>109</v>
      </c>
      <c r="F2088" s="62" t="s">
        <v>115</v>
      </c>
      <c r="G2088" s="64" t="s">
        <v>64</v>
      </c>
      <c r="H2088" s="3" t="s">
        <v>139</v>
      </c>
      <c r="I2088" s="65">
        <f>IFERROR(VLOOKUP(A2088,'3. Call duration'!$A:$C,3,0),"--")</f>
        <v>27.63640946</v>
      </c>
      <c r="J2088" s="65" t="str">
        <f t="array" ref="J2088">XLOOKUP(H2088,'2. Matching'!$A$2:$A$39,'2. Matching'!$B$2:$B$39,"--")</f>
        <v>Acquisition</v>
      </c>
      <c r="K2088" s="65" t="str">
        <f t="shared" si="1"/>
        <v>In</v>
      </c>
    </row>
    <row r="2089">
      <c r="A2089" s="62" t="s">
        <v>2227</v>
      </c>
      <c r="B2089" s="63">
        <v>44065.0</v>
      </c>
      <c r="C2089" s="62" t="s">
        <v>119</v>
      </c>
      <c r="D2089" s="64">
        <v>40.0</v>
      </c>
      <c r="E2089" s="62" t="s">
        <v>109</v>
      </c>
      <c r="F2089" s="62" t="s">
        <v>115</v>
      </c>
      <c r="G2089" s="64" t="s">
        <v>64</v>
      </c>
      <c r="H2089" s="3" t="s">
        <v>150</v>
      </c>
      <c r="I2089" s="65">
        <f>IFERROR(VLOOKUP(A2089,'3. Call duration'!$A:$C,3,0),"--")</f>
        <v>21.05113111</v>
      </c>
      <c r="J2089" s="65" t="str">
        <f t="array" ref="J2089">XLOOKUP(H2089,'2. Matching'!$A$2:$A$39,'2. Matching'!$B$2:$B$39,"--")</f>
        <v>SEO</v>
      </c>
      <c r="K2089" s="65" t="str">
        <f t="shared" si="1"/>
        <v>In</v>
      </c>
    </row>
    <row r="2090">
      <c r="A2090" s="62" t="s">
        <v>2228</v>
      </c>
      <c r="B2090" s="63">
        <v>44061.0</v>
      </c>
      <c r="C2090" s="62" t="s">
        <v>119</v>
      </c>
      <c r="D2090" s="64">
        <v>40.0</v>
      </c>
      <c r="E2090" s="62" t="s">
        <v>109</v>
      </c>
      <c r="F2090" s="62" t="s">
        <v>115</v>
      </c>
      <c r="G2090" s="64" t="s">
        <v>64</v>
      </c>
      <c r="H2090" s="3" t="s">
        <v>131</v>
      </c>
      <c r="I2090" s="65">
        <f>IFERROR(VLOOKUP(A2090,'3. Call duration'!$A:$C,3,0),"--")</f>
        <v>29.19509954</v>
      </c>
      <c r="J2090" s="65" t="str">
        <f t="array" ref="J2090">XLOOKUP(H2090,'2. Matching'!$A$2:$A$39,'2. Matching'!$B$2:$B$39,"--")</f>
        <v>Acquisition</v>
      </c>
      <c r="K2090" s="65" t="str">
        <f t="shared" si="1"/>
        <v>In</v>
      </c>
    </row>
    <row r="2091">
      <c r="A2091" s="62" t="s">
        <v>2229</v>
      </c>
      <c r="B2091" s="63">
        <v>44064.0</v>
      </c>
      <c r="C2091" s="62" t="s">
        <v>119</v>
      </c>
      <c r="D2091" s="64">
        <v>40.0</v>
      </c>
      <c r="E2091" s="62" t="s">
        <v>109</v>
      </c>
      <c r="F2091" s="62" t="s">
        <v>115</v>
      </c>
      <c r="G2091" s="64" t="s">
        <v>64</v>
      </c>
      <c r="H2091" s="3" t="s">
        <v>235</v>
      </c>
      <c r="I2091" s="65">
        <f>IFERROR(VLOOKUP(A2091,'3. Call duration'!$A:$C,3,0),"--")</f>
        <v>30.28147999</v>
      </c>
      <c r="J2091" s="65" t="str">
        <f t="array" ref="J2091">XLOOKUP(H2091,'2. Matching'!$A$2:$A$39,'2. Matching'!$B$2:$B$39,"--")</f>
        <v>Farming</v>
      </c>
      <c r="K2091" s="65" t="str">
        <f t="shared" si="1"/>
        <v>In</v>
      </c>
    </row>
    <row r="2092">
      <c r="A2092" s="62" t="s">
        <v>2230</v>
      </c>
      <c r="B2092" s="63">
        <v>44070.0</v>
      </c>
      <c r="C2092" s="62" t="s">
        <v>119</v>
      </c>
      <c r="D2092" s="64">
        <v>40.0</v>
      </c>
      <c r="E2092" s="62" t="s">
        <v>109</v>
      </c>
      <c r="F2092" s="62" t="s">
        <v>115</v>
      </c>
      <c r="G2092" s="64" t="s">
        <v>64</v>
      </c>
      <c r="H2092" s="3" t="s">
        <v>131</v>
      </c>
      <c r="I2092" s="65">
        <f>IFERROR(VLOOKUP(A2092,'3. Call duration'!$A:$C,3,0),"--")</f>
        <v>23.86215304</v>
      </c>
      <c r="J2092" s="65" t="str">
        <f t="array" ref="J2092">XLOOKUP(H2092,'2. Matching'!$A$2:$A$39,'2. Matching'!$B$2:$B$39,"--")</f>
        <v>Acquisition</v>
      </c>
      <c r="K2092" s="65" t="str">
        <f t="shared" si="1"/>
        <v>In</v>
      </c>
    </row>
    <row r="2093">
      <c r="A2093" s="62" t="s">
        <v>2231</v>
      </c>
      <c r="B2093" s="63">
        <v>44061.0</v>
      </c>
      <c r="C2093" s="62" t="s">
        <v>119</v>
      </c>
      <c r="D2093" s="64">
        <v>40.0</v>
      </c>
      <c r="E2093" s="62" t="s">
        <v>109</v>
      </c>
      <c r="F2093" s="62" t="s">
        <v>115</v>
      </c>
      <c r="G2093" s="64" t="s">
        <v>64</v>
      </c>
      <c r="H2093" s="3" t="s">
        <v>175</v>
      </c>
      <c r="I2093" s="65">
        <f>IFERROR(VLOOKUP(A2093,'3. Call duration'!$A:$C,3,0),"--")</f>
        <v>35.78166762</v>
      </c>
      <c r="J2093" s="65" t="str">
        <f t="array" ref="J2093">XLOOKUP(H2093,'2. Matching'!$A$2:$A$39,'2. Matching'!$B$2:$B$39,"--")</f>
        <v>SEO</v>
      </c>
      <c r="K2093" s="65" t="str">
        <f t="shared" si="1"/>
        <v>In</v>
      </c>
    </row>
    <row r="2094">
      <c r="A2094" s="62" t="s">
        <v>2232</v>
      </c>
      <c r="B2094" s="63">
        <v>44069.0</v>
      </c>
      <c r="C2094" s="62" t="s">
        <v>119</v>
      </c>
      <c r="D2094" s="64">
        <v>40.0</v>
      </c>
      <c r="E2094" s="62" t="s">
        <v>109</v>
      </c>
      <c r="F2094" s="62" t="s">
        <v>115</v>
      </c>
      <c r="G2094" s="64" t="s">
        <v>64</v>
      </c>
      <c r="H2094" s="3" t="s">
        <v>139</v>
      </c>
      <c r="I2094" s="65">
        <f>IFERROR(VLOOKUP(A2094,'3. Call duration'!$A:$C,3,0),"--")</f>
        <v>20.16048872</v>
      </c>
      <c r="J2094" s="65" t="str">
        <f t="array" ref="J2094">XLOOKUP(H2094,'2. Matching'!$A$2:$A$39,'2. Matching'!$B$2:$B$39,"--")</f>
        <v>Acquisition</v>
      </c>
      <c r="K2094" s="65" t="str">
        <f t="shared" si="1"/>
        <v>In</v>
      </c>
    </row>
    <row r="2095">
      <c r="A2095" s="62" t="s">
        <v>2233</v>
      </c>
      <c r="B2095" s="63">
        <v>44063.0</v>
      </c>
      <c r="C2095" s="62" t="s">
        <v>119</v>
      </c>
      <c r="D2095" s="64">
        <v>40.0</v>
      </c>
      <c r="E2095" s="62" t="s">
        <v>109</v>
      </c>
      <c r="F2095" s="62" t="s">
        <v>115</v>
      </c>
      <c r="G2095" s="64" t="s">
        <v>64</v>
      </c>
      <c r="H2095" s="3" t="s">
        <v>175</v>
      </c>
      <c r="I2095" s="65">
        <f>IFERROR(VLOOKUP(A2095,'3. Call duration'!$A:$C,3,0),"--")</f>
        <v>27.27651521</v>
      </c>
      <c r="J2095" s="65" t="str">
        <f t="array" ref="J2095">XLOOKUP(H2095,'2. Matching'!$A$2:$A$39,'2. Matching'!$B$2:$B$39,"--")</f>
        <v>SEO</v>
      </c>
      <c r="K2095" s="65" t="str">
        <f t="shared" si="1"/>
        <v>In</v>
      </c>
    </row>
    <row r="2096">
      <c r="A2096" s="62" t="s">
        <v>2234</v>
      </c>
      <c r="B2096" s="63">
        <v>44061.0</v>
      </c>
      <c r="C2096" s="62" t="s">
        <v>119</v>
      </c>
      <c r="D2096" s="64">
        <v>40.0</v>
      </c>
      <c r="E2096" s="62" t="s">
        <v>109</v>
      </c>
      <c r="F2096" s="62" t="s">
        <v>115</v>
      </c>
      <c r="G2096" s="64" t="s">
        <v>64</v>
      </c>
      <c r="H2096" s="3" t="s">
        <v>169</v>
      </c>
      <c r="I2096" s="65">
        <f>IFERROR(VLOOKUP(A2096,'3. Call duration'!$A:$C,3,0),"--")</f>
        <v>28.8889036</v>
      </c>
      <c r="J2096" s="65" t="str">
        <f t="array" ref="J2096">XLOOKUP(H2096,'2. Matching'!$A$2:$A$39,'2. Matching'!$B$2:$B$39,"--")</f>
        <v>SEO</v>
      </c>
      <c r="K2096" s="65" t="str">
        <f t="shared" si="1"/>
        <v>In</v>
      </c>
    </row>
    <row r="2097">
      <c r="A2097" s="62" t="s">
        <v>2235</v>
      </c>
      <c r="B2097" s="63">
        <v>44068.0</v>
      </c>
      <c r="C2097" s="62" t="s">
        <v>119</v>
      </c>
      <c r="D2097" s="64">
        <v>40.0</v>
      </c>
      <c r="E2097" s="62" t="s">
        <v>109</v>
      </c>
      <c r="F2097" s="62" t="s">
        <v>115</v>
      </c>
      <c r="G2097" s="64" t="s">
        <v>64</v>
      </c>
      <c r="H2097" s="3" t="s">
        <v>139</v>
      </c>
      <c r="I2097" s="65" t="str">
        <f>IFERROR(VLOOKUP(A2097,'3. Call duration'!$A:$C,3,0),"--")</f>
        <v>--</v>
      </c>
      <c r="J2097" s="65" t="str">
        <f t="array" ref="J2097">XLOOKUP(H2097,'2. Matching'!$A$2:$A$39,'2. Matching'!$B$2:$B$39,"--")</f>
        <v>Acquisition</v>
      </c>
      <c r="K2097" s="65" t="str">
        <f t="shared" si="1"/>
        <v>In</v>
      </c>
    </row>
    <row r="2098">
      <c r="A2098" s="62" t="s">
        <v>2236</v>
      </c>
      <c r="B2098" s="63">
        <v>44067.0</v>
      </c>
      <c r="C2098" s="62" t="s">
        <v>119</v>
      </c>
      <c r="D2098" s="64">
        <v>40.0</v>
      </c>
      <c r="E2098" s="62" t="s">
        <v>109</v>
      </c>
      <c r="F2098" s="62" t="s">
        <v>115</v>
      </c>
      <c r="G2098" s="64" t="s">
        <v>64</v>
      </c>
      <c r="H2098" s="3" t="s">
        <v>175</v>
      </c>
      <c r="I2098" s="65">
        <f>IFERROR(VLOOKUP(A2098,'3. Call duration'!$A:$C,3,0),"--")</f>
        <v>25.4959831</v>
      </c>
      <c r="J2098" s="65" t="str">
        <f t="array" ref="J2098">XLOOKUP(H2098,'2. Matching'!$A$2:$A$39,'2. Matching'!$B$2:$B$39,"--")</f>
        <v>SEO</v>
      </c>
      <c r="K2098" s="65" t="str">
        <f t="shared" si="1"/>
        <v>In</v>
      </c>
    </row>
    <row r="2099">
      <c r="A2099" s="62" t="s">
        <v>2237</v>
      </c>
      <c r="B2099" s="63">
        <v>44063.0</v>
      </c>
      <c r="C2099" s="62" t="s">
        <v>119</v>
      </c>
      <c r="D2099" s="64">
        <v>40.0</v>
      </c>
      <c r="E2099" s="62" t="s">
        <v>109</v>
      </c>
      <c r="F2099" s="62" t="s">
        <v>115</v>
      </c>
      <c r="G2099" s="64" t="s">
        <v>64</v>
      </c>
      <c r="H2099" s="3" t="s">
        <v>131</v>
      </c>
      <c r="I2099" s="65">
        <f>IFERROR(VLOOKUP(A2099,'3. Call duration'!$A:$C,3,0),"--")</f>
        <v>14.88969634</v>
      </c>
      <c r="J2099" s="65" t="str">
        <f t="array" ref="J2099">XLOOKUP(H2099,'2. Matching'!$A$2:$A$39,'2. Matching'!$B$2:$B$39,"--")</f>
        <v>Acquisition</v>
      </c>
      <c r="K2099" s="65" t="str">
        <f t="shared" si="1"/>
        <v>In</v>
      </c>
    </row>
    <row r="2100">
      <c r="A2100" s="62" t="s">
        <v>2238</v>
      </c>
      <c r="B2100" s="63">
        <v>44060.0</v>
      </c>
      <c r="C2100" s="62" t="s">
        <v>119</v>
      </c>
      <c r="D2100" s="64">
        <v>40.0</v>
      </c>
      <c r="E2100" s="62" t="s">
        <v>109</v>
      </c>
      <c r="F2100" s="62" t="s">
        <v>115</v>
      </c>
      <c r="G2100" s="64" t="s">
        <v>64</v>
      </c>
      <c r="H2100" s="3" t="s">
        <v>135</v>
      </c>
      <c r="I2100" s="65" t="str">
        <f>IFERROR(VLOOKUP(A2100,'3. Call duration'!$A:$C,3,0),"--")</f>
        <v>--</v>
      </c>
      <c r="J2100" s="65" t="str">
        <f t="array" ref="J2100">XLOOKUP(H2100,'2. Matching'!$A$2:$A$39,'2. Matching'!$B$2:$B$39,"--")</f>
        <v>Acquisition</v>
      </c>
      <c r="K2100" s="65" t="str">
        <f t="shared" si="1"/>
        <v>In</v>
      </c>
    </row>
    <row r="2101">
      <c r="A2101" s="62" t="s">
        <v>2239</v>
      </c>
      <c r="B2101" s="63">
        <v>44073.0</v>
      </c>
      <c r="C2101" s="62" t="s">
        <v>119</v>
      </c>
      <c r="D2101" s="64">
        <v>40.0</v>
      </c>
      <c r="E2101" s="62" t="s">
        <v>109</v>
      </c>
      <c r="F2101" s="62" t="s">
        <v>115</v>
      </c>
      <c r="G2101" s="64" t="s">
        <v>64</v>
      </c>
      <c r="H2101" s="3" t="s">
        <v>139</v>
      </c>
      <c r="I2101" s="65">
        <f>IFERROR(VLOOKUP(A2101,'3. Call duration'!$A:$C,3,0),"--")</f>
        <v>25.94623067</v>
      </c>
      <c r="J2101" s="65" t="str">
        <f t="array" ref="J2101">XLOOKUP(H2101,'2. Matching'!$A$2:$A$39,'2. Matching'!$B$2:$B$39,"--")</f>
        <v>Acquisition</v>
      </c>
      <c r="K2101" s="65" t="str">
        <f t="shared" si="1"/>
        <v>In</v>
      </c>
    </row>
    <row r="2102">
      <c r="A2102" s="62" t="s">
        <v>2240</v>
      </c>
      <c r="B2102" s="63">
        <v>44074.0</v>
      </c>
      <c r="C2102" s="62" t="s">
        <v>119</v>
      </c>
      <c r="D2102" s="64">
        <v>40.0</v>
      </c>
      <c r="E2102" s="62" t="s">
        <v>109</v>
      </c>
      <c r="F2102" s="62" t="s">
        <v>115</v>
      </c>
      <c r="G2102" s="64" t="s">
        <v>112</v>
      </c>
      <c r="H2102" s="3"/>
      <c r="I2102" s="65">
        <f>IFERROR(VLOOKUP(A2102,'3. Call duration'!$A:$C,3,0),"--")</f>
        <v>23.18094763</v>
      </c>
      <c r="J2102" s="65" t="str">
        <f t="array" ref="J2102">XLOOKUP(H2102,'2. Matching'!$A$2:$A$39,'2. Matching'!$B$2:$B$39,"--")</f>
        <v>--</v>
      </c>
      <c r="K2102" s="65" t="str">
        <f t="shared" si="1"/>
        <v>In</v>
      </c>
    </row>
    <row r="2103">
      <c r="A2103" s="62" t="s">
        <v>2241</v>
      </c>
      <c r="B2103" s="63">
        <v>44064.0</v>
      </c>
      <c r="C2103" s="62" t="s">
        <v>119</v>
      </c>
      <c r="D2103" s="64">
        <v>40.0</v>
      </c>
      <c r="E2103" s="62" t="s">
        <v>109</v>
      </c>
      <c r="F2103" s="62" t="s">
        <v>110</v>
      </c>
      <c r="G2103" s="64" t="s">
        <v>64</v>
      </c>
      <c r="H2103" s="3" t="s">
        <v>155</v>
      </c>
      <c r="I2103" s="65">
        <f>IFERROR(VLOOKUP(A2103,'3. Call duration'!$A:$C,3,0),"--")</f>
        <v>30.73483188</v>
      </c>
      <c r="J2103" s="65" t="str">
        <f t="array" ref="J2103">XLOOKUP(H2103,'2. Matching'!$A$2:$A$39,'2. Matching'!$B$2:$B$39,"--")</f>
        <v>SEO</v>
      </c>
      <c r="K2103" s="65" t="str">
        <f t="shared" si="1"/>
        <v>In</v>
      </c>
    </row>
    <row r="2104">
      <c r="A2104" s="62" t="s">
        <v>2242</v>
      </c>
      <c r="B2104" s="63">
        <v>44064.0</v>
      </c>
      <c r="C2104" s="62" t="s">
        <v>119</v>
      </c>
      <c r="D2104" s="64">
        <v>40.0</v>
      </c>
      <c r="E2104" s="62" t="s">
        <v>109</v>
      </c>
      <c r="F2104" s="62" t="s">
        <v>115</v>
      </c>
      <c r="G2104" s="64" t="s">
        <v>64</v>
      </c>
      <c r="H2104" s="3" t="s">
        <v>175</v>
      </c>
      <c r="I2104" s="65">
        <f>IFERROR(VLOOKUP(A2104,'3. Call duration'!$A:$C,3,0),"--")</f>
        <v>25.55434379</v>
      </c>
      <c r="J2104" s="65" t="str">
        <f t="array" ref="J2104">XLOOKUP(H2104,'2. Matching'!$A$2:$A$39,'2. Matching'!$B$2:$B$39,"--")</f>
        <v>SEO</v>
      </c>
      <c r="K2104" s="65" t="str">
        <f t="shared" si="1"/>
        <v>In</v>
      </c>
    </row>
    <row r="2105">
      <c r="A2105" s="62" t="s">
        <v>2243</v>
      </c>
      <c r="B2105" s="63">
        <v>44062.0</v>
      </c>
      <c r="C2105" s="62" t="s">
        <v>119</v>
      </c>
      <c r="D2105" s="64">
        <v>40.0</v>
      </c>
      <c r="E2105" s="62" t="s">
        <v>109</v>
      </c>
      <c r="F2105" s="62" t="s">
        <v>115</v>
      </c>
      <c r="G2105" s="64" t="s">
        <v>64</v>
      </c>
      <c r="H2105" s="3" t="s">
        <v>169</v>
      </c>
      <c r="I2105" s="65">
        <f>IFERROR(VLOOKUP(A2105,'3. Call duration'!$A:$C,3,0),"--")</f>
        <v>22.52332997</v>
      </c>
      <c r="J2105" s="65" t="str">
        <f t="array" ref="J2105">XLOOKUP(H2105,'2. Matching'!$A$2:$A$39,'2. Matching'!$B$2:$B$39,"--")</f>
        <v>SEO</v>
      </c>
      <c r="K2105" s="65" t="str">
        <f t="shared" si="1"/>
        <v>In</v>
      </c>
    </row>
    <row r="2106">
      <c r="A2106" s="62" t="s">
        <v>2244</v>
      </c>
      <c r="B2106" s="63">
        <v>44071.0</v>
      </c>
      <c r="C2106" s="62" t="s">
        <v>119</v>
      </c>
      <c r="D2106" s="64">
        <v>40.0</v>
      </c>
      <c r="E2106" s="62" t="s">
        <v>109</v>
      </c>
      <c r="F2106" s="62" t="s">
        <v>115</v>
      </c>
      <c r="G2106" s="64" t="s">
        <v>64</v>
      </c>
      <c r="H2106" s="3" t="s">
        <v>150</v>
      </c>
      <c r="I2106" s="65">
        <f>IFERROR(VLOOKUP(A2106,'3. Call duration'!$A:$C,3,0),"--")</f>
        <v>27.61304127</v>
      </c>
      <c r="J2106" s="65" t="str">
        <f t="array" ref="J2106">XLOOKUP(H2106,'2. Matching'!$A$2:$A$39,'2. Matching'!$B$2:$B$39,"--")</f>
        <v>SEO</v>
      </c>
      <c r="K2106" s="65" t="str">
        <f t="shared" si="1"/>
        <v>In</v>
      </c>
    </row>
    <row r="2107">
      <c r="A2107" s="62" t="s">
        <v>2245</v>
      </c>
      <c r="B2107" s="63">
        <v>44062.0</v>
      </c>
      <c r="C2107" s="62" t="s">
        <v>119</v>
      </c>
      <c r="D2107" s="64">
        <v>40.0</v>
      </c>
      <c r="E2107" s="62" t="s">
        <v>109</v>
      </c>
      <c r="F2107" s="62" t="s">
        <v>115</v>
      </c>
      <c r="G2107" s="64" t="s">
        <v>64</v>
      </c>
      <c r="H2107" s="3" t="s">
        <v>145</v>
      </c>
      <c r="I2107" s="65">
        <f>IFERROR(VLOOKUP(A2107,'3. Call duration'!$A:$C,3,0),"--")</f>
        <v>26.70988074</v>
      </c>
      <c r="J2107" s="65" t="str">
        <f t="array" ref="J2107">XLOOKUP(H2107,'2. Matching'!$A$2:$A$39,'2. Matching'!$B$2:$B$39,"--")</f>
        <v>SEO</v>
      </c>
      <c r="K2107" s="65" t="str">
        <f t="shared" si="1"/>
        <v>In</v>
      </c>
    </row>
    <row r="2108">
      <c r="A2108" s="62" t="s">
        <v>2246</v>
      </c>
      <c r="B2108" s="63">
        <v>44063.0</v>
      </c>
      <c r="C2108" s="62" t="s">
        <v>119</v>
      </c>
      <c r="D2108" s="64">
        <v>40.0</v>
      </c>
      <c r="E2108" s="62" t="s">
        <v>109</v>
      </c>
      <c r="F2108" s="62" t="s">
        <v>110</v>
      </c>
      <c r="G2108" s="64" t="s">
        <v>64</v>
      </c>
      <c r="H2108" s="3" t="s">
        <v>169</v>
      </c>
      <c r="I2108" s="65">
        <f>IFERROR(VLOOKUP(A2108,'3. Call duration'!$A:$C,3,0),"--")</f>
        <v>25.57846499</v>
      </c>
      <c r="J2108" s="65" t="str">
        <f t="array" ref="J2108">XLOOKUP(H2108,'2. Matching'!$A$2:$A$39,'2. Matching'!$B$2:$B$39,"--")</f>
        <v>SEO</v>
      </c>
      <c r="K2108" s="65" t="str">
        <f t="shared" si="1"/>
        <v>In</v>
      </c>
    </row>
    <row r="2109">
      <c r="A2109" s="62" t="s">
        <v>2247</v>
      </c>
      <c r="B2109" s="63">
        <v>44074.0</v>
      </c>
      <c r="C2109" s="62" t="s">
        <v>119</v>
      </c>
      <c r="D2109" s="64">
        <v>40.0</v>
      </c>
      <c r="E2109" s="62" t="s">
        <v>109</v>
      </c>
      <c r="F2109" s="62" t="s">
        <v>115</v>
      </c>
      <c r="G2109" s="64" t="s">
        <v>64</v>
      </c>
      <c r="H2109" s="3" t="s">
        <v>139</v>
      </c>
      <c r="I2109" s="65">
        <f>IFERROR(VLOOKUP(A2109,'3. Call duration'!$A:$C,3,0),"--")</f>
        <v>22.95803887</v>
      </c>
      <c r="J2109" s="65" t="str">
        <f t="array" ref="J2109">XLOOKUP(H2109,'2. Matching'!$A$2:$A$39,'2. Matching'!$B$2:$B$39,"--")</f>
        <v>Acquisition</v>
      </c>
      <c r="K2109" s="65" t="str">
        <f t="shared" si="1"/>
        <v>In</v>
      </c>
    </row>
    <row r="2110">
      <c r="A2110" s="62" t="s">
        <v>2248</v>
      </c>
      <c r="B2110" s="63">
        <v>44061.0</v>
      </c>
      <c r="C2110" s="62" t="s">
        <v>119</v>
      </c>
      <c r="D2110" s="64">
        <v>40.0</v>
      </c>
      <c r="E2110" s="62" t="s">
        <v>109</v>
      </c>
      <c r="F2110" s="62" t="s">
        <v>115</v>
      </c>
      <c r="G2110" s="64" t="s">
        <v>64</v>
      </c>
      <c r="H2110" s="3" t="s">
        <v>131</v>
      </c>
      <c r="I2110" s="65" t="str">
        <f>IFERROR(VLOOKUP(A2110,'3. Call duration'!$A:$C,3,0),"--")</f>
        <v>--</v>
      </c>
      <c r="J2110" s="65" t="str">
        <f t="array" ref="J2110">XLOOKUP(H2110,'2. Matching'!$A$2:$A$39,'2. Matching'!$B$2:$B$39,"--")</f>
        <v>Acquisition</v>
      </c>
      <c r="K2110" s="65" t="str">
        <f t="shared" si="1"/>
        <v>In</v>
      </c>
    </row>
    <row r="2111">
      <c r="A2111" s="62" t="s">
        <v>2249</v>
      </c>
      <c r="B2111" s="63">
        <v>44062.0</v>
      </c>
      <c r="C2111" s="62" t="s">
        <v>119</v>
      </c>
      <c r="D2111" s="64">
        <v>40.0</v>
      </c>
      <c r="E2111" s="62" t="s">
        <v>109</v>
      </c>
      <c r="F2111" s="62" t="s">
        <v>115</v>
      </c>
      <c r="G2111" s="64" t="s">
        <v>64</v>
      </c>
      <c r="H2111" s="3" t="s">
        <v>175</v>
      </c>
      <c r="I2111" s="65">
        <f>IFERROR(VLOOKUP(A2111,'3. Call duration'!$A:$C,3,0),"--")</f>
        <v>33.84443729</v>
      </c>
      <c r="J2111" s="65" t="str">
        <f t="array" ref="J2111">XLOOKUP(H2111,'2. Matching'!$A$2:$A$39,'2. Matching'!$B$2:$B$39,"--")</f>
        <v>SEO</v>
      </c>
      <c r="K2111" s="65" t="str">
        <f t="shared" si="1"/>
        <v>In</v>
      </c>
    </row>
    <row r="2112">
      <c r="A2112" s="62" t="s">
        <v>2250</v>
      </c>
      <c r="B2112" s="63">
        <v>44056.0</v>
      </c>
      <c r="C2112" s="62" t="s">
        <v>119</v>
      </c>
      <c r="D2112" s="64">
        <v>40.0</v>
      </c>
      <c r="E2112" s="62" t="s">
        <v>109</v>
      </c>
      <c r="F2112" s="62" t="s">
        <v>115</v>
      </c>
      <c r="G2112" s="64" t="s">
        <v>64</v>
      </c>
      <c r="H2112" s="3" t="s">
        <v>175</v>
      </c>
      <c r="I2112" s="65">
        <f>IFERROR(VLOOKUP(A2112,'3. Call duration'!$A:$C,3,0),"--")</f>
        <v>29.15139268</v>
      </c>
      <c r="J2112" s="65" t="str">
        <f t="array" ref="J2112">XLOOKUP(H2112,'2. Matching'!$A$2:$A$39,'2. Matching'!$B$2:$B$39,"--")</f>
        <v>SEO</v>
      </c>
      <c r="K2112" s="65" t="str">
        <f t="shared" si="1"/>
        <v>In</v>
      </c>
    </row>
    <row r="2113">
      <c r="A2113" s="62" t="s">
        <v>2251</v>
      </c>
      <c r="B2113" s="63">
        <v>44062.0</v>
      </c>
      <c r="C2113" s="62" t="s">
        <v>119</v>
      </c>
      <c r="D2113" s="64">
        <v>40.0</v>
      </c>
      <c r="E2113" s="62" t="s">
        <v>109</v>
      </c>
      <c r="F2113" s="62" t="s">
        <v>115</v>
      </c>
      <c r="G2113" s="64" t="s">
        <v>64</v>
      </c>
      <c r="H2113" s="3" t="s">
        <v>57</v>
      </c>
      <c r="I2113" s="65">
        <f>IFERROR(VLOOKUP(A2113,'3. Call duration'!$A:$C,3,0),"--")</f>
        <v>10.86051724</v>
      </c>
      <c r="J2113" s="65" t="str">
        <f t="array" ref="J2113">XLOOKUP(H2113,'2. Matching'!$A$2:$A$39,'2. Matching'!$B$2:$B$39,"--")</f>
        <v>Partnerships</v>
      </c>
      <c r="K2113" s="65" t="str">
        <f t="shared" si="1"/>
        <v>In</v>
      </c>
    </row>
    <row r="2114">
      <c r="A2114" s="62" t="s">
        <v>2252</v>
      </c>
      <c r="B2114" s="63">
        <v>44064.0</v>
      </c>
      <c r="C2114" s="62" t="s">
        <v>119</v>
      </c>
      <c r="D2114" s="64">
        <v>40.0</v>
      </c>
      <c r="E2114" s="62" t="s">
        <v>109</v>
      </c>
      <c r="F2114" s="62" t="s">
        <v>115</v>
      </c>
      <c r="G2114" s="64" t="s">
        <v>64</v>
      </c>
      <c r="H2114" s="3" t="s">
        <v>169</v>
      </c>
      <c r="I2114" s="65">
        <f>IFERROR(VLOOKUP(A2114,'3. Call duration'!$A:$C,3,0),"--")</f>
        <v>26.21900496</v>
      </c>
      <c r="J2114" s="65" t="str">
        <f t="array" ref="J2114">XLOOKUP(H2114,'2. Matching'!$A$2:$A$39,'2. Matching'!$B$2:$B$39,"--")</f>
        <v>SEO</v>
      </c>
      <c r="K2114" s="65" t="str">
        <f t="shared" si="1"/>
        <v>In</v>
      </c>
    </row>
    <row r="2115">
      <c r="A2115" s="62" t="s">
        <v>2253</v>
      </c>
      <c r="B2115" s="63">
        <v>44065.0</v>
      </c>
      <c r="C2115" s="62" t="s">
        <v>119</v>
      </c>
      <c r="D2115" s="64">
        <v>40.0</v>
      </c>
      <c r="E2115" s="62" t="s">
        <v>109</v>
      </c>
      <c r="F2115" s="62" t="s">
        <v>115</v>
      </c>
      <c r="G2115" s="64" t="s">
        <v>64</v>
      </c>
      <c r="H2115" s="3" t="s">
        <v>131</v>
      </c>
      <c r="I2115" s="65">
        <f>IFERROR(VLOOKUP(A2115,'3. Call duration'!$A:$C,3,0),"--")</f>
        <v>11.02486624</v>
      </c>
      <c r="J2115" s="65" t="str">
        <f t="array" ref="J2115">XLOOKUP(H2115,'2. Matching'!$A$2:$A$39,'2. Matching'!$B$2:$B$39,"--")</f>
        <v>Acquisition</v>
      </c>
      <c r="K2115" s="65" t="str">
        <f t="shared" si="1"/>
        <v>In</v>
      </c>
    </row>
    <row r="2116">
      <c r="A2116" s="62" t="s">
        <v>2254</v>
      </c>
      <c r="B2116" s="63">
        <v>44071.0</v>
      </c>
      <c r="C2116" s="62" t="s">
        <v>119</v>
      </c>
      <c r="D2116" s="64">
        <v>40.0</v>
      </c>
      <c r="E2116" s="62" t="s">
        <v>109</v>
      </c>
      <c r="F2116" s="62" t="s">
        <v>115</v>
      </c>
      <c r="G2116" s="64" t="s">
        <v>62</v>
      </c>
      <c r="H2116" s="3" t="s">
        <v>286</v>
      </c>
      <c r="I2116" s="65">
        <f>IFERROR(VLOOKUP(A2116,'3. Call duration'!$A:$C,3,0),"--")</f>
        <v>29.44503668</v>
      </c>
      <c r="J2116" s="65" t="str">
        <f t="array" ref="J2116">XLOOKUP(H2116,'2. Matching'!$A$2:$A$39,'2. Matching'!$B$2:$B$39,"--")</f>
        <v>Farming</v>
      </c>
      <c r="K2116" s="65" t="str">
        <f t="shared" si="1"/>
        <v>In</v>
      </c>
    </row>
    <row r="2117">
      <c r="A2117" s="62" t="s">
        <v>2255</v>
      </c>
      <c r="B2117" s="63">
        <v>44073.0</v>
      </c>
      <c r="C2117" s="62" t="s">
        <v>119</v>
      </c>
      <c r="D2117" s="64">
        <v>40.0</v>
      </c>
      <c r="E2117" s="62" t="s">
        <v>109</v>
      </c>
      <c r="F2117" s="62" t="s">
        <v>115</v>
      </c>
      <c r="G2117" s="64" t="s">
        <v>64</v>
      </c>
      <c r="H2117" s="3" t="s">
        <v>139</v>
      </c>
      <c r="I2117" s="65">
        <f>IFERROR(VLOOKUP(A2117,'3. Call duration'!$A:$C,3,0),"--")</f>
        <v>23.496641</v>
      </c>
      <c r="J2117" s="65" t="str">
        <f t="array" ref="J2117">XLOOKUP(H2117,'2. Matching'!$A$2:$A$39,'2. Matching'!$B$2:$B$39,"--")</f>
        <v>Acquisition</v>
      </c>
      <c r="K2117" s="65" t="str">
        <f t="shared" si="1"/>
        <v>In</v>
      </c>
    </row>
    <row r="2118">
      <c r="A2118" s="62" t="s">
        <v>2256</v>
      </c>
      <c r="B2118" s="63">
        <v>44070.0</v>
      </c>
      <c r="C2118" s="62" t="s">
        <v>119</v>
      </c>
      <c r="D2118" s="64">
        <v>40.0</v>
      </c>
      <c r="E2118" s="62" t="s">
        <v>109</v>
      </c>
      <c r="F2118" s="62" t="s">
        <v>115</v>
      </c>
      <c r="G2118" s="64" t="s">
        <v>64</v>
      </c>
      <c r="H2118" s="3" t="s">
        <v>131</v>
      </c>
      <c r="I2118" s="65">
        <f>IFERROR(VLOOKUP(A2118,'3. Call duration'!$A:$C,3,0),"--")</f>
        <v>31.68787574</v>
      </c>
      <c r="J2118" s="65" t="str">
        <f t="array" ref="J2118">XLOOKUP(H2118,'2. Matching'!$A$2:$A$39,'2. Matching'!$B$2:$B$39,"--")</f>
        <v>Acquisition</v>
      </c>
      <c r="K2118" s="65" t="str">
        <f t="shared" si="1"/>
        <v>In</v>
      </c>
    </row>
    <row r="2119">
      <c r="A2119" s="62" t="s">
        <v>2257</v>
      </c>
      <c r="B2119" s="63">
        <v>44067.0</v>
      </c>
      <c r="C2119" s="62" t="s">
        <v>119</v>
      </c>
      <c r="D2119" s="64">
        <v>40.0</v>
      </c>
      <c r="E2119" s="62" t="s">
        <v>109</v>
      </c>
      <c r="F2119" s="62" t="s">
        <v>115</v>
      </c>
      <c r="G2119" s="64" t="s">
        <v>64</v>
      </c>
      <c r="H2119" s="3" t="s">
        <v>131</v>
      </c>
      <c r="I2119" s="65">
        <f>IFERROR(VLOOKUP(A2119,'3. Call duration'!$A:$C,3,0),"--")</f>
        <v>24.76547136</v>
      </c>
      <c r="J2119" s="65" t="str">
        <f t="array" ref="J2119">XLOOKUP(H2119,'2. Matching'!$A$2:$A$39,'2. Matching'!$B$2:$B$39,"--")</f>
        <v>Acquisition</v>
      </c>
      <c r="K2119" s="65" t="str">
        <f t="shared" si="1"/>
        <v>In</v>
      </c>
    </row>
    <row r="2120">
      <c r="A2120" s="62" t="s">
        <v>2258</v>
      </c>
      <c r="B2120" s="63">
        <v>44074.0</v>
      </c>
      <c r="C2120" s="62" t="s">
        <v>119</v>
      </c>
      <c r="D2120" s="64">
        <v>40.0</v>
      </c>
      <c r="E2120" s="62" t="s">
        <v>109</v>
      </c>
      <c r="F2120" s="62" t="s">
        <v>115</v>
      </c>
      <c r="G2120" s="64" t="s">
        <v>64</v>
      </c>
      <c r="H2120" s="3" t="s">
        <v>139</v>
      </c>
      <c r="I2120" s="65">
        <f>IFERROR(VLOOKUP(A2120,'3. Call duration'!$A:$C,3,0),"--")</f>
        <v>33.3328699</v>
      </c>
      <c r="J2120" s="65" t="str">
        <f t="array" ref="J2120">XLOOKUP(H2120,'2. Matching'!$A$2:$A$39,'2. Matching'!$B$2:$B$39,"--")</f>
        <v>Acquisition</v>
      </c>
      <c r="K2120" s="65" t="str">
        <f t="shared" si="1"/>
        <v>In</v>
      </c>
    </row>
    <row r="2121">
      <c r="A2121" s="62" t="s">
        <v>2259</v>
      </c>
      <c r="B2121" s="63">
        <v>44378.0</v>
      </c>
      <c r="C2121" s="62" t="s">
        <v>119</v>
      </c>
      <c r="D2121" s="64">
        <v>50.0</v>
      </c>
      <c r="E2121" s="62" t="s">
        <v>109</v>
      </c>
      <c r="F2121" s="62" t="s">
        <v>115</v>
      </c>
      <c r="G2121" s="64" t="s">
        <v>64</v>
      </c>
      <c r="H2121" s="3" t="s">
        <v>155</v>
      </c>
      <c r="I2121" s="65">
        <f>IFERROR(VLOOKUP(A2121,'3. Call duration'!$A:$C,3,0),"--")</f>
        <v>26.0040304</v>
      </c>
      <c r="J2121" s="65" t="str">
        <f t="array" ref="J2121">XLOOKUP(H2121,'2. Matching'!$A$2:$A$39,'2. Matching'!$B$2:$B$39,"--")</f>
        <v>SEO</v>
      </c>
      <c r="K2121" s="65" t="str">
        <f t="shared" si="1"/>
        <v>In</v>
      </c>
    </row>
    <row r="2122">
      <c r="A2122" s="62" t="s">
        <v>2260</v>
      </c>
      <c r="B2122" s="63">
        <v>44390.0</v>
      </c>
      <c r="C2122" s="62" t="s">
        <v>119</v>
      </c>
      <c r="D2122" s="64">
        <v>50.0</v>
      </c>
      <c r="E2122" s="62" t="s">
        <v>109</v>
      </c>
      <c r="F2122" s="62" t="s">
        <v>115</v>
      </c>
      <c r="G2122" s="64" t="s">
        <v>59</v>
      </c>
      <c r="H2122" s="3" t="s">
        <v>68</v>
      </c>
      <c r="I2122" s="65">
        <f>IFERROR(VLOOKUP(A2122,'3. Call duration'!$A:$C,3,0),"--")</f>
        <v>33.18601836</v>
      </c>
      <c r="J2122" s="65" t="str">
        <f t="array" ref="J2122">XLOOKUP(H2122,'2. Matching'!$A$2:$A$39,'2. Matching'!$B$2:$B$39,"--")</f>
        <v>Acquisition</v>
      </c>
      <c r="K2122" s="65" t="str">
        <f t="shared" si="1"/>
        <v>In</v>
      </c>
    </row>
    <row r="2123">
      <c r="A2123" s="62" t="s">
        <v>2261</v>
      </c>
      <c r="B2123" s="63">
        <v>44396.0</v>
      </c>
      <c r="C2123" s="62" t="s">
        <v>119</v>
      </c>
      <c r="D2123" s="64">
        <v>50.0</v>
      </c>
      <c r="E2123" s="62" t="s">
        <v>109</v>
      </c>
      <c r="F2123" s="62" t="s">
        <v>110</v>
      </c>
      <c r="G2123" s="64" t="s">
        <v>59</v>
      </c>
      <c r="H2123" s="3" t="s">
        <v>68</v>
      </c>
      <c r="I2123" s="65">
        <f>IFERROR(VLOOKUP(A2123,'3. Call duration'!$A:$C,3,0),"--")</f>
        <v>25.62940336</v>
      </c>
      <c r="J2123" s="65" t="str">
        <f t="array" ref="J2123">XLOOKUP(H2123,'2. Matching'!$A$2:$A$39,'2. Matching'!$B$2:$B$39,"--")</f>
        <v>Acquisition</v>
      </c>
      <c r="K2123" s="65" t="str">
        <f t="shared" si="1"/>
        <v>In</v>
      </c>
    </row>
    <row r="2124">
      <c r="A2124" s="62" t="s">
        <v>2262</v>
      </c>
      <c r="B2124" s="63">
        <v>44386.0</v>
      </c>
      <c r="C2124" s="62" t="s">
        <v>119</v>
      </c>
      <c r="D2124" s="64">
        <v>50.0</v>
      </c>
      <c r="E2124" s="62" t="s">
        <v>109</v>
      </c>
      <c r="F2124" s="62" t="s">
        <v>110</v>
      </c>
      <c r="G2124" s="64" t="s">
        <v>61</v>
      </c>
      <c r="H2124" s="3" t="s">
        <v>67</v>
      </c>
      <c r="I2124" s="65">
        <f>IFERROR(VLOOKUP(A2124,'3. Call duration'!$A:$C,3,0),"--")</f>
        <v>39.60441018</v>
      </c>
      <c r="J2124" s="65" t="str">
        <f t="array" ref="J2124">XLOOKUP(H2124,'2. Matching'!$A$2:$A$39,'2. Matching'!$B$2:$B$39,"--")</f>
        <v>Acquisition</v>
      </c>
      <c r="K2124" s="65" t="str">
        <f t="shared" si="1"/>
        <v>In</v>
      </c>
    </row>
    <row r="2125">
      <c r="A2125" s="62" t="s">
        <v>2263</v>
      </c>
      <c r="B2125" s="63">
        <v>44385.0</v>
      </c>
      <c r="C2125" s="62" t="s">
        <v>119</v>
      </c>
      <c r="D2125" s="64">
        <v>50.0</v>
      </c>
      <c r="E2125" s="62" t="s">
        <v>109</v>
      </c>
      <c r="F2125" s="62" t="s">
        <v>115</v>
      </c>
      <c r="G2125" s="64" t="s">
        <v>64</v>
      </c>
      <c r="H2125" s="3" t="s">
        <v>221</v>
      </c>
      <c r="I2125" s="65">
        <f>IFERROR(VLOOKUP(A2125,'3. Call duration'!$A:$C,3,0),"--")</f>
        <v>33.63512079</v>
      </c>
      <c r="J2125" s="65" t="str">
        <f t="array" ref="J2125">XLOOKUP(H2125,'2. Matching'!$A$2:$A$39,'2. Matching'!$B$2:$B$39,"--")</f>
        <v>Farming</v>
      </c>
      <c r="K2125" s="65" t="str">
        <f t="shared" si="1"/>
        <v>In</v>
      </c>
    </row>
    <row r="2126">
      <c r="A2126" s="62" t="s">
        <v>2264</v>
      </c>
      <c r="B2126" s="63">
        <v>44384.0</v>
      </c>
      <c r="C2126" s="62" t="s">
        <v>119</v>
      </c>
      <c r="D2126" s="64">
        <v>50.0</v>
      </c>
      <c r="E2126" s="62" t="s">
        <v>109</v>
      </c>
      <c r="F2126" s="62" t="s">
        <v>115</v>
      </c>
      <c r="G2126" s="64" t="s">
        <v>60</v>
      </c>
      <c r="H2126" s="3" t="s">
        <v>68</v>
      </c>
      <c r="I2126" s="65">
        <f>IFERROR(VLOOKUP(A2126,'3. Call duration'!$A:$C,3,0),"--")</f>
        <v>30.76254462</v>
      </c>
      <c r="J2126" s="65" t="str">
        <f t="array" ref="J2126">XLOOKUP(H2126,'2. Matching'!$A$2:$A$39,'2. Matching'!$B$2:$B$39,"--")</f>
        <v>Acquisition</v>
      </c>
      <c r="K2126" s="65" t="str">
        <f t="shared" si="1"/>
        <v>In</v>
      </c>
    </row>
    <row r="2127">
      <c r="A2127" s="62" t="s">
        <v>2265</v>
      </c>
      <c r="B2127" s="63">
        <v>44382.0</v>
      </c>
      <c r="C2127" s="62" t="s">
        <v>119</v>
      </c>
      <c r="D2127" s="64">
        <v>50.0</v>
      </c>
      <c r="E2127" s="62" t="s">
        <v>109</v>
      </c>
      <c r="F2127" s="62" t="s">
        <v>115</v>
      </c>
      <c r="G2127" s="64" t="s">
        <v>60</v>
      </c>
      <c r="H2127" s="3" t="s">
        <v>68</v>
      </c>
      <c r="I2127" s="65">
        <f>IFERROR(VLOOKUP(A2127,'3. Call duration'!$A:$C,3,0),"--")</f>
        <v>21.78173948</v>
      </c>
      <c r="J2127" s="65" t="str">
        <f t="array" ref="J2127">XLOOKUP(H2127,'2. Matching'!$A$2:$A$39,'2. Matching'!$B$2:$B$39,"--")</f>
        <v>Acquisition</v>
      </c>
      <c r="K2127" s="65" t="str">
        <f t="shared" si="1"/>
        <v>In</v>
      </c>
    </row>
    <row r="2128">
      <c r="A2128" s="62" t="s">
        <v>2266</v>
      </c>
      <c r="B2128" s="63">
        <v>44392.0</v>
      </c>
      <c r="C2128" s="62" t="s">
        <v>119</v>
      </c>
      <c r="D2128" s="64">
        <v>50.0</v>
      </c>
      <c r="E2128" s="62" t="s">
        <v>109</v>
      </c>
      <c r="F2128" s="62" t="s">
        <v>115</v>
      </c>
      <c r="G2128" s="64" t="s">
        <v>64</v>
      </c>
      <c r="H2128" s="3" t="s">
        <v>185</v>
      </c>
      <c r="I2128" s="65">
        <f>IFERROR(VLOOKUP(A2128,'3. Call duration'!$A:$C,3,0),"--")</f>
        <v>11.0596304</v>
      </c>
      <c r="J2128" s="65" t="str">
        <f t="array" ref="J2128">XLOOKUP(H2128,'2. Matching'!$A$2:$A$39,'2. Matching'!$B$2:$B$39,"--")</f>
        <v>SEO</v>
      </c>
      <c r="K2128" s="65" t="str">
        <f t="shared" si="1"/>
        <v>In</v>
      </c>
    </row>
    <row r="2129">
      <c r="A2129" s="62" t="s">
        <v>2267</v>
      </c>
      <c r="B2129" s="63">
        <v>44392.0</v>
      </c>
      <c r="C2129" s="62" t="s">
        <v>119</v>
      </c>
      <c r="D2129" s="64">
        <v>50.0</v>
      </c>
      <c r="E2129" s="62" t="s">
        <v>109</v>
      </c>
      <c r="F2129" s="62" t="s">
        <v>110</v>
      </c>
      <c r="G2129" s="64" t="s">
        <v>60</v>
      </c>
      <c r="H2129" s="3" t="s">
        <v>67</v>
      </c>
      <c r="I2129" s="65">
        <f>IFERROR(VLOOKUP(A2129,'3. Call duration'!$A:$C,3,0),"--")</f>
        <v>23.86792179</v>
      </c>
      <c r="J2129" s="65" t="str">
        <f t="array" ref="J2129">XLOOKUP(H2129,'2. Matching'!$A$2:$A$39,'2. Matching'!$B$2:$B$39,"--")</f>
        <v>Acquisition</v>
      </c>
      <c r="K2129" s="65" t="str">
        <f t="shared" si="1"/>
        <v>In</v>
      </c>
    </row>
    <row r="2130">
      <c r="A2130" s="62" t="s">
        <v>2268</v>
      </c>
      <c r="B2130" s="63">
        <v>44394.0</v>
      </c>
      <c r="C2130" s="62" t="s">
        <v>119</v>
      </c>
      <c r="D2130" s="64">
        <v>50.0</v>
      </c>
      <c r="E2130" s="62" t="s">
        <v>109</v>
      </c>
      <c r="F2130" s="62" t="s">
        <v>110</v>
      </c>
      <c r="G2130" s="64" t="s">
        <v>61</v>
      </c>
      <c r="H2130" s="3" t="s">
        <v>67</v>
      </c>
      <c r="I2130" s="65">
        <f>IFERROR(VLOOKUP(A2130,'3. Call duration'!$A:$C,3,0),"--")</f>
        <v>27.62553929</v>
      </c>
      <c r="J2130" s="65" t="str">
        <f t="array" ref="J2130">XLOOKUP(H2130,'2. Matching'!$A$2:$A$39,'2. Matching'!$B$2:$B$39,"--")</f>
        <v>Acquisition</v>
      </c>
      <c r="K2130" s="65" t="str">
        <f t="shared" si="1"/>
        <v>In</v>
      </c>
    </row>
    <row r="2131">
      <c r="A2131" s="62" t="s">
        <v>2269</v>
      </c>
      <c r="B2131" s="63">
        <v>44393.0</v>
      </c>
      <c r="C2131" s="62" t="s">
        <v>119</v>
      </c>
      <c r="D2131" s="64">
        <v>50.0</v>
      </c>
      <c r="E2131" s="62" t="s">
        <v>109</v>
      </c>
      <c r="F2131" s="62" t="s">
        <v>110</v>
      </c>
      <c r="G2131" s="64" t="s">
        <v>61</v>
      </c>
      <c r="H2131" s="3" t="s">
        <v>67</v>
      </c>
      <c r="I2131" s="65">
        <f>IFERROR(VLOOKUP(A2131,'3. Call duration'!$A:$C,3,0),"--")</f>
        <v>12.25268462</v>
      </c>
      <c r="J2131" s="65" t="str">
        <f t="array" ref="J2131">XLOOKUP(H2131,'2. Matching'!$A$2:$A$39,'2. Matching'!$B$2:$B$39,"--")</f>
        <v>Acquisition</v>
      </c>
      <c r="K2131" s="65" t="str">
        <f t="shared" si="1"/>
        <v>In</v>
      </c>
    </row>
    <row r="2132">
      <c r="A2132" s="62" t="s">
        <v>2270</v>
      </c>
      <c r="B2132" s="63">
        <v>44380.0</v>
      </c>
      <c r="C2132" s="62" t="s">
        <v>119</v>
      </c>
      <c r="D2132" s="64">
        <v>50.0</v>
      </c>
      <c r="E2132" s="62" t="s">
        <v>109</v>
      </c>
      <c r="F2132" s="62" t="s">
        <v>115</v>
      </c>
      <c r="G2132" s="64" t="s">
        <v>64</v>
      </c>
      <c r="H2132" s="3" t="s">
        <v>139</v>
      </c>
      <c r="I2132" s="65">
        <f>IFERROR(VLOOKUP(A2132,'3. Call duration'!$A:$C,3,0),"--")</f>
        <v>27.27381809</v>
      </c>
      <c r="J2132" s="65" t="str">
        <f t="array" ref="J2132">XLOOKUP(H2132,'2. Matching'!$A$2:$A$39,'2. Matching'!$B$2:$B$39,"--")</f>
        <v>Acquisition</v>
      </c>
      <c r="K2132" s="65" t="str">
        <f t="shared" si="1"/>
        <v>In</v>
      </c>
    </row>
    <row r="2133">
      <c r="A2133" s="62" t="s">
        <v>2271</v>
      </c>
      <c r="B2133" s="63">
        <v>44379.0</v>
      </c>
      <c r="C2133" s="62" t="s">
        <v>119</v>
      </c>
      <c r="D2133" s="64">
        <v>50.0</v>
      </c>
      <c r="E2133" s="62" t="s">
        <v>109</v>
      </c>
      <c r="F2133" s="62" t="s">
        <v>110</v>
      </c>
      <c r="G2133" s="64" t="s">
        <v>61</v>
      </c>
      <c r="H2133" s="3" t="s">
        <v>67</v>
      </c>
      <c r="I2133" s="65">
        <f>IFERROR(VLOOKUP(A2133,'3. Call duration'!$A:$C,3,0),"--")</f>
        <v>22.01126202</v>
      </c>
      <c r="J2133" s="65" t="str">
        <f t="array" ref="J2133">XLOOKUP(H2133,'2. Matching'!$A$2:$A$39,'2. Matching'!$B$2:$B$39,"--")</f>
        <v>Acquisition</v>
      </c>
      <c r="K2133" s="65" t="str">
        <f t="shared" si="1"/>
        <v>In</v>
      </c>
    </row>
    <row r="2134">
      <c r="A2134" s="62" t="s">
        <v>2272</v>
      </c>
      <c r="B2134" s="63">
        <v>44384.0</v>
      </c>
      <c r="C2134" s="62" t="s">
        <v>119</v>
      </c>
      <c r="D2134" s="64">
        <v>50.0</v>
      </c>
      <c r="E2134" s="62" t="s">
        <v>109</v>
      </c>
      <c r="F2134" s="62" t="s">
        <v>115</v>
      </c>
      <c r="G2134" s="64" t="s">
        <v>64</v>
      </c>
      <c r="H2134" s="3" t="s">
        <v>139</v>
      </c>
      <c r="I2134" s="65">
        <f>IFERROR(VLOOKUP(A2134,'3. Call duration'!$A:$C,3,0),"--")</f>
        <v>32.60344588</v>
      </c>
      <c r="J2134" s="65" t="str">
        <f t="array" ref="J2134">XLOOKUP(H2134,'2. Matching'!$A$2:$A$39,'2. Matching'!$B$2:$B$39,"--")</f>
        <v>Acquisition</v>
      </c>
      <c r="K2134" s="65" t="str">
        <f t="shared" si="1"/>
        <v>In</v>
      </c>
    </row>
    <row r="2135">
      <c r="A2135" s="62" t="s">
        <v>2273</v>
      </c>
      <c r="B2135" s="63">
        <v>44380.0</v>
      </c>
      <c r="C2135" s="62" t="s">
        <v>119</v>
      </c>
      <c r="D2135" s="64">
        <v>50.0</v>
      </c>
      <c r="E2135" s="62" t="s">
        <v>109</v>
      </c>
      <c r="F2135" s="62" t="s">
        <v>115</v>
      </c>
      <c r="G2135" s="64" t="s">
        <v>64</v>
      </c>
      <c r="H2135" s="3" t="s">
        <v>155</v>
      </c>
      <c r="I2135" s="65">
        <f>IFERROR(VLOOKUP(A2135,'3. Call duration'!$A:$C,3,0),"--")</f>
        <v>21.96029551</v>
      </c>
      <c r="J2135" s="65" t="str">
        <f t="array" ref="J2135">XLOOKUP(H2135,'2. Matching'!$A$2:$A$39,'2. Matching'!$B$2:$B$39,"--")</f>
        <v>SEO</v>
      </c>
      <c r="K2135" s="65" t="str">
        <f t="shared" si="1"/>
        <v>In</v>
      </c>
    </row>
    <row r="2136">
      <c r="A2136" s="62" t="s">
        <v>2274</v>
      </c>
      <c r="B2136" s="63">
        <v>44391.0</v>
      </c>
      <c r="C2136" s="62" t="s">
        <v>119</v>
      </c>
      <c r="D2136" s="64">
        <v>50.0</v>
      </c>
      <c r="E2136" s="62" t="s">
        <v>109</v>
      </c>
      <c r="F2136" s="62" t="s">
        <v>110</v>
      </c>
      <c r="G2136" s="64" t="s">
        <v>64</v>
      </c>
      <c r="H2136" s="3" t="s">
        <v>297</v>
      </c>
      <c r="I2136" s="65">
        <f>IFERROR(VLOOKUP(A2136,'3. Call duration'!$A:$C,3,0),"--")</f>
        <v>22.34713357</v>
      </c>
      <c r="J2136" s="65" t="str">
        <f t="array" ref="J2136">XLOOKUP(H2136,'2. Matching'!$A$2:$A$39,'2. Matching'!$B$2:$B$39,"--")</f>
        <v>Farming</v>
      </c>
      <c r="K2136" s="65" t="str">
        <f t="shared" si="1"/>
        <v>In</v>
      </c>
    </row>
    <row r="2137">
      <c r="A2137" s="62" t="s">
        <v>2275</v>
      </c>
      <c r="B2137" s="63">
        <v>44392.0</v>
      </c>
      <c r="C2137" s="62" t="s">
        <v>119</v>
      </c>
      <c r="D2137" s="64">
        <v>50.0</v>
      </c>
      <c r="E2137" s="62" t="s">
        <v>109</v>
      </c>
      <c r="F2137" s="62" t="s">
        <v>110</v>
      </c>
      <c r="G2137" s="64" t="s">
        <v>60</v>
      </c>
      <c r="H2137" s="3" t="s">
        <v>67</v>
      </c>
      <c r="I2137" s="65">
        <f>IFERROR(VLOOKUP(A2137,'3. Call duration'!$A:$C,3,0),"--")</f>
        <v>21.06421086</v>
      </c>
      <c r="J2137" s="65" t="str">
        <f t="array" ref="J2137">XLOOKUP(H2137,'2. Matching'!$A$2:$A$39,'2. Matching'!$B$2:$B$39,"--")</f>
        <v>Acquisition</v>
      </c>
      <c r="K2137" s="65" t="str">
        <f t="shared" si="1"/>
        <v>In</v>
      </c>
    </row>
    <row r="2138">
      <c r="A2138" s="62" t="s">
        <v>2276</v>
      </c>
      <c r="B2138" s="63">
        <v>44379.0</v>
      </c>
      <c r="C2138" s="62" t="s">
        <v>119</v>
      </c>
      <c r="D2138" s="64">
        <v>50.0</v>
      </c>
      <c r="E2138" s="62" t="s">
        <v>109</v>
      </c>
      <c r="F2138" s="62" t="s">
        <v>115</v>
      </c>
      <c r="G2138" s="64" t="s">
        <v>63</v>
      </c>
      <c r="H2138" s="3" t="s">
        <v>228</v>
      </c>
      <c r="I2138" s="65">
        <f>IFERROR(VLOOKUP(A2138,'3. Call duration'!$A:$C,3,0),"--")</f>
        <v>29.52976155</v>
      </c>
      <c r="J2138" s="65" t="str">
        <f t="array" ref="J2138">XLOOKUP(H2138,'2. Matching'!$A$2:$A$39,'2. Matching'!$B$2:$B$39,"--")</f>
        <v>Farming</v>
      </c>
      <c r="K2138" s="65" t="str">
        <f t="shared" si="1"/>
        <v>In</v>
      </c>
    </row>
    <row r="2139">
      <c r="A2139" s="62" t="s">
        <v>2277</v>
      </c>
      <c r="B2139" s="63">
        <v>44387.0</v>
      </c>
      <c r="C2139" s="62" t="s">
        <v>119</v>
      </c>
      <c r="D2139" s="64">
        <v>50.0</v>
      </c>
      <c r="E2139" s="62" t="s">
        <v>109</v>
      </c>
      <c r="F2139" s="62" t="s">
        <v>110</v>
      </c>
      <c r="G2139" s="64" t="s">
        <v>60</v>
      </c>
      <c r="H2139" s="3" t="s">
        <v>67</v>
      </c>
      <c r="I2139" s="65">
        <f>IFERROR(VLOOKUP(A2139,'3. Call duration'!$A:$C,3,0),"--")</f>
        <v>33.35464126</v>
      </c>
      <c r="J2139" s="65" t="str">
        <f t="array" ref="J2139">XLOOKUP(H2139,'2. Matching'!$A$2:$A$39,'2. Matching'!$B$2:$B$39,"--")</f>
        <v>Acquisition</v>
      </c>
      <c r="K2139" s="65" t="str">
        <f t="shared" si="1"/>
        <v>In</v>
      </c>
    </row>
    <row r="2140">
      <c r="A2140" s="62" t="s">
        <v>2278</v>
      </c>
      <c r="B2140" s="63">
        <v>44386.0</v>
      </c>
      <c r="C2140" s="62" t="s">
        <v>119</v>
      </c>
      <c r="D2140" s="64">
        <v>50.0</v>
      </c>
      <c r="E2140" s="62" t="s">
        <v>109</v>
      </c>
      <c r="F2140" s="62" t="s">
        <v>110</v>
      </c>
      <c r="G2140" s="64" t="s">
        <v>60</v>
      </c>
      <c r="H2140" s="3" t="s">
        <v>68</v>
      </c>
      <c r="I2140" s="65">
        <f>IFERROR(VLOOKUP(A2140,'3. Call duration'!$A:$C,3,0),"--")</f>
        <v>31.79774763</v>
      </c>
      <c r="J2140" s="65" t="str">
        <f t="array" ref="J2140">XLOOKUP(H2140,'2. Matching'!$A$2:$A$39,'2. Matching'!$B$2:$B$39,"--")</f>
        <v>Acquisition</v>
      </c>
      <c r="K2140" s="65" t="str">
        <f t="shared" si="1"/>
        <v>In</v>
      </c>
    </row>
    <row r="2141">
      <c r="A2141" s="62" t="s">
        <v>2279</v>
      </c>
      <c r="B2141" s="63">
        <v>44386.0</v>
      </c>
      <c r="C2141" s="62" t="s">
        <v>119</v>
      </c>
      <c r="D2141" s="64">
        <v>50.0</v>
      </c>
      <c r="E2141" s="62" t="s">
        <v>109</v>
      </c>
      <c r="F2141" s="62" t="s">
        <v>110</v>
      </c>
      <c r="G2141" s="64" t="s">
        <v>64</v>
      </c>
      <c r="H2141" s="3" t="s">
        <v>139</v>
      </c>
      <c r="I2141" s="65">
        <f>IFERROR(VLOOKUP(A2141,'3. Call duration'!$A:$C,3,0),"--")</f>
        <v>24.85512744</v>
      </c>
      <c r="J2141" s="65" t="str">
        <f t="array" ref="J2141">XLOOKUP(H2141,'2. Matching'!$A$2:$A$39,'2. Matching'!$B$2:$B$39,"--")</f>
        <v>Acquisition</v>
      </c>
      <c r="K2141" s="65" t="str">
        <f t="shared" si="1"/>
        <v>In</v>
      </c>
    </row>
    <row r="2142">
      <c r="A2142" s="62" t="s">
        <v>2280</v>
      </c>
      <c r="B2142" s="63">
        <v>44384.0</v>
      </c>
      <c r="C2142" s="62" t="s">
        <v>119</v>
      </c>
      <c r="D2142" s="64">
        <v>50.0</v>
      </c>
      <c r="E2142" s="62" t="s">
        <v>109</v>
      </c>
      <c r="F2142" s="62" t="s">
        <v>110</v>
      </c>
      <c r="G2142" s="64" t="s">
        <v>64</v>
      </c>
      <c r="H2142" s="3" t="s">
        <v>139</v>
      </c>
      <c r="I2142" s="65">
        <f>IFERROR(VLOOKUP(A2142,'3. Call duration'!$A:$C,3,0),"--")</f>
        <v>23.91738749</v>
      </c>
      <c r="J2142" s="65" t="str">
        <f t="array" ref="J2142">XLOOKUP(H2142,'2. Matching'!$A$2:$A$39,'2. Matching'!$B$2:$B$39,"--")</f>
        <v>Acquisition</v>
      </c>
      <c r="K2142" s="65" t="str">
        <f t="shared" si="1"/>
        <v>In</v>
      </c>
    </row>
    <row r="2143">
      <c r="A2143" s="62" t="s">
        <v>2281</v>
      </c>
      <c r="B2143" s="63">
        <v>44396.0</v>
      </c>
      <c r="C2143" s="62" t="s">
        <v>119</v>
      </c>
      <c r="D2143" s="64">
        <v>50.0</v>
      </c>
      <c r="E2143" s="62" t="s">
        <v>109</v>
      </c>
      <c r="F2143" s="62" t="s">
        <v>115</v>
      </c>
      <c r="G2143" s="64" t="s">
        <v>64</v>
      </c>
      <c r="H2143" s="3" t="s">
        <v>139</v>
      </c>
      <c r="I2143" s="65">
        <f>IFERROR(VLOOKUP(A2143,'3. Call duration'!$A:$C,3,0),"--")</f>
        <v>33.19163159</v>
      </c>
      <c r="J2143" s="65" t="str">
        <f t="array" ref="J2143">XLOOKUP(H2143,'2. Matching'!$A$2:$A$39,'2. Matching'!$B$2:$B$39,"--")</f>
        <v>Acquisition</v>
      </c>
      <c r="K2143" s="65" t="str">
        <f t="shared" si="1"/>
        <v>In</v>
      </c>
    </row>
    <row r="2144">
      <c r="A2144" s="62" t="s">
        <v>2282</v>
      </c>
      <c r="B2144" s="63">
        <v>44382.0</v>
      </c>
      <c r="C2144" s="62" t="s">
        <v>119</v>
      </c>
      <c r="D2144" s="64">
        <v>50.0</v>
      </c>
      <c r="E2144" s="62" t="s">
        <v>109</v>
      </c>
      <c r="F2144" s="62" t="s">
        <v>110</v>
      </c>
      <c r="G2144" s="64" t="s">
        <v>61</v>
      </c>
      <c r="H2144" s="3" t="s">
        <v>67</v>
      </c>
      <c r="I2144" s="65">
        <f>IFERROR(VLOOKUP(A2144,'3. Call duration'!$A:$C,3,0),"--")</f>
        <v>31.36217932</v>
      </c>
      <c r="J2144" s="65" t="str">
        <f t="array" ref="J2144">XLOOKUP(H2144,'2. Matching'!$A$2:$A$39,'2. Matching'!$B$2:$B$39,"--")</f>
        <v>Acquisition</v>
      </c>
      <c r="K2144" s="65" t="str">
        <f t="shared" si="1"/>
        <v>In</v>
      </c>
    </row>
    <row r="2145">
      <c r="A2145" s="62" t="s">
        <v>2283</v>
      </c>
      <c r="B2145" s="63">
        <v>44382.0</v>
      </c>
      <c r="C2145" s="62" t="s">
        <v>119</v>
      </c>
      <c r="D2145" s="64">
        <v>50.0</v>
      </c>
      <c r="E2145" s="62" t="s">
        <v>109</v>
      </c>
      <c r="F2145" s="62" t="s">
        <v>115</v>
      </c>
      <c r="G2145" s="64" t="s">
        <v>64</v>
      </c>
      <c r="H2145" s="3" t="s">
        <v>139</v>
      </c>
      <c r="I2145" s="65">
        <f>IFERROR(VLOOKUP(A2145,'3. Call duration'!$A:$C,3,0),"--")</f>
        <v>27.51663763</v>
      </c>
      <c r="J2145" s="65" t="str">
        <f t="array" ref="J2145">XLOOKUP(H2145,'2. Matching'!$A$2:$A$39,'2. Matching'!$B$2:$B$39,"--")</f>
        <v>Acquisition</v>
      </c>
      <c r="K2145" s="65" t="str">
        <f t="shared" si="1"/>
        <v>In</v>
      </c>
    </row>
    <row r="2146">
      <c r="A2146" s="62" t="s">
        <v>2284</v>
      </c>
      <c r="B2146" s="63">
        <v>44381.0</v>
      </c>
      <c r="C2146" s="62" t="s">
        <v>119</v>
      </c>
      <c r="D2146" s="64">
        <v>50.0</v>
      </c>
      <c r="E2146" s="62" t="s">
        <v>109</v>
      </c>
      <c r="F2146" s="62" t="s">
        <v>115</v>
      </c>
      <c r="G2146" s="64" t="s">
        <v>59</v>
      </c>
      <c r="H2146" s="3" t="s">
        <v>68</v>
      </c>
      <c r="I2146" s="65">
        <f>IFERROR(VLOOKUP(A2146,'3. Call duration'!$A:$C,3,0),"--")</f>
        <v>32.94721395</v>
      </c>
      <c r="J2146" s="65" t="str">
        <f t="array" ref="J2146">XLOOKUP(H2146,'2. Matching'!$A$2:$A$39,'2. Matching'!$B$2:$B$39,"--")</f>
        <v>Acquisition</v>
      </c>
      <c r="K2146" s="65" t="str">
        <f t="shared" si="1"/>
        <v>In</v>
      </c>
    </row>
    <row r="2147">
      <c r="A2147" s="62" t="s">
        <v>2285</v>
      </c>
      <c r="B2147" s="63">
        <v>44383.0</v>
      </c>
      <c r="C2147" s="62" t="s">
        <v>119</v>
      </c>
      <c r="D2147" s="64">
        <v>50.0</v>
      </c>
      <c r="E2147" s="62" t="s">
        <v>109</v>
      </c>
      <c r="F2147" s="62" t="s">
        <v>110</v>
      </c>
      <c r="G2147" s="64" t="s">
        <v>63</v>
      </c>
      <c r="H2147" s="3" t="s">
        <v>124</v>
      </c>
      <c r="I2147" s="65">
        <f>IFERROR(VLOOKUP(A2147,'3. Call duration'!$A:$C,3,0),"--")</f>
        <v>32.17128316</v>
      </c>
      <c r="J2147" s="65" t="str">
        <f t="array" ref="J2147">XLOOKUP(H2147,'2. Matching'!$A$2:$A$39,'2. Matching'!$B$2:$B$39,"--")</f>
        <v>Acquisition</v>
      </c>
      <c r="K2147" s="65" t="str">
        <f t="shared" si="1"/>
        <v>In</v>
      </c>
    </row>
    <row r="2148">
      <c r="A2148" s="62" t="s">
        <v>2286</v>
      </c>
      <c r="B2148" s="63">
        <v>44393.0</v>
      </c>
      <c r="C2148" s="62" t="s">
        <v>119</v>
      </c>
      <c r="D2148" s="64">
        <v>50.0</v>
      </c>
      <c r="E2148" s="62" t="s">
        <v>109</v>
      </c>
      <c r="F2148" s="62" t="s">
        <v>110</v>
      </c>
      <c r="G2148" s="64" t="s">
        <v>61</v>
      </c>
      <c r="H2148" s="3" t="s">
        <v>67</v>
      </c>
      <c r="I2148" s="65">
        <f>IFERROR(VLOOKUP(A2148,'3. Call duration'!$A:$C,3,0),"--")</f>
        <v>27.89121207</v>
      </c>
      <c r="J2148" s="65" t="str">
        <f t="array" ref="J2148">XLOOKUP(H2148,'2. Matching'!$A$2:$A$39,'2. Matching'!$B$2:$B$39,"--")</f>
        <v>Acquisition</v>
      </c>
      <c r="K2148" s="65" t="str">
        <f t="shared" si="1"/>
        <v>In</v>
      </c>
    </row>
    <row r="2149">
      <c r="A2149" s="62" t="s">
        <v>2287</v>
      </c>
      <c r="B2149" s="63">
        <v>44382.0</v>
      </c>
      <c r="C2149" s="62" t="s">
        <v>119</v>
      </c>
      <c r="D2149" s="64">
        <v>50.0</v>
      </c>
      <c r="E2149" s="62" t="s">
        <v>109</v>
      </c>
      <c r="F2149" s="62" t="s">
        <v>110</v>
      </c>
      <c r="G2149" s="64" t="s">
        <v>60</v>
      </c>
      <c r="H2149" s="3" t="s">
        <v>67</v>
      </c>
      <c r="I2149" s="65">
        <f>IFERROR(VLOOKUP(A2149,'3. Call duration'!$A:$C,3,0),"--")</f>
        <v>12.20704824</v>
      </c>
      <c r="J2149" s="65" t="str">
        <f t="array" ref="J2149">XLOOKUP(H2149,'2. Matching'!$A$2:$A$39,'2. Matching'!$B$2:$B$39,"--")</f>
        <v>Acquisition</v>
      </c>
      <c r="K2149" s="65" t="str">
        <f t="shared" si="1"/>
        <v>In</v>
      </c>
    </row>
    <row r="2150">
      <c r="A2150" s="62" t="s">
        <v>2288</v>
      </c>
      <c r="B2150" s="63">
        <v>44386.0</v>
      </c>
      <c r="C2150" s="62" t="s">
        <v>119</v>
      </c>
      <c r="D2150" s="64">
        <v>50.0</v>
      </c>
      <c r="E2150" s="62" t="s">
        <v>109</v>
      </c>
      <c r="F2150" s="62" t="s">
        <v>110</v>
      </c>
      <c r="G2150" s="64" t="s">
        <v>61</v>
      </c>
      <c r="H2150" s="3" t="s">
        <v>67</v>
      </c>
      <c r="I2150" s="65">
        <f>IFERROR(VLOOKUP(A2150,'3. Call duration'!$A:$C,3,0),"--")</f>
        <v>11.65429284</v>
      </c>
      <c r="J2150" s="65" t="str">
        <f t="array" ref="J2150">XLOOKUP(H2150,'2. Matching'!$A$2:$A$39,'2. Matching'!$B$2:$B$39,"--")</f>
        <v>Acquisition</v>
      </c>
      <c r="K2150" s="65" t="str">
        <f t="shared" si="1"/>
        <v>In</v>
      </c>
    </row>
    <row r="2151">
      <c r="A2151" s="62" t="s">
        <v>2289</v>
      </c>
      <c r="B2151" s="63">
        <v>44382.0</v>
      </c>
      <c r="C2151" s="62" t="s">
        <v>119</v>
      </c>
      <c r="D2151" s="64">
        <v>50.0</v>
      </c>
      <c r="E2151" s="62" t="s">
        <v>109</v>
      </c>
      <c r="F2151" s="62" t="s">
        <v>115</v>
      </c>
      <c r="G2151" s="64" t="s">
        <v>64</v>
      </c>
      <c r="H2151" s="3" t="s">
        <v>52</v>
      </c>
      <c r="I2151" s="65">
        <f>IFERROR(VLOOKUP(A2151,'3. Call duration'!$A:$C,3,0),"--")</f>
        <v>19.47157643</v>
      </c>
      <c r="J2151" s="65" t="str">
        <f t="array" ref="J2151">XLOOKUP(H2151,'2. Matching'!$A$2:$A$39,'2. Matching'!$B$2:$B$39,"--")</f>
        <v>Partnerships</v>
      </c>
      <c r="K2151" s="65" t="str">
        <f t="shared" si="1"/>
        <v>In</v>
      </c>
    </row>
    <row r="2152">
      <c r="A2152" s="62" t="s">
        <v>2290</v>
      </c>
      <c r="B2152" s="63">
        <v>44398.0</v>
      </c>
      <c r="C2152" s="62" t="s">
        <v>119</v>
      </c>
      <c r="D2152" s="64">
        <v>50.0</v>
      </c>
      <c r="E2152" s="62" t="s">
        <v>109</v>
      </c>
      <c r="F2152" s="62" t="s">
        <v>110</v>
      </c>
      <c r="G2152" s="64" t="s">
        <v>61</v>
      </c>
      <c r="H2152" s="3" t="s">
        <v>67</v>
      </c>
      <c r="I2152" s="65">
        <f>IFERROR(VLOOKUP(A2152,'3. Call duration'!$A:$C,3,0),"--")</f>
        <v>28.00637065</v>
      </c>
      <c r="J2152" s="65" t="str">
        <f t="array" ref="J2152">XLOOKUP(H2152,'2. Matching'!$A$2:$A$39,'2. Matching'!$B$2:$B$39,"--")</f>
        <v>Acquisition</v>
      </c>
      <c r="K2152" s="65" t="str">
        <f t="shared" si="1"/>
        <v>In</v>
      </c>
    </row>
    <row r="2153">
      <c r="A2153" s="62" t="s">
        <v>2291</v>
      </c>
      <c r="B2153" s="63">
        <v>44382.0</v>
      </c>
      <c r="C2153" s="62" t="s">
        <v>119</v>
      </c>
      <c r="D2153" s="64">
        <v>50.0</v>
      </c>
      <c r="E2153" s="62" t="s">
        <v>109</v>
      </c>
      <c r="F2153" s="62" t="s">
        <v>110</v>
      </c>
      <c r="G2153" s="64" t="s">
        <v>60</v>
      </c>
      <c r="H2153" s="3" t="s">
        <v>67</v>
      </c>
      <c r="I2153" s="65">
        <f>IFERROR(VLOOKUP(A2153,'3. Call duration'!$A:$C,3,0),"--")</f>
        <v>11.08001275</v>
      </c>
      <c r="J2153" s="65" t="str">
        <f t="array" ref="J2153">XLOOKUP(H2153,'2. Matching'!$A$2:$A$39,'2. Matching'!$B$2:$B$39,"--")</f>
        <v>Acquisition</v>
      </c>
      <c r="K2153" s="65" t="str">
        <f t="shared" si="1"/>
        <v>In</v>
      </c>
    </row>
    <row r="2154">
      <c r="A2154" s="62" t="s">
        <v>2292</v>
      </c>
      <c r="B2154" s="63">
        <v>44383.0</v>
      </c>
      <c r="C2154" s="62" t="s">
        <v>119</v>
      </c>
      <c r="D2154" s="64">
        <v>50.0</v>
      </c>
      <c r="E2154" s="62" t="s">
        <v>109</v>
      </c>
      <c r="F2154" s="62" t="s">
        <v>115</v>
      </c>
      <c r="G2154" s="64" t="s">
        <v>60</v>
      </c>
      <c r="H2154" s="3" t="s">
        <v>68</v>
      </c>
      <c r="I2154" s="65">
        <f>IFERROR(VLOOKUP(A2154,'3. Call duration'!$A:$C,3,0),"--")</f>
        <v>30.26754498</v>
      </c>
      <c r="J2154" s="65" t="str">
        <f t="array" ref="J2154">XLOOKUP(H2154,'2. Matching'!$A$2:$A$39,'2. Matching'!$B$2:$B$39,"--")</f>
        <v>Acquisition</v>
      </c>
      <c r="K2154" s="65" t="str">
        <f t="shared" si="1"/>
        <v>In</v>
      </c>
    </row>
    <row r="2155">
      <c r="A2155" s="62" t="s">
        <v>2293</v>
      </c>
      <c r="B2155" s="63">
        <v>44379.0</v>
      </c>
      <c r="C2155" s="62" t="s">
        <v>119</v>
      </c>
      <c r="D2155" s="64">
        <v>50.0</v>
      </c>
      <c r="E2155" s="62" t="s">
        <v>109</v>
      </c>
      <c r="F2155" s="62" t="s">
        <v>115</v>
      </c>
      <c r="G2155" s="64" t="s">
        <v>64</v>
      </c>
      <c r="H2155" s="3" t="s">
        <v>116</v>
      </c>
      <c r="I2155" s="65">
        <f>IFERROR(VLOOKUP(A2155,'3. Call duration'!$A:$C,3,0),"--")</f>
        <v>13.00517186</v>
      </c>
      <c r="J2155" s="65" t="str">
        <f t="array" ref="J2155">XLOOKUP(H2155,'2. Matching'!$A$2:$A$39,'2. Matching'!$B$2:$B$39,"--")</f>
        <v>Acquisition</v>
      </c>
      <c r="K2155" s="65" t="str">
        <f t="shared" si="1"/>
        <v>In</v>
      </c>
    </row>
    <row r="2156">
      <c r="A2156" s="62" t="s">
        <v>2294</v>
      </c>
      <c r="B2156" s="63">
        <v>44387.0</v>
      </c>
      <c r="C2156" s="62" t="s">
        <v>119</v>
      </c>
      <c r="D2156" s="64">
        <v>50.0</v>
      </c>
      <c r="E2156" s="62" t="s">
        <v>109</v>
      </c>
      <c r="F2156" s="62" t="s">
        <v>115</v>
      </c>
      <c r="G2156" s="64" t="s">
        <v>61</v>
      </c>
      <c r="H2156" s="3" t="s">
        <v>68</v>
      </c>
      <c r="I2156" s="65">
        <f>IFERROR(VLOOKUP(A2156,'3. Call duration'!$A:$C,3,0),"--")</f>
        <v>45.39605707</v>
      </c>
      <c r="J2156" s="65" t="str">
        <f t="array" ref="J2156">XLOOKUP(H2156,'2. Matching'!$A$2:$A$39,'2. Matching'!$B$2:$B$39,"--")</f>
        <v>Acquisition</v>
      </c>
      <c r="K2156" s="65" t="str">
        <f t="shared" si="1"/>
        <v>In</v>
      </c>
    </row>
    <row r="2157">
      <c r="A2157" s="62" t="s">
        <v>2295</v>
      </c>
      <c r="B2157" s="63">
        <v>44383.0</v>
      </c>
      <c r="C2157" s="62" t="s">
        <v>119</v>
      </c>
      <c r="D2157" s="64">
        <v>50.0</v>
      </c>
      <c r="E2157" s="62" t="s">
        <v>109</v>
      </c>
      <c r="F2157" s="62" t="s">
        <v>115</v>
      </c>
      <c r="G2157" s="64" t="s">
        <v>64</v>
      </c>
      <c r="H2157" s="3" t="s">
        <v>221</v>
      </c>
      <c r="I2157" s="65">
        <f>IFERROR(VLOOKUP(A2157,'3. Call duration'!$A:$C,3,0),"--")</f>
        <v>20.13718261</v>
      </c>
      <c r="J2157" s="65" t="str">
        <f t="array" ref="J2157">XLOOKUP(H2157,'2. Matching'!$A$2:$A$39,'2. Matching'!$B$2:$B$39,"--")</f>
        <v>Farming</v>
      </c>
      <c r="K2157" s="65" t="str">
        <f t="shared" si="1"/>
        <v>In</v>
      </c>
    </row>
    <row r="2158">
      <c r="A2158" s="62" t="s">
        <v>2296</v>
      </c>
      <c r="B2158" s="63">
        <v>44378.0</v>
      </c>
      <c r="C2158" s="62" t="s">
        <v>119</v>
      </c>
      <c r="D2158" s="64">
        <v>50.0</v>
      </c>
      <c r="E2158" s="62" t="s">
        <v>109</v>
      </c>
      <c r="F2158" s="62" t="s">
        <v>110</v>
      </c>
      <c r="G2158" s="64" t="s">
        <v>61</v>
      </c>
      <c r="H2158" s="3" t="s">
        <v>67</v>
      </c>
      <c r="I2158" s="65">
        <f>IFERROR(VLOOKUP(A2158,'3. Call duration'!$A:$C,3,0),"--")</f>
        <v>31.21420753</v>
      </c>
      <c r="J2158" s="65" t="str">
        <f t="array" ref="J2158">XLOOKUP(H2158,'2. Matching'!$A$2:$A$39,'2. Matching'!$B$2:$B$39,"--")</f>
        <v>Acquisition</v>
      </c>
      <c r="K2158" s="65" t="str">
        <f t="shared" si="1"/>
        <v>In</v>
      </c>
    </row>
    <row r="2159">
      <c r="A2159" s="62" t="s">
        <v>2297</v>
      </c>
      <c r="B2159" s="63">
        <v>44392.0</v>
      </c>
      <c r="C2159" s="62" t="s">
        <v>119</v>
      </c>
      <c r="D2159" s="64">
        <v>50.0</v>
      </c>
      <c r="E2159" s="62" t="s">
        <v>109</v>
      </c>
      <c r="F2159" s="62" t="s">
        <v>115</v>
      </c>
      <c r="G2159" s="64" t="s">
        <v>64</v>
      </c>
      <c r="H2159" s="3" t="s">
        <v>139</v>
      </c>
      <c r="I2159" s="65">
        <f>IFERROR(VLOOKUP(A2159,'3. Call duration'!$A:$C,3,0),"--")</f>
        <v>28.6181419</v>
      </c>
      <c r="J2159" s="65" t="str">
        <f t="array" ref="J2159">XLOOKUP(H2159,'2. Matching'!$A$2:$A$39,'2. Matching'!$B$2:$B$39,"--")</f>
        <v>Acquisition</v>
      </c>
      <c r="K2159" s="65" t="str">
        <f t="shared" si="1"/>
        <v>In</v>
      </c>
    </row>
    <row r="2160">
      <c r="A2160" s="62" t="s">
        <v>2298</v>
      </c>
      <c r="B2160" s="63">
        <v>44382.0</v>
      </c>
      <c r="C2160" s="62" t="s">
        <v>119</v>
      </c>
      <c r="D2160" s="64">
        <v>50.0</v>
      </c>
      <c r="E2160" s="62" t="s">
        <v>109</v>
      </c>
      <c r="F2160" s="62" t="s">
        <v>115</v>
      </c>
      <c r="G2160" s="64" t="s">
        <v>64</v>
      </c>
      <c r="H2160" s="3" t="s">
        <v>139</v>
      </c>
      <c r="I2160" s="65">
        <f>IFERROR(VLOOKUP(A2160,'3. Call duration'!$A:$C,3,0),"--")</f>
        <v>31.00317602</v>
      </c>
      <c r="J2160" s="65" t="str">
        <f t="array" ref="J2160">XLOOKUP(H2160,'2. Matching'!$A$2:$A$39,'2. Matching'!$B$2:$B$39,"--")</f>
        <v>Acquisition</v>
      </c>
      <c r="K2160" s="65" t="str">
        <f t="shared" si="1"/>
        <v>In</v>
      </c>
    </row>
    <row r="2161">
      <c r="A2161" s="62" t="s">
        <v>2299</v>
      </c>
      <c r="B2161" s="63">
        <v>44379.0</v>
      </c>
      <c r="C2161" s="62" t="s">
        <v>119</v>
      </c>
      <c r="D2161" s="64">
        <v>50.0</v>
      </c>
      <c r="E2161" s="62" t="s">
        <v>109</v>
      </c>
      <c r="F2161" s="62" t="s">
        <v>110</v>
      </c>
      <c r="G2161" s="64" t="s">
        <v>64</v>
      </c>
      <c r="H2161" s="3" t="s">
        <v>139</v>
      </c>
      <c r="I2161" s="65">
        <f>IFERROR(VLOOKUP(A2161,'3. Call duration'!$A:$C,3,0),"--")</f>
        <v>25.27443942</v>
      </c>
      <c r="J2161" s="65" t="str">
        <f t="array" ref="J2161">XLOOKUP(H2161,'2. Matching'!$A$2:$A$39,'2. Matching'!$B$2:$B$39,"--")</f>
        <v>Acquisition</v>
      </c>
      <c r="K2161" s="65" t="str">
        <f t="shared" si="1"/>
        <v>In</v>
      </c>
    </row>
    <row r="2162">
      <c r="A2162" s="62" t="s">
        <v>2300</v>
      </c>
      <c r="B2162" s="63">
        <v>44395.0</v>
      </c>
      <c r="C2162" s="62" t="s">
        <v>119</v>
      </c>
      <c r="D2162" s="64">
        <v>50.0</v>
      </c>
      <c r="E2162" s="62" t="s">
        <v>109</v>
      </c>
      <c r="F2162" s="62" t="s">
        <v>115</v>
      </c>
      <c r="G2162" s="64" t="s">
        <v>64</v>
      </c>
      <c r="H2162" s="3" t="s">
        <v>139</v>
      </c>
      <c r="I2162" s="65">
        <f>IFERROR(VLOOKUP(A2162,'3. Call duration'!$A:$C,3,0),"--")</f>
        <v>26.98963758</v>
      </c>
      <c r="J2162" s="65" t="str">
        <f t="array" ref="J2162">XLOOKUP(H2162,'2. Matching'!$A$2:$A$39,'2. Matching'!$B$2:$B$39,"--")</f>
        <v>Acquisition</v>
      </c>
      <c r="K2162" s="65" t="str">
        <f t="shared" si="1"/>
        <v>In</v>
      </c>
    </row>
    <row r="2163">
      <c r="A2163" s="62" t="s">
        <v>2301</v>
      </c>
      <c r="B2163" s="63">
        <v>44392.0</v>
      </c>
      <c r="C2163" s="62" t="s">
        <v>119</v>
      </c>
      <c r="D2163" s="64">
        <v>50.0</v>
      </c>
      <c r="E2163" s="62" t="s">
        <v>109</v>
      </c>
      <c r="F2163" s="62" t="s">
        <v>115</v>
      </c>
      <c r="G2163" s="64" t="s">
        <v>64</v>
      </c>
      <c r="H2163" s="3" t="s">
        <v>141</v>
      </c>
      <c r="I2163" s="65">
        <f>IFERROR(VLOOKUP(A2163,'3. Call duration'!$A:$C,3,0),"--")</f>
        <v>50.37961781</v>
      </c>
      <c r="J2163" s="65" t="str">
        <f t="array" ref="J2163">XLOOKUP(H2163,'2. Matching'!$A$2:$A$39,'2. Matching'!$B$2:$B$39,"--")</f>
        <v>Acquisition</v>
      </c>
      <c r="K2163" s="65" t="str">
        <f t="shared" si="1"/>
        <v>In</v>
      </c>
    </row>
    <row r="2164">
      <c r="A2164" s="62" t="s">
        <v>2302</v>
      </c>
      <c r="B2164" s="63">
        <v>44384.0</v>
      </c>
      <c r="C2164" s="62" t="s">
        <v>119</v>
      </c>
      <c r="D2164" s="64">
        <v>50.0</v>
      </c>
      <c r="E2164" s="62" t="s">
        <v>109</v>
      </c>
      <c r="F2164" s="62" t="s">
        <v>110</v>
      </c>
      <c r="G2164" s="64" t="s">
        <v>63</v>
      </c>
      <c r="H2164" s="3" t="s">
        <v>124</v>
      </c>
      <c r="I2164" s="65">
        <f>IFERROR(VLOOKUP(A2164,'3. Call duration'!$A:$C,3,0),"--")</f>
        <v>23.20243142</v>
      </c>
      <c r="J2164" s="65" t="str">
        <f t="array" ref="J2164">XLOOKUP(H2164,'2. Matching'!$A$2:$A$39,'2. Matching'!$B$2:$B$39,"--")</f>
        <v>Acquisition</v>
      </c>
      <c r="K2164" s="65" t="str">
        <f t="shared" si="1"/>
        <v>In</v>
      </c>
    </row>
    <row r="2165">
      <c r="A2165" s="62" t="s">
        <v>2303</v>
      </c>
      <c r="B2165" s="63">
        <v>44378.0</v>
      </c>
      <c r="C2165" s="62" t="s">
        <v>119</v>
      </c>
      <c r="D2165" s="64">
        <v>50.0</v>
      </c>
      <c r="E2165" s="62" t="s">
        <v>109</v>
      </c>
      <c r="F2165" s="62" t="s">
        <v>115</v>
      </c>
      <c r="G2165" s="64" t="s">
        <v>64</v>
      </c>
      <c r="H2165" s="3" t="s">
        <v>169</v>
      </c>
      <c r="I2165" s="65">
        <f>IFERROR(VLOOKUP(A2165,'3. Call duration'!$A:$C,3,0),"--")</f>
        <v>30.96392089</v>
      </c>
      <c r="J2165" s="65" t="str">
        <f t="array" ref="J2165">XLOOKUP(H2165,'2. Matching'!$A$2:$A$39,'2. Matching'!$B$2:$B$39,"--")</f>
        <v>SEO</v>
      </c>
      <c r="K2165" s="65" t="str">
        <f t="shared" si="1"/>
        <v>In</v>
      </c>
    </row>
    <row r="2166">
      <c r="A2166" s="62" t="s">
        <v>2304</v>
      </c>
      <c r="B2166" s="63">
        <v>44386.0</v>
      </c>
      <c r="C2166" s="62" t="s">
        <v>119</v>
      </c>
      <c r="D2166" s="64">
        <v>50.0</v>
      </c>
      <c r="E2166" s="62" t="s">
        <v>109</v>
      </c>
      <c r="F2166" s="62" t="s">
        <v>115</v>
      </c>
      <c r="G2166" s="64" t="s">
        <v>64</v>
      </c>
      <c r="H2166" s="3" t="s">
        <v>221</v>
      </c>
      <c r="I2166" s="65">
        <f>IFERROR(VLOOKUP(A2166,'3. Call duration'!$A:$C,3,0),"--")</f>
        <v>33.05511794</v>
      </c>
      <c r="J2166" s="65" t="str">
        <f t="array" ref="J2166">XLOOKUP(H2166,'2. Matching'!$A$2:$A$39,'2. Matching'!$B$2:$B$39,"--")</f>
        <v>Farming</v>
      </c>
      <c r="K2166" s="65" t="str">
        <f t="shared" si="1"/>
        <v>In</v>
      </c>
    </row>
    <row r="2167">
      <c r="A2167" s="62" t="s">
        <v>2305</v>
      </c>
      <c r="B2167" s="63">
        <v>44381.0</v>
      </c>
      <c r="C2167" s="62" t="s">
        <v>119</v>
      </c>
      <c r="D2167" s="64">
        <v>50.0</v>
      </c>
      <c r="E2167" s="62" t="s">
        <v>109</v>
      </c>
      <c r="F2167" s="62" t="s">
        <v>115</v>
      </c>
      <c r="G2167" s="64" t="s">
        <v>64</v>
      </c>
      <c r="H2167" s="3" t="s">
        <v>139</v>
      </c>
      <c r="I2167" s="65">
        <f>IFERROR(VLOOKUP(A2167,'3. Call duration'!$A:$C,3,0),"--")</f>
        <v>28.88028342</v>
      </c>
      <c r="J2167" s="65" t="str">
        <f t="array" ref="J2167">XLOOKUP(H2167,'2. Matching'!$A$2:$A$39,'2. Matching'!$B$2:$B$39,"--")</f>
        <v>Acquisition</v>
      </c>
      <c r="K2167" s="65" t="str">
        <f t="shared" si="1"/>
        <v>In</v>
      </c>
    </row>
    <row r="2168">
      <c r="A2168" s="62" t="s">
        <v>2306</v>
      </c>
      <c r="B2168" s="63">
        <v>44382.0</v>
      </c>
      <c r="C2168" s="62" t="s">
        <v>119</v>
      </c>
      <c r="D2168" s="64">
        <v>50.0</v>
      </c>
      <c r="E2168" s="62" t="s">
        <v>109</v>
      </c>
      <c r="F2168" s="62" t="s">
        <v>115</v>
      </c>
      <c r="G2168" s="64" t="s">
        <v>64</v>
      </c>
      <c r="H2168" s="3" t="s">
        <v>169</v>
      </c>
      <c r="I2168" s="65">
        <f>IFERROR(VLOOKUP(A2168,'3. Call duration'!$A:$C,3,0),"--")</f>
        <v>22.7013593</v>
      </c>
      <c r="J2168" s="65" t="str">
        <f t="array" ref="J2168">XLOOKUP(H2168,'2. Matching'!$A$2:$A$39,'2. Matching'!$B$2:$B$39,"--")</f>
        <v>SEO</v>
      </c>
      <c r="K2168" s="65" t="str">
        <f t="shared" si="1"/>
        <v>In</v>
      </c>
    </row>
    <row r="2169">
      <c r="A2169" s="62" t="s">
        <v>2307</v>
      </c>
      <c r="B2169" s="63">
        <v>44379.0</v>
      </c>
      <c r="C2169" s="62" t="s">
        <v>119</v>
      </c>
      <c r="D2169" s="64">
        <v>50.0</v>
      </c>
      <c r="E2169" s="62" t="s">
        <v>109</v>
      </c>
      <c r="F2169" s="62" t="s">
        <v>115</v>
      </c>
      <c r="G2169" s="64" t="s">
        <v>63</v>
      </c>
      <c r="H2169" s="3" t="s">
        <v>124</v>
      </c>
      <c r="I2169" s="65">
        <f>IFERROR(VLOOKUP(A2169,'3. Call duration'!$A:$C,3,0),"--")</f>
        <v>30.63666474</v>
      </c>
      <c r="J2169" s="65" t="str">
        <f t="array" ref="J2169">XLOOKUP(H2169,'2. Matching'!$A$2:$A$39,'2. Matching'!$B$2:$B$39,"--")</f>
        <v>Acquisition</v>
      </c>
      <c r="K2169" s="65" t="str">
        <f t="shared" si="1"/>
        <v>In</v>
      </c>
    </row>
    <row r="2170">
      <c r="A2170" s="62" t="s">
        <v>2308</v>
      </c>
      <c r="B2170" s="63">
        <v>44392.0</v>
      </c>
      <c r="C2170" s="62" t="s">
        <v>119</v>
      </c>
      <c r="D2170" s="64">
        <v>50.0</v>
      </c>
      <c r="E2170" s="62" t="s">
        <v>109</v>
      </c>
      <c r="F2170" s="62" t="s">
        <v>110</v>
      </c>
      <c r="G2170" s="64" t="s">
        <v>59</v>
      </c>
      <c r="H2170" s="3" t="s">
        <v>68</v>
      </c>
      <c r="I2170" s="65">
        <f>IFERROR(VLOOKUP(A2170,'3. Call duration'!$A:$C,3,0),"--")</f>
        <v>30.13995364</v>
      </c>
      <c r="J2170" s="65" t="str">
        <f t="array" ref="J2170">XLOOKUP(H2170,'2. Matching'!$A$2:$A$39,'2. Matching'!$B$2:$B$39,"--")</f>
        <v>Acquisition</v>
      </c>
      <c r="K2170" s="65" t="str">
        <f t="shared" si="1"/>
        <v>In</v>
      </c>
    </row>
    <row r="2171">
      <c r="A2171" s="62" t="s">
        <v>2309</v>
      </c>
      <c r="B2171" s="63">
        <v>44388.0</v>
      </c>
      <c r="C2171" s="62" t="s">
        <v>119</v>
      </c>
      <c r="D2171" s="64">
        <v>50.0</v>
      </c>
      <c r="E2171" s="62" t="s">
        <v>109</v>
      </c>
      <c r="F2171" s="62" t="s">
        <v>115</v>
      </c>
      <c r="G2171" s="64" t="s">
        <v>64</v>
      </c>
      <c r="H2171" s="3" t="s">
        <v>139</v>
      </c>
      <c r="I2171" s="65">
        <f>IFERROR(VLOOKUP(A2171,'3. Call duration'!$A:$C,3,0),"--")</f>
        <v>20.66282301</v>
      </c>
      <c r="J2171" s="65" t="str">
        <f t="array" ref="J2171">XLOOKUP(H2171,'2. Matching'!$A$2:$A$39,'2. Matching'!$B$2:$B$39,"--")</f>
        <v>Acquisition</v>
      </c>
      <c r="K2171" s="65" t="str">
        <f t="shared" si="1"/>
        <v>In</v>
      </c>
    </row>
    <row r="2172">
      <c r="A2172" s="62" t="s">
        <v>2310</v>
      </c>
      <c r="B2172" s="63">
        <v>44398.0</v>
      </c>
      <c r="C2172" s="62" t="s">
        <v>119</v>
      </c>
      <c r="D2172" s="64">
        <v>50.0</v>
      </c>
      <c r="E2172" s="62" t="s">
        <v>109</v>
      </c>
      <c r="F2172" s="62" t="s">
        <v>110</v>
      </c>
      <c r="G2172" s="64" t="s">
        <v>64</v>
      </c>
      <c r="H2172" s="3" t="s">
        <v>55</v>
      </c>
      <c r="I2172" s="65" t="str">
        <f>IFERROR(VLOOKUP(A2172,'3. Call duration'!$A:$C,3,0),"--")</f>
        <v>--</v>
      </c>
      <c r="J2172" s="65" t="str">
        <f t="array" ref="J2172">XLOOKUP(H2172,'2. Matching'!$A$2:$A$39,'2. Matching'!$B$2:$B$39,"--")</f>
        <v>Partnerships</v>
      </c>
      <c r="K2172" s="65" t="str">
        <f t="shared" si="1"/>
        <v>In</v>
      </c>
    </row>
    <row r="2173">
      <c r="A2173" s="62" t="s">
        <v>2311</v>
      </c>
      <c r="B2173" s="63">
        <v>44383.0</v>
      </c>
      <c r="C2173" s="62" t="s">
        <v>119</v>
      </c>
      <c r="D2173" s="64">
        <v>50.0</v>
      </c>
      <c r="E2173" s="62" t="s">
        <v>109</v>
      </c>
      <c r="F2173" s="62" t="s">
        <v>115</v>
      </c>
      <c r="G2173" s="64" t="s">
        <v>59</v>
      </c>
      <c r="H2173" s="3" t="s">
        <v>68</v>
      </c>
      <c r="I2173" s="65">
        <f>IFERROR(VLOOKUP(A2173,'3. Call duration'!$A:$C,3,0),"--")</f>
        <v>31.48318076</v>
      </c>
      <c r="J2173" s="65" t="str">
        <f t="array" ref="J2173">XLOOKUP(H2173,'2. Matching'!$A$2:$A$39,'2. Matching'!$B$2:$B$39,"--")</f>
        <v>Acquisition</v>
      </c>
      <c r="K2173" s="65" t="str">
        <f t="shared" si="1"/>
        <v>In</v>
      </c>
    </row>
    <row r="2174">
      <c r="A2174" s="62" t="s">
        <v>2312</v>
      </c>
      <c r="B2174" s="63">
        <v>44382.0</v>
      </c>
      <c r="C2174" s="62" t="s">
        <v>119</v>
      </c>
      <c r="D2174" s="64">
        <v>50.0</v>
      </c>
      <c r="E2174" s="62" t="s">
        <v>109</v>
      </c>
      <c r="F2174" s="62" t="s">
        <v>115</v>
      </c>
      <c r="G2174" s="64" t="s">
        <v>64</v>
      </c>
      <c r="H2174" s="3" t="s">
        <v>175</v>
      </c>
      <c r="I2174" s="65">
        <f>IFERROR(VLOOKUP(A2174,'3. Call duration'!$A:$C,3,0),"--")</f>
        <v>15.91999212</v>
      </c>
      <c r="J2174" s="65" t="str">
        <f t="array" ref="J2174">XLOOKUP(H2174,'2. Matching'!$A$2:$A$39,'2. Matching'!$B$2:$B$39,"--")</f>
        <v>SEO</v>
      </c>
      <c r="K2174" s="65" t="str">
        <f t="shared" si="1"/>
        <v>In</v>
      </c>
    </row>
    <row r="2175">
      <c r="A2175" s="62" t="s">
        <v>2313</v>
      </c>
      <c r="B2175" s="63">
        <v>44382.0</v>
      </c>
      <c r="C2175" s="62" t="s">
        <v>119</v>
      </c>
      <c r="D2175" s="64">
        <v>50.0</v>
      </c>
      <c r="E2175" s="62" t="s">
        <v>109</v>
      </c>
      <c r="F2175" s="62" t="s">
        <v>115</v>
      </c>
      <c r="G2175" s="64" t="s">
        <v>63</v>
      </c>
      <c r="H2175" s="3" t="s">
        <v>228</v>
      </c>
      <c r="I2175" s="65">
        <f>IFERROR(VLOOKUP(A2175,'3. Call duration'!$A:$C,3,0),"--")</f>
        <v>33.07981196</v>
      </c>
      <c r="J2175" s="65" t="str">
        <f t="array" ref="J2175">XLOOKUP(H2175,'2. Matching'!$A$2:$A$39,'2. Matching'!$B$2:$B$39,"--")</f>
        <v>Farming</v>
      </c>
      <c r="K2175" s="65" t="str">
        <f t="shared" si="1"/>
        <v>In</v>
      </c>
    </row>
    <row r="2176">
      <c r="A2176" s="62" t="s">
        <v>2314</v>
      </c>
      <c r="B2176" s="63">
        <v>44383.0</v>
      </c>
      <c r="C2176" s="62" t="s">
        <v>119</v>
      </c>
      <c r="D2176" s="64">
        <v>50.0</v>
      </c>
      <c r="E2176" s="62" t="s">
        <v>109</v>
      </c>
      <c r="F2176" s="62" t="s">
        <v>115</v>
      </c>
      <c r="G2176" s="64" t="s">
        <v>63</v>
      </c>
      <c r="H2176" s="3" t="s">
        <v>228</v>
      </c>
      <c r="I2176" s="65">
        <f>IFERROR(VLOOKUP(A2176,'3. Call duration'!$A:$C,3,0),"--")</f>
        <v>13.78448897</v>
      </c>
      <c r="J2176" s="65" t="str">
        <f t="array" ref="J2176">XLOOKUP(H2176,'2. Matching'!$A$2:$A$39,'2. Matching'!$B$2:$B$39,"--")</f>
        <v>Farming</v>
      </c>
      <c r="K2176" s="65" t="str">
        <f t="shared" si="1"/>
        <v>In</v>
      </c>
    </row>
    <row r="2177">
      <c r="A2177" s="62" t="s">
        <v>2315</v>
      </c>
      <c r="B2177" s="63">
        <v>44382.0</v>
      </c>
      <c r="C2177" s="62" t="s">
        <v>119</v>
      </c>
      <c r="D2177" s="64">
        <v>50.0</v>
      </c>
      <c r="E2177" s="62" t="s">
        <v>109</v>
      </c>
      <c r="F2177" s="62" t="s">
        <v>110</v>
      </c>
      <c r="G2177" s="64" t="s">
        <v>60</v>
      </c>
      <c r="H2177" s="3" t="s">
        <v>67</v>
      </c>
      <c r="I2177" s="65">
        <f>IFERROR(VLOOKUP(A2177,'3. Call duration'!$A:$C,3,0),"--")</f>
        <v>11.11385088</v>
      </c>
      <c r="J2177" s="65" t="str">
        <f t="array" ref="J2177">XLOOKUP(H2177,'2. Matching'!$A$2:$A$39,'2. Matching'!$B$2:$B$39,"--")</f>
        <v>Acquisition</v>
      </c>
      <c r="K2177" s="65" t="str">
        <f t="shared" si="1"/>
        <v>In</v>
      </c>
    </row>
    <row r="2178">
      <c r="A2178" s="62" t="s">
        <v>2316</v>
      </c>
      <c r="B2178" s="63">
        <v>44384.0</v>
      </c>
      <c r="C2178" s="62" t="s">
        <v>119</v>
      </c>
      <c r="D2178" s="64">
        <v>50.0</v>
      </c>
      <c r="E2178" s="62" t="s">
        <v>109</v>
      </c>
      <c r="F2178" s="62" t="s">
        <v>110</v>
      </c>
      <c r="G2178" s="64" t="s">
        <v>60</v>
      </c>
      <c r="H2178" s="3" t="s">
        <v>68</v>
      </c>
      <c r="I2178" s="65">
        <f>IFERROR(VLOOKUP(A2178,'3. Call duration'!$A:$C,3,0),"--")</f>
        <v>33.22252333</v>
      </c>
      <c r="J2178" s="65" t="str">
        <f t="array" ref="J2178">XLOOKUP(H2178,'2. Matching'!$A$2:$A$39,'2. Matching'!$B$2:$B$39,"--")</f>
        <v>Acquisition</v>
      </c>
      <c r="K2178" s="65" t="str">
        <f t="shared" si="1"/>
        <v>In</v>
      </c>
    </row>
    <row r="2179">
      <c r="A2179" s="62" t="s">
        <v>2317</v>
      </c>
      <c r="B2179" s="63">
        <v>44379.0</v>
      </c>
      <c r="C2179" s="62" t="s">
        <v>119</v>
      </c>
      <c r="D2179" s="64">
        <v>50.0</v>
      </c>
      <c r="E2179" s="62" t="s">
        <v>109</v>
      </c>
      <c r="F2179" s="62" t="s">
        <v>115</v>
      </c>
      <c r="G2179" s="64" t="s">
        <v>64</v>
      </c>
      <c r="H2179" s="3" t="s">
        <v>185</v>
      </c>
      <c r="I2179" s="65">
        <f>IFERROR(VLOOKUP(A2179,'3. Call duration'!$A:$C,3,0),"--")</f>
        <v>26.78519552</v>
      </c>
      <c r="J2179" s="65" t="str">
        <f t="array" ref="J2179">XLOOKUP(H2179,'2. Matching'!$A$2:$A$39,'2. Matching'!$B$2:$B$39,"--")</f>
        <v>SEO</v>
      </c>
      <c r="K2179" s="65" t="str">
        <f t="shared" si="1"/>
        <v>In</v>
      </c>
    </row>
    <row r="2180">
      <c r="A2180" s="62" t="s">
        <v>2318</v>
      </c>
      <c r="B2180" s="63">
        <v>44386.0</v>
      </c>
      <c r="C2180" s="62" t="s">
        <v>119</v>
      </c>
      <c r="D2180" s="64">
        <v>50.0</v>
      </c>
      <c r="E2180" s="62" t="s">
        <v>109</v>
      </c>
      <c r="F2180" s="62" t="s">
        <v>115</v>
      </c>
      <c r="G2180" s="64" t="s">
        <v>64</v>
      </c>
      <c r="H2180" s="3" t="s">
        <v>139</v>
      </c>
      <c r="I2180" s="65">
        <f>IFERROR(VLOOKUP(A2180,'3. Call duration'!$A:$C,3,0),"--")</f>
        <v>23.45322831</v>
      </c>
      <c r="J2180" s="65" t="str">
        <f t="array" ref="J2180">XLOOKUP(H2180,'2. Matching'!$A$2:$A$39,'2. Matching'!$B$2:$B$39,"--")</f>
        <v>Acquisition</v>
      </c>
      <c r="K2180" s="65" t="str">
        <f t="shared" si="1"/>
        <v>In</v>
      </c>
    </row>
    <row r="2181">
      <c r="A2181" s="62" t="s">
        <v>2319</v>
      </c>
      <c r="B2181" s="63">
        <v>44383.0</v>
      </c>
      <c r="C2181" s="62" t="s">
        <v>119</v>
      </c>
      <c r="D2181" s="64">
        <v>50.0</v>
      </c>
      <c r="E2181" s="62" t="s">
        <v>109</v>
      </c>
      <c r="F2181" s="62" t="s">
        <v>115</v>
      </c>
      <c r="G2181" s="64" t="s">
        <v>63</v>
      </c>
      <c r="H2181" s="3" t="s">
        <v>228</v>
      </c>
      <c r="I2181" s="65">
        <f>IFERROR(VLOOKUP(A2181,'3. Call duration'!$A:$C,3,0),"--")</f>
        <v>33.18703763</v>
      </c>
      <c r="J2181" s="65" t="str">
        <f t="array" ref="J2181">XLOOKUP(H2181,'2. Matching'!$A$2:$A$39,'2. Matching'!$B$2:$B$39,"--")</f>
        <v>Farming</v>
      </c>
      <c r="K2181" s="65" t="str">
        <f t="shared" si="1"/>
        <v>In</v>
      </c>
    </row>
    <row r="2182">
      <c r="A2182" s="62" t="s">
        <v>2320</v>
      </c>
      <c r="B2182" s="63">
        <v>44378.0</v>
      </c>
      <c r="C2182" s="62" t="s">
        <v>119</v>
      </c>
      <c r="D2182" s="64">
        <v>50.0</v>
      </c>
      <c r="E2182" s="62" t="s">
        <v>109</v>
      </c>
      <c r="F2182" s="62" t="s">
        <v>110</v>
      </c>
      <c r="G2182" s="64" t="s">
        <v>61</v>
      </c>
      <c r="H2182" s="3" t="s">
        <v>67</v>
      </c>
      <c r="I2182" s="65">
        <f>IFERROR(VLOOKUP(A2182,'3. Call duration'!$A:$C,3,0),"--")</f>
        <v>10.73175921</v>
      </c>
      <c r="J2182" s="65" t="str">
        <f t="array" ref="J2182">XLOOKUP(H2182,'2. Matching'!$A$2:$A$39,'2. Matching'!$B$2:$B$39,"--")</f>
        <v>Acquisition</v>
      </c>
      <c r="K2182" s="65" t="str">
        <f t="shared" si="1"/>
        <v>In</v>
      </c>
    </row>
    <row r="2183">
      <c r="A2183" s="62" t="s">
        <v>2321</v>
      </c>
      <c r="B2183" s="63">
        <v>44389.0</v>
      </c>
      <c r="C2183" s="62" t="s">
        <v>119</v>
      </c>
      <c r="D2183" s="64">
        <v>50.0</v>
      </c>
      <c r="E2183" s="62" t="s">
        <v>109</v>
      </c>
      <c r="F2183" s="62" t="s">
        <v>115</v>
      </c>
      <c r="G2183" s="64" t="s">
        <v>64</v>
      </c>
      <c r="H2183" s="3" t="s">
        <v>171</v>
      </c>
      <c r="I2183" s="65">
        <f>IFERROR(VLOOKUP(A2183,'3. Call duration'!$A:$C,3,0),"--")</f>
        <v>32.95821144</v>
      </c>
      <c r="J2183" s="65" t="str">
        <f t="array" ref="J2183">XLOOKUP(H2183,'2. Matching'!$A$2:$A$39,'2. Matching'!$B$2:$B$39,"--")</f>
        <v>SEO</v>
      </c>
      <c r="K2183" s="65" t="str">
        <f t="shared" si="1"/>
        <v>In</v>
      </c>
    </row>
    <row r="2184">
      <c r="A2184" s="62" t="s">
        <v>2322</v>
      </c>
      <c r="B2184" s="63">
        <v>44378.0</v>
      </c>
      <c r="C2184" s="62" t="s">
        <v>119</v>
      </c>
      <c r="D2184" s="64">
        <v>50.0</v>
      </c>
      <c r="E2184" s="62" t="s">
        <v>109</v>
      </c>
      <c r="F2184" s="62" t="s">
        <v>115</v>
      </c>
      <c r="G2184" s="64" t="s">
        <v>64</v>
      </c>
      <c r="H2184" s="3" t="s">
        <v>169</v>
      </c>
      <c r="I2184" s="65">
        <f>IFERROR(VLOOKUP(A2184,'3. Call duration'!$A:$C,3,0),"--")</f>
        <v>33.5860787</v>
      </c>
      <c r="J2184" s="65" t="str">
        <f t="array" ref="J2184">XLOOKUP(H2184,'2. Matching'!$A$2:$A$39,'2. Matching'!$B$2:$B$39,"--")</f>
        <v>SEO</v>
      </c>
      <c r="K2184" s="65" t="str">
        <f t="shared" si="1"/>
        <v>In</v>
      </c>
    </row>
    <row r="2185">
      <c r="A2185" s="62" t="s">
        <v>2323</v>
      </c>
      <c r="B2185" s="63">
        <v>44392.0</v>
      </c>
      <c r="C2185" s="62" t="s">
        <v>119</v>
      </c>
      <c r="D2185" s="64">
        <v>50.0</v>
      </c>
      <c r="E2185" s="62" t="s">
        <v>109</v>
      </c>
      <c r="F2185" s="62" t="s">
        <v>115</v>
      </c>
      <c r="G2185" s="64" t="s">
        <v>64</v>
      </c>
      <c r="H2185" s="3" t="s">
        <v>139</v>
      </c>
      <c r="I2185" s="65">
        <f>IFERROR(VLOOKUP(A2185,'3. Call duration'!$A:$C,3,0),"--")</f>
        <v>28.41745529</v>
      </c>
      <c r="J2185" s="65" t="str">
        <f t="array" ref="J2185">XLOOKUP(H2185,'2. Matching'!$A$2:$A$39,'2. Matching'!$B$2:$B$39,"--")</f>
        <v>Acquisition</v>
      </c>
      <c r="K2185" s="65" t="str">
        <f t="shared" si="1"/>
        <v>In</v>
      </c>
    </row>
    <row r="2186">
      <c r="A2186" s="62" t="s">
        <v>2324</v>
      </c>
      <c r="B2186" s="63">
        <v>44389.0</v>
      </c>
      <c r="C2186" s="62" t="s">
        <v>119</v>
      </c>
      <c r="D2186" s="64">
        <v>50.0</v>
      </c>
      <c r="E2186" s="62" t="s">
        <v>109</v>
      </c>
      <c r="F2186" s="62" t="s">
        <v>110</v>
      </c>
      <c r="G2186" s="64" t="s">
        <v>60</v>
      </c>
      <c r="H2186" s="3" t="s">
        <v>67</v>
      </c>
      <c r="I2186" s="65">
        <f>IFERROR(VLOOKUP(A2186,'3. Call duration'!$A:$C,3,0),"--")</f>
        <v>28.96555846</v>
      </c>
      <c r="J2186" s="65" t="str">
        <f t="array" ref="J2186">XLOOKUP(H2186,'2. Matching'!$A$2:$A$39,'2. Matching'!$B$2:$B$39,"--")</f>
        <v>Acquisition</v>
      </c>
      <c r="K2186" s="65" t="str">
        <f t="shared" si="1"/>
        <v>In</v>
      </c>
    </row>
    <row r="2187">
      <c r="A2187" s="62" t="s">
        <v>2325</v>
      </c>
      <c r="B2187" s="63">
        <v>44378.0</v>
      </c>
      <c r="C2187" s="62" t="s">
        <v>119</v>
      </c>
      <c r="D2187" s="64">
        <v>50.0</v>
      </c>
      <c r="E2187" s="62" t="s">
        <v>109</v>
      </c>
      <c r="F2187" s="62" t="s">
        <v>110</v>
      </c>
      <c r="G2187" s="64" t="s">
        <v>60</v>
      </c>
      <c r="H2187" s="3" t="s">
        <v>67</v>
      </c>
      <c r="I2187" s="65">
        <f>IFERROR(VLOOKUP(A2187,'3. Call duration'!$A:$C,3,0),"--")</f>
        <v>33.28344281</v>
      </c>
      <c r="J2187" s="65" t="str">
        <f t="array" ref="J2187">XLOOKUP(H2187,'2. Matching'!$A$2:$A$39,'2. Matching'!$B$2:$B$39,"--")</f>
        <v>Acquisition</v>
      </c>
      <c r="K2187" s="65" t="str">
        <f t="shared" si="1"/>
        <v>In</v>
      </c>
    </row>
    <row r="2188">
      <c r="A2188" s="62" t="s">
        <v>2326</v>
      </c>
      <c r="B2188" s="63">
        <v>44390.0</v>
      </c>
      <c r="C2188" s="62" t="s">
        <v>119</v>
      </c>
      <c r="D2188" s="64">
        <v>50.0</v>
      </c>
      <c r="E2188" s="62" t="s">
        <v>109</v>
      </c>
      <c r="F2188" s="62" t="s">
        <v>110</v>
      </c>
      <c r="G2188" s="64" t="s">
        <v>60</v>
      </c>
      <c r="H2188" s="3" t="s">
        <v>67</v>
      </c>
      <c r="I2188" s="65">
        <f>IFERROR(VLOOKUP(A2188,'3. Call duration'!$A:$C,3,0),"--")</f>
        <v>32.21146174</v>
      </c>
      <c r="J2188" s="65" t="str">
        <f t="array" ref="J2188">XLOOKUP(H2188,'2. Matching'!$A$2:$A$39,'2. Matching'!$B$2:$B$39,"--")</f>
        <v>Acquisition</v>
      </c>
      <c r="K2188" s="65" t="str">
        <f t="shared" si="1"/>
        <v>In</v>
      </c>
    </row>
    <row r="2189">
      <c r="A2189" s="62" t="s">
        <v>2327</v>
      </c>
      <c r="B2189" s="63">
        <v>44383.0</v>
      </c>
      <c r="C2189" s="62" t="s">
        <v>119</v>
      </c>
      <c r="D2189" s="64">
        <v>50.0</v>
      </c>
      <c r="E2189" s="62" t="s">
        <v>109</v>
      </c>
      <c r="F2189" s="62" t="s">
        <v>110</v>
      </c>
      <c r="G2189" s="64" t="s">
        <v>61</v>
      </c>
      <c r="H2189" s="3" t="s">
        <v>67</v>
      </c>
      <c r="I2189" s="65" t="str">
        <f>IFERROR(VLOOKUP(A2189,'3. Call duration'!$A:$C,3,0),"--")</f>
        <v>--</v>
      </c>
      <c r="J2189" s="65" t="str">
        <f t="array" ref="J2189">XLOOKUP(H2189,'2. Matching'!$A$2:$A$39,'2. Matching'!$B$2:$B$39,"--")</f>
        <v>Acquisition</v>
      </c>
      <c r="K2189" s="65" t="str">
        <f t="shared" si="1"/>
        <v>In</v>
      </c>
    </row>
    <row r="2190">
      <c r="A2190" s="62" t="s">
        <v>2328</v>
      </c>
      <c r="B2190" s="63">
        <v>44394.0</v>
      </c>
      <c r="C2190" s="62" t="s">
        <v>119</v>
      </c>
      <c r="D2190" s="64">
        <v>50.0</v>
      </c>
      <c r="E2190" s="62" t="s">
        <v>109</v>
      </c>
      <c r="F2190" s="62" t="s">
        <v>110</v>
      </c>
      <c r="G2190" s="64" t="s">
        <v>64</v>
      </c>
      <c r="H2190" s="3" t="s">
        <v>139</v>
      </c>
      <c r="I2190" s="65">
        <f>IFERROR(VLOOKUP(A2190,'3. Call duration'!$A:$C,3,0),"--")</f>
        <v>27.747131</v>
      </c>
      <c r="J2190" s="65" t="str">
        <f t="array" ref="J2190">XLOOKUP(H2190,'2. Matching'!$A$2:$A$39,'2. Matching'!$B$2:$B$39,"--")</f>
        <v>Acquisition</v>
      </c>
      <c r="K2190" s="65" t="str">
        <f t="shared" si="1"/>
        <v>In</v>
      </c>
    </row>
    <row r="2191">
      <c r="A2191" s="62" t="s">
        <v>2329</v>
      </c>
      <c r="B2191" s="63">
        <v>44380.0</v>
      </c>
      <c r="C2191" s="62" t="s">
        <v>119</v>
      </c>
      <c r="D2191" s="64">
        <v>50.0</v>
      </c>
      <c r="E2191" s="62" t="s">
        <v>109</v>
      </c>
      <c r="F2191" s="62" t="s">
        <v>115</v>
      </c>
      <c r="G2191" s="64" t="s">
        <v>60</v>
      </c>
      <c r="H2191" s="3" t="s">
        <v>68</v>
      </c>
      <c r="I2191" s="65">
        <f>IFERROR(VLOOKUP(A2191,'3. Call duration'!$A:$C,3,0),"--")</f>
        <v>11.8568725</v>
      </c>
      <c r="J2191" s="65" t="str">
        <f t="array" ref="J2191">XLOOKUP(H2191,'2. Matching'!$A$2:$A$39,'2. Matching'!$B$2:$B$39,"--")</f>
        <v>Acquisition</v>
      </c>
      <c r="K2191" s="65" t="str">
        <f t="shared" si="1"/>
        <v>In</v>
      </c>
    </row>
    <row r="2192">
      <c r="A2192" s="62" t="s">
        <v>2330</v>
      </c>
      <c r="B2192" s="63">
        <v>44378.0</v>
      </c>
      <c r="C2192" s="62" t="s">
        <v>119</v>
      </c>
      <c r="D2192" s="64">
        <v>50.0</v>
      </c>
      <c r="E2192" s="62" t="s">
        <v>109</v>
      </c>
      <c r="F2192" s="62" t="s">
        <v>110</v>
      </c>
      <c r="G2192" s="64" t="s">
        <v>61</v>
      </c>
      <c r="H2192" s="3" t="s">
        <v>67</v>
      </c>
      <c r="I2192" s="65">
        <f>IFERROR(VLOOKUP(A2192,'3. Call duration'!$A:$C,3,0),"--")</f>
        <v>26.69792704</v>
      </c>
      <c r="J2192" s="65" t="str">
        <f t="array" ref="J2192">XLOOKUP(H2192,'2. Matching'!$A$2:$A$39,'2. Matching'!$B$2:$B$39,"--")</f>
        <v>Acquisition</v>
      </c>
      <c r="K2192" s="65" t="str">
        <f t="shared" si="1"/>
        <v>In</v>
      </c>
    </row>
    <row r="2193">
      <c r="A2193" s="62" t="s">
        <v>2331</v>
      </c>
      <c r="B2193" s="63">
        <v>44384.0</v>
      </c>
      <c r="C2193" s="62" t="s">
        <v>119</v>
      </c>
      <c r="D2193" s="64">
        <v>50.0</v>
      </c>
      <c r="E2193" s="62" t="s">
        <v>109</v>
      </c>
      <c r="F2193" s="62" t="s">
        <v>115</v>
      </c>
      <c r="G2193" s="64" t="s">
        <v>64</v>
      </c>
      <c r="H2193" s="3" t="s">
        <v>139</v>
      </c>
      <c r="I2193" s="65">
        <f>IFERROR(VLOOKUP(A2193,'3. Call duration'!$A:$C,3,0),"--")</f>
        <v>33.56214418</v>
      </c>
      <c r="J2193" s="65" t="str">
        <f t="array" ref="J2193">XLOOKUP(H2193,'2. Matching'!$A$2:$A$39,'2. Matching'!$B$2:$B$39,"--")</f>
        <v>Acquisition</v>
      </c>
      <c r="K2193" s="65" t="str">
        <f t="shared" si="1"/>
        <v>In</v>
      </c>
    </row>
    <row r="2194">
      <c r="A2194" s="62" t="s">
        <v>2332</v>
      </c>
      <c r="B2194" s="63">
        <v>44396.0</v>
      </c>
      <c r="C2194" s="62" t="s">
        <v>119</v>
      </c>
      <c r="D2194" s="64">
        <v>50.0</v>
      </c>
      <c r="E2194" s="62" t="s">
        <v>109</v>
      </c>
      <c r="F2194" s="62" t="s">
        <v>110</v>
      </c>
      <c r="G2194" s="64" t="s">
        <v>61</v>
      </c>
      <c r="H2194" s="3" t="s">
        <v>67</v>
      </c>
      <c r="I2194" s="65">
        <f>IFERROR(VLOOKUP(A2194,'3. Call duration'!$A:$C,3,0),"--")</f>
        <v>26.92892759</v>
      </c>
      <c r="J2194" s="65" t="str">
        <f t="array" ref="J2194">XLOOKUP(H2194,'2. Matching'!$A$2:$A$39,'2. Matching'!$B$2:$B$39,"--")</f>
        <v>Acquisition</v>
      </c>
      <c r="K2194" s="65" t="str">
        <f t="shared" si="1"/>
        <v>In</v>
      </c>
    </row>
    <row r="2195">
      <c r="A2195" s="62" t="s">
        <v>2333</v>
      </c>
      <c r="B2195" s="63">
        <v>44382.0</v>
      </c>
      <c r="C2195" s="62" t="s">
        <v>119</v>
      </c>
      <c r="D2195" s="64">
        <v>50.0</v>
      </c>
      <c r="E2195" s="62" t="s">
        <v>109</v>
      </c>
      <c r="F2195" s="62" t="s">
        <v>115</v>
      </c>
      <c r="G2195" s="64" t="s">
        <v>59</v>
      </c>
      <c r="H2195" s="3" t="s">
        <v>68</v>
      </c>
      <c r="I2195" s="65" t="str">
        <f>IFERROR(VLOOKUP(A2195,'3. Call duration'!$A:$C,3,0),"--")</f>
        <v>--</v>
      </c>
      <c r="J2195" s="65" t="str">
        <f t="array" ref="J2195">XLOOKUP(H2195,'2. Matching'!$A$2:$A$39,'2. Matching'!$B$2:$B$39,"--")</f>
        <v>Acquisition</v>
      </c>
      <c r="K2195" s="65" t="str">
        <f t="shared" si="1"/>
        <v>In</v>
      </c>
    </row>
    <row r="2196">
      <c r="A2196" s="62" t="s">
        <v>2334</v>
      </c>
      <c r="B2196" s="63">
        <v>44380.0</v>
      </c>
      <c r="C2196" s="62" t="s">
        <v>119</v>
      </c>
      <c r="D2196" s="64">
        <v>50.0</v>
      </c>
      <c r="E2196" s="62" t="s">
        <v>109</v>
      </c>
      <c r="F2196" s="62" t="s">
        <v>115</v>
      </c>
      <c r="G2196" s="64" t="s">
        <v>64</v>
      </c>
      <c r="H2196" s="3" t="s">
        <v>155</v>
      </c>
      <c r="I2196" s="65">
        <f>IFERROR(VLOOKUP(A2196,'3. Call duration'!$A:$C,3,0),"--")</f>
        <v>27.55013213</v>
      </c>
      <c r="J2196" s="65" t="str">
        <f t="array" ref="J2196">XLOOKUP(H2196,'2. Matching'!$A$2:$A$39,'2. Matching'!$B$2:$B$39,"--")</f>
        <v>SEO</v>
      </c>
      <c r="K2196" s="65" t="str">
        <f t="shared" si="1"/>
        <v>In</v>
      </c>
    </row>
    <row r="2197">
      <c r="A2197" s="62" t="s">
        <v>2335</v>
      </c>
      <c r="B2197" s="63">
        <v>44397.0</v>
      </c>
      <c r="C2197" s="62" t="s">
        <v>119</v>
      </c>
      <c r="D2197" s="64">
        <v>50.0</v>
      </c>
      <c r="E2197" s="62" t="s">
        <v>109</v>
      </c>
      <c r="F2197" s="62" t="s">
        <v>110</v>
      </c>
      <c r="G2197" s="64" t="s">
        <v>60</v>
      </c>
      <c r="H2197" s="3" t="s">
        <v>67</v>
      </c>
      <c r="I2197" s="65">
        <f>IFERROR(VLOOKUP(A2197,'3. Call duration'!$A:$C,3,0),"--")</f>
        <v>31.05270367</v>
      </c>
      <c r="J2197" s="65" t="str">
        <f t="array" ref="J2197">XLOOKUP(H2197,'2. Matching'!$A$2:$A$39,'2. Matching'!$B$2:$B$39,"--")</f>
        <v>Acquisition</v>
      </c>
      <c r="K2197" s="65" t="str">
        <f t="shared" si="1"/>
        <v>In</v>
      </c>
    </row>
    <row r="2198">
      <c r="A2198" s="62" t="s">
        <v>2336</v>
      </c>
      <c r="B2198" s="63">
        <v>44378.0</v>
      </c>
      <c r="C2198" s="62" t="s">
        <v>119</v>
      </c>
      <c r="D2198" s="64">
        <v>50.0</v>
      </c>
      <c r="E2198" s="62" t="s">
        <v>109</v>
      </c>
      <c r="F2198" s="62" t="s">
        <v>115</v>
      </c>
      <c r="G2198" s="64" t="s">
        <v>63</v>
      </c>
      <c r="H2198" s="3" t="s">
        <v>228</v>
      </c>
      <c r="I2198" s="65">
        <f>IFERROR(VLOOKUP(A2198,'3. Call duration'!$A:$C,3,0),"--")</f>
        <v>31.72721551</v>
      </c>
      <c r="J2198" s="65" t="str">
        <f t="array" ref="J2198">XLOOKUP(H2198,'2. Matching'!$A$2:$A$39,'2. Matching'!$B$2:$B$39,"--")</f>
        <v>Farming</v>
      </c>
      <c r="K2198" s="65" t="str">
        <f t="shared" si="1"/>
        <v>In</v>
      </c>
    </row>
    <row r="2199">
      <c r="A2199" s="62" t="s">
        <v>2337</v>
      </c>
      <c r="B2199" s="63">
        <v>44379.0</v>
      </c>
      <c r="C2199" s="62" t="s">
        <v>119</v>
      </c>
      <c r="D2199" s="64">
        <v>50.0</v>
      </c>
      <c r="E2199" s="62" t="s">
        <v>109</v>
      </c>
      <c r="F2199" s="62" t="s">
        <v>110</v>
      </c>
      <c r="G2199" s="64" t="s">
        <v>61</v>
      </c>
      <c r="H2199" s="3" t="s">
        <v>69</v>
      </c>
      <c r="I2199" s="65">
        <f>IFERROR(VLOOKUP(A2199,'3. Call duration'!$A:$C,3,0),"--")</f>
        <v>45.53645203</v>
      </c>
      <c r="J2199" s="65" t="str">
        <f t="array" ref="J2199">XLOOKUP(H2199,'2. Matching'!$A$2:$A$39,'2. Matching'!$B$2:$B$39,"--")</f>
        <v>Acquisition</v>
      </c>
      <c r="K2199" s="65" t="str">
        <f t="shared" si="1"/>
        <v>In</v>
      </c>
    </row>
    <row r="2200">
      <c r="A2200" s="62" t="s">
        <v>2338</v>
      </c>
      <c r="B2200" s="63">
        <v>44389.0</v>
      </c>
      <c r="C2200" s="62" t="s">
        <v>119</v>
      </c>
      <c r="D2200" s="64">
        <v>50.0</v>
      </c>
      <c r="E2200" s="62" t="s">
        <v>109</v>
      </c>
      <c r="F2200" s="62" t="s">
        <v>110</v>
      </c>
      <c r="G2200" s="64" t="s">
        <v>60</v>
      </c>
      <c r="H2200" s="3" t="s">
        <v>67</v>
      </c>
      <c r="I2200" s="65" t="str">
        <f>IFERROR(VLOOKUP(A2200,'3. Call duration'!$A:$C,3,0),"--")</f>
        <v>--</v>
      </c>
      <c r="J2200" s="65" t="str">
        <f t="array" ref="J2200">XLOOKUP(H2200,'2. Matching'!$A$2:$A$39,'2. Matching'!$B$2:$B$39,"--")</f>
        <v>Acquisition</v>
      </c>
      <c r="K2200" s="65" t="str">
        <f t="shared" si="1"/>
        <v>In</v>
      </c>
    </row>
    <row r="2201">
      <c r="A2201" s="62" t="s">
        <v>2339</v>
      </c>
      <c r="B2201" s="63">
        <v>44378.0</v>
      </c>
      <c r="C2201" s="62" t="s">
        <v>119</v>
      </c>
      <c r="D2201" s="64">
        <v>50.0</v>
      </c>
      <c r="E2201" s="62" t="s">
        <v>109</v>
      </c>
      <c r="F2201" s="62" t="s">
        <v>115</v>
      </c>
      <c r="G2201" s="64" t="s">
        <v>64</v>
      </c>
      <c r="H2201" s="3" t="s">
        <v>141</v>
      </c>
      <c r="I2201" s="65">
        <f>IFERROR(VLOOKUP(A2201,'3. Call duration'!$A:$C,3,0),"--")</f>
        <v>29.24151134</v>
      </c>
      <c r="J2201" s="65" t="str">
        <f t="array" ref="J2201">XLOOKUP(H2201,'2. Matching'!$A$2:$A$39,'2. Matching'!$B$2:$B$39,"--")</f>
        <v>Acquisition</v>
      </c>
      <c r="K2201" s="65" t="str">
        <f t="shared" si="1"/>
        <v>In</v>
      </c>
    </row>
    <row r="2202">
      <c r="A2202" s="62" t="s">
        <v>2340</v>
      </c>
      <c r="B2202" s="63">
        <v>44378.0</v>
      </c>
      <c r="C2202" s="62" t="s">
        <v>119</v>
      </c>
      <c r="D2202" s="64">
        <v>50.0</v>
      </c>
      <c r="E2202" s="62" t="s">
        <v>109</v>
      </c>
      <c r="F2202" s="62" t="s">
        <v>115</v>
      </c>
      <c r="G2202" s="64" t="s">
        <v>63</v>
      </c>
      <c r="H2202" s="3" t="s">
        <v>183</v>
      </c>
      <c r="I2202" s="65">
        <f>IFERROR(VLOOKUP(A2202,'3. Call duration'!$A:$C,3,0),"--")</f>
        <v>26.72327787</v>
      </c>
      <c r="J2202" s="65" t="str">
        <f t="array" ref="J2202">XLOOKUP(H2202,'2. Matching'!$A$2:$A$39,'2. Matching'!$B$2:$B$39,"--")</f>
        <v>SEO</v>
      </c>
      <c r="K2202" s="65" t="str">
        <f t="shared" si="1"/>
        <v>In</v>
      </c>
    </row>
    <row r="2203">
      <c r="A2203" s="62" t="s">
        <v>2341</v>
      </c>
      <c r="B2203" s="63">
        <v>44382.0</v>
      </c>
      <c r="C2203" s="62" t="s">
        <v>119</v>
      </c>
      <c r="D2203" s="64">
        <v>50.0</v>
      </c>
      <c r="E2203" s="62" t="s">
        <v>109</v>
      </c>
      <c r="F2203" s="62" t="s">
        <v>110</v>
      </c>
      <c r="G2203" s="64" t="s">
        <v>60</v>
      </c>
      <c r="H2203" s="3" t="s">
        <v>67</v>
      </c>
      <c r="I2203" s="65">
        <f>IFERROR(VLOOKUP(A2203,'3. Call duration'!$A:$C,3,0),"--")</f>
        <v>22.70906091</v>
      </c>
      <c r="J2203" s="65" t="str">
        <f t="array" ref="J2203">XLOOKUP(H2203,'2. Matching'!$A$2:$A$39,'2. Matching'!$B$2:$B$39,"--")</f>
        <v>Acquisition</v>
      </c>
      <c r="K2203" s="65" t="str">
        <f t="shared" si="1"/>
        <v>In</v>
      </c>
    </row>
    <row r="2204">
      <c r="A2204" s="62" t="s">
        <v>2342</v>
      </c>
      <c r="B2204" s="63">
        <v>44382.0</v>
      </c>
      <c r="C2204" s="62" t="s">
        <v>119</v>
      </c>
      <c r="D2204" s="64">
        <v>50.0</v>
      </c>
      <c r="E2204" s="62" t="s">
        <v>109</v>
      </c>
      <c r="F2204" s="62" t="s">
        <v>110</v>
      </c>
      <c r="G2204" s="64" t="s">
        <v>61</v>
      </c>
      <c r="H2204" s="3" t="s">
        <v>67</v>
      </c>
      <c r="I2204" s="65" t="str">
        <f>IFERROR(VLOOKUP(A2204,'3. Call duration'!$A:$C,3,0),"--")</f>
        <v>--</v>
      </c>
      <c r="J2204" s="65" t="str">
        <f t="array" ref="J2204">XLOOKUP(H2204,'2. Matching'!$A$2:$A$39,'2. Matching'!$B$2:$B$39,"--")</f>
        <v>Acquisition</v>
      </c>
      <c r="K2204" s="65" t="str">
        <f t="shared" si="1"/>
        <v>In</v>
      </c>
    </row>
    <row r="2205">
      <c r="A2205" s="62" t="s">
        <v>2343</v>
      </c>
      <c r="B2205" s="63">
        <v>44383.0</v>
      </c>
      <c r="C2205" s="62" t="s">
        <v>119</v>
      </c>
      <c r="D2205" s="64">
        <v>50.0</v>
      </c>
      <c r="E2205" s="62" t="s">
        <v>109</v>
      </c>
      <c r="F2205" s="62" t="s">
        <v>115</v>
      </c>
      <c r="G2205" s="64" t="s">
        <v>64</v>
      </c>
      <c r="H2205" s="3" t="s">
        <v>169</v>
      </c>
      <c r="I2205" s="65">
        <f>IFERROR(VLOOKUP(A2205,'3. Call duration'!$A:$C,3,0),"--")</f>
        <v>24.42671127</v>
      </c>
      <c r="J2205" s="65" t="str">
        <f t="array" ref="J2205">XLOOKUP(H2205,'2. Matching'!$A$2:$A$39,'2. Matching'!$B$2:$B$39,"--")</f>
        <v>SEO</v>
      </c>
      <c r="K2205" s="65" t="str">
        <f t="shared" si="1"/>
        <v>In</v>
      </c>
    </row>
    <row r="2206">
      <c r="A2206" s="62" t="s">
        <v>2344</v>
      </c>
      <c r="B2206" s="63">
        <v>44382.0</v>
      </c>
      <c r="C2206" s="62" t="s">
        <v>119</v>
      </c>
      <c r="D2206" s="64">
        <v>50.0</v>
      </c>
      <c r="E2206" s="62" t="s">
        <v>109</v>
      </c>
      <c r="F2206" s="62" t="s">
        <v>110</v>
      </c>
      <c r="G2206" s="64" t="s">
        <v>60</v>
      </c>
      <c r="H2206" s="3" t="s">
        <v>67</v>
      </c>
      <c r="I2206" s="65">
        <f>IFERROR(VLOOKUP(A2206,'3. Call duration'!$A:$C,3,0),"--")</f>
        <v>23.82911301</v>
      </c>
      <c r="J2206" s="65" t="str">
        <f t="array" ref="J2206">XLOOKUP(H2206,'2. Matching'!$A$2:$A$39,'2. Matching'!$B$2:$B$39,"--")</f>
        <v>Acquisition</v>
      </c>
      <c r="K2206" s="65" t="str">
        <f t="shared" si="1"/>
        <v>In</v>
      </c>
    </row>
    <row r="2207">
      <c r="A2207" s="62" t="s">
        <v>2345</v>
      </c>
      <c r="B2207" s="63">
        <v>44384.0</v>
      </c>
      <c r="C2207" s="62" t="s">
        <v>119</v>
      </c>
      <c r="D2207" s="64">
        <v>50.0</v>
      </c>
      <c r="E2207" s="62" t="s">
        <v>109</v>
      </c>
      <c r="F2207" s="62" t="s">
        <v>115</v>
      </c>
      <c r="G2207" s="64" t="s">
        <v>64</v>
      </c>
      <c r="H2207" s="3" t="s">
        <v>169</v>
      </c>
      <c r="I2207" s="65">
        <f>IFERROR(VLOOKUP(A2207,'3. Call duration'!$A:$C,3,0),"--")</f>
        <v>29.16010265</v>
      </c>
      <c r="J2207" s="65" t="str">
        <f t="array" ref="J2207">XLOOKUP(H2207,'2. Matching'!$A$2:$A$39,'2. Matching'!$B$2:$B$39,"--")</f>
        <v>SEO</v>
      </c>
      <c r="K2207" s="65" t="str">
        <f t="shared" si="1"/>
        <v>In</v>
      </c>
    </row>
    <row r="2208">
      <c r="A2208" s="62" t="s">
        <v>2346</v>
      </c>
      <c r="B2208" s="63">
        <v>44385.0</v>
      </c>
      <c r="C2208" s="62" t="s">
        <v>119</v>
      </c>
      <c r="D2208" s="64">
        <v>50.0</v>
      </c>
      <c r="E2208" s="62" t="s">
        <v>109</v>
      </c>
      <c r="F2208" s="62" t="s">
        <v>110</v>
      </c>
      <c r="G2208" s="64" t="s">
        <v>61</v>
      </c>
      <c r="H2208" s="3" t="s">
        <v>67</v>
      </c>
      <c r="I2208" s="65">
        <f>IFERROR(VLOOKUP(A2208,'3. Call duration'!$A:$C,3,0),"--")</f>
        <v>23.57974283</v>
      </c>
      <c r="J2208" s="65" t="str">
        <f t="array" ref="J2208">XLOOKUP(H2208,'2. Matching'!$A$2:$A$39,'2. Matching'!$B$2:$B$39,"--")</f>
        <v>Acquisition</v>
      </c>
      <c r="K2208" s="65" t="str">
        <f t="shared" si="1"/>
        <v>In</v>
      </c>
    </row>
    <row r="2209">
      <c r="A2209" s="62" t="s">
        <v>2347</v>
      </c>
      <c r="B2209" s="63">
        <v>44382.0</v>
      </c>
      <c r="C2209" s="62" t="s">
        <v>119</v>
      </c>
      <c r="D2209" s="64">
        <v>50.0</v>
      </c>
      <c r="E2209" s="62" t="s">
        <v>109</v>
      </c>
      <c r="F2209" s="62" t="s">
        <v>115</v>
      </c>
      <c r="G2209" s="64" t="s">
        <v>64</v>
      </c>
      <c r="H2209" s="3" t="s">
        <v>169</v>
      </c>
      <c r="I2209" s="65">
        <f>IFERROR(VLOOKUP(A2209,'3. Call duration'!$A:$C,3,0),"--")</f>
        <v>27.5281503</v>
      </c>
      <c r="J2209" s="65" t="str">
        <f t="array" ref="J2209">XLOOKUP(H2209,'2. Matching'!$A$2:$A$39,'2. Matching'!$B$2:$B$39,"--")</f>
        <v>SEO</v>
      </c>
      <c r="K2209" s="65" t="str">
        <f t="shared" si="1"/>
        <v>In</v>
      </c>
    </row>
    <row r="2210">
      <c r="A2210" s="62" t="s">
        <v>2348</v>
      </c>
      <c r="B2210" s="63">
        <v>44382.0</v>
      </c>
      <c r="C2210" s="62" t="s">
        <v>119</v>
      </c>
      <c r="D2210" s="64">
        <v>50.0</v>
      </c>
      <c r="E2210" s="62" t="s">
        <v>109</v>
      </c>
      <c r="F2210" s="62" t="s">
        <v>110</v>
      </c>
      <c r="G2210" s="64" t="s">
        <v>61</v>
      </c>
      <c r="H2210" s="3" t="s">
        <v>69</v>
      </c>
      <c r="I2210" s="65">
        <f>IFERROR(VLOOKUP(A2210,'3. Call duration'!$A:$C,3,0),"--")</f>
        <v>32.46137816</v>
      </c>
      <c r="J2210" s="65" t="str">
        <f t="array" ref="J2210">XLOOKUP(H2210,'2. Matching'!$A$2:$A$39,'2. Matching'!$B$2:$B$39,"--")</f>
        <v>Acquisition</v>
      </c>
      <c r="K2210" s="65" t="str">
        <f t="shared" si="1"/>
        <v>In</v>
      </c>
    </row>
    <row r="2211">
      <c r="A2211" s="62" t="s">
        <v>2349</v>
      </c>
      <c r="B2211" s="63">
        <v>44378.0</v>
      </c>
      <c r="C2211" s="62" t="s">
        <v>119</v>
      </c>
      <c r="D2211" s="64">
        <v>50.0</v>
      </c>
      <c r="E2211" s="62" t="s">
        <v>109</v>
      </c>
      <c r="F2211" s="62" t="s">
        <v>115</v>
      </c>
      <c r="G2211" s="64" t="s">
        <v>64</v>
      </c>
      <c r="H2211" s="3" t="s">
        <v>49</v>
      </c>
      <c r="I2211" s="65">
        <f>IFERROR(VLOOKUP(A2211,'3. Call duration'!$A:$C,3,0),"--")</f>
        <v>32.565544</v>
      </c>
      <c r="J2211" s="65" t="str">
        <f t="array" ref="J2211">XLOOKUP(H2211,'2. Matching'!$A$2:$A$39,'2. Matching'!$B$2:$B$39,"--")</f>
        <v>Partnerships</v>
      </c>
      <c r="K2211" s="65" t="str">
        <f t="shared" si="1"/>
        <v>In</v>
      </c>
    </row>
    <row r="2212">
      <c r="A2212" s="62" t="s">
        <v>2350</v>
      </c>
      <c r="B2212" s="63">
        <v>44385.0</v>
      </c>
      <c r="C2212" s="62" t="s">
        <v>119</v>
      </c>
      <c r="D2212" s="64">
        <v>50.0</v>
      </c>
      <c r="E2212" s="62" t="s">
        <v>109</v>
      </c>
      <c r="F2212" s="62" t="s">
        <v>110</v>
      </c>
      <c r="G2212" s="64" t="s">
        <v>61</v>
      </c>
      <c r="H2212" s="3" t="s">
        <v>67</v>
      </c>
      <c r="I2212" s="65">
        <f>IFERROR(VLOOKUP(A2212,'3. Call duration'!$A:$C,3,0),"--")</f>
        <v>37.63361993</v>
      </c>
      <c r="J2212" s="65" t="str">
        <f t="array" ref="J2212">XLOOKUP(H2212,'2. Matching'!$A$2:$A$39,'2. Matching'!$B$2:$B$39,"--")</f>
        <v>Acquisition</v>
      </c>
      <c r="K2212" s="65" t="str">
        <f t="shared" si="1"/>
        <v>In</v>
      </c>
    </row>
    <row r="2213">
      <c r="A2213" s="62" t="s">
        <v>2351</v>
      </c>
      <c r="B2213" s="63">
        <v>44394.0</v>
      </c>
      <c r="C2213" s="62" t="s">
        <v>119</v>
      </c>
      <c r="D2213" s="64">
        <v>50.0</v>
      </c>
      <c r="E2213" s="62" t="s">
        <v>109</v>
      </c>
      <c r="F2213" s="62" t="s">
        <v>110</v>
      </c>
      <c r="G2213" s="64" t="s">
        <v>63</v>
      </c>
      <c r="H2213" s="3" t="s">
        <v>124</v>
      </c>
      <c r="I2213" s="65">
        <f>IFERROR(VLOOKUP(A2213,'3. Call duration'!$A:$C,3,0),"--")</f>
        <v>15.89708831</v>
      </c>
      <c r="J2213" s="65" t="str">
        <f t="array" ref="J2213">XLOOKUP(H2213,'2. Matching'!$A$2:$A$39,'2. Matching'!$B$2:$B$39,"--")</f>
        <v>Acquisition</v>
      </c>
      <c r="K2213" s="65" t="str">
        <f t="shared" si="1"/>
        <v>In</v>
      </c>
    </row>
    <row r="2214">
      <c r="A2214" s="62" t="s">
        <v>2352</v>
      </c>
      <c r="B2214" s="63">
        <v>44382.0</v>
      </c>
      <c r="C2214" s="62" t="s">
        <v>119</v>
      </c>
      <c r="D2214" s="64">
        <v>50.0</v>
      </c>
      <c r="E2214" s="62" t="s">
        <v>109</v>
      </c>
      <c r="F2214" s="62" t="s">
        <v>115</v>
      </c>
      <c r="G2214" s="64" t="s">
        <v>63</v>
      </c>
      <c r="H2214" s="3" t="s">
        <v>228</v>
      </c>
      <c r="I2214" s="65">
        <f>IFERROR(VLOOKUP(A2214,'3. Call duration'!$A:$C,3,0),"--")</f>
        <v>23.44324388</v>
      </c>
      <c r="J2214" s="65" t="str">
        <f t="array" ref="J2214">XLOOKUP(H2214,'2. Matching'!$A$2:$A$39,'2. Matching'!$B$2:$B$39,"--")</f>
        <v>Farming</v>
      </c>
      <c r="K2214" s="65" t="str">
        <f t="shared" si="1"/>
        <v>In</v>
      </c>
    </row>
    <row r="2215">
      <c r="A2215" s="62" t="s">
        <v>2353</v>
      </c>
      <c r="B2215" s="63">
        <v>44384.0</v>
      </c>
      <c r="C2215" s="62" t="s">
        <v>119</v>
      </c>
      <c r="D2215" s="64">
        <v>50.0</v>
      </c>
      <c r="E2215" s="62" t="s">
        <v>109</v>
      </c>
      <c r="F2215" s="62" t="s">
        <v>110</v>
      </c>
      <c r="G2215" s="64" t="s">
        <v>60</v>
      </c>
      <c r="H2215" s="3" t="s">
        <v>67</v>
      </c>
      <c r="I2215" s="65">
        <f>IFERROR(VLOOKUP(A2215,'3. Call duration'!$A:$C,3,0),"--")</f>
        <v>31.4176321</v>
      </c>
      <c r="J2215" s="65" t="str">
        <f t="array" ref="J2215">XLOOKUP(H2215,'2. Matching'!$A$2:$A$39,'2. Matching'!$B$2:$B$39,"--")</f>
        <v>Acquisition</v>
      </c>
      <c r="K2215" s="65" t="str">
        <f t="shared" si="1"/>
        <v>In</v>
      </c>
    </row>
    <row r="2216">
      <c r="A2216" s="62" t="s">
        <v>2354</v>
      </c>
      <c r="B2216" s="63">
        <v>44379.0</v>
      </c>
      <c r="C2216" s="62" t="s">
        <v>119</v>
      </c>
      <c r="D2216" s="64">
        <v>50.0</v>
      </c>
      <c r="E2216" s="62" t="s">
        <v>109</v>
      </c>
      <c r="F2216" s="62" t="s">
        <v>110</v>
      </c>
      <c r="G2216" s="64" t="s">
        <v>60</v>
      </c>
      <c r="H2216" s="3" t="s">
        <v>67</v>
      </c>
      <c r="I2216" s="65">
        <f>IFERROR(VLOOKUP(A2216,'3. Call duration'!$A:$C,3,0),"--")</f>
        <v>46.74648257</v>
      </c>
      <c r="J2216" s="65" t="str">
        <f t="array" ref="J2216">XLOOKUP(H2216,'2. Matching'!$A$2:$A$39,'2. Matching'!$B$2:$B$39,"--")</f>
        <v>Acquisition</v>
      </c>
      <c r="K2216" s="65" t="str">
        <f t="shared" si="1"/>
        <v>In</v>
      </c>
    </row>
    <row r="2217">
      <c r="A2217" s="62" t="s">
        <v>2355</v>
      </c>
      <c r="B2217" s="63">
        <v>44382.0</v>
      </c>
      <c r="C2217" s="62" t="s">
        <v>119</v>
      </c>
      <c r="D2217" s="64">
        <v>50.0</v>
      </c>
      <c r="E2217" s="62" t="s">
        <v>109</v>
      </c>
      <c r="F2217" s="62" t="s">
        <v>115</v>
      </c>
      <c r="G2217" s="64" t="s">
        <v>64</v>
      </c>
      <c r="H2217" s="3" t="s">
        <v>139</v>
      </c>
      <c r="I2217" s="65">
        <f>IFERROR(VLOOKUP(A2217,'3. Call duration'!$A:$C,3,0),"--")</f>
        <v>44.80157963</v>
      </c>
      <c r="J2217" s="65" t="str">
        <f t="array" ref="J2217">XLOOKUP(H2217,'2. Matching'!$A$2:$A$39,'2. Matching'!$B$2:$B$39,"--")</f>
        <v>Acquisition</v>
      </c>
      <c r="K2217" s="65" t="str">
        <f t="shared" si="1"/>
        <v>In</v>
      </c>
    </row>
    <row r="2218">
      <c r="A2218" s="62" t="s">
        <v>2356</v>
      </c>
      <c r="B2218" s="63">
        <v>44383.0</v>
      </c>
      <c r="C2218" s="62" t="s">
        <v>119</v>
      </c>
      <c r="D2218" s="64">
        <v>50.0</v>
      </c>
      <c r="E2218" s="62" t="s">
        <v>109</v>
      </c>
      <c r="F2218" s="62" t="s">
        <v>115</v>
      </c>
      <c r="G2218" s="64" t="s">
        <v>64</v>
      </c>
      <c r="H2218" s="3" t="s">
        <v>116</v>
      </c>
      <c r="I2218" s="65">
        <f>IFERROR(VLOOKUP(A2218,'3. Call duration'!$A:$C,3,0),"--")</f>
        <v>32.76862896</v>
      </c>
      <c r="J2218" s="65" t="str">
        <f t="array" ref="J2218">XLOOKUP(H2218,'2. Matching'!$A$2:$A$39,'2. Matching'!$B$2:$B$39,"--")</f>
        <v>Acquisition</v>
      </c>
      <c r="K2218" s="65" t="str">
        <f t="shared" si="1"/>
        <v>In</v>
      </c>
    </row>
    <row r="2219">
      <c r="A2219" s="62" t="s">
        <v>2357</v>
      </c>
      <c r="B2219" s="63">
        <v>44380.0</v>
      </c>
      <c r="C2219" s="62" t="s">
        <v>119</v>
      </c>
      <c r="D2219" s="64">
        <v>50.0</v>
      </c>
      <c r="E2219" s="62" t="s">
        <v>109</v>
      </c>
      <c r="F2219" s="62" t="s">
        <v>115</v>
      </c>
      <c r="G2219" s="64" t="s">
        <v>64</v>
      </c>
      <c r="H2219" s="3" t="s">
        <v>221</v>
      </c>
      <c r="I2219" s="65">
        <f>IFERROR(VLOOKUP(A2219,'3. Call duration'!$A:$C,3,0),"--")</f>
        <v>15.14689655</v>
      </c>
      <c r="J2219" s="65" t="str">
        <f t="array" ref="J2219">XLOOKUP(H2219,'2. Matching'!$A$2:$A$39,'2. Matching'!$B$2:$B$39,"--")</f>
        <v>Farming</v>
      </c>
      <c r="K2219" s="65" t="str">
        <f t="shared" si="1"/>
        <v>In</v>
      </c>
    </row>
    <row r="2220">
      <c r="A2220" s="62" t="s">
        <v>2358</v>
      </c>
      <c r="B2220" s="63">
        <v>44384.0</v>
      </c>
      <c r="C2220" s="62" t="s">
        <v>119</v>
      </c>
      <c r="D2220" s="64">
        <v>50.0</v>
      </c>
      <c r="E2220" s="62" t="s">
        <v>109</v>
      </c>
      <c r="F2220" s="62" t="s">
        <v>115</v>
      </c>
      <c r="G2220" s="64" t="s">
        <v>63</v>
      </c>
      <c r="H2220" s="3" t="s">
        <v>189</v>
      </c>
      <c r="I2220" s="65">
        <f>IFERROR(VLOOKUP(A2220,'3. Call duration'!$A:$C,3,0),"--")</f>
        <v>33.14185133</v>
      </c>
      <c r="J2220" s="65" t="str">
        <f t="array" ref="J2220">XLOOKUP(H2220,'2. Matching'!$A$2:$A$39,'2. Matching'!$B$2:$B$39,"--")</f>
        <v>SEO</v>
      </c>
      <c r="K2220" s="65" t="str">
        <f t="shared" si="1"/>
        <v>Out</v>
      </c>
    </row>
    <row r="2221">
      <c r="A2221" s="62" t="s">
        <v>2359</v>
      </c>
      <c r="B2221" s="63">
        <v>44399.0</v>
      </c>
      <c r="C2221" s="62" t="s">
        <v>119</v>
      </c>
      <c r="D2221" s="64">
        <v>50.0</v>
      </c>
      <c r="E2221" s="62" t="s">
        <v>109</v>
      </c>
      <c r="F2221" s="62" t="s">
        <v>115</v>
      </c>
      <c r="G2221" s="64" t="s">
        <v>64</v>
      </c>
      <c r="H2221" s="3" t="s">
        <v>221</v>
      </c>
      <c r="I2221" s="65">
        <f>IFERROR(VLOOKUP(A2221,'3. Call duration'!$A:$C,3,0),"--")</f>
        <v>25.61210115</v>
      </c>
      <c r="J2221" s="65" t="str">
        <f t="array" ref="J2221">XLOOKUP(H2221,'2. Matching'!$A$2:$A$39,'2. Matching'!$B$2:$B$39,"--")</f>
        <v>Farming</v>
      </c>
      <c r="K2221" s="65" t="str">
        <f t="shared" si="1"/>
        <v>In</v>
      </c>
    </row>
    <row r="2222">
      <c r="A2222" s="62" t="s">
        <v>2360</v>
      </c>
      <c r="B2222" s="63">
        <v>44378.0</v>
      </c>
      <c r="C2222" s="62" t="s">
        <v>119</v>
      </c>
      <c r="D2222" s="64">
        <v>50.0</v>
      </c>
      <c r="E2222" s="62" t="s">
        <v>109</v>
      </c>
      <c r="F2222" s="62" t="s">
        <v>115</v>
      </c>
      <c r="G2222" s="64" t="s">
        <v>64</v>
      </c>
      <c r="H2222" s="3" t="s">
        <v>116</v>
      </c>
      <c r="I2222" s="65">
        <f>IFERROR(VLOOKUP(A2222,'3. Call duration'!$A:$C,3,0),"--")</f>
        <v>12.09763036</v>
      </c>
      <c r="J2222" s="65" t="str">
        <f t="array" ref="J2222">XLOOKUP(H2222,'2. Matching'!$A$2:$A$39,'2. Matching'!$B$2:$B$39,"--")</f>
        <v>Acquisition</v>
      </c>
      <c r="K2222" s="65" t="str">
        <f t="shared" si="1"/>
        <v>In</v>
      </c>
    </row>
    <row r="2223">
      <c r="A2223" s="62" t="s">
        <v>2361</v>
      </c>
      <c r="B2223" s="63">
        <v>44383.0</v>
      </c>
      <c r="C2223" s="62" t="s">
        <v>119</v>
      </c>
      <c r="D2223" s="64">
        <v>50.0</v>
      </c>
      <c r="E2223" s="62" t="s">
        <v>109</v>
      </c>
      <c r="F2223" s="62" t="s">
        <v>115</v>
      </c>
      <c r="G2223" s="64" t="s">
        <v>64</v>
      </c>
      <c r="H2223" s="3" t="s">
        <v>169</v>
      </c>
      <c r="I2223" s="65">
        <f>IFERROR(VLOOKUP(A2223,'3. Call duration'!$A:$C,3,0),"--")</f>
        <v>24.54183351</v>
      </c>
      <c r="J2223" s="65" t="str">
        <f t="array" ref="J2223">XLOOKUP(H2223,'2. Matching'!$A$2:$A$39,'2. Matching'!$B$2:$B$39,"--")</f>
        <v>SEO</v>
      </c>
      <c r="K2223" s="65" t="str">
        <f t="shared" si="1"/>
        <v>In</v>
      </c>
    </row>
    <row r="2224">
      <c r="A2224" s="62" t="s">
        <v>2362</v>
      </c>
      <c r="B2224" s="63">
        <v>44386.0</v>
      </c>
      <c r="C2224" s="62" t="s">
        <v>119</v>
      </c>
      <c r="D2224" s="64">
        <v>50.0</v>
      </c>
      <c r="E2224" s="62" t="s">
        <v>109</v>
      </c>
      <c r="F2224" s="62" t="s">
        <v>110</v>
      </c>
      <c r="G2224" s="64" t="s">
        <v>61</v>
      </c>
      <c r="H2224" s="3" t="s">
        <v>67</v>
      </c>
      <c r="I2224" s="65">
        <f>IFERROR(VLOOKUP(A2224,'3. Call duration'!$A:$C,3,0),"--")</f>
        <v>20.06781373</v>
      </c>
      <c r="J2224" s="65" t="str">
        <f t="array" ref="J2224">XLOOKUP(H2224,'2. Matching'!$A$2:$A$39,'2. Matching'!$B$2:$B$39,"--")</f>
        <v>Acquisition</v>
      </c>
      <c r="K2224" s="65" t="str">
        <f t="shared" si="1"/>
        <v>In</v>
      </c>
    </row>
    <row r="2225">
      <c r="A2225" s="62" t="s">
        <v>2363</v>
      </c>
      <c r="B2225" s="63">
        <v>44383.0</v>
      </c>
      <c r="C2225" s="62" t="s">
        <v>119</v>
      </c>
      <c r="D2225" s="64">
        <v>50.0</v>
      </c>
      <c r="E2225" s="62" t="s">
        <v>109</v>
      </c>
      <c r="F2225" s="62" t="s">
        <v>115</v>
      </c>
      <c r="G2225" s="64" t="s">
        <v>63</v>
      </c>
      <c r="H2225" s="3" t="s">
        <v>183</v>
      </c>
      <c r="I2225" s="65">
        <f>IFERROR(VLOOKUP(A2225,'3. Call duration'!$A:$C,3,0),"--")</f>
        <v>28.77497783</v>
      </c>
      <c r="J2225" s="65" t="str">
        <f t="array" ref="J2225">XLOOKUP(H2225,'2. Matching'!$A$2:$A$39,'2. Matching'!$B$2:$B$39,"--")</f>
        <v>SEO</v>
      </c>
      <c r="K2225" s="65" t="str">
        <f t="shared" si="1"/>
        <v>In</v>
      </c>
    </row>
    <row r="2226">
      <c r="A2226" s="62" t="s">
        <v>2364</v>
      </c>
      <c r="B2226" s="63">
        <v>44382.0</v>
      </c>
      <c r="C2226" s="62" t="s">
        <v>119</v>
      </c>
      <c r="D2226" s="64">
        <v>50.0</v>
      </c>
      <c r="E2226" s="62" t="s">
        <v>109</v>
      </c>
      <c r="F2226" s="62" t="s">
        <v>110</v>
      </c>
      <c r="G2226" s="64" t="s">
        <v>60</v>
      </c>
      <c r="H2226" s="3" t="s">
        <v>67</v>
      </c>
      <c r="I2226" s="65">
        <f>IFERROR(VLOOKUP(A2226,'3. Call duration'!$A:$C,3,0),"--")</f>
        <v>12.45268258</v>
      </c>
      <c r="J2226" s="65" t="str">
        <f t="array" ref="J2226">XLOOKUP(H2226,'2. Matching'!$A$2:$A$39,'2. Matching'!$B$2:$B$39,"--")</f>
        <v>Acquisition</v>
      </c>
      <c r="K2226" s="65" t="str">
        <f t="shared" si="1"/>
        <v>In</v>
      </c>
    </row>
    <row r="2227">
      <c r="A2227" s="62" t="s">
        <v>2365</v>
      </c>
      <c r="B2227" s="63">
        <v>44378.0</v>
      </c>
      <c r="C2227" s="62" t="s">
        <v>119</v>
      </c>
      <c r="D2227" s="64">
        <v>50.0</v>
      </c>
      <c r="E2227" s="62" t="s">
        <v>109</v>
      </c>
      <c r="F2227" s="62" t="s">
        <v>115</v>
      </c>
      <c r="G2227" s="64" t="s">
        <v>60</v>
      </c>
      <c r="H2227" s="3" t="s">
        <v>68</v>
      </c>
      <c r="I2227" s="65" t="str">
        <f>IFERROR(VLOOKUP(A2227,'3. Call duration'!$A:$C,3,0),"--")</f>
        <v>--</v>
      </c>
      <c r="J2227" s="65" t="str">
        <f t="array" ref="J2227">XLOOKUP(H2227,'2. Matching'!$A$2:$A$39,'2. Matching'!$B$2:$B$39,"--")</f>
        <v>Acquisition</v>
      </c>
      <c r="K2227" s="65" t="str">
        <f t="shared" si="1"/>
        <v>In</v>
      </c>
    </row>
    <row r="2228">
      <c r="A2228" s="62" t="s">
        <v>2366</v>
      </c>
      <c r="B2228" s="63">
        <v>44388.0</v>
      </c>
      <c r="C2228" s="62" t="s">
        <v>119</v>
      </c>
      <c r="D2228" s="64">
        <v>50.0</v>
      </c>
      <c r="E2228" s="62" t="s">
        <v>109</v>
      </c>
      <c r="F2228" s="62" t="s">
        <v>115</v>
      </c>
      <c r="G2228" s="64" t="s">
        <v>64</v>
      </c>
      <c r="H2228" s="3" t="s">
        <v>139</v>
      </c>
      <c r="I2228" s="65" t="str">
        <f>IFERROR(VLOOKUP(A2228,'3. Call duration'!$A:$C,3,0),"--")</f>
        <v>--</v>
      </c>
      <c r="J2228" s="65" t="str">
        <f t="array" ref="J2228">XLOOKUP(H2228,'2. Matching'!$A$2:$A$39,'2. Matching'!$B$2:$B$39,"--")</f>
        <v>Acquisition</v>
      </c>
      <c r="K2228" s="65" t="str">
        <f t="shared" si="1"/>
        <v>In</v>
      </c>
    </row>
    <row r="2229">
      <c r="A2229" s="62" t="s">
        <v>2367</v>
      </c>
      <c r="B2229" s="63">
        <v>44392.0</v>
      </c>
      <c r="C2229" s="62" t="s">
        <v>119</v>
      </c>
      <c r="D2229" s="64">
        <v>50.0</v>
      </c>
      <c r="E2229" s="62" t="s">
        <v>109</v>
      </c>
      <c r="F2229" s="62" t="s">
        <v>115</v>
      </c>
      <c r="G2229" s="64" t="s">
        <v>60</v>
      </c>
      <c r="H2229" s="3" t="s">
        <v>68</v>
      </c>
      <c r="I2229" s="65">
        <f>IFERROR(VLOOKUP(A2229,'3. Call duration'!$A:$C,3,0),"--")</f>
        <v>28.29088109</v>
      </c>
      <c r="J2229" s="65" t="str">
        <f t="array" ref="J2229">XLOOKUP(H2229,'2. Matching'!$A$2:$A$39,'2. Matching'!$B$2:$B$39,"--")</f>
        <v>Acquisition</v>
      </c>
      <c r="K2229" s="65" t="str">
        <f t="shared" si="1"/>
        <v>In</v>
      </c>
    </row>
    <row r="2230">
      <c r="A2230" s="62" t="s">
        <v>2368</v>
      </c>
      <c r="B2230" s="63">
        <v>44378.0</v>
      </c>
      <c r="C2230" s="62" t="s">
        <v>119</v>
      </c>
      <c r="D2230" s="64">
        <v>50.0</v>
      </c>
      <c r="E2230" s="62" t="s">
        <v>109</v>
      </c>
      <c r="F2230" s="62" t="s">
        <v>110</v>
      </c>
      <c r="G2230" s="64" t="s">
        <v>60</v>
      </c>
      <c r="H2230" s="3" t="s">
        <v>68</v>
      </c>
      <c r="I2230" s="65">
        <f>IFERROR(VLOOKUP(A2230,'3. Call duration'!$A:$C,3,0),"--")</f>
        <v>21.48443432</v>
      </c>
      <c r="J2230" s="65" t="str">
        <f t="array" ref="J2230">XLOOKUP(H2230,'2. Matching'!$A$2:$A$39,'2. Matching'!$B$2:$B$39,"--")</f>
        <v>Acquisition</v>
      </c>
      <c r="K2230" s="65" t="str">
        <f t="shared" si="1"/>
        <v>In</v>
      </c>
    </row>
    <row r="2231">
      <c r="A2231" s="62" t="s">
        <v>2369</v>
      </c>
      <c r="B2231" s="63">
        <v>44383.0</v>
      </c>
      <c r="C2231" s="62" t="s">
        <v>119</v>
      </c>
      <c r="D2231" s="64">
        <v>50.0</v>
      </c>
      <c r="E2231" s="62" t="s">
        <v>109</v>
      </c>
      <c r="F2231" s="62" t="s">
        <v>115</v>
      </c>
      <c r="G2231" s="64" t="s">
        <v>64</v>
      </c>
      <c r="H2231" s="3" t="s">
        <v>169</v>
      </c>
      <c r="I2231" s="65">
        <f>IFERROR(VLOOKUP(A2231,'3. Call duration'!$A:$C,3,0),"--")</f>
        <v>26.39367234</v>
      </c>
      <c r="J2231" s="65" t="str">
        <f t="array" ref="J2231">XLOOKUP(H2231,'2. Matching'!$A$2:$A$39,'2. Matching'!$B$2:$B$39,"--")</f>
        <v>SEO</v>
      </c>
      <c r="K2231" s="65" t="str">
        <f t="shared" si="1"/>
        <v>In</v>
      </c>
    </row>
    <row r="2232">
      <c r="A2232" s="62" t="s">
        <v>2370</v>
      </c>
      <c r="B2232" s="63">
        <v>44382.0</v>
      </c>
      <c r="C2232" s="62" t="s">
        <v>119</v>
      </c>
      <c r="D2232" s="64">
        <v>50.0</v>
      </c>
      <c r="E2232" s="62" t="s">
        <v>109</v>
      </c>
      <c r="F2232" s="62" t="s">
        <v>115</v>
      </c>
      <c r="G2232" s="64" t="s">
        <v>64</v>
      </c>
      <c r="H2232" s="3" t="s">
        <v>141</v>
      </c>
      <c r="I2232" s="65">
        <f>IFERROR(VLOOKUP(A2232,'3. Call duration'!$A:$C,3,0),"--")</f>
        <v>21.21425296</v>
      </c>
      <c r="J2232" s="65" t="str">
        <f t="array" ref="J2232">XLOOKUP(H2232,'2. Matching'!$A$2:$A$39,'2. Matching'!$B$2:$B$39,"--")</f>
        <v>Acquisition</v>
      </c>
      <c r="K2232" s="65" t="str">
        <f t="shared" si="1"/>
        <v>In</v>
      </c>
    </row>
    <row r="2233">
      <c r="A2233" s="62" t="s">
        <v>2371</v>
      </c>
      <c r="B2233" s="63">
        <v>44394.0</v>
      </c>
      <c r="C2233" s="62" t="s">
        <v>119</v>
      </c>
      <c r="D2233" s="64">
        <v>50.0</v>
      </c>
      <c r="E2233" s="62" t="s">
        <v>109</v>
      </c>
      <c r="F2233" s="62" t="s">
        <v>115</v>
      </c>
      <c r="G2233" s="64" t="s">
        <v>64</v>
      </c>
      <c r="H2233" s="3" t="s">
        <v>171</v>
      </c>
      <c r="I2233" s="65">
        <f>IFERROR(VLOOKUP(A2233,'3. Call duration'!$A:$C,3,0),"--")</f>
        <v>20.08480948</v>
      </c>
      <c r="J2233" s="65" t="str">
        <f t="array" ref="J2233">XLOOKUP(H2233,'2. Matching'!$A$2:$A$39,'2. Matching'!$B$2:$B$39,"--")</f>
        <v>SEO</v>
      </c>
      <c r="K2233" s="65" t="str">
        <f t="shared" si="1"/>
        <v>In</v>
      </c>
    </row>
    <row r="2234">
      <c r="A2234" s="62" t="s">
        <v>2372</v>
      </c>
      <c r="B2234" s="63">
        <v>44379.0</v>
      </c>
      <c r="C2234" s="62" t="s">
        <v>119</v>
      </c>
      <c r="D2234" s="64">
        <v>50.0</v>
      </c>
      <c r="E2234" s="62" t="s">
        <v>109</v>
      </c>
      <c r="F2234" s="62" t="s">
        <v>110</v>
      </c>
      <c r="G2234" s="64" t="s">
        <v>60</v>
      </c>
      <c r="H2234" s="3" t="s">
        <v>67</v>
      </c>
      <c r="I2234" s="65">
        <f>IFERROR(VLOOKUP(A2234,'3. Call duration'!$A:$C,3,0),"--")</f>
        <v>15.12117328</v>
      </c>
      <c r="J2234" s="65" t="str">
        <f t="array" ref="J2234">XLOOKUP(H2234,'2. Matching'!$A$2:$A$39,'2. Matching'!$B$2:$B$39,"--")</f>
        <v>Acquisition</v>
      </c>
      <c r="K2234" s="65" t="str">
        <f t="shared" si="1"/>
        <v>In</v>
      </c>
    </row>
    <row r="2235">
      <c r="A2235" s="62" t="s">
        <v>2373</v>
      </c>
      <c r="B2235" s="63">
        <v>44378.0</v>
      </c>
      <c r="C2235" s="62" t="s">
        <v>119</v>
      </c>
      <c r="D2235" s="64">
        <v>50.0</v>
      </c>
      <c r="E2235" s="62" t="s">
        <v>109</v>
      </c>
      <c r="F2235" s="62" t="s">
        <v>110</v>
      </c>
      <c r="G2235" s="64" t="s">
        <v>61</v>
      </c>
      <c r="H2235" s="3" t="s">
        <v>67</v>
      </c>
      <c r="I2235" s="65" t="str">
        <f>IFERROR(VLOOKUP(A2235,'3. Call duration'!$A:$C,3,0),"--")</f>
        <v>--</v>
      </c>
      <c r="J2235" s="65" t="str">
        <f t="array" ref="J2235">XLOOKUP(H2235,'2. Matching'!$A$2:$A$39,'2. Matching'!$B$2:$B$39,"--")</f>
        <v>Acquisition</v>
      </c>
      <c r="K2235" s="65" t="str">
        <f t="shared" si="1"/>
        <v>In</v>
      </c>
    </row>
    <row r="2236">
      <c r="A2236" s="62" t="s">
        <v>2374</v>
      </c>
      <c r="B2236" s="63">
        <v>44379.0</v>
      </c>
      <c r="C2236" s="62" t="s">
        <v>119</v>
      </c>
      <c r="D2236" s="64">
        <v>50.0</v>
      </c>
      <c r="E2236" s="62" t="s">
        <v>109</v>
      </c>
      <c r="F2236" s="62" t="s">
        <v>115</v>
      </c>
      <c r="G2236" s="64" t="s">
        <v>112</v>
      </c>
      <c r="H2236" s="3"/>
      <c r="I2236" s="65">
        <f>IFERROR(VLOOKUP(A2236,'3. Call duration'!$A:$C,3,0),"--")</f>
        <v>23.81619277</v>
      </c>
      <c r="J2236" s="65" t="str">
        <f t="array" ref="J2236">XLOOKUP(H2236,'2. Matching'!$A$2:$A$39,'2. Matching'!$B$2:$B$39,"--")</f>
        <v>--</v>
      </c>
      <c r="K2236" s="65" t="str">
        <f t="shared" si="1"/>
        <v>In</v>
      </c>
    </row>
    <row r="2237">
      <c r="A2237" s="62" t="s">
        <v>2375</v>
      </c>
      <c r="B2237" s="63">
        <v>44384.0</v>
      </c>
      <c r="C2237" s="62" t="s">
        <v>119</v>
      </c>
      <c r="D2237" s="64">
        <v>50.0</v>
      </c>
      <c r="E2237" s="62" t="s">
        <v>109</v>
      </c>
      <c r="F2237" s="62" t="s">
        <v>110</v>
      </c>
      <c r="G2237" s="64" t="s">
        <v>60</v>
      </c>
      <c r="H2237" s="3" t="s">
        <v>68</v>
      </c>
      <c r="I2237" s="65">
        <f>IFERROR(VLOOKUP(A2237,'3. Call duration'!$A:$C,3,0),"--")</f>
        <v>32.34040755</v>
      </c>
      <c r="J2237" s="65" t="str">
        <f t="array" ref="J2237">XLOOKUP(H2237,'2. Matching'!$A$2:$A$39,'2. Matching'!$B$2:$B$39,"--")</f>
        <v>Acquisition</v>
      </c>
      <c r="K2237" s="65" t="str">
        <f t="shared" si="1"/>
        <v>In</v>
      </c>
    </row>
    <row r="2238">
      <c r="A2238" s="62" t="s">
        <v>2376</v>
      </c>
      <c r="B2238" s="63">
        <v>44390.0</v>
      </c>
      <c r="C2238" s="62" t="s">
        <v>119</v>
      </c>
      <c r="D2238" s="64">
        <v>50.0</v>
      </c>
      <c r="E2238" s="62" t="s">
        <v>109</v>
      </c>
      <c r="F2238" s="62" t="s">
        <v>115</v>
      </c>
      <c r="G2238" s="64" t="s">
        <v>60</v>
      </c>
      <c r="H2238" s="3" t="s">
        <v>67</v>
      </c>
      <c r="I2238" s="65">
        <f>IFERROR(VLOOKUP(A2238,'3. Call duration'!$A:$C,3,0),"--")</f>
        <v>36.51569937</v>
      </c>
      <c r="J2238" s="65" t="str">
        <f t="array" ref="J2238">XLOOKUP(H2238,'2. Matching'!$A$2:$A$39,'2. Matching'!$B$2:$B$39,"--")</f>
        <v>Acquisition</v>
      </c>
      <c r="K2238" s="65" t="str">
        <f t="shared" si="1"/>
        <v>In</v>
      </c>
    </row>
    <row r="2239">
      <c r="A2239" s="62" t="s">
        <v>2377</v>
      </c>
      <c r="B2239" s="63">
        <v>44394.0</v>
      </c>
      <c r="C2239" s="62" t="s">
        <v>119</v>
      </c>
      <c r="D2239" s="64">
        <v>50.0</v>
      </c>
      <c r="E2239" s="62" t="s">
        <v>109</v>
      </c>
      <c r="F2239" s="62" t="s">
        <v>110</v>
      </c>
      <c r="G2239" s="64" t="s">
        <v>61</v>
      </c>
      <c r="H2239" s="3" t="s">
        <v>68</v>
      </c>
      <c r="I2239" s="65">
        <f>IFERROR(VLOOKUP(A2239,'3. Call duration'!$A:$C,3,0),"--")</f>
        <v>25.4382361</v>
      </c>
      <c r="J2239" s="65" t="str">
        <f t="array" ref="J2239">XLOOKUP(H2239,'2. Matching'!$A$2:$A$39,'2. Matching'!$B$2:$B$39,"--")</f>
        <v>Acquisition</v>
      </c>
      <c r="K2239" s="65" t="str">
        <f t="shared" si="1"/>
        <v>In</v>
      </c>
    </row>
    <row r="2240">
      <c r="A2240" s="62" t="s">
        <v>2378</v>
      </c>
      <c r="B2240" s="63">
        <v>44378.0</v>
      </c>
      <c r="C2240" s="62" t="s">
        <v>119</v>
      </c>
      <c r="D2240" s="64">
        <v>50.0</v>
      </c>
      <c r="E2240" s="62" t="s">
        <v>109</v>
      </c>
      <c r="F2240" s="62" t="s">
        <v>110</v>
      </c>
      <c r="G2240" s="64" t="s">
        <v>61</v>
      </c>
      <c r="H2240" s="3" t="s">
        <v>69</v>
      </c>
      <c r="I2240" s="65">
        <f>IFERROR(VLOOKUP(A2240,'3. Call duration'!$A:$C,3,0),"--")</f>
        <v>22.42045981</v>
      </c>
      <c r="J2240" s="65" t="str">
        <f t="array" ref="J2240">XLOOKUP(H2240,'2. Matching'!$A$2:$A$39,'2. Matching'!$B$2:$B$39,"--")</f>
        <v>Acquisition</v>
      </c>
      <c r="K2240" s="65" t="str">
        <f t="shared" si="1"/>
        <v>In</v>
      </c>
    </row>
    <row r="2241">
      <c r="A2241" s="62" t="s">
        <v>2379</v>
      </c>
      <c r="B2241" s="63">
        <v>44378.0</v>
      </c>
      <c r="C2241" s="62" t="s">
        <v>119</v>
      </c>
      <c r="D2241" s="64">
        <v>50.0</v>
      </c>
      <c r="E2241" s="62" t="s">
        <v>109</v>
      </c>
      <c r="F2241" s="62" t="s">
        <v>115</v>
      </c>
      <c r="G2241" s="64" t="s">
        <v>64</v>
      </c>
      <c r="H2241" s="3" t="s">
        <v>169</v>
      </c>
      <c r="I2241" s="65">
        <f>IFERROR(VLOOKUP(A2241,'3. Call duration'!$A:$C,3,0),"--")</f>
        <v>32.81329625</v>
      </c>
      <c r="J2241" s="65" t="str">
        <f t="array" ref="J2241">XLOOKUP(H2241,'2. Matching'!$A$2:$A$39,'2. Matching'!$B$2:$B$39,"--")</f>
        <v>SEO</v>
      </c>
      <c r="K2241" s="65" t="str">
        <f t="shared" si="1"/>
        <v>In</v>
      </c>
    </row>
    <row r="2242">
      <c r="A2242" s="62" t="s">
        <v>2380</v>
      </c>
      <c r="B2242" s="63">
        <v>44384.0</v>
      </c>
      <c r="C2242" s="62" t="s">
        <v>119</v>
      </c>
      <c r="D2242" s="64">
        <v>50.0</v>
      </c>
      <c r="E2242" s="62" t="s">
        <v>109</v>
      </c>
      <c r="F2242" s="62" t="s">
        <v>110</v>
      </c>
      <c r="G2242" s="64" t="s">
        <v>60</v>
      </c>
      <c r="H2242" s="3" t="s">
        <v>67</v>
      </c>
      <c r="I2242" s="65">
        <f>IFERROR(VLOOKUP(A2242,'3. Call duration'!$A:$C,3,0),"--")</f>
        <v>32.34123008</v>
      </c>
      <c r="J2242" s="65" t="str">
        <f t="array" ref="J2242">XLOOKUP(H2242,'2. Matching'!$A$2:$A$39,'2. Matching'!$B$2:$B$39,"--")</f>
        <v>Acquisition</v>
      </c>
      <c r="K2242" s="65" t="str">
        <f t="shared" si="1"/>
        <v>In</v>
      </c>
    </row>
    <row r="2243">
      <c r="A2243" s="62" t="s">
        <v>2381</v>
      </c>
      <c r="B2243" s="63">
        <v>44383.0</v>
      </c>
      <c r="C2243" s="62" t="s">
        <v>119</v>
      </c>
      <c r="D2243" s="64">
        <v>50.0</v>
      </c>
      <c r="E2243" s="62" t="s">
        <v>109</v>
      </c>
      <c r="F2243" s="62" t="s">
        <v>110</v>
      </c>
      <c r="G2243" s="64" t="s">
        <v>61</v>
      </c>
      <c r="H2243" s="3" t="s">
        <v>67</v>
      </c>
      <c r="I2243" s="65">
        <f>IFERROR(VLOOKUP(A2243,'3. Call duration'!$A:$C,3,0),"--")</f>
        <v>16.40435196</v>
      </c>
      <c r="J2243" s="65" t="str">
        <f t="array" ref="J2243">XLOOKUP(H2243,'2. Matching'!$A$2:$A$39,'2. Matching'!$B$2:$B$39,"--")</f>
        <v>Acquisition</v>
      </c>
      <c r="K2243" s="65" t="str">
        <f t="shared" si="1"/>
        <v>In</v>
      </c>
    </row>
    <row r="2244">
      <c r="A2244" s="62" t="s">
        <v>2382</v>
      </c>
      <c r="B2244" s="63">
        <v>44382.0</v>
      </c>
      <c r="C2244" s="62" t="s">
        <v>119</v>
      </c>
      <c r="D2244" s="64">
        <v>50.0</v>
      </c>
      <c r="E2244" s="62" t="s">
        <v>109</v>
      </c>
      <c r="F2244" s="62" t="s">
        <v>110</v>
      </c>
      <c r="G2244" s="64" t="s">
        <v>61</v>
      </c>
      <c r="H2244" s="3" t="s">
        <v>67</v>
      </c>
      <c r="I2244" s="65">
        <f>IFERROR(VLOOKUP(A2244,'3. Call duration'!$A:$C,3,0),"--")</f>
        <v>28.18721361</v>
      </c>
      <c r="J2244" s="65" t="str">
        <f t="array" ref="J2244">XLOOKUP(H2244,'2. Matching'!$A$2:$A$39,'2. Matching'!$B$2:$B$39,"--")</f>
        <v>Acquisition</v>
      </c>
      <c r="K2244" s="65" t="str">
        <f t="shared" si="1"/>
        <v>In</v>
      </c>
    </row>
    <row r="2245">
      <c r="A2245" s="62" t="s">
        <v>2383</v>
      </c>
      <c r="B2245" s="63">
        <v>44398.0</v>
      </c>
      <c r="C2245" s="62" t="s">
        <v>119</v>
      </c>
      <c r="D2245" s="64">
        <v>50.0</v>
      </c>
      <c r="E2245" s="62" t="s">
        <v>109</v>
      </c>
      <c r="F2245" s="62" t="s">
        <v>110</v>
      </c>
      <c r="G2245" s="64" t="s">
        <v>62</v>
      </c>
      <c r="H2245" s="3" t="s">
        <v>203</v>
      </c>
      <c r="I2245" s="65">
        <f>IFERROR(VLOOKUP(A2245,'3. Call duration'!$A:$C,3,0),"--")</f>
        <v>23.71451919</v>
      </c>
      <c r="J2245" s="65" t="str">
        <f t="array" ref="J2245">XLOOKUP(H2245,'2. Matching'!$A$2:$A$39,'2. Matching'!$B$2:$B$39,"--")</f>
        <v>Farming</v>
      </c>
      <c r="K2245" s="65" t="str">
        <f t="shared" si="1"/>
        <v>In</v>
      </c>
    </row>
    <row r="2246">
      <c r="A2246" s="62" t="s">
        <v>2384</v>
      </c>
      <c r="B2246" s="63">
        <v>44398.0</v>
      </c>
      <c r="C2246" s="62" t="s">
        <v>119</v>
      </c>
      <c r="D2246" s="64">
        <v>50.0</v>
      </c>
      <c r="E2246" s="62" t="s">
        <v>109</v>
      </c>
      <c r="F2246" s="62" t="s">
        <v>115</v>
      </c>
      <c r="G2246" s="64" t="s">
        <v>63</v>
      </c>
      <c r="H2246" s="3" t="s">
        <v>128</v>
      </c>
      <c r="I2246" s="65">
        <f>IFERROR(VLOOKUP(A2246,'3. Call duration'!$A:$C,3,0),"--")</f>
        <v>33.74724729</v>
      </c>
      <c r="J2246" s="65" t="str">
        <f t="array" ref="J2246">XLOOKUP(H2246,'2. Matching'!$A$2:$A$39,'2. Matching'!$B$2:$B$39,"--")</f>
        <v>Acquisition</v>
      </c>
      <c r="K2246" s="65" t="str">
        <f t="shared" si="1"/>
        <v>In</v>
      </c>
    </row>
    <row r="2247">
      <c r="A2247" s="62" t="s">
        <v>2385</v>
      </c>
      <c r="B2247" s="63">
        <v>44382.0</v>
      </c>
      <c r="C2247" s="62" t="s">
        <v>119</v>
      </c>
      <c r="D2247" s="64">
        <v>50.0</v>
      </c>
      <c r="E2247" s="62" t="s">
        <v>109</v>
      </c>
      <c r="F2247" s="62" t="s">
        <v>115</v>
      </c>
      <c r="G2247" s="64" t="s">
        <v>64</v>
      </c>
      <c r="H2247" s="3" t="s">
        <v>139</v>
      </c>
      <c r="I2247" s="65">
        <f>IFERROR(VLOOKUP(A2247,'3. Call duration'!$A:$C,3,0),"--")</f>
        <v>15.29346369</v>
      </c>
      <c r="J2247" s="65" t="str">
        <f t="array" ref="J2247">XLOOKUP(H2247,'2. Matching'!$A$2:$A$39,'2. Matching'!$B$2:$B$39,"--")</f>
        <v>Acquisition</v>
      </c>
      <c r="K2247" s="65" t="str">
        <f t="shared" si="1"/>
        <v>In</v>
      </c>
    </row>
    <row r="2248">
      <c r="A2248" s="62" t="s">
        <v>2386</v>
      </c>
      <c r="B2248" s="63">
        <v>44384.0</v>
      </c>
      <c r="C2248" s="62" t="s">
        <v>119</v>
      </c>
      <c r="D2248" s="64">
        <v>50.0</v>
      </c>
      <c r="E2248" s="62" t="s">
        <v>109</v>
      </c>
      <c r="F2248" s="62" t="s">
        <v>115</v>
      </c>
      <c r="G2248" s="64" t="s">
        <v>64</v>
      </c>
      <c r="H2248" s="3" t="s">
        <v>116</v>
      </c>
      <c r="I2248" s="65">
        <f>IFERROR(VLOOKUP(A2248,'3. Call duration'!$A:$C,3,0),"--")</f>
        <v>26.91475879</v>
      </c>
      <c r="J2248" s="65" t="str">
        <f t="array" ref="J2248">XLOOKUP(H2248,'2. Matching'!$A$2:$A$39,'2. Matching'!$B$2:$B$39,"--")</f>
        <v>Acquisition</v>
      </c>
      <c r="K2248" s="65" t="str">
        <f t="shared" si="1"/>
        <v>In</v>
      </c>
    </row>
    <row r="2249">
      <c r="A2249" s="62" t="s">
        <v>2387</v>
      </c>
      <c r="B2249" s="63">
        <v>44382.0</v>
      </c>
      <c r="C2249" s="62" t="s">
        <v>119</v>
      </c>
      <c r="D2249" s="64">
        <v>50.0</v>
      </c>
      <c r="E2249" s="62" t="s">
        <v>109</v>
      </c>
      <c r="F2249" s="62" t="s">
        <v>110</v>
      </c>
      <c r="G2249" s="64" t="s">
        <v>60</v>
      </c>
      <c r="H2249" s="3" t="s">
        <v>67</v>
      </c>
      <c r="I2249" s="65">
        <f>IFERROR(VLOOKUP(A2249,'3. Call duration'!$A:$C,3,0),"--")</f>
        <v>21.38798873</v>
      </c>
      <c r="J2249" s="65" t="str">
        <f t="array" ref="J2249">XLOOKUP(H2249,'2. Matching'!$A$2:$A$39,'2. Matching'!$B$2:$B$39,"--")</f>
        <v>Acquisition</v>
      </c>
      <c r="K2249" s="65" t="str">
        <f t="shared" si="1"/>
        <v>In</v>
      </c>
    </row>
    <row r="2250">
      <c r="A2250" s="62" t="s">
        <v>2388</v>
      </c>
      <c r="B2250" s="63">
        <v>44382.0</v>
      </c>
      <c r="C2250" s="62" t="s">
        <v>119</v>
      </c>
      <c r="D2250" s="64">
        <v>50.0</v>
      </c>
      <c r="E2250" s="62" t="s">
        <v>109</v>
      </c>
      <c r="F2250" s="62" t="s">
        <v>115</v>
      </c>
      <c r="G2250" s="64" t="s">
        <v>60</v>
      </c>
      <c r="H2250" s="3" t="s">
        <v>68</v>
      </c>
      <c r="I2250" s="65">
        <f>IFERROR(VLOOKUP(A2250,'3. Call duration'!$A:$C,3,0),"--")</f>
        <v>30.82252387</v>
      </c>
      <c r="J2250" s="65" t="str">
        <f t="array" ref="J2250">XLOOKUP(H2250,'2. Matching'!$A$2:$A$39,'2. Matching'!$B$2:$B$39,"--")</f>
        <v>Acquisition</v>
      </c>
      <c r="K2250" s="65" t="str">
        <f t="shared" si="1"/>
        <v>In</v>
      </c>
    </row>
    <row r="2251">
      <c r="A2251" s="62" t="s">
        <v>2389</v>
      </c>
      <c r="B2251" s="63">
        <v>44378.0</v>
      </c>
      <c r="C2251" s="62" t="s">
        <v>119</v>
      </c>
      <c r="D2251" s="64">
        <v>50.0</v>
      </c>
      <c r="E2251" s="62" t="s">
        <v>109</v>
      </c>
      <c r="F2251" s="62" t="s">
        <v>110</v>
      </c>
      <c r="G2251" s="64" t="s">
        <v>59</v>
      </c>
      <c r="H2251" s="3" t="s">
        <v>53</v>
      </c>
      <c r="I2251" s="65">
        <f>IFERROR(VLOOKUP(A2251,'3. Call duration'!$A:$C,3,0),"--")</f>
        <v>16.92475179</v>
      </c>
      <c r="J2251" s="65" t="str">
        <f t="array" ref="J2251">XLOOKUP(H2251,'2. Matching'!$A$2:$A$39,'2. Matching'!$B$2:$B$39,"--")</f>
        <v>Partnerships</v>
      </c>
      <c r="K2251" s="65" t="str">
        <f t="shared" si="1"/>
        <v>In</v>
      </c>
    </row>
    <row r="2252">
      <c r="A2252" s="62" t="s">
        <v>2390</v>
      </c>
      <c r="B2252" s="63">
        <v>44393.0</v>
      </c>
      <c r="C2252" s="62" t="s">
        <v>119</v>
      </c>
      <c r="D2252" s="64">
        <v>50.0</v>
      </c>
      <c r="E2252" s="62" t="s">
        <v>109</v>
      </c>
      <c r="F2252" s="62" t="s">
        <v>110</v>
      </c>
      <c r="G2252" s="64" t="s">
        <v>61</v>
      </c>
      <c r="H2252" s="3" t="s">
        <v>67</v>
      </c>
      <c r="I2252" s="65">
        <f>IFERROR(VLOOKUP(A2252,'3. Call duration'!$A:$C,3,0),"--")</f>
        <v>28.34199647</v>
      </c>
      <c r="J2252" s="65" t="str">
        <f t="array" ref="J2252">XLOOKUP(H2252,'2. Matching'!$A$2:$A$39,'2. Matching'!$B$2:$B$39,"--")</f>
        <v>Acquisition</v>
      </c>
      <c r="K2252" s="65" t="str">
        <f t="shared" si="1"/>
        <v>In</v>
      </c>
    </row>
    <row r="2253">
      <c r="A2253" s="62" t="s">
        <v>2391</v>
      </c>
      <c r="B2253" s="63">
        <v>44383.0</v>
      </c>
      <c r="C2253" s="62" t="s">
        <v>119</v>
      </c>
      <c r="D2253" s="64">
        <v>50.0</v>
      </c>
      <c r="E2253" s="62" t="s">
        <v>109</v>
      </c>
      <c r="F2253" s="62" t="s">
        <v>115</v>
      </c>
      <c r="G2253" s="64" t="s">
        <v>59</v>
      </c>
      <c r="H2253" s="3" t="s">
        <v>68</v>
      </c>
      <c r="I2253" s="65">
        <f>IFERROR(VLOOKUP(A2253,'3. Call duration'!$A:$C,3,0),"--")</f>
        <v>24.02275558</v>
      </c>
      <c r="J2253" s="65" t="str">
        <f t="array" ref="J2253">XLOOKUP(H2253,'2. Matching'!$A$2:$A$39,'2. Matching'!$B$2:$B$39,"--")</f>
        <v>Acquisition</v>
      </c>
      <c r="K2253" s="65" t="str">
        <f t="shared" si="1"/>
        <v>In</v>
      </c>
    </row>
    <row r="2254">
      <c r="A2254" s="62" t="s">
        <v>2392</v>
      </c>
      <c r="B2254" s="63">
        <v>44392.0</v>
      </c>
      <c r="C2254" s="62" t="s">
        <v>119</v>
      </c>
      <c r="D2254" s="64">
        <v>50.0</v>
      </c>
      <c r="E2254" s="62" t="s">
        <v>109</v>
      </c>
      <c r="F2254" s="62" t="s">
        <v>110</v>
      </c>
      <c r="G2254" s="64" t="s">
        <v>60</v>
      </c>
      <c r="H2254" s="3" t="s">
        <v>67</v>
      </c>
      <c r="I2254" s="65">
        <f>IFERROR(VLOOKUP(A2254,'3. Call duration'!$A:$C,3,0),"--")</f>
        <v>31.68229638</v>
      </c>
      <c r="J2254" s="65" t="str">
        <f t="array" ref="J2254">XLOOKUP(H2254,'2. Matching'!$A$2:$A$39,'2. Matching'!$B$2:$B$39,"--")</f>
        <v>Acquisition</v>
      </c>
      <c r="K2254" s="65" t="str">
        <f t="shared" si="1"/>
        <v>In</v>
      </c>
    </row>
    <row r="2255">
      <c r="A2255" s="62" t="s">
        <v>2393</v>
      </c>
      <c r="B2255" s="63">
        <v>44383.0</v>
      </c>
      <c r="C2255" s="62" t="s">
        <v>119</v>
      </c>
      <c r="D2255" s="64">
        <v>50.0</v>
      </c>
      <c r="E2255" s="62" t="s">
        <v>109</v>
      </c>
      <c r="F2255" s="62" t="s">
        <v>110</v>
      </c>
      <c r="G2255" s="64" t="s">
        <v>60</v>
      </c>
      <c r="H2255" s="3" t="s">
        <v>68</v>
      </c>
      <c r="I2255" s="65">
        <f>IFERROR(VLOOKUP(A2255,'3. Call duration'!$A:$C,3,0),"--")</f>
        <v>30.97654108</v>
      </c>
      <c r="J2255" s="65" t="str">
        <f t="array" ref="J2255">XLOOKUP(H2255,'2. Matching'!$A$2:$A$39,'2. Matching'!$B$2:$B$39,"--")</f>
        <v>Acquisition</v>
      </c>
      <c r="K2255" s="65" t="str">
        <f t="shared" si="1"/>
        <v>In</v>
      </c>
    </row>
    <row r="2256">
      <c r="A2256" s="62" t="s">
        <v>2394</v>
      </c>
      <c r="B2256" s="63">
        <v>44382.0</v>
      </c>
      <c r="C2256" s="62" t="s">
        <v>119</v>
      </c>
      <c r="D2256" s="64">
        <v>50.0</v>
      </c>
      <c r="E2256" s="62" t="s">
        <v>109</v>
      </c>
      <c r="F2256" s="62" t="s">
        <v>110</v>
      </c>
      <c r="G2256" s="64" t="s">
        <v>63</v>
      </c>
      <c r="H2256" s="3" t="s">
        <v>228</v>
      </c>
      <c r="I2256" s="65">
        <f>IFERROR(VLOOKUP(A2256,'3. Call duration'!$A:$C,3,0),"--")</f>
        <v>21.70909958</v>
      </c>
      <c r="J2256" s="65" t="str">
        <f t="array" ref="J2256">XLOOKUP(H2256,'2. Matching'!$A$2:$A$39,'2. Matching'!$B$2:$B$39,"--")</f>
        <v>Farming</v>
      </c>
      <c r="K2256" s="65" t="str">
        <f t="shared" si="1"/>
        <v>In</v>
      </c>
    </row>
    <row r="2257">
      <c r="A2257" s="62" t="s">
        <v>2395</v>
      </c>
      <c r="B2257" s="63">
        <v>44383.0</v>
      </c>
      <c r="C2257" s="62" t="s">
        <v>119</v>
      </c>
      <c r="D2257" s="64">
        <v>50.0</v>
      </c>
      <c r="E2257" s="62" t="s">
        <v>109</v>
      </c>
      <c r="F2257" s="62" t="s">
        <v>115</v>
      </c>
      <c r="G2257" s="64" t="s">
        <v>64</v>
      </c>
      <c r="H2257" s="3" t="s">
        <v>139</v>
      </c>
      <c r="I2257" s="65">
        <f>IFERROR(VLOOKUP(A2257,'3. Call duration'!$A:$C,3,0),"--")</f>
        <v>24.65599182</v>
      </c>
      <c r="J2257" s="65" t="str">
        <f t="array" ref="J2257">XLOOKUP(H2257,'2. Matching'!$A$2:$A$39,'2. Matching'!$B$2:$B$39,"--")</f>
        <v>Acquisition</v>
      </c>
      <c r="K2257" s="65" t="str">
        <f t="shared" si="1"/>
        <v>In</v>
      </c>
    </row>
    <row r="2258">
      <c r="A2258" s="62" t="s">
        <v>2396</v>
      </c>
      <c r="B2258" s="63">
        <v>44378.0</v>
      </c>
      <c r="C2258" s="62" t="s">
        <v>119</v>
      </c>
      <c r="D2258" s="64">
        <v>50.0</v>
      </c>
      <c r="E2258" s="62" t="s">
        <v>109</v>
      </c>
      <c r="F2258" s="62" t="s">
        <v>115</v>
      </c>
      <c r="G2258" s="64" t="s">
        <v>64</v>
      </c>
      <c r="H2258" s="3" t="s">
        <v>175</v>
      </c>
      <c r="I2258" s="65">
        <f>IFERROR(VLOOKUP(A2258,'3. Call duration'!$A:$C,3,0),"--")</f>
        <v>21.67335082</v>
      </c>
      <c r="J2258" s="65" t="str">
        <f t="array" ref="J2258">XLOOKUP(H2258,'2. Matching'!$A$2:$A$39,'2. Matching'!$B$2:$B$39,"--")</f>
        <v>SEO</v>
      </c>
      <c r="K2258" s="65" t="str">
        <f t="shared" si="1"/>
        <v>In</v>
      </c>
    </row>
    <row r="2259">
      <c r="A2259" s="62" t="s">
        <v>2397</v>
      </c>
      <c r="B2259" s="63">
        <v>44396.0</v>
      </c>
      <c r="C2259" s="62" t="s">
        <v>119</v>
      </c>
      <c r="D2259" s="64">
        <v>50.0</v>
      </c>
      <c r="E2259" s="62" t="s">
        <v>109</v>
      </c>
      <c r="F2259" s="62" t="s">
        <v>110</v>
      </c>
      <c r="G2259" s="64" t="s">
        <v>60</v>
      </c>
      <c r="H2259" s="3" t="s">
        <v>67</v>
      </c>
      <c r="I2259" s="65">
        <f>IFERROR(VLOOKUP(A2259,'3. Call duration'!$A:$C,3,0),"--")</f>
        <v>13.12787952</v>
      </c>
      <c r="J2259" s="65" t="str">
        <f t="array" ref="J2259">XLOOKUP(H2259,'2. Matching'!$A$2:$A$39,'2. Matching'!$B$2:$B$39,"--")</f>
        <v>Acquisition</v>
      </c>
      <c r="K2259" s="65" t="str">
        <f t="shared" si="1"/>
        <v>In</v>
      </c>
    </row>
    <row r="2260">
      <c r="A2260" s="62" t="s">
        <v>2398</v>
      </c>
      <c r="B2260" s="63">
        <v>44379.0</v>
      </c>
      <c r="C2260" s="62" t="s">
        <v>119</v>
      </c>
      <c r="D2260" s="64">
        <v>50.0</v>
      </c>
      <c r="E2260" s="62" t="s">
        <v>109</v>
      </c>
      <c r="F2260" s="62" t="s">
        <v>115</v>
      </c>
      <c r="G2260" s="64" t="s">
        <v>59</v>
      </c>
      <c r="H2260" s="3" t="s">
        <v>68</v>
      </c>
      <c r="I2260" s="65">
        <f>IFERROR(VLOOKUP(A2260,'3. Call duration'!$A:$C,3,0),"--")</f>
        <v>29.12575755</v>
      </c>
      <c r="J2260" s="65" t="str">
        <f t="array" ref="J2260">XLOOKUP(H2260,'2. Matching'!$A$2:$A$39,'2. Matching'!$B$2:$B$39,"--")</f>
        <v>Acquisition</v>
      </c>
      <c r="K2260" s="65" t="str">
        <f t="shared" si="1"/>
        <v>In</v>
      </c>
    </row>
    <row r="2261">
      <c r="A2261" s="62" t="s">
        <v>2399</v>
      </c>
      <c r="B2261" s="63">
        <v>44384.0</v>
      </c>
      <c r="C2261" s="62" t="s">
        <v>119</v>
      </c>
      <c r="D2261" s="64">
        <v>50.0</v>
      </c>
      <c r="E2261" s="62" t="s">
        <v>109</v>
      </c>
      <c r="F2261" s="62" t="s">
        <v>110</v>
      </c>
      <c r="G2261" s="64" t="s">
        <v>60</v>
      </c>
      <c r="H2261" s="3" t="s">
        <v>67</v>
      </c>
      <c r="I2261" s="65">
        <f>IFERROR(VLOOKUP(A2261,'3. Call duration'!$A:$C,3,0),"--")</f>
        <v>33.04621082</v>
      </c>
      <c r="J2261" s="65" t="str">
        <f t="array" ref="J2261">XLOOKUP(H2261,'2. Matching'!$A$2:$A$39,'2. Matching'!$B$2:$B$39,"--")</f>
        <v>Acquisition</v>
      </c>
      <c r="K2261" s="65" t="str">
        <f t="shared" si="1"/>
        <v>In</v>
      </c>
    </row>
    <row r="2262">
      <c r="A2262" s="62" t="s">
        <v>2400</v>
      </c>
      <c r="B2262" s="63">
        <v>44384.0</v>
      </c>
      <c r="C2262" s="62" t="s">
        <v>119</v>
      </c>
      <c r="D2262" s="64">
        <v>50.0</v>
      </c>
      <c r="E2262" s="62" t="s">
        <v>109</v>
      </c>
      <c r="F2262" s="62" t="s">
        <v>110</v>
      </c>
      <c r="G2262" s="64" t="s">
        <v>63</v>
      </c>
      <c r="H2262" s="3" t="s">
        <v>124</v>
      </c>
      <c r="I2262" s="65">
        <f>IFERROR(VLOOKUP(A2262,'3. Call duration'!$A:$C,3,0),"--")</f>
        <v>23.18366475</v>
      </c>
      <c r="J2262" s="65" t="str">
        <f t="array" ref="J2262">XLOOKUP(H2262,'2. Matching'!$A$2:$A$39,'2. Matching'!$B$2:$B$39,"--")</f>
        <v>Acquisition</v>
      </c>
      <c r="K2262" s="65" t="str">
        <f t="shared" si="1"/>
        <v>In</v>
      </c>
    </row>
    <row r="2263">
      <c r="A2263" s="62" t="s">
        <v>2401</v>
      </c>
      <c r="B2263" s="63">
        <v>44392.0</v>
      </c>
      <c r="C2263" s="62" t="s">
        <v>119</v>
      </c>
      <c r="D2263" s="64">
        <v>50.0</v>
      </c>
      <c r="E2263" s="62" t="s">
        <v>109</v>
      </c>
      <c r="F2263" s="62" t="s">
        <v>110</v>
      </c>
      <c r="G2263" s="64" t="s">
        <v>60</v>
      </c>
      <c r="H2263" s="3" t="s">
        <v>67</v>
      </c>
      <c r="I2263" s="65">
        <f>IFERROR(VLOOKUP(A2263,'3. Call duration'!$A:$C,3,0),"--")</f>
        <v>32.65125322</v>
      </c>
      <c r="J2263" s="65" t="str">
        <f t="array" ref="J2263">XLOOKUP(H2263,'2. Matching'!$A$2:$A$39,'2. Matching'!$B$2:$B$39,"--")</f>
        <v>Acquisition</v>
      </c>
      <c r="K2263" s="65" t="str">
        <f t="shared" si="1"/>
        <v>In</v>
      </c>
    </row>
    <row r="2264">
      <c r="A2264" s="62" t="s">
        <v>2402</v>
      </c>
      <c r="B2264" s="63">
        <v>44378.0</v>
      </c>
      <c r="C2264" s="62" t="s">
        <v>119</v>
      </c>
      <c r="D2264" s="64">
        <v>50.0</v>
      </c>
      <c r="E2264" s="62" t="s">
        <v>109</v>
      </c>
      <c r="F2264" s="62" t="s">
        <v>110</v>
      </c>
      <c r="G2264" s="64" t="s">
        <v>63</v>
      </c>
      <c r="H2264" s="3" t="s">
        <v>124</v>
      </c>
      <c r="I2264" s="65">
        <f>IFERROR(VLOOKUP(A2264,'3. Call duration'!$A:$C,3,0),"--")</f>
        <v>32.27913908</v>
      </c>
      <c r="J2264" s="65" t="str">
        <f t="array" ref="J2264">XLOOKUP(H2264,'2. Matching'!$A$2:$A$39,'2. Matching'!$B$2:$B$39,"--")</f>
        <v>Acquisition</v>
      </c>
      <c r="K2264" s="65" t="str">
        <f t="shared" si="1"/>
        <v>In</v>
      </c>
    </row>
    <row r="2265">
      <c r="A2265" s="62" t="s">
        <v>2403</v>
      </c>
      <c r="B2265" s="63">
        <v>44384.0</v>
      </c>
      <c r="C2265" s="62" t="s">
        <v>119</v>
      </c>
      <c r="D2265" s="64">
        <v>50.0</v>
      </c>
      <c r="E2265" s="62" t="s">
        <v>109</v>
      </c>
      <c r="F2265" s="62" t="s">
        <v>110</v>
      </c>
      <c r="G2265" s="64" t="s">
        <v>60</v>
      </c>
      <c r="H2265" s="3" t="s">
        <v>68</v>
      </c>
      <c r="I2265" s="65">
        <f>IFERROR(VLOOKUP(A2265,'3. Call duration'!$A:$C,3,0),"--")</f>
        <v>26.05678602</v>
      </c>
      <c r="J2265" s="65" t="str">
        <f t="array" ref="J2265">XLOOKUP(H2265,'2. Matching'!$A$2:$A$39,'2. Matching'!$B$2:$B$39,"--")</f>
        <v>Acquisition</v>
      </c>
      <c r="K2265" s="65" t="str">
        <f t="shared" si="1"/>
        <v>In</v>
      </c>
    </row>
    <row r="2266">
      <c r="A2266" s="62" t="s">
        <v>2404</v>
      </c>
      <c r="B2266" s="63">
        <v>44383.0</v>
      </c>
      <c r="C2266" s="62" t="s">
        <v>119</v>
      </c>
      <c r="D2266" s="64">
        <v>50.0</v>
      </c>
      <c r="E2266" s="62" t="s">
        <v>109</v>
      </c>
      <c r="F2266" s="62" t="s">
        <v>115</v>
      </c>
      <c r="G2266" s="64" t="s">
        <v>63</v>
      </c>
      <c r="H2266" s="3" t="s">
        <v>228</v>
      </c>
      <c r="I2266" s="65" t="str">
        <f>IFERROR(VLOOKUP(A2266,'3. Call duration'!$A:$C,3,0),"--")</f>
        <v>--</v>
      </c>
      <c r="J2266" s="65" t="str">
        <f t="array" ref="J2266">XLOOKUP(H2266,'2. Matching'!$A$2:$A$39,'2. Matching'!$B$2:$B$39,"--")</f>
        <v>Farming</v>
      </c>
      <c r="K2266" s="65" t="str">
        <f t="shared" si="1"/>
        <v>In</v>
      </c>
    </row>
    <row r="2267">
      <c r="A2267" s="62" t="s">
        <v>2405</v>
      </c>
      <c r="B2267" s="63">
        <v>44378.0</v>
      </c>
      <c r="C2267" s="62" t="s">
        <v>119</v>
      </c>
      <c r="D2267" s="64">
        <v>50.0</v>
      </c>
      <c r="E2267" s="62" t="s">
        <v>109</v>
      </c>
      <c r="F2267" s="62" t="s">
        <v>110</v>
      </c>
      <c r="G2267" s="64" t="s">
        <v>59</v>
      </c>
      <c r="H2267" s="3" t="s">
        <v>68</v>
      </c>
      <c r="I2267" s="65">
        <f>IFERROR(VLOOKUP(A2267,'3. Call duration'!$A:$C,3,0),"--")</f>
        <v>11.05556154</v>
      </c>
      <c r="J2267" s="65" t="str">
        <f t="array" ref="J2267">XLOOKUP(H2267,'2. Matching'!$A$2:$A$39,'2. Matching'!$B$2:$B$39,"--")</f>
        <v>Acquisition</v>
      </c>
      <c r="K2267" s="65" t="str">
        <f t="shared" si="1"/>
        <v>In</v>
      </c>
    </row>
    <row r="2268">
      <c r="A2268" s="62" t="s">
        <v>2406</v>
      </c>
      <c r="B2268" s="63">
        <v>44390.0</v>
      </c>
      <c r="C2268" s="62" t="s">
        <v>119</v>
      </c>
      <c r="D2268" s="64">
        <v>50.0</v>
      </c>
      <c r="E2268" s="62" t="s">
        <v>109</v>
      </c>
      <c r="F2268" s="62" t="s">
        <v>115</v>
      </c>
      <c r="G2268" s="64" t="s">
        <v>64</v>
      </c>
      <c r="H2268" s="3" t="s">
        <v>169</v>
      </c>
      <c r="I2268" s="65">
        <f>IFERROR(VLOOKUP(A2268,'3. Call duration'!$A:$C,3,0),"--")</f>
        <v>31.49848136</v>
      </c>
      <c r="J2268" s="65" t="str">
        <f t="array" ref="J2268">XLOOKUP(H2268,'2. Matching'!$A$2:$A$39,'2. Matching'!$B$2:$B$39,"--")</f>
        <v>SEO</v>
      </c>
      <c r="K2268" s="65" t="str">
        <f t="shared" si="1"/>
        <v>In</v>
      </c>
    </row>
    <row r="2269">
      <c r="A2269" s="62" t="s">
        <v>2407</v>
      </c>
      <c r="B2269" s="63">
        <v>44384.0</v>
      </c>
      <c r="C2269" s="62" t="s">
        <v>119</v>
      </c>
      <c r="D2269" s="64">
        <v>50.0</v>
      </c>
      <c r="E2269" s="62" t="s">
        <v>109</v>
      </c>
      <c r="F2269" s="62" t="s">
        <v>110</v>
      </c>
      <c r="G2269" s="64" t="s">
        <v>59</v>
      </c>
      <c r="H2269" s="3" t="s">
        <v>68</v>
      </c>
      <c r="I2269" s="65">
        <f>IFERROR(VLOOKUP(A2269,'3. Call duration'!$A:$C,3,0),"--")</f>
        <v>13.85983428</v>
      </c>
      <c r="J2269" s="65" t="str">
        <f t="array" ref="J2269">XLOOKUP(H2269,'2. Matching'!$A$2:$A$39,'2. Matching'!$B$2:$B$39,"--")</f>
        <v>Acquisition</v>
      </c>
      <c r="K2269" s="65" t="str">
        <f t="shared" si="1"/>
        <v>In</v>
      </c>
    </row>
    <row r="2270">
      <c r="A2270" s="62" t="s">
        <v>2408</v>
      </c>
      <c r="B2270" s="63">
        <v>44378.0</v>
      </c>
      <c r="C2270" s="62" t="s">
        <v>119</v>
      </c>
      <c r="D2270" s="64">
        <v>50.0</v>
      </c>
      <c r="E2270" s="62" t="s">
        <v>109</v>
      </c>
      <c r="F2270" s="62" t="s">
        <v>115</v>
      </c>
      <c r="G2270" s="64" t="s">
        <v>64</v>
      </c>
      <c r="H2270" s="3" t="s">
        <v>55</v>
      </c>
      <c r="I2270" s="65">
        <f>IFERROR(VLOOKUP(A2270,'3. Call duration'!$A:$C,3,0),"--")</f>
        <v>11.230894</v>
      </c>
      <c r="J2270" s="65" t="str">
        <f t="array" ref="J2270">XLOOKUP(H2270,'2. Matching'!$A$2:$A$39,'2. Matching'!$B$2:$B$39,"--")</f>
        <v>Partnerships</v>
      </c>
      <c r="K2270" s="65" t="str">
        <f t="shared" si="1"/>
        <v>In</v>
      </c>
    </row>
    <row r="2271">
      <c r="A2271" s="62" t="s">
        <v>2409</v>
      </c>
      <c r="B2271" s="63">
        <v>44391.0</v>
      </c>
      <c r="C2271" s="62" t="s">
        <v>119</v>
      </c>
      <c r="D2271" s="64">
        <v>50.0</v>
      </c>
      <c r="E2271" s="62" t="s">
        <v>109</v>
      </c>
      <c r="F2271" s="62" t="s">
        <v>115</v>
      </c>
      <c r="G2271" s="64" t="s">
        <v>64</v>
      </c>
      <c r="H2271" s="3" t="s">
        <v>139</v>
      </c>
      <c r="I2271" s="65">
        <f>IFERROR(VLOOKUP(A2271,'3. Call duration'!$A:$C,3,0),"--")</f>
        <v>11.07630982</v>
      </c>
      <c r="J2271" s="65" t="str">
        <f t="array" ref="J2271">XLOOKUP(H2271,'2. Matching'!$A$2:$A$39,'2. Matching'!$B$2:$B$39,"--")</f>
        <v>Acquisition</v>
      </c>
      <c r="K2271" s="65" t="str">
        <f t="shared" si="1"/>
        <v>In</v>
      </c>
    </row>
    <row r="2272">
      <c r="A2272" s="62" t="s">
        <v>2410</v>
      </c>
      <c r="B2272" s="63">
        <v>44378.0</v>
      </c>
      <c r="C2272" s="62" t="s">
        <v>119</v>
      </c>
      <c r="D2272" s="64">
        <v>50.0</v>
      </c>
      <c r="E2272" s="62" t="s">
        <v>109</v>
      </c>
      <c r="F2272" s="62" t="s">
        <v>110</v>
      </c>
      <c r="G2272" s="64" t="s">
        <v>64</v>
      </c>
      <c r="H2272" s="3" t="s">
        <v>49</v>
      </c>
      <c r="I2272" s="65">
        <f>IFERROR(VLOOKUP(A2272,'3. Call duration'!$A:$C,3,0),"--")</f>
        <v>20.99877512</v>
      </c>
      <c r="J2272" s="65" t="str">
        <f t="array" ref="J2272">XLOOKUP(H2272,'2. Matching'!$A$2:$A$39,'2. Matching'!$B$2:$B$39,"--")</f>
        <v>Partnerships</v>
      </c>
      <c r="K2272" s="65" t="str">
        <f t="shared" si="1"/>
        <v>In</v>
      </c>
    </row>
    <row r="2273">
      <c r="A2273" s="62" t="s">
        <v>2411</v>
      </c>
      <c r="B2273" s="63">
        <v>44381.0</v>
      </c>
      <c r="C2273" s="62" t="s">
        <v>119</v>
      </c>
      <c r="D2273" s="64">
        <v>50.0</v>
      </c>
      <c r="E2273" s="62" t="s">
        <v>109</v>
      </c>
      <c r="F2273" s="62" t="s">
        <v>115</v>
      </c>
      <c r="G2273" s="64" t="s">
        <v>59</v>
      </c>
      <c r="H2273" s="3" t="s">
        <v>68</v>
      </c>
      <c r="I2273" s="65">
        <f>IFERROR(VLOOKUP(A2273,'3. Call duration'!$A:$C,3,0),"--")</f>
        <v>29.5452055</v>
      </c>
      <c r="J2273" s="65" t="str">
        <f t="array" ref="J2273">XLOOKUP(H2273,'2. Matching'!$A$2:$A$39,'2. Matching'!$B$2:$B$39,"--")</f>
        <v>Acquisition</v>
      </c>
      <c r="K2273" s="65" t="str">
        <f t="shared" si="1"/>
        <v>In</v>
      </c>
    </row>
    <row r="2274">
      <c r="A2274" s="62" t="s">
        <v>2412</v>
      </c>
      <c r="B2274" s="63">
        <v>44382.0</v>
      </c>
      <c r="C2274" s="62" t="s">
        <v>119</v>
      </c>
      <c r="D2274" s="64">
        <v>50.0</v>
      </c>
      <c r="E2274" s="62" t="s">
        <v>109</v>
      </c>
      <c r="F2274" s="62" t="s">
        <v>115</v>
      </c>
      <c r="G2274" s="64" t="s">
        <v>64</v>
      </c>
      <c r="H2274" s="3" t="s">
        <v>145</v>
      </c>
      <c r="I2274" s="65">
        <f>IFERROR(VLOOKUP(A2274,'3. Call duration'!$A:$C,3,0),"--")</f>
        <v>21.69123849</v>
      </c>
      <c r="J2274" s="65" t="str">
        <f t="array" ref="J2274">XLOOKUP(H2274,'2. Matching'!$A$2:$A$39,'2. Matching'!$B$2:$B$39,"--")</f>
        <v>SEO</v>
      </c>
      <c r="K2274" s="65" t="str">
        <f t="shared" si="1"/>
        <v>In</v>
      </c>
    </row>
    <row r="2275">
      <c r="A2275" s="62" t="s">
        <v>2413</v>
      </c>
      <c r="B2275" s="63">
        <v>44396.0</v>
      </c>
      <c r="C2275" s="62" t="s">
        <v>119</v>
      </c>
      <c r="D2275" s="64">
        <v>50.0</v>
      </c>
      <c r="E2275" s="62" t="s">
        <v>109</v>
      </c>
      <c r="F2275" s="62" t="s">
        <v>115</v>
      </c>
      <c r="G2275" s="64" t="s">
        <v>64</v>
      </c>
      <c r="H2275" s="3" t="s">
        <v>116</v>
      </c>
      <c r="I2275" s="65">
        <f>IFERROR(VLOOKUP(A2275,'3. Call duration'!$A:$C,3,0),"--")</f>
        <v>12.58691101</v>
      </c>
      <c r="J2275" s="65" t="str">
        <f t="array" ref="J2275">XLOOKUP(H2275,'2. Matching'!$A$2:$A$39,'2. Matching'!$B$2:$B$39,"--")</f>
        <v>Acquisition</v>
      </c>
      <c r="K2275" s="65" t="str">
        <f t="shared" si="1"/>
        <v>In</v>
      </c>
    </row>
    <row r="2276">
      <c r="A2276" s="62" t="s">
        <v>2414</v>
      </c>
      <c r="B2276" s="63">
        <v>44379.0</v>
      </c>
      <c r="C2276" s="62" t="s">
        <v>119</v>
      </c>
      <c r="D2276" s="64">
        <v>50.0</v>
      </c>
      <c r="E2276" s="62" t="s">
        <v>109</v>
      </c>
      <c r="F2276" s="62" t="s">
        <v>115</v>
      </c>
      <c r="G2276" s="64" t="s">
        <v>64</v>
      </c>
      <c r="H2276" s="3" t="s">
        <v>139</v>
      </c>
      <c r="I2276" s="65">
        <f>IFERROR(VLOOKUP(A2276,'3. Call duration'!$A:$C,3,0),"--")</f>
        <v>32.52883805</v>
      </c>
      <c r="J2276" s="65" t="str">
        <f t="array" ref="J2276">XLOOKUP(H2276,'2. Matching'!$A$2:$A$39,'2. Matching'!$B$2:$B$39,"--")</f>
        <v>Acquisition</v>
      </c>
      <c r="K2276" s="65" t="str">
        <f t="shared" si="1"/>
        <v>In</v>
      </c>
    </row>
    <row r="2277">
      <c r="A2277" s="62" t="s">
        <v>2415</v>
      </c>
      <c r="B2277" s="63">
        <v>44387.0</v>
      </c>
      <c r="C2277" s="62" t="s">
        <v>119</v>
      </c>
      <c r="D2277" s="64">
        <v>50.0</v>
      </c>
      <c r="E2277" s="62" t="s">
        <v>109</v>
      </c>
      <c r="F2277" s="62" t="s">
        <v>110</v>
      </c>
      <c r="G2277" s="64" t="s">
        <v>60</v>
      </c>
      <c r="H2277" s="3" t="s">
        <v>68</v>
      </c>
      <c r="I2277" s="65">
        <f>IFERROR(VLOOKUP(A2277,'3. Call duration'!$A:$C,3,0),"--")</f>
        <v>26.95253781</v>
      </c>
      <c r="J2277" s="65" t="str">
        <f t="array" ref="J2277">XLOOKUP(H2277,'2. Matching'!$A$2:$A$39,'2. Matching'!$B$2:$B$39,"--")</f>
        <v>Acquisition</v>
      </c>
      <c r="K2277" s="65" t="str">
        <f t="shared" si="1"/>
        <v>In</v>
      </c>
    </row>
    <row r="2278">
      <c r="A2278" s="62" t="s">
        <v>2416</v>
      </c>
      <c r="B2278" s="63">
        <v>44378.0</v>
      </c>
      <c r="C2278" s="62" t="s">
        <v>119</v>
      </c>
      <c r="D2278" s="64">
        <v>50.0</v>
      </c>
      <c r="E2278" s="62" t="s">
        <v>109</v>
      </c>
      <c r="F2278" s="62" t="s">
        <v>110</v>
      </c>
      <c r="G2278" s="64" t="s">
        <v>60</v>
      </c>
      <c r="H2278" s="3" t="s">
        <v>68</v>
      </c>
      <c r="I2278" s="65">
        <f>IFERROR(VLOOKUP(A2278,'3. Call duration'!$A:$C,3,0),"--")</f>
        <v>30.55012387</v>
      </c>
      <c r="J2278" s="65" t="str">
        <f t="array" ref="J2278">XLOOKUP(H2278,'2. Matching'!$A$2:$A$39,'2. Matching'!$B$2:$B$39,"--")</f>
        <v>Acquisition</v>
      </c>
      <c r="K2278" s="65" t="str">
        <f t="shared" si="1"/>
        <v>In</v>
      </c>
    </row>
    <row r="2279">
      <c r="A2279" s="62" t="s">
        <v>2417</v>
      </c>
      <c r="B2279" s="63">
        <v>44398.0</v>
      </c>
      <c r="C2279" s="62" t="s">
        <v>119</v>
      </c>
      <c r="D2279" s="64">
        <v>50.0</v>
      </c>
      <c r="E2279" s="62" t="s">
        <v>109</v>
      </c>
      <c r="F2279" s="62" t="s">
        <v>115</v>
      </c>
      <c r="G2279" s="64" t="s">
        <v>62</v>
      </c>
      <c r="H2279" s="3" t="s">
        <v>203</v>
      </c>
      <c r="I2279" s="65">
        <f>IFERROR(VLOOKUP(A2279,'3. Call duration'!$A:$C,3,0),"--")</f>
        <v>11.90995928</v>
      </c>
      <c r="J2279" s="65" t="str">
        <f t="array" ref="J2279">XLOOKUP(H2279,'2. Matching'!$A$2:$A$39,'2. Matching'!$B$2:$B$39,"--")</f>
        <v>Farming</v>
      </c>
      <c r="K2279" s="65" t="str">
        <f t="shared" si="1"/>
        <v>In</v>
      </c>
    </row>
    <row r="2280">
      <c r="A2280" s="62" t="s">
        <v>2418</v>
      </c>
      <c r="B2280" s="63">
        <v>44385.0</v>
      </c>
      <c r="C2280" s="62" t="s">
        <v>119</v>
      </c>
      <c r="D2280" s="64">
        <v>50.0</v>
      </c>
      <c r="E2280" s="62" t="s">
        <v>109</v>
      </c>
      <c r="F2280" s="62" t="s">
        <v>110</v>
      </c>
      <c r="G2280" s="64" t="s">
        <v>63</v>
      </c>
      <c r="H2280" s="3" t="s">
        <v>124</v>
      </c>
      <c r="I2280" s="65">
        <f>IFERROR(VLOOKUP(A2280,'3. Call duration'!$A:$C,3,0),"--")</f>
        <v>45.3477052</v>
      </c>
      <c r="J2280" s="65" t="str">
        <f t="array" ref="J2280">XLOOKUP(H2280,'2. Matching'!$A$2:$A$39,'2. Matching'!$B$2:$B$39,"--")</f>
        <v>Acquisition</v>
      </c>
      <c r="K2280" s="65" t="str">
        <f t="shared" si="1"/>
        <v>In</v>
      </c>
    </row>
    <row r="2281">
      <c r="A2281" s="62" t="s">
        <v>2419</v>
      </c>
      <c r="B2281" s="63">
        <v>44384.0</v>
      </c>
      <c r="C2281" s="62" t="s">
        <v>119</v>
      </c>
      <c r="D2281" s="64">
        <v>50.0</v>
      </c>
      <c r="E2281" s="62" t="s">
        <v>109</v>
      </c>
      <c r="F2281" s="62" t="s">
        <v>110</v>
      </c>
      <c r="G2281" s="64" t="s">
        <v>61</v>
      </c>
      <c r="H2281" s="3" t="s">
        <v>69</v>
      </c>
      <c r="I2281" s="65">
        <f>IFERROR(VLOOKUP(A2281,'3. Call duration'!$A:$C,3,0),"--")</f>
        <v>21.8303334</v>
      </c>
      <c r="J2281" s="65" t="str">
        <f t="array" ref="J2281">XLOOKUP(H2281,'2. Matching'!$A$2:$A$39,'2. Matching'!$B$2:$B$39,"--")</f>
        <v>Acquisition</v>
      </c>
      <c r="K2281" s="65" t="str">
        <f t="shared" si="1"/>
        <v>In</v>
      </c>
    </row>
    <row r="2282">
      <c r="A2282" s="62" t="s">
        <v>2420</v>
      </c>
      <c r="B2282" s="63">
        <v>44379.0</v>
      </c>
      <c r="C2282" s="62" t="s">
        <v>119</v>
      </c>
      <c r="D2282" s="64">
        <v>50.0</v>
      </c>
      <c r="E2282" s="62" t="s">
        <v>109</v>
      </c>
      <c r="F2282" s="62" t="s">
        <v>110</v>
      </c>
      <c r="G2282" s="64" t="s">
        <v>60</v>
      </c>
      <c r="H2282" s="3" t="s">
        <v>68</v>
      </c>
      <c r="I2282" s="65">
        <f>IFERROR(VLOOKUP(A2282,'3. Call duration'!$A:$C,3,0),"--")</f>
        <v>28.77592379</v>
      </c>
      <c r="J2282" s="65" t="str">
        <f t="array" ref="J2282">XLOOKUP(H2282,'2. Matching'!$A$2:$A$39,'2. Matching'!$B$2:$B$39,"--")</f>
        <v>Acquisition</v>
      </c>
      <c r="K2282" s="65" t="str">
        <f t="shared" si="1"/>
        <v>In</v>
      </c>
    </row>
    <row r="2283">
      <c r="A2283" s="62" t="s">
        <v>2421</v>
      </c>
      <c r="B2283" s="63">
        <v>44382.0</v>
      </c>
      <c r="C2283" s="62" t="s">
        <v>119</v>
      </c>
      <c r="D2283" s="64">
        <v>50.0</v>
      </c>
      <c r="E2283" s="62" t="s">
        <v>109</v>
      </c>
      <c r="F2283" s="62" t="s">
        <v>115</v>
      </c>
      <c r="G2283" s="64" t="s">
        <v>63</v>
      </c>
      <c r="H2283" s="3" t="s">
        <v>128</v>
      </c>
      <c r="I2283" s="65">
        <f>IFERROR(VLOOKUP(A2283,'3. Call duration'!$A:$C,3,0),"--")</f>
        <v>12.33430964</v>
      </c>
      <c r="J2283" s="65" t="str">
        <f t="array" ref="J2283">XLOOKUP(H2283,'2. Matching'!$A$2:$A$39,'2. Matching'!$B$2:$B$39,"--")</f>
        <v>Acquisition</v>
      </c>
      <c r="K2283" s="65" t="str">
        <f t="shared" si="1"/>
        <v>In</v>
      </c>
    </row>
    <row r="2284">
      <c r="A2284" s="62" t="s">
        <v>2422</v>
      </c>
      <c r="B2284" s="63">
        <v>44380.0</v>
      </c>
      <c r="C2284" s="62" t="s">
        <v>119</v>
      </c>
      <c r="D2284" s="64">
        <v>50.0</v>
      </c>
      <c r="E2284" s="62" t="s">
        <v>109</v>
      </c>
      <c r="F2284" s="62" t="s">
        <v>110</v>
      </c>
      <c r="G2284" s="64" t="s">
        <v>63</v>
      </c>
      <c r="H2284" s="3" t="s">
        <v>228</v>
      </c>
      <c r="I2284" s="65">
        <f>IFERROR(VLOOKUP(A2284,'3. Call duration'!$A:$C,3,0),"--")</f>
        <v>25.20082186</v>
      </c>
      <c r="J2284" s="65" t="str">
        <f t="array" ref="J2284">XLOOKUP(H2284,'2. Matching'!$A$2:$A$39,'2. Matching'!$B$2:$B$39,"--")</f>
        <v>Farming</v>
      </c>
      <c r="K2284" s="65" t="str">
        <f t="shared" si="1"/>
        <v>In</v>
      </c>
    </row>
    <row r="2285">
      <c r="A2285" s="62" t="s">
        <v>2423</v>
      </c>
      <c r="B2285" s="63">
        <v>44383.0</v>
      </c>
      <c r="C2285" s="62" t="s">
        <v>119</v>
      </c>
      <c r="D2285" s="64">
        <v>50.0</v>
      </c>
      <c r="E2285" s="62" t="s">
        <v>109</v>
      </c>
      <c r="F2285" s="62" t="s">
        <v>115</v>
      </c>
      <c r="G2285" s="64" t="s">
        <v>64</v>
      </c>
      <c r="H2285" s="3" t="s">
        <v>145</v>
      </c>
      <c r="I2285" s="65">
        <f>IFERROR(VLOOKUP(A2285,'3. Call duration'!$A:$C,3,0),"--")</f>
        <v>23.40213672</v>
      </c>
      <c r="J2285" s="65" t="str">
        <f t="array" ref="J2285">XLOOKUP(H2285,'2. Matching'!$A$2:$A$39,'2. Matching'!$B$2:$B$39,"--")</f>
        <v>SEO</v>
      </c>
      <c r="K2285" s="65" t="str">
        <f t="shared" si="1"/>
        <v>In</v>
      </c>
    </row>
    <row r="2286">
      <c r="A2286" s="62" t="s">
        <v>2424</v>
      </c>
      <c r="B2286" s="63">
        <v>44378.0</v>
      </c>
      <c r="C2286" s="62" t="s">
        <v>119</v>
      </c>
      <c r="D2286" s="64">
        <v>50.0</v>
      </c>
      <c r="E2286" s="62" t="s">
        <v>109</v>
      </c>
      <c r="F2286" s="62" t="s">
        <v>115</v>
      </c>
      <c r="G2286" s="64" t="s">
        <v>59</v>
      </c>
      <c r="H2286" s="3" t="s">
        <v>68</v>
      </c>
      <c r="I2286" s="65">
        <f>IFERROR(VLOOKUP(A2286,'3. Call duration'!$A:$C,3,0),"--")</f>
        <v>31.70180832</v>
      </c>
      <c r="J2286" s="65" t="str">
        <f t="array" ref="J2286">XLOOKUP(H2286,'2. Matching'!$A$2:$A$39,'2. Matching'!$B$2:$B$39,"--")</f>
        <v>Acquisition</v>
      </c>
      <c r="K2286" s="65" t="str">
        <f t="shared" si="1"/>
        <v>In</v>
      </c>
    </row>
    <row r="2287">
      <c r="A2287" s="62" t="s">
        <v>2425</v>
      </c>
      <c r="B2287" s="63">
        <v>44379.0</v>
      </c>
      <c r="C2287" s="62" t="s">
        <v>119</v>
      </c>
      <c r="D2287" s="64">
        <v>50.0</v>
      </c>
      <c r="E2287" s="62" t="s">
        <v>109</v>
      </c>
      <c r="F2287" s="62" t="s">
        <v>115</v>
      </c>
      <c r="G2287" s="64" t="s">
        <v>63</v>
      </c>
      <c r="H2287" s="3" t="s">
        <v>228</v>
      </c>
      <c r="I2287" s="65">
        <f>IFERROR(VLOOKUP(A2287,'3. Call duration'!$A:$C,3,0),"--")</f>
        <v>31.49030544</v>
      </c>
      <c r="J2287" s="65" t="str">
        <f t="array" ref="J2287">XLOOKUP(H2287,'2. Matching'!$A$2:$A$39,'2. Matching'!$B$2:$B$39,"--")</f>
        <v>Farming</v>
      </c>
      <c r="K2287" s="65" t="str">
        <f t="shared" si="1"/>
        <v>In</v>
      </c>
    </row>
    <row r="2288">
      <c r="A2288" s="62" t="s">
        <v>2426</v>
      </c>
      <c r="B2288" s="63">
        <v>44382.0</v>
      </c>
      <c r="C2288" s="62" t="s">
        <v>119</v>
      </c>
      <c r="D2288" s="64">
        <v>50.0</v>
      </c>
      <c r="E2288" s="62" t="s">
        <v>109</v>
      </c>
      <c r="F2288" s="62" t="s">
        <v>115</v>
      </c>
      <c r="G2288" s="64" t="s">
        <v>59</v>
      </c>
      <c r="H2288" s="3" t="s">
        <v>68</v>
      </c>
      <c r="I2288" s="65">
        <f>IFERROR(VLOOKUP(A2288,'3. Call duration'!$A:$C,3,0),"--")</f>
        <v>12.82787985</v>
      </c>
      <c r="J2288" s="65" t="str">
        <f t="array" ref="J2288">XLOOKUP(H2288,'2. Matching'!$A$2:$A$39,'2. Matching'!$B$2:$B$39,"--")</f>
        <v>Acquisition</v>
      </c>
      <c r="K2288" s="65" t="str">
        <f t="shared" si="1"/>
        <v>In</v>
      </c>
    </row>
    <row r="2289">
      <c r="A2289" s="62" t="s">
        <v>2427</v>
      </c>
      <c r="B2289" s="63">
        <v>44379.0</v>
      </c>
      <c r="C2289" s="62" t="s">
        <v>119</v>
      </c>
      <c r="D2289" s="64">
        <v>50.0</v>
      </c>
      <c r="E2289" s="62" t="s">
        <v>109</v>
      </c>
      <c r="F2289" s="62" t="s">
        <v>110</v>
      </c>
      <c r="G2289" s="64" t="s">
        <v>60</v>
      </c>
      <c r="H2289" s="3" t="s">
        <v>68</v>
      </c>
      <c r="I2289" s="65">
        <f>IFERROR(VLOOKUP(A2289,'3. Call duration'!$A:$C,3,0),"--")</f>
        <v>20.26920511</v>
      </c>
      <c r="J2289" s="65" t="str">
        <f t="array" ref="J2289">XLOOKUP(H2289,'2. Matching'!$A$2:$A$39,'2. Matching'!$B$2:$B$39,"--")</f>
        <v>Acquisition</v>
      </c>
      <c r="K2289" s="65" t="str">
        <f t="shared" si="1"/>
        <v>In</v>
      </c>
    </row>
    <row r="2290">
      <c r="A2290" s="62" t="s">
        <v>2428</v>
      </c>
      <c r="B2290" s="63">
        <v>44383.0</v>
      </c>
      <c r="C2290" s="62" t="s">
        <v>119</v>
      </c>
      <c r="D2290" s="64">
        <v>50.0</v>
      </c>
      <c r="E2290" s="62" t="s">
        <v>109</v>
      </c>
      <c r="F2290" s="62" t="s">
        <v>115</v>
      </c>
      <c r="G2290" s="64" t="s">
        <v>60</v>
      </c>
      <c r="H2290" s="3" t="s">
        <v>68</v>
      </c>
      <c r="I2290" s="65">
        <f>IFERROR(VLOOKUP(A2290,'3. Call duration'!$A:$C,3,0),"--")</f>
        <v>20.15419446</v>
      </c>
      <c r="J2290" s="65" t="str">
        <f t="array" ref="J2290">XLOOKUP(H2290,'2. Matching'!$A$2:$A$39,'2. Matching'!$B$2:$B$39,"--")</f>
        <v>Acquisition</v>
      </c>
      <c r="K2290" s="65" t="str">
        <f t="shared" si="1"/>
        <v>In</v>
      </c>
    </row>
    <row r="2291">
      <c r="A2291" s="62" t="s">
        <v>2429</v>
      </c>
      <c r="B2291" s="63">
        <v>44382.0</v>
      </c>
      <c r="C2291" s="62" t="s">
        <v>119</v>
      </c>
      <c r="D2291" s="64">
        <v>50.0</v>
      </c>
      <c r="E2291" s="62" t="s">
        <v>109</v>
      </c>
      <c r="F2291" s="62" t="s">
        <v>110</v>
      </c>
      <c r="G2291" s="64" t="s">
        <v>60</v>
      </c>
      <c r="H2291" s="3" t="s">
        <v>68</v>
      </c>
      <c r="I2291" s="65">
        <f>IFERROR(VLOOKUP(A2291,'3. Call duration'!$A:$C,3,0),"--")</f>
        <v>31.86156905</v>
      </c>
      <c r="J2291" s="65" t="str">
        <f t="array" ref="J2291">XLOOKUP(H2291,'2. Matching'!$A$2:$A$39,'2. Matching'!$B$2:$B$39,"--")</f>
        <v>Acquisition</v>
      </c>
      <c r="K2291" s="65" t="str">
        <f t="shared" si="1"/>
        <v>In</v>
      </c>
    </row>
    <row r="2292">
      <c r="A2292" s="62" t="s">
        <v>2430</v>
      </c>
      <c r="B2292" s="63">
        <v>44383.0</v>
      </c>
      <c r="C2292" s="62" t="s">
        <v>119</v>
      </c>
      <c r="D2292" s="64">
        <v>50.0</v>
      </c>
      <c r="E2292" s="62" t="s">
        <v>109</v>
      </c>
      <c r="F2292" s="62" t="s">
        <v>115</v>
      </c>
      <c r="G2292" s="64" t="s">
        <v>61</v>
      </c>
      <c r="H2292" s="3" t="s">
        <v>69</v>
      </c>
      <c r="I2292" s="65">
        <f>IFERROR(VLOOKUP(A2292,'3. Call duration'!$A:$C,3,0),"--")</f>
        <v>14.59035849</v>
      </c>
      <c r="J2292" s="65" t="str">
        <f t="array" ref="J2292">XLOOKUP(H2292,'2. Matching'!$A$2:$A$39,'2. Matching'!$B$2:$B$39,"--")</f>
        <v>Acquisition</v>
      </c>
      <c r="K2292" s="65" t="str">
        <f t="shared" si="1"/>
        <v>In</v>
      </c>
    </row>
    <row r="2293">
      <c r="A2293" s="62" t="s">
        <v>2431</v>
      </c>
      <c r="B2293" s="63">
        <v>44380.0</v>
      </c>
      <c r="C2293" s="62" t="s">
        <v>119</v>
      </c>
      <c r="D2293" s="64">
        <v>50.0</v>
      </c>
      <c r="E2293" s="62" t="s">
        <v>109</v>
      </c>
      <c r="F2293" s="62" t="s">
        <v>115</v>
      </c>
      <c r="G2293" s="64" t="s">
        <v>64</v>
      </c>
      <c r="H2293" s="3" t="s">
        <v>155</v>
      </c>
      <c r="I2293" s="65">
        <f>IFERROR(VLOOKUP(A2293,'3. Call duration'!$A:$C,3,0),"--")</f>
        <v>33.55340391</v>
      </c>
      <c r="J2293" s="65" t="str">
        <f t="array" ref="J2293">XLOOKUP(H2293,'2. Matching'!$A$2:$A$39,'2. Matching'!$B$2:$B$39,"--")</f>
        <v>SEO</v>
      </c>
      <c r="K2293" s="65" t="str">
        <f t="shared" si="1"/>
        <v>In</v>
      </c>
    </row>
    <row r="2294">
      <c r="A2294" s="62" t="s">
        <v>2432</v>
      </c>
      <c r="B2294" s="63">
        <v>44383.0</v>
      </c>
      <c r="C2294" s="62" t="s">
        <v>119</v>
      </c>
      <c r="D2294" s="64">
        <v>50.0</v>
      </c>
      <c r="E2294" s="62" t="s">
        <v>109</v>
      </c>
      <c r="F2294" s="62" t="s">
        <v>110</v>
      </c>
      <c r="G2294" s="64" t="s">
        <v>60</v>
      </c>
      <c r="H2294" s="3" t="s">
        <v>68</v>
      </c>
      <c r="I2294" s="65">
        <f>IFERROR(VLOOKUP(A2294,'3. Call duration'!$A:$C,3,0),"--")</f>
        <v>27.4993346</v>
      </c>
      <c r="J2294" s="65" t="str">
        <f t="array" ref="J2294">XLOOKUP(H2294,'2. Matching'!$A$2:$A$39,'2. Matching'!$B$2:$B$39,"--")</f>
        <v>Acquisition</v>
      </c>
      <c r="K2294" s="65" t="str">
        <f t="shared" si="1"/>
        <v>In</v>
      </c>
    </row>
    <row r="2295">
      <c r="A2295" s="62" t="s">
        <v>2433</v>
      </c>
      <c r="B2295" s="63">
        <v>44379.0</v>
      </c>
      <c r="C2295" s="62" t="s">
        <v>119</v>
      </c>
      <c r="D2295" s="64">
        <v>50.0</v>
      </c>
      <c r="E2295" s="62" t="s">
        <v>109</v>
      </c>
      <c r="F2295" s="62" t="s">
        <v>115</v>
      </c>
      <c r="G2295" s="64" t="s">
        <v>63</v>
      </c>
      <c r="H2295" s="3" t="s">
        <v>189</v>
      </c>
      <c r="I2295" s="65">
        <f>IFERROR(VLOOKUP(A2295,'3. Call duration'!$A:$C,3,0),"--")</f>
        <v>30.42658985</v>
      </c>
      <c r="J2295" s="65" t="str">
        <f t="array" ref="J2295">XLOOKUP(H2295,'2. Matching'!$A$2:$A$39,'2. Matching'!$B$2:$B$39,"--")</f>
        <v>SEO</v>
      </c>
      <c r="K2295" s="65" t="str">
        <f t="shared" si="1"/>
        <v>Out</v>
      </c>
    </row>
    <row r="2296">
      <c r="A2296" s="62" t="s">
        <v>2434</v>
      </c>
      <c r="B2296" s="63">
        <v>44378.0</v>
      </c>
      <c r="C2296" s="62" t="s">
        <v>119</v>
      </c>
      <c r="D2296" s="64">
        <v>50.0</v>
      </c>
      <c r="E2296" s="62" t="s">
        <v>109</v>
      </c>
      <c r="F2296" s="62" t="s">
        <v>110</v>
      </c>
      <c r="G2296" s="64" t="s">
        <v>60</v>
      </c>
      <c r="H2296" s="3" t="s">
        <v>67</v>
      </c>
      <c r="I2296" s="65">
        <f>IFERROR(VLOOKUP(A2296,'3. Call duration'!$A:$C,3,0),"--")</f>
        <v>26.88811973</v>
      </c>
      <c r="J2296" s="65" t="str">
        <f t="array" ref="J2296">XLOOKUP(H2296,'2. Matching'!$A$2:$A$39,'2. Matching'!$B$2:$B$39,"--")</f>
        <v>Acquisition</v>
      </c>
      <c r="K2296" s="65" t="str">
        <f t="shared" si="1"/>
        <v>In</v>
      </c>
    </row>
    <row r="2297">
      <c r="A2297" s="62" t="s">
        <v>2435</v>
      </c>
      <c r="B2297" s="63">
        <v>44378.0</v>
      </c>
      <c r="C2297" s="62" t="s">
        <v>119</v>
      </c>
      <c r="D2297" s="64">
        <v>50.0</v>
      </c>
      <c r="E2297" s="62" t="s">
        <v>109</v>
      </c>
      <c r="F2297" s="62" t="s">
        <v>110</v>
      </c>
      <c r="G2297" s="64" t="s">
        <v>61</v>
      </c>
      <c r="H2297" s="3" t="s">
        <v>69</v>
      </c>
      <c r="I2297" s="65">
        <f>IFERROR(VLOOKUP(A2297,'3. Call duration'!$A:$C,3,0),"--")</f>
        <v>34.37905296</v>
      </c>
      <c r="J2297" s="65" t="str">
        <f t="array" ref="J2297">XLOOKUP(H2297,'2. Matching'!$A$2:$A$39,'2. Matching'!$B$2:$B$39,"--")</f>
        <v>Acquisition</v>
      </c>
      <c r="K2297" s="65" t="str">
        <f t="shared" si="1"/>
        <v>In</v>
      </c>
    </row>
    <row r="2298">
      <c r="A2298" s="62" t="s">
        <v>2436</v>
      </c>
      <c r="B2298" s="63">
        <v>44385.0</v>
      </c>
      <c r="C2298" s="62" t="s">
        <v>119</v>
      </c>
      <c r="D2298" s="64">
        <v>50.0</v>
      </c>
      <c r="E2298" s="62" t="s">
        <v>109</v>
      </c>
      <c r="F2298" s="62" t="s">
        <v>110</v>
      </c>
      <c r="G2298" s="64" t="s">
        <v>61</v>
      </c>
      <c r="H2298" s="3" t="s">
        <v>67</v>
      </c>
      <c r="I2298" s="65">
        <f>IFERROR(VLOOKUP(A2298,'3. Call duration'!$A:$C,3,0),"--")</f>
        <v>33.59658289</v>
      </c>
      <c r="J2298" s="65" t="str">
        <f t="array" ref="J2298">XLOOKUP(H2298,'2. Matching'!$A$2:$A$39,'2. Matching'!$B$2:$B$39,"--")</f>
        <v>Acquisition</v>
      </c>
      <c r="K2298" s="65" t="str">
        <f t="shared" si="1"/>
        <v>In</v>
      </c>
    </row>
    <row r="2299">
      <c r="A2299" s="62" t="s">
        <v>2437</v>
      </c>
      <c r="B2299" s="63">
        <v>44379.0</v>
      </c>
      <c r="C2299" s="62" t="s">
        <v>119</v>
      </c>
      <c r="D2299" s="64">
        <v>50.0</v>
      </c>
      <c r="E2299" s="62" t="s">
        <v>109</v>
      </c>
      <c r="F2299" s="62" t="s">
        <v>110</v>
      </c>
      <c r="G2299" s="64" t="s">
        <v>61</v>
      </c>
      <c r="H2299" s="3" t="s">
        <v>67</v>
      </c>
      <c r="I2299" s="65">
        <f>IFERROR(VLOOKUP(A2299,'3. Call duration'!$A:$C,3,0),"--")</f>
        <v>27.91509601</v>
      </c>
      <c r="J2299" s="65" t="str">
        <f t="array" ref="J2299">XLOOKUP(H2299,'2. Matching'!$A$2:$A$39,'2. Matching'!$B$2:$B$39,"--")</f>
        <v>Acquisition</v>
      </c>
      <c r="K2299" s="65" t="str">
        <f t="shared" si="1"/>
        <v>In</v>
      </c>
    </row>
    <row r="2300">
      <c r="A2300" s="62" t="s">
        <v>2438</v>
      </c>
      <c r="B2300" s="63">
        <v>44385.0</v>
      </c>
      <c r="C2300" s="62" t="s">
        <v>119</v>
      </c>
      <c r="D2300" s="64">
        <v>50.0</v>
      </c>
      <c r="E2300" s="62" t="s">
        <v>109</v>
      </c>
      <c r="F2300" s="62" t="s">
        <v>115</v>
      </c>
      <c r="G2300" s="64" t="s">
        <v>64</v>
      </c>
      <c r="H2300" s="3" t="s">
        <v>139</v>
      </c>
      <c r="I2300" s="65">
        <f>IFERROR(VLOOKUP(A2300,'3. Call duration'!$A:$C,3,0),"--")</f>
        <v>28.10291835</v>
      </c>
      <c r="J2300" s="65" t="str">
        <f t="array" ref="J2300">XLOOKUP(H2300,'2. Matching'!$A$2:$A$39,'2. Matching'!$B$2:$B$39,"--")</f>
        <v>Acquisition</v>
      </c>
      <c r="K2300" s="65" t="str">
        <f t="shared" si="1"/>
        <v>In</v>
      </c>
    </row>
    <row r="2301">
      <c r="A2301" s="62" t="s">
        <v>2439</v>
      </c>
      <c r="B2301" s="63">
        <v>44384.0</v>
      </c>
      <c r="C2301" s="62" t="s">
        <v>119</v>
      </c>
      <c r="D2301" s="64">
        <v>50.0</v>
      </c>
      <c r="E2301" s="62" t="s">
        <v>109</v>
      </c>
      <c r="F2301" s="62" t="s">
        <v>115</v>
      </c>
      <c r="G2301" s="64" t="s">
        <v>64</v>
      </c>
      <c r="H2301" s="3" t="s">
        <v>139</v>
      </c>
      <c r="I2301" s="65">
        <f>IFERROR(VLOOKUP(A2301,'3. Call duration'!$A:$C,3,0),"--")</f>
        <v>28.13647065</v>
      </c>
      <c r="J2301" s="65" t="str">
        <f t="array" ref="J2301">XLOOKUP(H2301,'2. Matching'!$A$2:$A$39,'2. Matching'!$B$2:$B$39,"--")</f>
        <v>Acquisition</v>
      </c>
      <c r="K2301" s="65" t="str">
        <f t="shared" si="1"/>
        <v>In</v>
      </c>
    </row>
    <row r="2302">
      <c r="A2302" s="62" t="s">
        <v>2440</v>
      </c>
      <c r="B2302" s="63">
        <v>44378.0</v>
      </c>
      <c r="C2302" s="62" t="s">
        <v>119</v>
      </c>
      <c r="D2302" s="64">
        <v>50.0</v>
      </c>
      <c r="E2302" s="62" t="s">
        <v>109</v>
      </c>
      <c r="F2302" s="62" t="s">
        <v>110</v>
      </c>
      <c r="G2302" s="64" t="s">
        <v>60</v>
      </c>
      <c r="H2302" s="3" t="s">
        <v>68</v>
      </c>
      <c r="I2302" s="65">
        <f>IFERROR(VLOOKUP(A2302,'3. Call duration'!$A:$C,3,0),"--")</f>
        <v>25.94288347</v>
      </c>
      <c r="J2302" s="65" t="str">
        <f t="array" ref="J2302">XLOOKUP(H2302,'2. Matching'!$A$2:$A$39,'2. Matching'!$B$2:$B$39,"--")</f>
        <v>Acquisition</v>
      </c>
      <c r="K2302" s="65" t="str">
        <f t="shared" si="1"/>
        <v>In</v>
      </c>
    </row>
    <row r="2303">
      <c r="A2303" s="62" t="s">
        <v>2441</v>
      </c>
      <c r="B2303" s="63">
        <v>44387.0</v>
      </c>
      <c r="C2303" s="62" t="s">
        <v>119</v>
      </c>
      <c r="D2303" s="64">
        <v>50.0</v>
      </c>
      <c r="E2303" s="62" t="s">
        <v>109</v>
      </c>
      <c r="F2303" s="62" t="s">
        <v>115</v>
      </c>
      <c r="G2303" s="64" t="s">
        <v>61</v>
      </c>
      <c r="H2303" s="3" t="s">
        <v>68</v>
      </c>
      <c r="I2303" s="65">
        <f>IFERROR(VLOOKUP(A2303,'3. Call duration'!$A:$C,3,0),"--")</f>
        <v>13.58882047</v>
      </c>
      <c r="J2303" s="65" t="str">
        <f t="array" ref="J2303">XLOOKUP(H2303,'2. Matching'!$A$2:$A$39,'2. Matching'!$B$2:$B$39,"--")</f>
        <v>Acquisition</v>
      </c>
      <c r="K2303" s="65" t="str">
        <f t="shared" si="1"/>
        <v>In</v>
      </c>
    </row>
    <row r="2304">
      <c r="A2304" s="62" t="s">
        <v>2442</v>
      </c>
      <c r="B2304" s="63">
        <v>44378.0</v>
      </c>
      <c r="C2304" s="62" t="s">
        <v>119</v>
      </c>
      <c r="D2304" s="64">
        <v>50.0</v>
      </c>
      <c r="E2304" s="62" t="s">
        <v>109</v>
      </c>
      <c r="F2304" s="62" t="s">
        <v>115</v>
      </c>
      <c r="G2304" s="64" t="s">
        <v>61</v>
      </c>
      <c r="H2304" s="3" t="s">
        <v>69</v>
      </c>
      <c r="I2304" s="65" t="str">
        <f>IFERROR(VLOOKUP(A2304,'3. Call duration'!$A:$C,3,0),"--")</f>
        <v>--</v>
      </c>
      <c r="J2304" s="65" t="str">
        <f t="array" ref="J2304">XLOOKUP(H2304,'2. Matching'!$A$2:$A$39,'2. Matching'!$B$2:$B$39,"--")</f>
        <v>Acquisition</v>
      </c>
      <c r="K2304" s="65" t="str">
        <f t="shared" si="1"/>
        <v>In</v>
      </c>
    </row>
    <row r="2305">
      <c r="A2305" s="62" t="s">
        <v>2443</v>
      </c>
      <c r="B2305" s="63">
        <v>44384.0</v>
      </c>
      <c r="C2305" s="62" t="s">
        <v>119</v>
      </c>
      <c r="D2305" s="64">
        <v>50.0</v>
      </c>
      <c r="E2305" s="62" t="s">
        <v>109</v>
      </c>
      <c r="F2305" s="62" t="s">
        <v>115</v>
      </c>
      <c r="G2305" s="64" t="s">
        <v>61</v>
      </c>
      <c r="H2305" s="3" t="s">
        <v>69</v>
      </c>
      <c r="I2305" s="65">
        <f>IFERROR(VLOOKUP(A2305,'3. Call duration'!$A:$C,3,0),"--")</f>
        <v>23.66170673</v>
      </c>
      <c r="J2305" s="65" t="str">
        <f t="array" ref="J2305">XLOOKUP(H2305,'2. Matching'!$A$2:$A$39,'2. Matching'!$B$2:$B$39,"--")</f>
        <v>Acquisition</v>
      </c>
      <c r="K2305" s="65" t="str">
        <f t="shared" si="1"/>
        <v>In</v>
      </c>
    </row>
    <row r="2306">
      <c r="A2306" s="62" t="s">
        <v>2444</v>
      </c>
      <c r="B2306" s="63">
        <v>44382.0</v>
      </c>
      <c r="C2306" s="62" t="s">
        <v>119</v>
      </c>
      <c r="D2306" s="64">
        <v>50.0</v>
      </c>
      <c r="E2306" s="62" t="s">
        <v>109</v>
      </c>
      <c r="F2306" s="62" t="s">
        <v>110</v>
      </c>
      <c r="G2306" s="64" t="s">
        <v>61</v>
      </c>
      <c r="H2306" s="3" t="s">
        <v>67</v>
      </c>
      <c r="I2306" s="65">
        <f>IFERROR(VLOOKUP(A2306,'3. Call duration'!$A:$C,3,0),"--")</f>
        <v>24.74428144</v>
      </c>
      <c r="J2306" s="65" t="str">
        <f t="array" ref="J2306">XLOOKUP(H2306,'2. Matching'!$A$2:$A$39,'2. Matching'!$B$2:$B$39,"--")</f>
        <v>Acquisition</v>
      </c>
      <c r="K2306" s="65" t="str">
        <f t="shared" si="1"/>
        <v>In</v>
      </c>
    </row>
    <row r="2307">
      <c r="A2307" s="62" t="s">
        <v>2445</v>
      </c>
      <c r="B2307" s="63">
        <v>44379.0</v>
      </c>
      <c r="C2307" s="62" t="s">
        <v>119</v>
      </c>
      <c r="D2307" s="64">
        <v>50.0</v>
      </c>
      <c r="E2307" s="62" t="s">
        <v>109</v>
      </c>
      <c r="F2307" s="62" t="s">
        <v>110</v>
      </c>
      <c r="G2307" s="64" t="s">
        <v>60</v>
      </c>
      <c r="H2307" s="3" t="s">
        <v>67</v>
      </c>
      <c r="I2307" s="65">
        <f>IFERROR(VLOOKUP(A2307,'3. Call duration'!$A:$C,3,0),"--")</f>
        <v>20.80901291</v>
      </c>
      <c r="J2307" s="65" t="str">
        <f t="array" ref="J2307">XLOOKUP(H2307,'2. Matching'!$A$2:$A$39,'2. Matching'!$B$2:$B$39,"--")</f>
        <v>Acquisition</v>
      </c>
      <c r="K2307" s="65" t="str">
        <f t="shared" si="1"/>
        <v>In</v>
      </c>
    </row>
    <row r="2308">
      <c r="A2308" s="62" t="s">
        <v>2446</v>
      </c>
      <c r="B2308" s="63">
        <v>44378.0</v>
      </c>
      <c r="C2308" s="62" t="s">
        <v>119</v>
      </c>
      <c r="D2308" s="64">
        <v>50.0</v>
      </c>
      <c r="E2308" s="62" t="s">
        <v>109</v>
      </c>
      <c r="F2308" s="62" t="s">
        <v>115</v>
      </c>
      <c r="G2308" s="64" t="s">
        <v>60</v>
      </c>
      <c r="H2308" s="3" t="s">
        <v>68</v>
      </c>
      <c r="I2308" s="65">
        <f>IFERROR(VLOOKUP(A2308,'3. Call duration'!$A:$C,3,0),"--")</f>
        <v>34.92101084</v>
      </c>
      <c r="J2308" s="65" t="str">
        <f t="array" ref="J2308">XLOOKUP(H2308,'2. Matching'!$A$2:$A$39,'2. Matching'!$B$2:$B$39,"--")</f>
        <v>Acquisition</v>
      </c>
      <c r="K2308" s="65" t="str">
        <f t="shared" si="1"/>
        <v>In</v>
      </c>
    </row>
    <row r="2309">
      <c r="A2309" s="62" t="s">
        <v>2447</v>
      </c>
      <c r="B2309" s="63">
        <v>44383.0</v>
      </c>
      <c r="C2309" s="62" t="s">
        <v>119</v>
      </c>
      <c r="D2309" s="64">
        <v>50.0</v>
      </c>
      <c r="E2309" s="62" t="s">
        <v>109</v>
      </c>
      <c r="F2309" s="62" t="s">
        <v>115</v>
      </c>
      <c r="G2309" s="64" t="s">
        <v>59</v>
      </c>
      <c r="H2309" s="3" t="s">
        <v>68</v>
      </c>
      <c r="I2309" s="65">
        <f>IFERROR(VLOOKUP(A2309,'3. Call duration'!$A:$C,3,0),"--")</f>
        <v>21.01959852</v>
      </c>
      <c r="J2309" s="65" t="str">
        <f t="array" ref="J2309">XLOOKUP(H2309,'2. Matching'!$A$2:$A$39,'2. Matching'!$B$2:$B$39,"--")</f>
        <v>Acquisition</v>
      </c>
      <c r="K2309" s="65" t="str">
        <f t="shared" si="1"/>
        <v>In</v>
      </c>
    </row>
    <row r="2310">
      <c r="A2310" s="62" t="s">
        <v>2448</v>
      </c>
      <c r="B2310" s="63">
        <v>44392.0</v>
      </c>
      <c r="C2310" s="62" t="s">
        <v>119</v>
      </c>
      <c r="D2310" s="64">
        <v>50.0</v>
      </c>
      <c r="E2310" s="62" t="s">
        <v>109</v>
      </c>
      <c r="F2310" s="62" t="s">
        <v>115</v>
      </c>
      <c r="G2310" s="64" t="s">
        <v>61</v>
      </c>
      <c r="H2310" s="3" t="s">
        <v>68</v>
      </c>
      <c r="I2310" s="65">
        <f>IFERROR(VLOOKUP(A2310,'3. Call duration'!$A:$C,3,0),"--")</f>
        <v>29.20949298</v>
      </c>
      <c r="J2310" s="65" t="str">
        <f t="array" ref="J2310">XLOOKUP(H2310,'2. Matching'!$A$2:$A$39,'2. Matching'!$B$2:$B$39,"--")</f>
        <v>Acquisition</v>
      </c>
      <c r="K2310" s="65" t="str">
        <f t="shared" si="1"/>
        <v>In</v>
      </c>
    </row>
    <row r="2311">
      <c r="A2311" s="62" t="s">
        <v>2449</v>
      </c>
      <c r="B2311" s="63">
        <v>44383.0</v>
      </c>
      <c r="C2311" s="62" t="s">
        <v>119</v>
      </c>
      <c r="D2311" s="64">
        <v>50.0</v>
      </c>
      <c r="E2311" s="62" t="s">
        <v>109</v>
      </c>
      <c r="F2311" s="62" t="s">
        <v>115</v>
      </c>
      <c r="G2311" s="64" t="s">
        <v>61</v>
      </c>
      <c r="H2311" s="3" t="s">
        <v>69</v>
      </c>
      <c r="I2311" s="65">
        <f>IFERROR(VLOOKUP(A2311,'3. Call duration'!$A:$C,3,0),"--")</f>
        <v>27.64721045</v>
      </c>
      <c r="J2311" s="65" t="str">
        <f t="array" ref="J2311">XLOOKUP(H2311,'2. Matching'!$A$2:$A$39,'2. Matching'!$B$2:$B$39,"--")</f>
        <v>Acquisition</v>
      </c>
      <c r="K2311" s="65" t="str">
        <f t="shared" si="1"/>
        <v>In</v>
      </c>
    </row>
    <row r="2312">
      <c r="A2312" s="62" t="s">
        <v>2450</v>
      </c>
      <c r="B2312" s="63">
        <v>44378.0</v>
      </c>
      <c r="C2312" s="62" t="s">
        <v>119</v>
      </c>
      <c r="D2312" s="64">
        <v>50.0</v>
      </c>
      <c r="E2312" s="62" t="s">
        <v>109</v>
      </c>
      <c r="F2312" s="62" t="s">
        <v>110</v>
      </c>
      <c r="G2312" s="64" t="s">
        <v>60</v>
      </c>
      <c r="H2312" s="3" t="s">
        <v>67</v>
      </c>
      <c r="I2312" s="65">
        <f>IFERROR(VLOOKUP(A2312,'3. Call duration'!$A:$C,3,0),"--")</f>
        <v>25.61316842</v>
      </c>
      <c r="J2312" s="65" t="str">
        <f t="array" ref="J2312">XLOOKUP(H2312,'2. Matching'!$A$2:$A$39,'2. Matching'!$B$2:$B$39,"--")</f>
        <v>Acquisition</v>
      </c>
      <c r="K2312" s="65" t="str">
        <f t="shared" si="1"/>
        <v>In</v>
      </c>
    </row>
    <row r="2313">
      <c r="A2313" s="62" t="s">
        <v>2451</v>
      </c>
      <c r="B2313" s="63">
        <v>44383.0</v>
      </c>
      <c r="C2313" s="62" t="s">
        <v>119</v>
      </c>
      <c r="D2313" s="64">
        <v>50.0</v>
      </c>
      <c r="E2313" s="62" t="s">
        <v>109</v>
      </c>
      <c r="F2313" s="62" t="s">
        <v>110</v>
      </c>
      <c r="G2313" s="64" t="s">
        <v>59</v>
      </c>
      <c r="H2313" s="3" t="s">
        <v>68</v>
      </c>
      <c r="I2313" s="65">
        <f>IFERROR(VLOOKUP(A2313,'3. Call duration'!$A:$C,3,0),"--")</f>
        <v>20.39757539</v>
      </c>
      <c r="J2313" s="65" t="str">
        <f t="array" ref="J2313">XLOOKUP(H2313,'2. Matching'!$A$2:$A$39,'2. Matching'!$B$2:$B$39,"--")</f>
        <v>Acquisition</v>
      </c>
      <c r="K2313" s="65" t="str">
        <f t="shared" si="1"/>
        <v>In</v>
      </c>
    </row>
    <row r="2314">
      <c r="A2314" s="62" t="s">
        <v>2452</v>
      </c>
      <c r="B2314" s="63">
        <v>44397.0</v>
      </c>
      <c r="C2314" s="62" t="s">
        <v>119</v>
      </c>
      <c r="D2314" s="64">
        <v>50.0</v>
      </c>
      <c r="E2314" s="62" t="s">
        <v>109</v>
      </c>
      <c r="F2314" s="62" t="s">
        <v>110</v>
      </c>
      <c r="G2314" s="64" t="s">
        <v>60</v>
      </c>
      <c r="H2314" s="3" t="s">
        <v>67</v>
      </c>
      <c r="I2314" s="65">
        <f>IFERROR(VLOOKUP(A2314,'3. Call duration'!$A:$C,3,0),"--")</f>
        <v>22.65302009</v>
      </c>
      <c r="J2314" s="65" t="str">
        <f t="array" ref="J2314">XLOOKUP(H2314,'2. Matching'!$A$2:$A$39,'2. Matching'!$B$2:$B$39,"--")</f>
        <v>Acquisition</v>
      </c>
      <c r="K2314" s="65" t="str">
        <f t="shared" si="1"/>
        <v>In</v>
      </c>
    </row>
    <row r="2315">
      <c r="A2315" s="62" t="s">
        <v>2453</v>
      </c>
      <c r="B2315" s="63">
        <v>44379.0</v>
      </c>
      <c r="C2315" s="62" t="s">
        <v>119</v>
      </c>
      <c r="D2315" s="64">
        <v>50.0</v>
      </c>
      <c r="E2315" s="62" t="s">
        <v>109</v>
      </c>
      <c r="F2315" s="62" t="s">
        <v>110</v>
      </c>
      <c r="G2315" s="64" t="s">
        <v>59</v>
      </c>
      <c r="H2315" s="3" t="s">
        <v>68</v>
      </c>
      <c r="I2315" s="65">
        <f>IFERROR(VLOOKUP(A2315,'3. Call duration'!$A:$C,3,0),"--")</f>
        <v>28.11313716</v>
      </c>
      <c r="J2315" s="65" t="str">
        <f t="array" ref="J2315">XLOOKUP(H2315,'2. Matching'!$A$2:$A$39,'2. Matching'!$B$2:$B$39,"--")</f>
        <v>Acquisition</v>
      </c>
      <c r="K2315" s="65" t="str">
        <f t="shared" si="1"/>
        <v>In</v>
      </c>
    </row>
    <row r="2316">
      <c r="A2316" s="62" t="s">
        <v>2454</v>
      </c>
      <c r="B2316" s="63">
        <v>44382.0</v>
      </c>
      <c r="C2316" s="62" t="s">
        <v>119</v>
      </c>
      <c r="D2316" s="64">
        <v>50.0</v>
      </c>
      <c r="E2316" s="62" t="s">
        <v>109</v>
      </c>
      <c r="F2316" s="62" t="s">
        <v>115</v>
      </c>
      <c r="G2316" s="64" t="s">
        <v>64</v>
      </c>
      <c r="H2316" s="3" t="s">
        <v>49</v>
      </c>
      <c r="I2316" s="65">
        <f>IFERROR(VLOOKUP(A2316,'3. Call duration'!$A:$C,3,0),"--")</f>
        <v>33.37708761</v>
      </c>
      <c r="J2316" s="65" t="str">
        <f t="array" ref="J2316">XLOOKUP(H2316,'2. Matching'!$A$2:$A$39,'2. Matching'!$B$2:$B$39,"--")</f>
        <v>Partnerships</v>
      </c>
      <c r="K2316" s="65" t="str">
        <f t="shared" si="1"/>
        <v>In</v>
      </c>
    </row>
    <row r="2317">
      <c r="A2317" s="62" t="s">
        <v>2455</v>
      </c>
      <c r="B2317" s="63">
        <v>44398.0</v>
      </c>
      <c r="C2317" s="62" t="s">
        <v>119</v>
      </c>
      <c r="D2317" s="64">
        <v>50.0</v>
      </c>
      <c r="E2317" s="62" t="s">
        <v>109</v>
      </c>
      <c r="F2317" s="62" t="s">
        <v>115</v>
      </c>
      <c r="G2317" s="64" t="s">
        <v>64</v>
      </c>
      <c r="H2317" s="3" t="s">
        <v>139</v>
      </c>
      <c r="I2317" s="65">
        <f>IFERROR(VLOOKUP(A2317,'3. Call duration'!$A:$C,3,0),"--")</f>
        <v>28.3337533</v>
      </c>
      <c r="J2317" s="65" t="str">
        <f t="array" ref="J2317">XLOOKUP(H2317,'2. Matching'!$A$2:$A$39,'2. Matching'!$B$2:$B$39,"--")</f>
        <v>Acquisition</v>
      </c>
      <c r="K2317" s="65" t="str">
        <f t="shared" si="1"/>
        <v>In</v>
      </c>
    </row>
    <row r="2318">
      <c r="A2318" s="62" t="s">
        <v>2456</v>
      </c>
      <c r="B2318" s="63">
        <v>44395.0</v>
      </c>
      <c r="C2318" s="62" t="s">
        <v>119</v>
      </c>
      <c r="D2318" s="64">
        <v>50.0</v>
      </c>
      <c r="E2318" s="62" t="s">
        <v>109</v>
      </c>
      <c r="F2318" s="62" t="s">
        <v>115</v>
      </c>
      <c r="G2318" s="64" t="s">
        <v>64</v>
      </c>
      <c r="H2318" s="3" t="s">
        <v>139</v>
      </c>
      <c r="I2318" s="65">
        <f>IFERROR(VLOOKUP(A2318,'3. Call duration'!$A:$C,3,0),"--")</f>
        <v>21.64590792</v>
      </c>
      <c r="J2318" s="65" t="str">
        <f t="array" ref="J2318">XLOOKUP(H2318,'2. Matching'!$A$2:$A$39,'2. Matching'!$B$2:$B$39,"--")</f>
        <v>Acquisition</v>
      </c>
      <c r="K2318" s="65" t="str">
        <f t="shared" si="1"/>
        <v>In</v>
      </c>
    </row>
    <row r="2319">
      <c r="A2319" s="62" t="s">
        <v>2457</v>
      </c>
      <c r="B2319" s="63">
        <v>44380.0</v>
      </c>
      <c r="C2319" s="62" t="s">
        <v>119</v>
      </c>
      <c r="D2319" s="64">
        <v>50.0</v>
      </c>
      <c r="E2319" s="62" t="s">
        <v>109</v>
      </c>
      <c r="F2319" s="62" t="s">
        <v>115</v>
      </c>
      <c r="G2319" s="64" t="s">
        <v>61</v>
      </c>
      <c r="H2319" s="3" t="s">
        <v>67</v>
      </c>
      <c r="I2319" s="65">
        <f>IFERROR(VLOOKUP(A2319,'3. Call duration'!$A:$C,3,0),"--")</f>
        <v>24.45100112</v>
      </c>
      <c r="J2319" s="65" t="str">
        <f t="array" ref="J2319">XLOOKUP(H2319,'2. Matching'!$A$2:$A$39,'2. Matching'!$B$2:$B$39,"--")</f>
        <v>Acquisition</v>
      </c>
      <c r="K2319" s="65" t="str">
        <f t="shared" si="1"/>
        <v>In</v>
      </c>
    </row>
    <row r="2320">
      <c r="A2320" s="62" t="s">
        <v>2458</v>
      </c>
      <c r="B2320" s="63">
        <v>44386.0</v>
      </c>
      <c r="C2320" s="62" t="s">
        <v>119</v>
      </c>
      <c r="D2320" s="64">
        <v>50.0</v>
      </c>
      <c r="E2320" s="62" t="s">
        <v>109</v>
      </c>
      <c r="F2320" s="62" t="s">
        <v>110</v>
      </c>
      <c r="G2320" s="64" t="s">
        <v>63</v>
      </c>
      <c r="H2320" s="3" t="s">
        <v>124</v>
      </c>
      <c r="I2320" s="65">
        <f>IFERROR(VLOOKUP(A2320,'3. Call duration'!$A:$C,3,0),"--")</f>
        <v>31.5976745</v>
      </c>
      <c r="J2320" s="65" t="str">
        <f t="array" ref="J2320">XLOOKUP(H2320,'2. Matching'!$A$2:$A$39,'2. Matching'!$B$2:$B$39,"--")</f>
        <v>Acquisition</v>
      </c>
      <c r="K2320" s="65" t="str">
        <f t="shared" si="1"/>
        <v>In</v>
      </c>
    </row>
    <row r="2321">
      <c r="A2321" s="62" t="s">
        <v>2459</v>
      </c>
      <c r="B2321" s="63">
        <v>44379.0</v>
      </c>
      <c r="C2321" s="62" t="s">
        <v>119</v>
      </c>
      <c r="D2321" s="64">
        <v>50.0</v>
      </c>
      <c r="E2321" s="62" t="s">
        <v>109</v>
      </c>
      <c r="F2321" s="62" t="s">
        <v>115</v>
      </c>
      <c r="G2321" s="64" t="s">
        <v>60</v>
      </c>
      <c r="H2321" s="3" t="s">
        <v>68</v>
      </c>
      <c r="I2321" s="65">
        <f>IFERROR(VLOOKUP(A2321,'3. Call duration'!$A:$C,3,0),"--")</f>
        <v>26.91112476</v>
      </c>
      <c r="J2321" s="65" t="str">
        <f t="array" ref="J2321">XLOOKUP(H2321,'2. Matching'!$A$2:$A$39,'2. Matching'!$B$2:$B$39,"--")</f>
        <v>Acquisition</v>
      </c>
      <c r="K2321" s="65" t="str">
        <f t="shared" si="1"/>
        <v>In</v>
      </c>
    </row>
    <row r="2322">
      <c r="A2322" s="62" t="s">
        <v>2460</v>
      </c>
      <c r="B2322" s="63">
        <v>44399.0</v>
      </c>
      <c r="C2322" s="62" t="s">
        <v>119</v>
      </c>
      <c r="D2322" s="64">
        <v>50.0</v>
      </c>
      <c r="E2322" s="62" t="s">
        <v>109</v>
      </c>
      <c r="F2322" s="62" t="s">
        <v>110</v>
      </c>
      <c r="G2322" s="64" t="s">
        <v>64</v>
      </c>
      <c r="H2322" s="3" t="s">
        <v>139</v>
      </c>
      <c r="I2322" s="65">
        <f>IFERROR(VLOOKUP(A2322,'3. Call duration'!$A:$C,3,0),"--")</f>
        <v>27.21023569</v>
      </c>
      <c r="J2322" s="65" t="str">
        <f t="array" ref="J2322">XLOOKUP(H2322,'2. Matching'!$A$2:$A$39,'2. Matching'!$B$2:$B$39,"--")</f>
        <v>Acquisition</v>
      </c>
      <c r="K2322" s="65" t="str">
        <f t="shared" si="1"/>
        <v>In</v>
      </c>
    </row>
    <row r="2323">
      <c r="A2323" s="62" t="s">
        <v>2461</v>
      </c>
      <c r="B2323" s="63">
        <v>44389.0</v>
      </c>
      <c r="C2323" s="62" t="s">
        <v>119</v>
      </c>
      <c r="D2323" s="64">
        <v>50.0</v>
      </c>
      <c r="E2323" s="62" t="s">
        <v>109</v>
      </c>
      <c r="F2323" s="62" t="s">
        <v>110</v>
      </c>
      <c r="G2323" s="64" t="s">
        <v>60</v>
      </c>
      <c r="H2323" s="3" t="s">
        <v>67</v>
      </c>
      <c r="I2323" s="65">
        <f>IFERROR(VLOOKUP(A2323,'3. Call duration'!$A:$C,3,0),"--")</f>
        <v>21.63593513</v>
      </c>
      <c r="J2323" s="65" t="str">
        <f t="array" ref="J2323">XLOOKUP(H2323,'2. Matching'!$A$2:$A$39,'2. Matching'!$B$2:$B$39,"--")</f>
        <v>Acquisition</v>
      </c>
      <c r="K2323" s="65" t="str">
        <f t="shared" si="1"/>
        <v>In</v>
      </c>
    </row>
    <row r="2324">
      <c r="A2324" s="62" t="s">
        <v>2462</v>
      </c>
      <c r="B2324" s="63">
        <v>44396.0</v>
      </c>
      <c r="C2324" s="62" t="s">
        <v>119</v>
      </c>
      <c r="D2324" s="64">
        <v>50.0</v>
      </c>
      <c r="E2324" s="62" t="s">
        <v>109</v>
      </c>
      <c r="F2324" s="62" t="s">
        <v>115</v>
      </c>
      <c r="G2324" s="64" t="s">
        <v>64</v>
      </c>
      <c r="H2324" s="3" t="s">
        <v>221</v>
      </c>
      <c r="I2324" s="65">
        <f>IFERROR(VLOOKUP(A2324,'3. Call duration'!$A:$C,3,0),"--")</f>
        <v>27.19408559</v>
      </c>
      <c r="J2324" s="65" t="str">
        <f t="array" ref="J2324">XLOOKUP(H2324,'2. Matching'!$A$2:$A$39,'2. Matching'!$B$2:$B$39,"--")</f>
        <v>Farming</v>
      </c>
      <c r="K2324" s="65" t="str">
        <f t="shared" si="1"/>
        <v>In</v>
      </c>
    </row>
    <row r="2325">
      <c r="A2325" s="62" t="s">
        <v>2463</v>
      </c>
      <c r="B2325" s="63">
        <v>44380.0</v>
      </c>
      <c r="C2325" s="62" t="s">
        <v>119</v>
      </c>
      <c r="D2325" s="64">
        <v>50.0</v>
      </c>
      <c r="E2325" s="62" t="s">
        <v>109</v>
      </c>
      <c r="F2325" s="62" t="s">
        <v>110</v>
      </c>
      <c r="G2325" s="64" t="s">
        <v>60</v>
      </c>
      <c r="H2325" s="3" t="s">
        <v>68</v>
      </c>
      <c r="I2325" s="65">
        <f>IFERROR(VLOOKUP(A2325,'3. Call duration'!$A:$C,3,0),"--")</f>
        <v>10.01114263</v>
      </c>
      <c r="J2325" s="65" t="str">
        <f t="array" ref="J2325">XLOOKUP(H2325,'2. Matching'!$A$2:$A$39,'2. Matching'!$B$2:$B$39,"--")</f>
        <v>Acquisition</v>
      </c>
      <c r="K2325" s="65" t="str">
        <f t="shared" si="1"/>
        <v>In</v>
      </c>
    </row>
    <row r="2326">
      <c r="A2326" s="62" t="s">
        <v>2464</v>
      </c>
      <c r="B2326" s="63">
        <v>44378.0</v>
      </c>
      <c r="C2326" s="62" t="s">
        <v>119</v>
      </c>
      <c r="D2326" s="64">
        <v>50.0</v>
      </c>
      <c r="E2326" s="62" t="s">
        <v>109</v>
      </c>
      <c r="F2326" s="62" t="s">
        <v>115</v>
      </c>
      <c r="G2326" s="64" t="s">
        <v>64</v>
      </c>
      <c r="H2326" s="3" t="s">
        <v>139</v>
      </c>
      <c r="I2326" s="65">
        <f>IFERROR(VLOOKUP(A2326,'3. Call duration'!$A:$C,3,0),"--")</f>
        <v>27.84234557</v>
      </c>
      <c r="J2326" s="65" t="str">
        <f t="array" ref="J2326">XLOOKUP(H2326,'2. Matching'!$A$2:$A$39,'2. Matching'!$B$2:$B$39,"--")</f>
        <v>Acquisition</v>
      </c>
      <c r="K2326" s="65" t="str">
        <f t="shared" si="1"/>
        <v>In</v>
      </c>
    </row>
    <row r="2327">
      <c r="A2327" s="62" t="s">
        <v>2465</v>
      </c>
      <c r="B2327" s="63">
        <v>44396.0</v>
      </c>
      <c r="C2327" s="62" t="s">
        <v>119</v>
      </c>
      <c r="D2327" s="64">
        <v>50.0</v>
      </c>
      <c r="E2327" s="62" t="s">
        <v>109</v>
      </c>
      <c r="F2327" s="62" t="s">
        <v>115</v>
      </c>
      <c r="G2327" s="64" t="s">
        <v>64</v>
      </c>
      <c r="H2327" s="3" t="s">
        <v>175</v>
      </c>
      <c r="I2327" s="65">
        <f>IFERROR(VLOOKUP(A2327,'3. Call duration'!$A:$C,3,0),"--")</f>
        <v>21.4066089</v>
      </c>
      <c r="J2327" s="65" t="str">
        <f t="array" ref="J2327">XLOOKUP(H2327,'2. Matching'!$A$2:$A$39,'2. Matching'!$B$2:$B$39,"--")</f>
        <v>SEO</v>
      </c>
      <c r="K2327" s="65" t="str">
        <f t="shared" si="1"/>
        <v>In</v>
      </c>
    </row>
    <row r="2328">
      <c r="A2328" s="62" t="s">
        <v>2466</v>
      </c>
      <c r="B2328" s="63">
        <v>44396.0</v>
      </c>
      <c r="C2328" s="62" t="s">
        <v>119</v>
      </c>
      <c r="D2328" s="64">
        <v>50.0</v>
      </c>
      <c r="E2328" s="62" t="s">
        <v>109</v>
      </c>
      <c r="F2328" s="62" t="s">
        <v>115</v>
      </c>
      <c r="G2328" s="64" t="s">
        <v>64</v>
      </c>
      <c r="H2328" s="3" t="s">
        <v>139</v>
      </c>
      <c r="I2328" s="65">
        <f>IFERROR(VLOOKUP(A2328,'3. Call duration'!$A:$C,3,0),"--")</f>
        <v>23.18598334</v>
      </c>
      <c r="J2328" s="65" t="str">
        <f t="array" ref="J2328">XLOOKUP(H2328,'2. Matching'!$A$2:$A$39,'2. Matching'!$B$2:$B$39,"--")</f>
        <v>Acquisition</v>
      </c>
      <c r="K2328" s="65" t="str">
        <f t="shared" si="1"/>
        <v>In</v>
      </c>
    </row>
    <row r="2329">
      <c r="A2329" s="62" t="s">
        <v>2467</v>
      </c>
      <c r="B2329" s="63">
        <v>44392.0</v>
      </c>
      <c r="C2329" s="62" t="s">
        <v>119</v>
      </c>
      <c r="D2329" s="64">
        <v>50.0</v>
      </c>
      <c r="E2329" s="62" t="s">
        <v>109</v>
      </c>
      <c r="F2329" s="62" t="s">
        <v>115</v>
      </c>
      <c r="G2329" s="64" t="s">
        <v>64</v>
      </c>
      <c r="H2329" s="3" t="s">
        <v>297</v>
      </c>
      <c r="I2329" s="65">
        <f>IFERROR(VLOOKUP(A2329,'3. Call duration'!$A:$C,3,0),"--")</f>
        <v>14.96852127</v>
      </c>
      <c r="J2329" s="65" t="str">
        <f t="array" ref="J2329">XLOOKUP(H2329,'2. Matching'!$A$2:$A$39,'2. Matching'!$B$2:$B$39,"--")</f>
        <v>Farming</v>
      </c>
      <c r="K2329" s="65" t="str">
        <f t="shared" si="1"/>
        <v>In</v>
      </c>
    </row>
    <row r="2330">
      <c r="A2330" s="62" t="s">
        <v>2468</v>
      </c>
      <c r="B2330" s="63">
        <v>44383.0</v>
      </c>
      <c r="C2330" s="62" t="s">
        <v>119</v>
      </c>
      <c r="D2330" s="64">
        <v>50.0</v>
      </c>
      <c r="E2330" s="62" t="s">
        <v>109</v>
      </c>
      <c r="F2330" s="62" t="s">
        <v>115</v>
      </c>
      <c r="G2330" s="64" t="s">
        <v>59</v>
      </c>
      <c r="H2330" s="3" t="s">
        <v>68</v>
      </c>
      <c r="I2330" s="65">
        <f>IFERROR(VLOOKUP(A2330,'3. Call duration'!$A:$C,3,0),"--")</f>
        <v>27.95902765</v>
      </c>
      <c r="J2330" s="65" t="str">
        <f t="array" ref="J2330">XLOOKUP(H2330,'2. Matching'!$A$2:$A$39,'2. Matching'!$B$2:$B$39,"--")</f>
        <v>Acquisition</v>
      </c>
      <c r="K2330" s="65" t="str">
        <f t="shared" si="1"/>
        <v>In</v>
      </c>
    </row>
    <row r="2331">
      <c r="A2331" s="62" t="s">
        <v>2469</v>
      </c>
      <c r="B2331" s="63">
        <v>44378.0</v>
      </c>
      <c r="C2331" s="62" t="s">
        <v>119</v>
      </c>
      <c r="D2331" s="64">
        <v>50.0</v>
      </c>
      <c r="E2331" s="62" t="s">
        <v>109</v>
      </c>
      <c r="F2331" s="62" t="s">
        <v>115</v>
      </c>
      <c r="G2331" s="64" t="s">
        <v>61</v>
      </c>
      <c r="H2331" s="3" t="s">
        <v>69</v>
      </c>
      <c r="I2331" s="65">
        <f>IFERROR(VLOOKUP(A2331,'3. Call duration'!$A:$C,3,0),"--")</f>
        <v>25.58009066</v>
      </c>
      <c r="J2331" s="65" t="str">
        <f t="array" ref="J2331">XLOOKUP(H2331,'2. Matching'!$A$2:$A$39,'2. Matching'!$B$2:$B$39,"--")</f>
        <v>Acquisition</v>
      </c>
      <c r="K2331" s="65" t="str">
        <f t="shared" si="1"/>
        <v>In</v>
      </c>
    </row>
    <row r="2332">
      <c r="A2332" s="62" t="s">
        <v>2470</v>
      </c>
      <c r="B2332" s="63">
        <v>44384.0</v>
      </c>
      <c r="C2332" s="62" t="s">
        <v>119</v>
      </c>
      <c r="D2332" s="64">
        <v>50.0</v>
      </c>
      <c r="E2332" s="62" t="s">
        <v>109</v>
      </c>
      <c r="F2332" s="62" t="s">
        <v>110</v>
      </c>
      <c r="G2332" s="64" t="s">
        <v>61</v>
      </c>
      <c r="H2332" s="3" t="s">
        <v>67</v>
      </c>
      <c r="I2332" s="65">
        <f>IFERROR(VLOOKUP(A2332,'3. Call duration'!$A:$C,3,0),"--")</f>
        <v>28.77643815</v>
      </c>
      <c r="J2332" s="65" t="str">
        <f t="array" ref="J2332">XLOOKUP(H2332,'2. Matching'!$A$2:$A$39,'2. Matching'!$B$2:$B$39,"--")</f>
        <v>Acquisition</v>
      </c>
      <c r="K2332" s="65" t="str">
        <f t="shared" si="1"/>
        <v>In</v>
      </c>
    </row>
    <row r="2333">
      <c r="A2333" s="62" t="s">
        <v>2471</v>
      </c>
      <c r="B2333" s="63">
        <v>44386.0</v>
      </c>
      <c r="C2333" s="62" t="s">
        <v>119</v>
      </c>
      <c r="D2333" s="64">
        <v>50.0</v>
      </c>
      <c r="E2333" s="62" t="s">
        <v>109</v>
      </c>
      <c r="F2333" s="62" t="s">
        <v>115</v>
      </c>
      <c r="G2333" s="64" t="s">
        <v>64</v>
      </c>
      <c r="H2333" s="3" t="s">
        <v>116</v>
      </c>
      <c r="I2333" s="65">
        <f>IFERROR(VLOOKUP(A2333,'3. Call duration'!$A:$C,3,0),"--")</f>
        <v>28.91716103</v>
      </c>
      <c r="J2333" s="65" t="str">
        <f t="array" ref="J2333">XLOOKUP(H2333,'2. Matching'!$A$2:$A$39,'2. Matching'!$B$2:$B$39,"--")</f>
        <v>Acquisition</v>
      </c>
      <c r="K2333" s="65" t="str">
        <f t="shared" si="1"/>
        <v>In</v>
      </c>
    </row>
    <row r="2334">
      <c r="A2334" s="62" t="s">
        <v>2472</v>
      </c>
      <c r="B2334" s="63">
        <v>44383.0</v>
      </c>
      <c r="C2334" s="62" t="s">
        <v>119</v>
      </c>
      <c r="D2334" s="64">
        <v>50.0</v>
      </c>
      <c r="E2334" s="62" t="s">
        <v>109</v>
      </c>
      <c r="F2334" s="62" t="s">
        <v>115</v>
      </c>
      <c r="G2334" s="64" t="s">
        <v>60</v>
      </c>
      <c r="H2334" s="3" t="s">
        <v>68</v>
      </c>
      <c r="I2334" s="65">
        <f>IFERROR(VLOOKUP(A2334,'3. Call duration'!$A:$C,3,0),"--")</f>
        <v>13.0418329</v>
      </c>
      <c r="J2334" s="65" t="str">
        <f t="array" ref="J2334">XLOOKUP(H2334,'2. Matching'!$A$2:$A$39,'2. Matching'!$B$2:$B$39,"--")</f>
        <v>Acquisition</v>
      </c>
      <c r="K2334" s="65" t="str">
        <f t="shared" si="1"/>
        <v>In</v>
      </c>
    </row>
    <row r="2335">
      <c r="A2335" s="62" t="s">
        <v>2473</v>
      </c>
      <c r="B2335" s="63">
        <v>44396.0</v>
      </c>
      <c r="C2335" s="62" t="s">
        <v>119</v>
      </c>
      <c r="D2335" s="64">
        <v>50.0</v>
      </c>
      <c r="E2335" s="62" t="s">
        <v>109</v>
      </c>
      <c r="F2335" s="62" t="s">
        <v>110</v>
      </c>
      <c r="G2335" s="64" t="s">
        <v>64</v>
      </c>
      <c r="H2335" s="3" t="s">
        <v>116</v>
      </c>
      <c r="I2335" s="65">
        <f>IFERROR(VLOOKUP(A2335,'3. Call duration'!$A:$C,3,0),"--")</f>
        <v>28.00037643</v>
      </c>
      <c r="J2335" s="65" t="str">
        <f t="array" ref="J2335">XLOOKUP(H2335,'2. Matching'!$A$2:$A$39,'2. Matching'!$B$2:$B$39,"--")</f>
        <v>Acquisition</v>
      </c>
      <c r="K2335" s="65" t="str">
        <f t="shared" si="1"/>
        <v>In</v>
      </c>
    </row>
    <row r="2336">
      <c r="A2336" s="62" t="s">
        <v>2474</v>
      </c>
      <c r="B2336" s="63">
        <v>44384.0</v>
      </c>
      <c r="C2336" s="62" t="s">
        <v>119</v>
      </c>
      <c r="D2336" s="64">
        <v>50.0</v>
      </c>
      <c r="E2336" s="62" t="s">
        <v>109</v>
      </c>
      <c r="F2336" s="62" t="s">
        <v>115</v>
      </c>
      <c r="G2336" s="64" t="s">
        <v>64</v>
      </c>
      <c r="H2336" s="3" t="s">
        <v>139</v>
      </c>
      <c r="I2336" s="65" t="str">
        <f>IFERROR(VLOOKUP(A2336,'3. Call duration'!$A:$C,3,0),"--")</f>
        <v>--</v>
      </c>
      <c r="J2336" s="65" t="str">
        <f t="array" ref="J2336">XLOOKUP(H2336,'2. Matching'!$A$2:$A$39,'2. Matching'!$B$2:$B$39,"--")</f>
        <v>Acquisition</v>
      </c>
      <c r="K2336" s="65" t="str">
        <f t="shared" si="1"/>
        <v>In</v>
      </c>
    </row>
    <row r="2337">
      <c r="A2337" s="62" t="s">
        <v>2475</v>
      </c>
      <c r="B2337" s="63">
        <v>44380.0</v>
      </c>
      <c r="C2337" s="62" t="s">
        <v>119</v>
      </c>
      <c r="D2337" s="64">
        <v>50.0</v>
      </c>
      <c r="E2337" s="62" t="s">
        <v>109</v>
      </c>
      <c r="F2337" s="62" t="s">
        <v>110</v>
      </c>
      <c r="G2337" s="64" t="s">
        <v>60</v>
      </c>
      <c r="H2337" s="3" t="s">
        <v>67</v>
      </c>
      <c r="I2337" s="65">
        <f>IFERROR(VLOOKUP(A2337,'3. Call duration'!$A:$C,3,0),"--")</f>
        <v>25.82798717</v>
      </c>
      <c r="J2337" s="65" t="str">
        <f t="array" ref="J2337">XLOOKUP(H2337,'2. Matching'!$A$2:$A$39,'2. Matching'!$B$2:$B$39,"--")</f>
        <v>Acquisition</v>
      </c>
      <c r="K2337" s="65" t="str">
        <f t="shared" si="1"/>
        <v>In</v>
      </c>
    </row>
    <row r="2338">
      <c r="A2338" s="62" t="s">
        <v>2476</v>
      </c>
      <c r="B2338" s="63">
        <v>44379.0</v>
      </c>
      <c r="C2338" s="62" t="s">
        <v>119</v>
      </c>
      <c r="D2338" s="64">
        <v>50.0</v>
      </c>
      <c r="E2338" s="62" t="s">
        <v>109</v>
      </c>
      <c r="F2338" s="62" t="s">
        <v>115</v>
      </c>
      <c r="G2338" s="64" t="s">
        <v>112</v>
      </c>
      <c r="H2338" s="3"/>
      <c r="I2338" s="65">
        <f>IFERROR(VLOOKUP(A2338,'3. Call duration'!$A:$C,3,0),"--")</f>
        <v>40.92462346</v>
      </c>
      <c r="J2338" s="65" t="str">
        <f t="array" ref="J2338">XLOOKUP(H2338,'2. Matching'!$A$2:$A$39,'2. Matching'!$B$2:$B$39,"--")</f>
        <v>--</v>
      </c>
      <c r="K2338" s="65" t="str">
        <f t="shared" si="1"/>
        <v>In</v>
      </c>
    </row>
    <row r="2339">
      <c r="A2339" s="62" t="s">
        <v>2477</v>
      </c>
      <c r="B2339" s="63">
        <v>44390.0</v>
      </c>
      <c r="C2339" s="62" t="s">
        <v>119</v>
      </c>
      <c r="D2339" s="64">
        <v>50.0</v>
      </c>
      <c r="E2339" s="62" t="s">
        <v>109</v>
      </c>
      <c r="F2339" s="62" t="s">
        <v>115</v>
      </c>
      <c r="G2339" s="64" t="s">
        <v>63</v>
      </c>
      <c r="H2339" s="3" t="s">
        <v>183</v>
      </c>
      <c r="I2339" s="65">
        <f>IFERROR(VLOOKUP(A2339,'3. Call duration'!$A:$C,3,0),"--")</f>
        <v>25.51805412</v>
      </c>
      <c r="J2339" s="65" t="str">
        <f t="array" ref="J2339">XLOOKUP(H2339,'2. Matching'!$A$2:$A$39,'2. Matching'!$B$2:$B$39,"--")</f>
        <v>SEO</v>
      </c>
      <c r="K2339" s="65" t="str">
        <f t="shared" si="1"/>
        <v>In</v>
      </c>
    </row>
    <row r="2340">
      <c r="A2340" s="62" t="s">
        <v>2478</v>
      </c>
      <c r="B2340" s="63">
        <v>44379.0</v>
      </c>
      <c r="C2340" s="62" t="s">
        <v>119</v>
      </c>
      <c r="D2340" s="64">
        <v>50.0</v>
      </c>
      <c r="E2340" s="62" t="s">
        <v>109</v>
      </c>
      <c r="F2340" s="62" t="s">
        <v>115</v>
      </c>
      <c r="G2340" s="64" t="s">
        <v>64</v>
      </c>
      <c r="H2340" s="3" t="s">
        <v>155</v>
      </c>
      <c r="I2340" s="65">
        <f>IFERROR(VLOOKUP(A2340,'3. Call duration'!$A:$C,3,0),"--")</f>
        <v>31.84025781</v>
      </c>
      <c r="J2340" s="65" t="str">
        <f t="array" ref="J2340">XLOOKUP(H2340,'2. Matching'!$A$2:$A$39,'2. Matching'!$B$2:$B$39,"--")</f>
        <v>SEO</v>
      </c>
      <c r="K2340" s="65" t="str">
        <f t="shared" si="1"/>
        <v>In</v>
      </c>
    </row>
    <row r="2341">
      <c r="A2341" s="62" t="s">
        <v>2479</v>
      </c>
      <c r="B2341" s="63">
        <v>44379.0</v>
      </c>
      <c r="C2341" s="62" t="s">
        <v>119</v>
      </c>
      <c r="D2341" s="64">
        <v>50.0</v>
      </c>
      <c r="E2341" s="62" t="s">
        <v>109</v>
      </c>
      <c r="F2341" s="62" t="s">
        <v>110</v>
      </c>
      <c r="G2341" s="64" t="s">
        <v>60</v>
      </c>
      <c r="H2341" s="3" t="s">
        <v>68</v>
      </c>
      <c r="I2341" s="65">
        <f>IFERROR(VLOOKUP(A2341,'3. Call duration'!$A:$C,3,0),"--")</f>
        <v>29.8313254</v>
      </c>
      <c r="J2341" s="65" t="str">
        <f t="array" ref="J2341">XLOOKUP(H2341,'2. Matching'!$A$2:$A$39,'2. Matching'!$B$2:$B$39,"--")</f>
        <v>Acquisition</v>
      </c>
      <c r="K2341" s="65" t="str">
        <f t="shared" si="1"/>
        <v>In</v>
      </c>
    </row>
    <row r="2342">
      <c r="A2342" s="62" t="s">
        <v>2480</v>
      </c>
      <c r="B2342" s="63">
        <v>44382.0</v>
      </c>
      <c r="C2342" s="62" t="s">
        <v>119</v>
      </c>
      <c r="D2342" s="64">
        <v>50.0</v>
      </c>
      <c r="E2342" s="62" t="s">
        <v>109</v>
      </c>
      <c r="F2342" s="62" t="s">
        <v>115</v>
      </c>
      <c r="G2342" s="64" t="s">
        <v>61</v>
      </c>
      <c r="H2342" s="3" t="s">
        <v>69</v>
      </c>
      <c r="I2342" s="65">
        <f>IFERROR(VLOOKUP(A2342,'3. Call duration'!$A:$C,3,0),"--")</f>
        <v>25.90227035</v>
      </c>
      <c r="J2342" s="65" t="str">
        <f t="array" ref="J2342">XLOOKUP(H2342,'2. Matching'!$A$2:$A$39,'2. Matching'!$B$2:$B$39,"--")</f>
        <v>Acquisition</v>
      </c>
      <c r="K2342" s="65" t="str">
        <f t="shared" si="1"/>
        <v>In</v>
      </c>
    </row>
    <row r="2343">
      <c r="A2343" s="62" t="s">
        <v>2481</v>
      </c>
      <c r="B2343" s="63">
        <v>44387.0</v>
      </c>
      <c r="C2343" s="62" t="s">
        <v>119</v>
      </c>
      <c r="D2343" s="64">
        <v>50.0</v>
      </c>
      <c r="E2343" s="62" t="s">
        <v>109</v>
      </c>
      <c r="F2343" s="62" t="s">
        <v>115</v>
      </c>
      <c r="G2343" s="64" t="s">
        <v>64</v>
      </c>
      <c r="H2343" s="3" t="s">
        <v>139</v>
      </c>
      <c r="I2343" s="65">
        <f>IFERROR(VLOOKUP(A2343,'3. Call duration'!$A:$C,3,0),"--")</f>
        <v>24.09251407</v>
      </c>
      <c r="J2343" s="65" t="str">
        <f t="array" ref="J2343">XLOOKUP(H2343,'2. Matching'!$A$2:$A$39,'2. Matching'!$B$2:$B$39,"--")</f>
        <v>Acquisition</v>
      </c>
      <c r="K2343" s="65" t="str">
        <f t="shared" si="1"/>
        <v>In</v>
      </c>
    </row>
    <row r="2344">
      <c r="A2344" s="62" t="s">
        <v>2482</v>
      </c>
      <c r="B2344" s="63">
        <v>44382.0</v>
      </c>
      <c r="C2344" s="62" t="s">
        <v>119</v>
      </c>
      <c r="D2344" s="64">
        <v>50.0</v>
      </c>
      <c r="E2344" s="62" t="s">
        <v>109</v>
      </c>
      <c r="F2344" s="62" t="s">
        <v>110</v>
      </c>
      <c r="G2344" s="64" t="s">
        <v>61</v>
      </c>
      <c r="H2344" s="3" t="s">
        <v>67</v>
      </c>
      <c r="I2344" s="65">
        <f>IFERROR(VLOOKUP(A2344,'3. Call duration'!$A:$C,3,0),"--")</f>
        <v>32.26977102</v>
      </c>
      <c r="J2344" s="65" t="str">
        <f t="array" ref="J2344">XLOOKUP(H2344,'2. Matching'!$A$2:$A$39,'2. Matching'!$B$2:$B$39,"--")</f>
        <v>Acquisition</v>
      </c>
      <c r="K2344" s="65" t="str">
        <f t="shared" si="1"/>
        <v>In</v>
      </c>
    </row>
    <row r="2345">
      <c r="A2345" s="62" t="s">
        <v>2483</v>
      </c>
      <c r="B2345" s="63">
        <v>44379.0</v>
      </c>
      <c r="C2345" s="62" t="s">
        <v>119</v>
      </c>
      <c r="D2345" s="64">
        <v>50.0</v>
      </c>
      <c r="E2345" s="62" t="s">
        <v>109</v>
      </c>
      <c r="F2345" s="62" t="s">
        <v>115</v>
      </c>
      <c r="G2345" s="64" t="s">
        <v>60</v>
      </c>
      <c r="H2345" s="3" t="s">
        <v>68</v>
      </c>
      <c r="I2345" s="65">
        <f>IFERROR(VLOOKUP(A2345,'3. Call duration'!$A:$C,3,0),"--")</f>
        <v>29.6526144</v>
      </c>
      <c r="J2345" s="65" t="str">
        <f t="array" ref="J2345">XLOOKUP(H2345,'2. Matching'!$A$2:$A$39,'2. Matching'!$B$2:$B$39,"--")</f>
        <v>Acquisition</v>
      </c>
      <c r="K2345" s="65" t="str">
        <f t="shared" si="1"/>
        <v>In</v>
      </c>
    </row>
    <row r="2346">
      <c r="A2346" s="62" t="s">
        <v>2484</v>
      </c>
      <c r="B2346" s="63">
        <v>44388.0</v>
      </c>
      <c r="C2346" s="62" t="s">
        <v>119</v>
      </c>
      <c r="D2346" s="64">
        <v>50.0</v>
      </c>
      <c r="E2346" s="62" t="s">
        <v>109</v>
      </c>
      <c r="F2346" s="62" t="s">
        <v>115</v>
      </c>
      <c r="G2346" s="64" t="s">
        <v>64</v>
      </c>
      <c r="H2346" s="3" t="s">
        <v>139</v>
      </c>
      <c r="I2346" s="65">
        <f>IFERROR(VLOOKUP(A2346,'3. Call duration'!$A:$C,3,0),"--")</f>
        <v>28.21731658</v>
      </c>
      <c r="J2346" s="65" t="str">
        <f t="array" ref="J2346">XLOOKUP(H2346,'2. Matching'!$A$2:$A$39,'2. Matching'!$B$2:$B$39,"--")</f>
        <v>Acquisition</v>
      </c>
      <c r="K2346" s="65" t="str">
        <f t="shared" si="1"/>
        <v>In</v>
      </c>
    </row>
    <row r="2347">
      <c r="A2347" s="62" t="s">
        <v>2485</v>
      </c>
      <c r="B2347" s="63">
        <v>44384.0</v>
      </c>
      <c r="C2347" s="62" t="s">
        <v>119</v>
      </c>
      <c r="D2347" s="64">
        <v>50.0</v>
      </c>
      <c r="E2347" s="62" t="s">
        <v>109</v>
      </c>
      <c r="F2347" s="62" t="s">
        <v>110</v>
      </c>
      <c r="G2347" s="64" t="s">
        <v>64</v>
      </c>
      <c r="H2347" s="3" t="s">
        <v>169</v>
      </c>
      <c r="I2347" s="65">
        <f>IFERROR(VLOOKUP(A2347,'3. Call duration'!$A:$C,3,0),"--")</f>
        <v>498307</v>
      </c>
      <c r="J2347" s="65" t="str">
        <f t="array" ref="J2347">XLOOKUP(H2347,'2. Matching'!$A$2:$A$39,'2. Matching'!$B$2:$B$39,"--")</f>
        <v>SEO</v>
      </c>
      <c r="K2347" s="65" t="str">
        <f t="shared" si="1"/>
        <v>In</v>
      </c>
    </row>
    <row r="2348">
      <c r="A2348" s="62" t="s">
        <v>2486</v>
      </c>
      <c r="B2348" s="63">
        <v>44397.0</v>
      </c>
      <c r="C2348" s="62" t="s">
        <v>119</v>
      </c>
      <c r="D2348" s="64">
        <v>50.0</v>
      </c>
      <c r="E2348" s="62" t="s">
        <v>109</v>
      </c>
      <c r="F2348" s="62" t="s">
        <v>115</v>
      </c>
      <c r="G2348" s="64" t="s">
        <v>63</v>
      </c>
      <c r="H2348" s="3" t="s">
        <v>228</v>
      </c>
      <c r="I2348" s="65">
        <f>IFERROR(VLOOKUP(A2348,'3. Call duration'!$A:$C,3,0),"--")</f>
        <v>26.70425245</v>
      </c>
      <c r="J2348" s="65" t="str">
        <f t="array" ref="J2348">XLOOKUP(H2348,'2. Matching'!$A$2:$A$39,'2. Matching'!$B$2:$B$39,"--")</f>
        <v>Farming</v>
      </c>
      <c r="K2348" s="65" t="str">
        <f t="shared" si="1"/>
        <v>In</v>
      </c>
    </row>
    <row r="2349">
      <c r="A2349" s="62" t="s">
        <v>2487</v>
      </c>
      <c r="B2349" s="63">
        <v>44379.0</v>
      </c>
      <c r="C2349" s="62" t="s">
        <v>119</v>
      </c>
      <c r="D2349" s="64">
        <v>50.0</v>
      </c>
      <c r="E2349" s="62" t="s">
        <v>109</v>
      </c>
      <c r="F2349" s="62" t="s">
        <v>115</v>
      </c>
      <c r="G2349" s="64" t="s">
        <v>60</v>
      </c>
      <c r="H2349" s="3" t="s">
        <v>68</v>
      </c>
      <c r="I2349" s="65">
        <f>IFERROR(VLOOKUP(A2349,'3. Call duration'!$A:$C,3,0),"--")</f>
        <v>33.46165003</v>
      </c>
      <c r="J2349" s="65" t="str">
        <f t="array" ref="J2349">XLOOKUP(H2349,'2. Matching'!$A$2:$A$39,'2. Matching'!$B$2:$B$39,"--")</f>
        <v>Acquisition</v>
      </c>
      <c r="K2349" s="65" t="str">
        <f t="shared" si="1"/>
        <v>In</v>
      </c>
    </row>
    <row r="2350">
      <c r="A2350" s="62" t="s">
        <v>2488</v>
      </c>
      <c r="B2350" s="63">
        <v>44383.0</v>
      </c>
      <c r="C2350" s="62" t="s">
        <v>119</v>
      </c>
      <c r="D2350" s="64">
        <v>50.0</v>
      </c>
      <c r="E2350" s="62" t="s">
        <v>109</v>
      </c>
      <c r="F2350" s="62" t="s">
        <v>115</v>
      </c>
      <c r="G2350" s="64" t="s">
        <v>61</v>
      </c>
      <c r="H2350" s="3" t="s">
        <v>69</v>
      </c>
      <c r="I2350" s="65">
        <f>IFERROR(VLOOKUP(A2350,'3. Call duration'!$A:$C,3,0),"--")</f>
        <v>38.17836496</v>
      </c>
      <c r="J2350" s="65" t="str">
        <f t="array" ref="J2350">XLOOKUP(H2350,'2. Matching'!$A$2:$A$39,'2. Matching'!$B$2:$B$39,"--")</f>
        <v>Acquisition</v>
      </c>
      <c r="K2350" s="65" t="str">
        <f t="shared" si="1"/>
        <v>In</v>
      </c>
    </row>
    <row r="2351">
      <c r="A2351" s="62" t="s">
        <v>2489</v>
      </c>
      <c r="B2351" s="63">
        <v>44378.0</v>
      </c>
      <c r="C2351" s="62" t="s">
        <v>119</v>
      </c>
      <c r="D2351" s="64">
        <v>50.0</v>
      </c>
      <c r="E2351" s="62" t="s">
        <v>109</v>
      </c>
      <c r="F2351" s="62" t="s">
        <v>115</v>
      </c>
      <c r="G2351" s="64" t="s">
        <v>64</v>
      </c>
      <c r="H2351" s="3" t="s">
        <v>116</v>
      </c>
      <c r="I2351" s="65">
        <f>IFERROR(VLOOKUP(A2351,'3. Call duration'!$A:$C,3,0),"--")</f>
        <v>28.65584583</v>
      </c>
      <c r="J2351" s="65" t="str">
        <f t="array" ref="J2351">XLOOKUP(H2351,'2. Matching'!$A$2:$A$39,'2. Matching'!$B$2:$B$39,"--")</f>
        <v>Acquisition</v>
      </c>
      <c r="K2351" s="65" t="str">
        <f t="shared" si="1"/>
        <v>In</v>
      </c>
    </row>
    <row r="2352">
      <c r="A2352" s="62" t="s">
        <v>2490</v>
      </c>
      <c r="B2352" s="63">
        <v>44399.0</v>
      </c>
      <c r="C2352" s="62" t="s">
        <v>119</v>
      </c>
      <c r="D2352" s="64">
        <v>50.0</v>
      </c>
      <c r="E2352" s="62" t="s">
        <v>109</v>
      </c>
      <c r="F2352" s="62" t="s">
        <v>110</v>
      </c>
      <c r="G2352" s="64" t="s">
        <v>64</v>
      </c>
      <c r="H2352" s="3" t="s">
        <v>297</v>
      </c>
      <c r="I2352" s="65">
        <f>IFERROR(VLOOKUP(A2352,'3. Call duration'!$A:$C,3,0),"--")</f>
        <v>28.74145466</v>
      </c>
      <c r="J2352" s="65" t="str">
        <f t="array" ref="J2352">XLOOKUP(H2352,'2. Matching'!$A$2:$A$39,'2. Matching'!$B$2:$B$39,"--")</f>
        <v>Farming</v>
      </c>
      <c r="K2352" s="65" t="str">
        <f t="shared" si="1"/>
        <v>In</v>
      </c>
    </row>
    <row r="2353">
      <c r="A2353" s="62" t="s">
        <v>2491</v>
      </c>
      <c r="B2353" s="63">
        <v>44378.0</v>
      </c>
      <c r="C2353" s="62" t="s">
        <v>119</v>
      </c>
      <c r="D2353" s="64">
        <v>50.0</v>
      </c>
      <c r="E2353" s="62" t="s">
        <v>109</v>
      </c>
      <c r="F2353" s="62" t="s">
        <v>110</v>
      </c>
      <c r="G2353" s="64" t="s">
        <v>64</v>
      </c>
      <c r="H2353" s="3" t="s">
        <v>55</v>
      </c>
      <c r="I2353" s="65">
        <f>IFERROR(VLOOKUP(A2353,'3. Call duration'!$A:$C,3,0),"--")</f>
        <v>19.31363366</v>
      </c>
      <c r="J2353" s="65" t="str">
        <f t="array" ref="J2353">XLOOKUP(H2353,'2. Matching'!$A$2:$A$39,'2. Matching'!$B$2:$B$39,"--")</f>
        <v>Partnerships</v>
      </c>
      <c r="K2353" s="65" t="str">
        <f t="shared" si="1"/>
        <v>In</v>
      </c>
    </row>
    <row r="2354">
      <c r="A2354" s="62" t="s">
        <v>2492</v>
      </c>
      <c r="B2354" s="63">
        <v>44382.0</v>
      </c>
      <c r="C2354" s="62" t="s">
        <v>119</v>
      </c>
      <c r="D2354" s="64">
        <v>50.0</v>
      </c>
      <c r="E2354" s="62" t="s">
        <v>109</v>
      </c>
      <c r="F2354" s="62" t="s">
        <v>110</v>
      </c>
      <c r="G2354" s="64" t="s">
        <v>60</v>
      </c>
      <c r="H2354" s="3" t="s">
        <v>67</v>
      </c>
      <c r="I2354" s="65">
        <f>IFERROR(VLOOKUP(A2354,'3. Call duration'!$A:$C,3,0),"--")</f>
        <v>28.63301973</v>
      </c>
      <c r="J2354" s="65" t="str">
        <f t="array" ref="J2354">XLOOKUP(H2354,'2. Matching'!$A$2:$A$39,'2. Matching'!$B$2:$B$39,"--")</f>
        <v>Acquisition</v>
      </c>
      <c r="K2354" s="65" t="str">
        <f t="shared" si="1"/>
        <v>In</v>
      </c>
    </row>
    <row r="2355">
      <c r="A2355" s="62" t="s">
        <v>2493</v>
      </c>
      <c r="B2355" s="63">
        <v>44379.0</v>
      </c>
      <c r="C2355" s="62" t="s">
        <v>119</v>
      </c>
      <c r="D2355" s="64">
        <v>50.0</v>
      </c>
      <c r="E2355" s="62" t="s">
        <v>109</v>
      </c>
      <c r="F2355" s="62" t="s">
        <v>115</v>
      </c>
      <c r="G2355" s="64" t="s">
        <v>64</v>
      </c>
      <c r="H2355" s="3" t="s">
        <v>141</v>
      </c>
      <c r="I2355" s="65">
        <f>IFERROR(VLOOKUP(A2355,'3. Call duration'!$A:$C,3,0),"--")</f>
        <v>43.41193738</v>
      </c>
      <c r="J2355" s="65" t="str">
        <f t="array" ref="J2355">XLOOKUP(H2355,'2. Matching'!$A$2:$A$39,'2. Matching'!$B$2:$B$39,"--")</f>
        <v>Acquisition</v>
      </c>
      <c r="K2355" s="65" t="str">
        <f t="shared" si="1"/>
        <v>In</v>
      </c>
    </row>
    <row r="2356">
      <c r="A2356" s="62" t="s">
        <v>2494</v>
      </c>
      <c r="B2356" s="63">
        <v>44382.0</v>
      </c>
      <c r="C2356" s="62" t="s">
        <v>119</v>
      </c>
      <c r="D2356" s="64">
        <v>50.0</v>
      </c>
      <c r="E2356" s="62" t="s">
        <v>109</v>
      </c>
      <c r="F2356" s="62" t="s">
        <v>115</v>
      </c>
      <c r="G2356" s="64" t="s">
        <v>64</v>
      </c>
      <c r="H2356" s="3" t="s">
        <v>221</v>
      </c>
      <c r="I2356" s="65">
        <f>IFERROR(VLOOKUP(A2356,'3. Call duration'!$A:$C,3,0),"--")</f>
        <v>24.753636</v>
      </c>
      <c r="J2356" s="65" t="str">
        <f t="array" ref="J2356">XLOOKUP(H2356,'2. Matching'!$A$2:$A$39,'2. Matching'!$B$2:$B$39,"--")</f>
        <v>Farming</v>
      </c>
      <c r="K2356" s="65" t="str">
        <f t="shared" si="1"/>
        <v>In</v>
      </c>
    </row>
    <row r="2357">
      <c r="A2357" s="62" t="s">
        <v>2495</v>
      </c>
      <c r="B2357" s="63">
        <v>44379.0</v>
      </c>
      <c r="C2357" s="62" t="s">
        <v>119</v>
      </c>
      <c r="D2357" s="64">
        <v>50.0</v>
      </c>
      <c r="E2357" s="62" t="s">
        <v>109</v>
      </c>
      <c r="F2357" s="62" t="s">
        <v>110</v>
      </c>
      <c r="G2357" s="64" t="s">
        <v>60</v>
      </c>
      <c r="H2357" s="3" t="s">
        <v>68</v>
      </c>
      <c r="I2357" s="65">
        <f>IFERROR(VLOOKUP(A2357,'3. Call duration'!$A:$C,3,0),"--")</f>
        <v>31.75289793</v>
      </c>
      <c r="J2357" s="65" t="str">
        <f t="array" ref="J2357">XLOOKUP(H2357,'2. Matching'!$A$2:$A$39,'2. Matching'!$B$2:$B$39,"--")</f>
        <v>Acquisition</v>
      </c>
      <c r="K2357" s="65" t="str">
        <f t="shared" si="1"/>
        <v>In</v>
      </c>
    </row>
    <row r="2358">
      <c r="A2358" s="62" t="s">
        <v>2496</v>
      </c>
      <c r="B2358" s="63">
        <v>44382.0</v>
      </c>
      <c r="C2358" s="62" t="s">
        <v>119</v>
      </c>
      <c r="D2358" s="64">
        <v>50.0</v>
      </c>
      <c r="E2358" s="62" t="s">
        <v>109</v>
      </c>
      <c r="F2358" s="62" t="s">
        <v>110</v>
      </c>
      <c r="G2358" s="64" t="s">
        <v>60</v>
      </c>
      <c r="H2358" s="3" t="s">
        <v>67</v>
      </c>
      <c r="I2358" s="65">
        <f>IFERROR(VLOOKUP(A2358,'3. Call duration'!$A:$C,3,0),"--")</f>
        <v>43.19002649</v>
      </c>
      <c r="J2358" s="65" t="str">
        <f t="array" ref="J2358">XLOOKUP(H2358,'2. Matching'!$A$2:$A$39,'2. Matching'!$B$2:$B$39,"--")</f>
        <v>Acquisition</v>
      </c>
      <c r="K2358" s="65" t="str">
        <f t="shared" si="1"/>
        <v>In</v>
      </c>
    </row>
    <row r="2359">
      <c r="A2359" s="62" t="s">
        <v>2497</v>
      </c>
      <c r="B2359" s="63">
        <v>44383.0</v>
      </c>
      <c r="C2359" s="62" t="s">
        <v>119</v>
      </c>
      <c r="D2359" s="64">
        <v>50.0</v>
      </c>
      <c r="E2359" s="62" t="s">
        <v>109</v>
      </c>
      <c r="F2359" s="62" t="s">
        <v>115</v>
      </c>
      <c r="G2359" s="64" t="s">
        <v>64</v>
      </c>
      <c r="H2359" s="3" t="s">
        <v>155</v>
      </c>
      <c r="I2359" s="65">
        <f>IFERROR(VLOOKUP(A2359,'3. Call duration'!$A:$C,3,0),"--")</f>
        <v>29.38312222</v>
      </c>
      <c r="J2359" s="65" t="str">
        <f t="array" ref="J2359">XLOOKUP(H2359,'2. Matching'!$A$2:$A$39,'2. Matching'!$B$2:$B$39,"--")</f>
        <v>SEO</v>
      </c>
      <c r="K2359" s="65" t="str">
        <f t="shared" si="1"/>
        <v>In</v>
      </c>
    </row>
    <row r="2360">
      <c r="A2360" s="62" t="s">
        <v>2498</v>
      </c>
      <c r="B2360" s="63">
        <v>44396.0</v>
      </c>
      <c r="C2360" s="62" t="s">
        <v>119</v>
      </c>
      <c r="D2360" s="64">
        <v>50.0</v>
      </c>
      <c r="E2360" s="62" t="s">
        <v>109</v>
      </c>
      <c r="F2360" s="62" t="s">
        <v>115</v>
      </c>
      <c r="G2360" s="64" t="s">
        <v>64</v>
      </c>
      <c r="H2360" s="3" t="s">
        <v>139</v>
      </c>
      <c r="I2360" s="65">
        <f>IFERROR(VLOOKUP(A2360,'3. Call duration'!$A:$C,3,0),"--")</f>
        <v>23.75118037</v>
      </c>
      <c r="J2360" s="65" t="str">
        <f t="array" ref="J2360">XLOOKUP(H2360,'2. Matching'!$A$2:$A$39,'2. Matching'!$B$2:$B$39,"--")</f>
        <v>Acquisition</v>
      </c>
      <c r="K2360" s="65" t="str">
        <f t="shared" si="1"/>
        <v>In</v>
      </c>
    </row>
    <row r="2361">
      <c r="A2361" s="62" t="s">
        <v>2499</v>
      </c>
      <c r="B2361" s="63">
        <v>44398.0</v>
      </c>
      <c r="C2361" s="62" t="s">
        <v>119</v>
      </c>
      <c r="D2361" s="64">
        <v>50.0</v>
      </c>
      <c r="E2361" s="62" t="s">
        <v>109</v>
      </c>
      <c r="F2361" s="62" t="s">
        <v>110</v>
      </c>
      <c r="G2361" s="64" t="s">
        <v>60</v>
      </c>
      <c r="H2361" s="3" t="s">
        <v>67</v>
      </c>
      <c r="I2361" s="65">
        <f>IFERROR(VLOOKUP(A2361,'3. Call duration'!$A:$C,3,0),"--")</f>
        <v>22.87705695</v>
      </c>
      <c r="J2361" s="65" t="str">
        <f t="array" ref="J2361">XLOOKUP(H2361,'2. Matching'!$A$2:$A$39,'2. Matching'!$B$2:$B$39,"--")</f>
        <v>Acquisition</v>
      </c>
      <c r="K2361" s="65" t="str">
        <f t="shared" si="1"/>
        <v>In</v>
      </c>
    </row>
    <row r="2362">
      <c r="A2362" s="62" t="s">
        <v>2500</v>
      </c>
      <c r="B2362" s="63">
        <v>44379.0</v>
      </c>
      <c r="C2362" s="62" t="s">
        <v>119</v>
      </c>
      <c r="D2362" s="64">
        <v>50.0</v>
      </c>
      <c r="E2362" s="62" t="s">
        <v>109</v>
      </c>
      <c r="F2362" s="62" t="s">
        <v>110</v>
      </c>
      <c r="G2362" s="64" t="s">
        <v>61</v>
      </c>
      <c r="H2362" s="3" t="s">
        <v>67</v>
      </c>
      <c r="I2362" s="65">
        <f>IFERROR(VLOOKUP(A2362,'3. Call duration'!$A:$C,3,0),"--")</f>
        <v>30.0842785</v>
      </c>
      <c r="J2362" s="65" t="str">
        <f t="array" ref="J2362">XLOOKUP(H2362,'2. Matching'!$A$2:$A$39,'2. Matching'!$B$2:$B$39,"--")</f>
        <v>Acquisition</v>
      </c>
      <c r="K2362" s="65" t="str">
        <f t="shared" si="1"/>
        <v>In</v>
      </c>
    </row>
    <row r="2363">
      <c r="A2363" s="62" t="s">
        <v>2501</v>
      </c>
      <c r="B2363" s="63">
        <v>44394.0</v>
      </c>
      <c r="C2363" s="62" t="s">
        <v>119</v>
      </c>
      <c r="D2363" s="64">
        <v>50.0</v>
      </c>
      <c r="E2363" s="62" t="s">
        <v>109</v>
      </c>
      <c r="F2363" s="62" t="s">
        <v>110</v>
      </c>
      <c r="G2363" s="64" t="s">
        <v>60</v>
      </c>
      <c r="H2363" s="3" t="s">
        <v>67</v>
      </c>
      <c r="I2363" s="65">
        <f>IFERROR(VLOOKUP(A2363,'3. Call duration'!$A:$C,3,0),"--")</f>
        <v>14.20323477</v>
      </c>
      <c r="J2363" s="65" t="str">
        <f t="array" ref="J2363">XLOOKUP(H2363,'2. Matching'!$A$2:$A$39,'2. Matching'!$B$2:$B$39,"--")</f>
        <v>Acquisition</v>
      </c>
      <c r="K2363" s="65" t="str">
        <f t="shared" si="1"/>
        <v>In</v>
      </c>
    </row>
    <row r="2364">
      <c r="A2364" s="62" t="s">
        <v>2502</v>
      </c>
      <c r="B2364" s="63">
        <v>44392.0</v>
      </c>
      <c r="C2364" s="62" t="s">
        <v>119</v>
      </c>
      <c r="D2364" s="64">
        <v>50.0</v>
      </c>
      <c r="E2364" s="62" t="s">
        <v>109</v>
      </c>
      <c r="F2364" s="62" t="s">
        <v>115</v>
      </c>
      <c r="G2364" s="64" t="s">
        <v>64</v>
      </c>
      <c r="H2364" s="3" t="s">
        <v>297</v>
      </c>
      <c r="I2364" s="65">
        <f>IFERROR(VLOOKUP(A2364,'3. Call duration'!$A:$C,3,0),"--")</f>
        <v>26.95786321</v>
      </c>
      <c r="J2364" s="65" t="str">
        <f t="array" ref="J2364">XLOOKUP(H2364,'2. Matching'!$A$2:$A$39,'2. Matching'!$B$2:$B$39,"--")</f>
        <v>Farming</v>
      </c>
      <c r="K2364" s="65" t="str">
        <f t="shared" si="1"/>
        <v>In</v>
      </c>
    </row>
    <row r="2365">
      <c r="A2365" s="62" t="s">
        <v>2503</v>
      </c>
      <c r="B2365" s="63">
        <v>44384.0</v>
      </c>
      <c r="C2365" s="62" t="s">
        <v>119</v>
      </c>
      <c r="D2365" s="64">
        <v>50.0</v>
      </c>
      <c r="E2365" s="62" t="s">
        <v>109</v>
      </c>
      <c r="F2365" s="62" t="s">
        <v>115</v>
      </c>
      <c r="G2365" s="64" t="s">
        <v>64</v>
      </c>
      <c r="H2365" s="3" t="s">
        <v>171</v>
      </c>
      <c r="I2365" s="65">
        <f>IFERROR(VLOOKUP(A2365,'3. Call duration'!$A:$C,3,0),"--")</f>
        <v>30.02576978</v>
      </c>
      <c r="J2365" s="65" t="str">
        <f t="array" ref="J2365">XLOOKUP(H2365,'2. Matching'!$A$2:$A$39,'2. Matching'!$B$2:$B$39,"--")</f>
        <v>SEO</v>
      </c>
      <c r="K2365" s="65" t="str">
        <f t="shared" si="1"/>
        <v>In</v>
      </c>
    </row>
    <row r="2366">
      <c r="A2366" s="62" t="s">
        <v>2504</v>
      </c>
      <c r="B2366" s="63">
        <v>44383.0</v>
      </c>
      <c r="C2366" s="62" t="s">
        <v>119</v>
      </c>
      <c r="D2366" s="64">
        <v>50.0</v>
      </c>
      <c r="E2366" s="62" t="s">
        <v>109</v>
      </c>
      <c r="F2366" s="62" t="s">
        <v>115</v>
      </c>
      <c r="G2366" s="64" t="s">
        <v>63</v>
      </c>
      <c r="H2366" s="3" t="s">
        <v>128</v>
      </c>
      <c r="I2366" s="65">
        <f>IFERROR(VLOOKUP(A2366,'3. Call duration'!$A:$C,3,0),"--")</f>
        <v>25.56226518</v>
      </c>
      <c r="J2366" s="65" t="str">
        <f t="array" ref="J2366">XLOOKUP(H2366,'2. Matching'!$A$2:$A$39,'2. Matching'!$B$2:$B$39,"--")</f>
        <v>Acquisition</v>
      </c>
      <c r="K2366" s="65" t="str">
        <f t="shared" si="1"/>
        <v>In</v>
      </c>
    </row>
    <row r="2367">
      <c r="A2367" s="62" t="s">
        <v>2505</v>
      </c>
      <c r="B2367" s="63">
        <v>44380.0</v>
      </c>
      <c r="C2367" s="62" t="s">
        <v>119</v>
      </c>
      <c r="D2367" s="64">
        <v>50.0</v>
      </c>
      <c r="E2367" s="62" t="s">
        <v>109</v>
      </c>
      <c r="F2367" s="62" t="s">
        <v>115</v>
      </c>
      <c r="G2367" s="64" t="s">
        <v>61</v>
      </c>
      <c r="H2367" s="3" t="s">
        <v>69</v>
      </c>
      <c r="I2367" s="65">
        <f>IFERROR(VLOOKUP(A2367,'3. Call duration'!$A:$C,3,0),"--")</f>
        <v>29.18997034</v>
      </c>
      <c r="J2367" s="65" t="str">
        <f t="array" ref="J2367">XLOOKUP(H2367,'2. Matching'!$A$2:$A$39,'2. Matching'!$B$2:$B$39,"--")</f>
        <v>Acquisition</v>
      </c>
      <c r="K2367" s="65" t="str">
        <f t="shared" si="1"/>
        <v>In</v>
      </c>
    </row>
    <row r="2368">
      <c r="A2368" s="62" t="s">
        <v>2506</v>
      </c>
      <c r="B2368" s="63">
        <v>44379.0</v>
      </c>
      <c r="C2368" s="62" t="s">
        <v>119</v>
      </c>
      <c r="D2368" s="64">
        <v>50.0</v>
      </c>
      <c r="E2368" s="62" t="s">
        <v>109</v>
      </c>
      <c r="F2368" s="62" t="s">
        <v>115</v>
      </c>
      <c r="G2368" s="64" t="s">
        <v>64</v>
      </c>
      <c r="H2368" s="3" t="s">
        <v>155</v>
      </c>
      <c r="I2368" s="65">
        <f>IFERROR(VLOOKUP(A2368,'3. Call duration'!$A:$C,3,0),"--")</f>
        <v>32.52228526</v>
      </c>
      <c r="J2368" s="65" t="str">
        <f t="array" ref="J2368">XLOOKUP(H2368,'2. Matching'!$A$2:$A$39,'2. Matching'!$B$2:$B$39,"--")</f>
        <v>SEO</v>
      </c>
      <c r="K2368" s="65" t="str">
        <f t="shared" si="1"/>
        <v>In</v>
      </c>
    </row>
    <row r="2369">
      <c r="A2369" s="62" t="s">
        <v>2507</v>
      </c>
      <c r="B2369" s="63">
        <v>44384.0</v>
      </c>
      <c r="C2369" s="62" t="s">
        <v>119</v>
      </c>
      <c r="D2369" s="64">
        <v>50.0</v>
      </c>
      <c r="E2369" s="62" t="s">
        <v>109</v>
      </c>
      <c r="F2369" s="62" t="s">
        <v>115</v>
      </c>
      <c r="G2369" s="64" t="s">
        <v>61</v>
      </c>
      <c r="H2369" s="3" t="s">
        <v>69</v>
      </c>
      <c r="I2369" s="65">
        <f>IFERROR(VLOOKUP(A2369,'3. Call duration'!$A:$C,3,0),"--")</f>
        <v>32.17434938</v>
      </c>
      <c r="J2369" s="65" t="str">
        <f t="array" ref="J2369">XLOOKUP(H2369,'2. Matching'!$A$2:$A$39,'2. Matching'!$B$2:$B$39,"--")</f>
        <v>Acquisition</v>
      </c>
      <c r="K2369" s="65" t="str">
        <f t="shared" si="1"/>
        <v>In</v>
      </c>
    </row>
    <row r="2370">
      <c r="A2370" s="62" t="s">
        <v>2508</v>
      </c>
      <c r="B2370" s="63">
        <v>44383.0</v>
      </c>
      <c r="C2370" s="62" t="s">
        <v>119</v>
      </c>
      <c r="D2370" s="64">
        <v>50.0</v>
      </c>
      <c r="E2370" s="62" t="s">
        <v>109</v>
      </c>
      <c r="F2370" s="62" t="s">
        <v>115</v>
      </c>
      <c r="G2370" s="64" t="s">
        <v>63</v>
      </c>
      <c r="H2370" s="3" t="s">
        <v>183</v>
      </c>
      <c r="I2370" s="65">
        <f>IFERROR(VLOOKUP(A2370,'3. Call duration'!$A:$C,3,0),"--")</f>
        <v>33.10615976</v>
      </c>
      <c r="J2370" s="65" t="str">
        <f t="array" ref="J2370">XLOOKUP(H2370,'2. Matching'!$A$2:$A$39,'2. Matching'!$B$2:$B$39,"--")</f>
        <v>SEO</v>
      </c>
      <c r="K2370" s="65" t="str">
        <f t="shared" si="1"/>
        <v>In</v>
      </c>
    </row>
    <row r="2371">
      <c r="A2371" s="62" t="s">
        <v>2509</v>
      </c>
      <c r="B2371" s="63">
        <v>44383.0</v>
      </c>
      <c r="C2371" s="62" t="s">
        <v>119</v>
      </c>
      <c r="D2371" s="64">
        <v>50.0</v>
      </c>
      <c r="E2371" s="62" t="s">
        <v>109</v>
      </c>
      <c r="F2371" s="62" t="s">
        <v>115</v>
      </c>
      <c r="G2371" s="64" t="s">
        <v>61</v>
      </c>
      <c r="H2371" s="3" t="s">
        <v>69</v>
      </c>
      <c r="I2371" s="65">
        <f>IFERROR(VLOOKUP(A2371,'3. Call duration'!$A:$C,3,0),"--")</f>
        <v>42.89160092</v>
      </c>
      <c r="J2371" s="65" t="str">
        <f t="array" ref="J2371">XLOOKUP(H2371,'2. Matching'!$A$2:$A$39,'2. Matching'!$B$2:$B$39,"--")</f>
        <v>Acquisition</v>
      </c>
      <c r="K2371" s="65" t="str">
        <f t="shared" si="1"/>
        <v>In</v>
      </c>
    </row>
    <row r="2372">
      <c r="A2372" s="62" t="s">
        <v>2510</v>
      </c>
      <c r="B2372" s="63">
        <v>44386.0</v>
      </c>
      <c r="C2372" s="62" t="s">
        <v>119</v>
      </c>
      <c r="D2372" s="64">
        <v>50.0</v>
      </c>
      <c r="E2372" s="62" t="s">
        <v>109</v>
      </c>
      <c r="F2372" s="62" t="s">
        <v>115</v>
      </c>
      <c r="G2372" s="64" t="s">
        <v>63</v>
      </c>
      <c r="H2372" s="3" t="s">
        <v>228</v>
      </c>
      <c r="I2372" s="65">
        <f>IFERROR(VLOOKUP(A2372,'3. Call duration'!$A:$C,3,0),"--")</f>
        <v>28.56831472</v>
      </c>
      <c r="J2372" s="65" t="str">
        <f t="array" ref="J2372">XLOOKUP(H2372,'2. Matching'!$A$2:$A$39,'2. Matching'!$B$2:$B$39,"--")</f>
        <v>Farming</v>
      </c>
      <c r="K2372" s="65" t="str">
        <f t="shared" si="1"/>
        <v>In</v>
      </c>
    </row>
    <row r="2373">
      <c r="A2373" s="62" t="s">
        <v>2511</v>
      </c>
      <c r="B2373" s="63">
        <v>44384.0</v>
      </c>
      <c r="C2373" s="62" t="s">
        <v>119</v>
      </c>
      <c r="D2373" s="64">
        <v>50.0</v>
      </c>
      <c r="E2373" s="62" t="s">
        <v>109</v>
      </c>
      <c r="F2373" s="62" t="s">
        <v>115</v>
      </c>
      <c r="G2373" s="64" t="s">
        <v>64</v>
      </c>
      <c r="H2373" s="3" t="s">
        <v>155</v>
      </c>
      <c r="I2373" s="65" t="str">
        <f>IFERROR(VLOOKUP(A2373,'3. Call duration'!$A:$C,3,0),"--")</f>
        <v>--</v>
      </c>
      <c r="J2373" s="65" t="str">
        <f t="array" ref="J2373">XLOOKUP(H2373,'2. Matching'!$A$2:$A$39,'2. Matching'!$B$2:$B$39,"--")</f>
        <v>SEO</v>
      </c>
      <c r="K2373" s="65" t="str">
        <f t="shared" si="1"/>
        <v>In</v>
      </c>
    </row>
    <row r="2374">
      <c r="A2374" s="62" t="s">
        <v>2512</v>
      </c>
      <c r="B2374" s="63">
        <v>44379.0</v>
      </c>
      <c r="C2374" s="62" t="s">
        <v>119</v>
      </c>
      <c r="D2374" s="64">
        <v>50.0</v>
      </c>
      <c r="E2374" s="62" t="s">
        <v>109</v>
      </c>
      <c r="F2374" s="62" t="s">
        <v>110</v>
      </c>
      <c r="G2374" s="64" t="s">
        <v>61</v>
      </c>
      <c r="H2374" s="3" t="s">
        <v>67</v>
      </c>
      <c r="I2374" s="65">
        <f>IFERROR(VLOOKUP(A2374,'3. Call duration'!$A:$C,3,0),"--")</f>
        <v>28.25846156</v>
      </c>
      <c r="J2374" s="65" t="str">
        <f t="array" ref="J2374">XLOOKUP(H2374,'2. Matching'!$A$2:$A$39,'2. Matching'!$B$2:$B$39,"--")</f>
        <v>Acquisition</v>
      </c>
      <c r="K2374" s="65" t="str">
        <f t="shared" si="1"/>
        <v>In</v>
      </c>
    </row>
    <row r="2375">
      <c r="A2375" s="62" t="s">
        <v>2513</v>
      </c>
      <c r="B2375" s="63">
        <v>44390.0</v>
      </c>
      <c r="C2375" s="62" t="s">
        <v>119</v>
      </c>
      <c r="D2375" s="64">
        <v>50.0</v>
      </c>
      <c r="E2375" s="62" t="s">
        <v>109</v>
      </c>
      <c r="F2375" s="62" t="s">
        <v>115</v>
      </c>
      <c r="G2375" s="64" t="s">
        <v>64</v>
      </c>
      <c r="H2375" s="3" t="s">
        <v>139</v>
      </c>
      <c r="I2375" s="65">
        <f>IFERROR(VLOOKUP(A2375,'3. Call duration'!$A:$C,3,0),"--")</f>
        <v>22.30096311</v>
      </c>
      <c r="J2375" s="65" t="str">
        <f t="array" ref="J2375">XLOOKUP(H2375,'2. Matching'!$A$2:$A$39,'2. Matching'!$B$2:$B$39,"--")</f>
        <v>Acquisition</v>
      </c>
      <c r="K2375" s="65" t="str">
        <f t="shared" si="1"/>
        <v>In</v>
      </c>
    </row>
    <row r="2376">
      <c r="A2376" s="62" t="s">
        <v>2514</v>
      </c>
      <c r="B2376" s="63">
        <v>44382.0</v>
      </c>
      <c r="C2376" s="62" t="s">
        <v>119</v>
      </c>
      <c r="D2376" s="64">
        <v>50.0</v>
      </c>
      <c r="E2376" s="62" t="s">
        <v>109</v>
      </c>
      <c r="F2376" s="62" t="s">
        <v>115</v>
      </c>
      <c r="G2376" s="64" t="s">
        <v>59</v>
      </c>
      <c r="H2376" s="3" t="s">
        <v>68</v>
      </c>
      <c r="I2376" s="65">
        <f>IFERROR(VLOOKUP(A2376,'3. Call duration'!$A:$C,3,0),"--")</f>
        <v>47.57919843</v>
      </c>
      <c r="J2376" s="65" t="str">
        <f t="array" ref="J2376">XLOOKUP(H2376,'2. Matching'!$A$2:$A$39,'2. Matching'!$B$2:$B$39,"--")</f>
        <v>Acquisition</v>
      </c>
      <c r="K2376" s="65" t="str">
        <f t="shared" si="1"/>
        <v>In</v>
      </c>
    </row>
    <row r="2377">
      <c r="A2377" s="62" t="s">
        <v>2515</v>
      </c>
      <c r="B2377" s="63">
        <v>44386.0</v>
      </c>
      <c r="C2377" s="62" t="s">
        <v>119</v>
      </c>
      <c r="D2377" s="64">
        <v>50.0</v>
      </c>
      <c r="E2377" s="62" t="s">
        <v>109</v>
      </c>
      <c r="F2377" s="62" t="s">
        <v>115</v>
      </c>
      <c r="G2377" s="64" t="s">
        <v>63</v>
      </c>
      <c r="H2377" s="3" t="s">
        <v>124</v>
      </c>
      <c r="I2377" s="65">
        <f>IFERROR(VLOOKUP(A2377,'3. Call duration'!$A:$C,3,0),"--")</f>
        <v>11.45542522</v>
      </c>
      <c r="J2377" s="65" t="str">
        <f t="array" ref="J2377">XLOOKUP(H2377,'2. Matching'!$A$2:$A$39,'2. Matching'!$B$2:$B$39,"--")</f>
        <v>Acquisition</v>
      </c>
      <c r="K2377" s="65" t="str">
        <f t="shared" si="1"/>
        <v>In</v>
      </c>
    </row>
    <row r="2378">
      <c r="A2378" s="62" t="s">
        <v>2516</v>
      </c>
      <c r="B2378" s="63">
        <v>44393.0</v>
      </c>
      <c r="C2378" s="62" t="s">
        <v>119</v>
      </c>
      <c r="D2378" s="64">
        <v>50.0</v>
      </c>
      <c r="E2378" s="62" t="s">
        <v>109</v>
      </c>
      <c r="F2378" s="62" t="s">
        <v>110</v>
      </c>
      <c r="G2378" s="64" t="s">
        <v>60</v>
      </c>
      <c r="H2378" s="3" t="s">
        <v>67</v>
      </c>
      <c r="I2378" s="65">
        <f>IFERROR(VLOOKUP(A2378,'3. Call duration'!$A:$C,3,0),"--")</f>
        <v>25.84373707</v>
      </c>
      <c r="J2378" s="65" t="str">
        <f t="array" ref="J2378">XLOOKUP(H2378,'2. Matching'!$A$2:$A$39,'2. Matching'!$B$2:$B$39,"--")</f>
        <v>Acquisition</v>
      </c>
      <c r="K2378" s="65" t="str">
        <f t="shared" si="1"/>
        <v>In</v>
      </c>
    </row>
    <row r="2379">
      <c r="A2379" s="62" t="s">
        <v>2517</v>
      </c>
      <c r="B2379" s="63">
        <v>44389.0</v>
      </c>
      <c r="C2379" s="62" t="s">
        <v>119</v>
      </c>
      <c r="D2379" s="64">
        <v>50.0</v>
      </c>
      <c r="E2379" s="62" t="s">
        <v>109</v>
      </c>
      <c r="F2379" s="62" t="s">
        <v>115</v>
      </c>
      <c r="G2379" s="64" t="s">
        <v>64</v>
      </c>
      <c r="H2379" s="3" t="s">
        <v>139</v>
      </c>
      <c r="I2379" s="65">
        <f>IFERROR(VLOOKUP(A2379,'3. Call duration'!$A:$C,3,0),"--")</f>
        <v>30.59870405</v>
      </c>
      <c r="J2379" s="65" t="str">
        <f t="array" ref="J2379">XLOOKUP(H2379,'2. Matching'!$A$2:$A$39,'2. Matching'!$B$2:$B$39,"--")</f>
        <v>Acquisition</v>
      </c>
      <c r="K2379" s="65" t="str">
        <f t="shared" si="1"/>
        <v>In</v>
      </c>
    </row>
    <row r="2380">
      <c r="A2380" s="62" t="s">
        <v>2518</v>
      </c>
      <c r="B2380" s="63">
        <v>44389.0</v>
      </c>
      <c r="C2380" s="62" t="s">
        <v>119</v>
      </c>
      <c r="D2380" s="64">
        <v>50.0</v>
      </c>
      <c r="E2380" s="62" t="s">
        <v>109</v>
      </c>
      <c r="F2380" s="62" t="s">
        <v>115</v>
      </c>
      <c r="G2380" s="64" t="s">
        <v>60</v>
      </c>
      <c r="H2380" s="3" t="s">
        <v>68</v>
      </c>
      <c r="I2380" s="65">
        <f>IFERROR(VLOOKUP(A2380,'3. Call duration'!$A:$C,3,0),"--")</f>
        <v>30.79592944</v>
      </c>
      <c r="J2380" s="65" t="str">
        <f t="array" ref="J2380">XLOOKUP(H2380,'2. Matching'!$A$2:$A$39,'2. Matching'!$B$2:$B$39,"--")</f>
        <v>Acquisition</v>
      </c>
      <c r="K2380" s="65" t="str">
        <f t="shared" si="1"/>
        <v>In</v>
      </c>
    </row>
    <row r="2381">
      <c r="A2381" s="62" t="s">
        <v>2519</v>
      </c>
      <c r="B2381" s="63">
        <v>44384.0</v>
      </c>
      <c r="C2381" s="62" t="s">
        <v>119</v>
      </c>
      <c r="D2381" s="64">
        <v>50.0</v>
      </c>
      <c r="E2381" s="62" t="s">
        <v>109</v>
      </c>
      <c r="F2381" s="62" t="s">
        <v>115</v>
      </c>
      <c r="G2381" s="64" t="s">
        <v>63</v>
      </c>
      <c r="H2381" s="3" t="s">
        <v>183</v>
      </c>
      <c r="I2381" s="65">
        <f>IFERROR(VLOOKUP(A2381,'3. Call duration'!$A:$C,3,0),"--")</f>
        <v>12.9112417</v>
      </c>
      <c r="J2381" s="65" t="str">
        <f t="array" ref="J2381">XLOOKUP(H2381,'2. Matching'!$A$2:$A$39,'2. Matching'!$B$2:$B$39,"--")</f>
        <v>SEO</v>
      </c>
      <c r="K2381" s="65" t="str">
        <f t="shared" si="1"/>
        <v>In</v>
      </c>
    </row>
    <row r="2382">
      <c r="A2382" s="62" t="s">
        <v>2520</v>
      </c>
      <c r="B2382" s="63">
        <v>44385.0</v>
      </c>
      <c r="C2382" s="62" t="s">
        <v>119</v>
      </c>
      <c r="D2382" s="64">
        <v>50.0</v>
      </c>
      <c r="E2382" s="62" t="s">
        <v>109</v>
      </c>
      <c r="F2382" s="62" t="s">
        <v>115</v>
      </c>
      <c r="G2382" s="64" t="s">
        <v>60</v>
      </c>
      <c r="H2382" s="3" t="s">
        <v>68</v>
      </c>
      <c r="I2382" s="65">
        <f>IFERROR(VLOOKUP(A2382,'3. Call duration'!$A:$C,3,0),"--")</f>
        <v>21.60689733</v>
      </c>
      <c r="J2382" s="65" t="str">
        <f t="array" ref="J2382">XLOOKUP(H2382,'2. Matching'!$A$2:$A$39,'2. Matching'!$B$2:$B$39,"--")</f>
        <v>Acquisition</v>
      </c>
      <c r="K2382" s="65" t="str">
        <f t="shared" si="1"/>
        <v>In</v>
      </c>
    </row>
    <row r="2383">
      <c r="A2383" s="62" t="s">
        <v>2521</v>
      </c>
      <c r="B2383" s="63">
        <v>44379.0</v>
      </c>
      <c r="C2383" s="62" t="s">
        <v>119</v>
      </c>
      <c r="D2383" s="64">
        <v>50.0</v>
      </c>
      <c r="E2383" s="62" t="s">
        <v>109</v>
      </c>
      <c r="F2383" s="62" t="s">
        <v>115</v>
      </c>
      <c r="G2383" s="64" t="s">
        <v>64</v>
      </c>
      <c r="H2383" s="3" t="s">
        <v>116</v>
      </c>
      <c r="I2383" s="65">
        <f>IFERROR(VLOOKUP(A2383,'3. Call duration'!$A:$C,3,0),"--")</f>
        <v>14.35960126</v>
      </c>
      <c r="J2383" s="65" t="str">
        <f t="array" ref="J2383">XLOOKUP(H2383,'2. Matching'!$A$2:$A$39,'2. Matching'!$B$2:$B$39,"--")</f>
        <v>Acquisition</v>
      </c>
      <c r="K2383" s="65" t="str">
        <f t="shared" si="1"/>
        <v>In</v>
      </c>
    </row>
    <row r="2384">
      <c r="A2384" s="62" t="s">
        <v>2522</v>
      </c>
      <c r="B2384" s="63">
        <v>44393.0</v>
      </c>
      <c r="C2384" s="62" t="s">
        <v>119</v>
      </c>
      <c r="D2384" s="64">
        <v>50.0</v>
      </c>
      <c r="E2384" s="62" t="s">
        <v>109</v>
      </c>
      <c r="F2384" s="62" t="s">
        <v>110</v>
      </c>
      <c r="G2384" s="64" t="s">
        <v>61</v>
      </c>
      <c r="H2384" s="3" t="s">
        <v>67</v>
      </c>
      <c r="I2384" s="65">
        <f>IFERROR(VLOOKUP(A2384,'3. Call duration'!$A:$C,3,0),"--")</f>
        <v>32.14295061</v>
      </c>
      <c r="J2384" s="65" t="str">
        <f t="array" ref="J2384">XLOOKUP(H2384,'2. Matching'!$A$2:$A$39,'2. Matching'!$B$2:$B$39,"--")</f>
        <v>Acquisition</v>
      </c>
      <c r="K2384" s="65" t="str">
        <f t="shared" si="1"/>
        <v>In</v>
      </c>
    </row>
    <row r="2385">
      <c r="A2385" s="62" t="s">
        <v>2523</v>
      </c>
      <c r="B2385" s="63">
        <v>44382.0</v>
      </c>
      <c r="C2385" s="62" t="s">
        <v>119</v>
      </c>
      <c r="D2385" s="64">
        <v>50.0</v>
      </c>
      <c r="E2385" s="62" t="s">
        <v>109</v>
      </c>
      <c r="F2385" s="62" t="s">
        <v>110</v>
      </c>
      <c r="G2385" s="64" t="s">
        <v>60</v>
      </c>
      <c r="H2385" s="3" t="s">
        <v>67</v>
      </c>
      <c r="I2385" s="65">
        <f>IFERROR(VLOOKUP(A2385,'3. Call duration'!$A:$C,3,0),"--")</f>
        <v>32.63158632</v>
      </c>
      <c r="J2385" s="65" t="str">
        <f t="array" ref="J2385">XLOOKUP(H2385,'2. Matching'!$A$2:$A$39,'2. Matching'!$B$2:$B$39,"--")</f>
        <v>Acquisition</v>
      </c>
      <c r="K2385" s="65" t="str">
        <f t="shared" si="1"/>
        <v>In</v>
      </c>
    </row>
    <row r="2386">
      <c r="A2386" s="62" t="s">
        <v>2524</v>
      </c>
      <c r="B2386" s="63">
        <v>44389.0</v>
      </c>
      <c r="C2386" s="62" t="s">
        <v>119</v>
      </c>
      <c r="D2386" s="64">
        <v>50.0</v>
      </c>
      <c r="E2386" s="62" t="s">
        <v>109</v>
      </c>
      <c r="F2386" s="62" t="s">
        <v>110</v>
      </c>
      <c r="G2386" s="64" t="s">
        <v>62</v>
      </c>
      <c r="H2386" s="3" t="s">
        <v>203</v>
      </c>
      <c r="I2386" s="65">
        <f>IFERROR(VLOOKUP(A2386,'3. Call duration'!$A:$C,3,0),"--")</f>
        <v>30.1927911</v>
      </c>
      <c r="J2386" s="65" t="str">
        <f t="array" ref="J2386">XLOOKUP(H2386,'2. Matching'!$A$2:$A$39,'2. Matching'!$B$2:$B$39,"--")</f>
        <v>Farming</v>
      </c>
      <c r="K2386" s="65" t="str">
        <f t="shared" si="1"/>
        <v>In</v>
      </c>
    </row>
    <row r="2387">
      <c r="A2387" s="62" t="s">
        <v>2525</v>
      </c>
      <c r="B2387" s="63">
        <v>44396.0</v>
      </c>
      <c r="C2387" s="62" t="s">
        <v>119</v>
      </c>
      <c r="D2387" s="64">
        <v>50.0</v>
      </c>
      <c r="E2387" s="62" t="s">
        <v>109</v>
      </c>
      <c r="F2387" s="62" t="s">
        <v>110</v>
      </c>
      <c r="G2387" s="64" t="s">
        <v>64</v>
      </c>
      <c r="H2387" s="3" t="s">
        <v>139</v>
      </c>
      <c r="I2387" s="65">
        <f>IFERROR(VLOOKUP(A2387,'3. Call duration'!$A:$C,3,0),"--")</f>
        <v>25.66647283</v>
      </c>
      <c r="J2387" s="65" t="str">
        <f t="array" ref="J2387">XLOOKUP(H2387,'2. Matching'!$A$2:$A$39,'2. Matching'!$B$2:$B$39,"--")</f>
        <v>Acquisition</v>
      </c>
      <c r="K2387" s="65" t="str">
        <f t="shared" si="1"/>
        <v>In</v>
      </c>
    </row>
    <row r="2388">
      <c r="A2388" s="62" t="s">
        <v>2526</v>
      </c>
      <c r="B2388" s="63">
        <v>44393.0</v>
      </c>
      <c r="C2388" s="62" t="s">
        <v>119</v>
      </c>
      <c r="D2388" s="64">
        <v>50.0</v>
      </c>
      <c r="E2388" s="62" t="s">
        <v>109</v>
      </c>
      <c r="F2388" s="62" t="s">
        <v>110</v>
      </c>
      <c r="G2388" s="64" t="s">
        <v>64</v>
      </c>
      <c r="H2388" s="3" t="s">
        <v>297</v>
      </c>
      <c r="I2388" s="65">
        <f>IFERROR(VLOOKUP(A2388,'3. Call duration'!$A:$C,3,0),"--")</f>
        <v>29.97851057</v>
      </c>
      <c r="J2388" s="65" t="str">
        <f t="array" ref="J2388">XLOOKUP(H2388,'2. Matching'!$A$2:$A$39,'2. Matching'!$B$2:$B$39,"--")</f>
        <v>Farming</v>
      </c>
      <c r="K2388" s="65" t="str">
        <f t="shared" si="1"/>
        <v>In</v>
      </c>
    </row>
    <row r="2389">
      <c r="A2389" s="62" t="s">
        <v>2527</v>
      </c>
      <c r="B2389" s="63">
        <v>44399.0</v>
      </c>
      <c r="C2389" s="62" t="s">
        <v>119</v>
      </c>
      <c r="D2389" s="64">
        <v>50.0</v>
      </c>
      <c r="E2389" s="62" t="s">
        <v>109</v>
      </c>
      <c r="F2389" s="62" t="s">
        <v>115</v>
      </c>
      <c r="G2389" s="64" t="s">
        <v>60</v>
      </c>
      <c r="H2389" s="3" t="s">
        <v>68</v>
      </c>
      <c r="I2389" s="65">
        <f>IFERROR(VLOOKUP(A2389,'3. Call duration'!$A:$C,3,0),"--")</f>
        <v>25.73947196</v>
      </c>
      <c r="J2389" s="65" t="str">
        <f t="array" ref="J2389">XLOOKUP(H2389,'2. Matching'!$A$2:$A$39,'2. Matching'!$B$2:$B$39,"--")</f>
        <v>Acquisition</v>
      </c>
      <c r="K2389" s="65" t="str">
        <f t="shared" si="1"/>
        <v>In</v>
      </c>
    </row>
    <row r="2390">
      <c r="A2390" s="62" t="s">
        <v>2528</v>
      </c>
      <c r="B2390" s="63">
        <v>44390.0</v>
      </c>
      <c r="C2390" s="62" t="s">
        <v>119</v>
      </c>
      <c r="D2390" s="64">
        <v>50.0</v>
      </c>
      <c r="E2390" s="62" t="s">
        <v>109</v>
      </c>
      <c r="F2390" s="62" t="s">
        <v>115</v>
      </c>
      <c r="G2390" s="64" t="s">
        <v>64</v>
      </c>
      <c r="H2390" s="3" t="s">
        <v>55</v>
      </c>
      <c r="I2390" s="65">
        <f>IFERROR(VLOOKUP(A2390,'3. Call duration'!$A:$C,3,0),"--")</f>
        <v>19.85627502</v>
      </c>
      <c r="J2390" s="65" t="str">
        <f t="array" ref="J2390">XLOOKUP(H2390,'2. Matching'!$A$2:$A$39,'2. Matching'!$B$2:$B$39,"--")</f>
        <v>Partnerships</v>
      </c>
      <c r="K2390" s="65" t="str">
        <f t="shared" si="1"/>
        <v>In</v>
      </c>
    </row>
    <row r="2391">
      <c r="A2391" s="62" t="s">
        <v>2529</v>
      </c>
      <c r="B2391" s="63">
        <v>44378.0</v>
      </c>
      <c r="C2391" s="62" t="s">
        <v>119</v>
      </c>
      <c r="D2391" s="64">
        <v>50.0</v>
      </c>
      <c r="E2391" s="62" t="s">
        <v>109</v>
      </c>
      <c r="F2391" s="62" t="s">
        <v>110</v>
      </c>
      <c r="G2391" s="64" t="s">
        <v>60</v>
      </c>
      <c r="H2391" s="3" t="s">
        <v>67</v>
      </c>
      <c r="I2391" s="65">
        <f>IFERROR(VLOOKUP(A2391,'3. Call duration'!$A:$C,3,0),"--")</f>
        <v>21.67692459</v>
      </c>
      <c r="J2391" s="65" t="str">
        <f t="array" ref="J2391">XLOOKUP(H2391,'2. Matching'!$A$2:$A$39,'2. Matching'!$B$2:$B$39,"--")</f>
        <v>Acquisition</v>
      </c>
      <c r="K2391" s="65" t="str">
        <f t="shared" si="1"/>
        <v>In</v>
      </c>
    </row>
    <row r="2392">
      <c r="A2392" s="62" t="s">
        <v>2530</v>
      </c>
      <c r="B2392" s="63">
        <v>44391.0</v>
      </c>
      <c r="C2392" s="62" t="s">
        <v>119</v>
      </c>
      <c r="D2392" s="64">
        <v>50.0</v>
      </c>
      <c r="E2392" s="62" t="s">
        <v>109</v>
      </c>
      <c r="F2392" s="62" t="s">
        <v>110</v>
      </c>
      <c r="G2392" s="64" t="s">
        <v>64</v>
      </c>
      <c r="H2392" s="3" t="s">
        <v>297</v>
      </c>
      <c r="I2392" s="65">
        <f>IFERROR(VLOOKUP(A2392,'3. Call duration'!$A:$C,3,0),"--")</f>
        <v>29.36874808</v>
      </c>
      <c r="J2392" s="65" t="str">
        <f t="array" ref="J2392">XLOOKUP(H2392,'2. Matching'!$A$2:$A$39,'2. Matching'!$B$2:$B$39,"--")</f>
        <v>Farming</v>
      </c>
      <c r="K2392" s="65" t="str">
        <f t="shared" si="1"/>
        <v>In</v>
      </c>
    </row>
    <row r="2393">
      <c r="A2393" s="62" t="s">
        <v>2531</v>
      </c>
      <c r="B2393" s="63">
        <v>44396.0</v>
      </c>
      <c r="C2393" s="62" t="s">
        <v>119</v>
      </c>
      <c r="D2393" s="64">
        <v>50.0</v>
      </c>
      <c r="E2393" s="62" t="s">
        <v>109</v>
      </c>
      <c r="F2393" s="62" t="s">
        <v>115</v>
      </c>
      <c r="G2393" s="64" t="s">
        <v>64</v>
      </c>
      <c r="H2393" s="3" t="s">
        <v>139</v>
      </c>
      <c r="I2393" s="65">
        <f>IFERROR(VLOOKUP(A2393,'3. Call duration'!$A:$C,3,0),"--")</f>
        <v>28.38980413</v>
      </c>
      <c r="J2393" s="65" t="str">
        <f t="array" ref="J2393">XLOOKUP(H2393,'2. Matching'!$A$2:$A$39,'2. Matching'!$B$2:$B$39,"--")</f>
        <v>Acquisition</v>
      </c>
      <c r="K2393" s="65" t="str">
        <f t="shared" si="1"/>
        <v>In</v>
      </c>
    </row>
    <row r="2394">
      <c r="A2394" s="62" t="s">
        <v>2532</v>
      </c>
      <c r="B2394" s="63">
        <v>44385.0</v>
      </c>
      <c r="C2394" s="62" t="s">
        <v>119</v>
      </c>
      <c r="D2394" s="64">
        <v>50.0</v>
      </c>
      <c r="E2394" s="62" t="s">
        <v>109</v>
      </c>
      <c r="F2394" s="62" t="s">
        <v>110</v>
      </c>
      <c r="G2394" s="64" t="s">
        <v>64</v>
      </c>
      <c r="H2394" s="3" t="s">
        <v>164</v>
      </c>
      <c r="I2394" s="65">
        <f>IFERROR(VLOOKUP(A2394,'3. Call duration'!$A:$C,3,0),"--")</f>
        <v>29.05385132</v>
      </c>
      <c r="J2394" s="65" t="str">
        <f t="array" ref="J2394">XLOOKUP(H2394,'2. Matching'!$A$2:$A$39,'2. Matching'!$B$2:$B$39,"--")</f>
        <v>SEO</v>
      </c>
      <c r="K2394" s="65" t="str">
        <f t="shared" si="1"/>
        <v>In</v>
      </c>
    </row>
    <row r="2395">
      <c r="A2395" s="62" t="s">
        <v>2533</v>
      </c>
      <c r="B2395" s="63">
        <v>44383.0</v>
      </c>
      <c r="C2395" s="62" t="s">
        <v>119</v>
      </c>
      <c r="D2395" s="64">
        <v>50.0</v>
      </c>
      <c r="E2395" s="62" t="s">
        <v>109</v>
      </c>
      <c r="F2395" s="62" t="s">
        <v>110</v>
      </c>
      <c r="G2395" s="64" t="s">
        <v>61</v>
      </c>
      <c r="H2395" s="3" t="s">
        <v>69</v>
      </c>
      <c r="I2395" s="65">
        <f>IFERROR(VLOOKUP(A2395,'3. Call duration'!$A:$C,3,0),"--")</f>
        <v>45.50984484</v>
      </c>
      <c r="J2395" s="65" t="str">
        <f t="array" ref="J2395">XLOOKUP(H2395,'2. Matching'!$A$2:$A$39,'2. Matching'!$B$2:$B$39,"--")</f>
        <v>Acquisition</v>
      </c>
      <c r="K2395" s="65" t="str">
        <f t="shared" si="1"/>
        <v>In</v>
      </c>
    </row>
    <row r="2396">
      <c r="A2396" s="62" t="s">
        <v>2534</v>
      </c>
      <c r="B2396" s="63">
        <v>44378.0</v>
      </c>
      <c r="C2396" s="62" t="s">
        <v>119</v>
      </c>
      <c r="D2396" s="64">
        <v>50.0</v>
      </c>
      <c r="E2396" s="62" t="s">
        <v>109</v>
      </c>
      <c r="F2396" s="62" t="s">
        <v>110</v>
      </c>
      <c r="G2396" s="64" t="s">
        <v>61</v>
      </c>
      <c r="H2396" s="3" t="s">
        <v>67</v>
      </c>
      <c r="I2396" s="65">
        <f>IFERROR(VLOOKUP(A2396,'3. Call duration'!$A:$C,3,0),"--")</f>
        <v>49.24100473</v>
      </c>
      <c r="J2396" s="65" t="str">
        <f t="array" ref="J2396">XLOOKUP(H2396,'2. Matching'!$A$2:$A$39,'2. Matching'!$B$2:$B$39,"--")</f>
        <v>Acquisition</v>
      </c>
      <c r="K2396" s="65" t="str">
        <f t="shared" si="1"/>
        <v>In</v>
      </c>
    </row>
    <row r="2397">
      <c r="A2397" s="62" t="s">
        <v>2535</v>
      </c>
      <c r="B2397" s="63">
        <v>44378.0</v>
      </c>
      <c r="C2397" s="62" t="s">
        <v>119</v>
      </c>
      <c r="D2397" s="64">
        <v>50.0</v>
      </c>
      <c r="E2397" s="62" t="s">
        <v>109</v>
      </c>
      <c r="F2397" s="62" t="s">
        <v>115</v>
      </c>
      <c r="G2397" s="64" t="s">
        <v>59</v>
      </c>
      <c r="H2397" s="3" t="s">
        <v>68</v>
      </c>
      <c r="I2397" s="65">
        <f>IFERROR(VLOOKUP(A2397,'3. Call duration'!$A:$C,3,0),"--")</f>
        <v>27.77989683</v>
      </c>
      <c r="J2397" s="65" t="str">
        <f t="array" ref="J2397">XLOOKUP(H2397,'2. Matching'!$A$2:$A$39,'2. Matching'!$B$2:$B$39,"--")</f>
        <v>Acquisition</v>
      </c>
      <c r="K2397" s="65" t="str">
        <f t="shared" si="1"/>
        <v>In</v>
      </c>
    </row>
    <row r="2398">
      <c r="A2398" s="62" t="s">
        <v>2536</v>
      </c>
      <c r="B2398" s="63">
        <v>44383.0</v>
      </c>
      <c r="C2398" s="62" t="s">
        <v>119</v>
      </c>
      <c r="D2398" s="64">
        <v>50.0</v>
      </c>
      <c r="E2398" s="62" t="s">
        <v>109</v>
      </c>
      <c r="F2398" s="62" t="s">
        <v>115</v>
      </c>
      <c r="G2398" s="64" t="s">
        <v>63</v>
      </c>
      <c r="H2398" s="3" t="s">
        <v>183</v>
      </c>
      <c r="I2398" s="65">
        <f>IFERROR(VLOOKUP(A2398,'3. Call duration'!$A:$C,3,0),"--")</f>
        <v>31.74533373</v>
      </c>
      <c r="J2398" s="65" t="str">
        <f t="array" ref="J2398">XLOOKUP(H2398,'2. Matching'!$A$2:$A$39,'2. Matching'!$B$2:$B$39,"--")</f>
        <v>SEO</v>
      </c>
      <c r="K2398" s="65" t="str">
        <f t="shared" si="1"/>
        <v>In</v>
      </c>
    </row>
    <row r="2399">
      <c r="A2399" s="62" t="s">
        <v>2537</v>
      </c>
      <c r="B2399" s="63">
        <v>44383.0</v>
      </c>
      <c r="C2399" s="62" t="s">
        <v>119</v>
      </c>
      <c r="D2399" s="64">
        <v>100.0</v>
      </c>
      <c r="E2399" s="62" t="s">
        <v>114</v>
      </c>
      <c r="F2399" s="62" t="s">
        <v>110</v>
      </c>
      <c r="G2399" s="64" t="s">
        <v>60</v>
      </c>
      <c r="H2399" s="3" t="s">
        <v>67</v>
      </c>
      <c r="I2399" s="65">
        <f>IFERROR(VLOOKUP(A2399,'3. Call duration'!$A:$C,3,0),"--")</f>
        <v>31.81543926</v>
      </c>
      <c r="J2399" s="65" t="str">
        <f t="array" ref="J2399">XLOOKUP(H2399,'2. Matching'!$A$2:$A$39,'2. Matching'!$B$2:$B$39,"--")</f>
        <v>Acquisition</v>
      </c>
      <c r="K2399" s="65" t="str">
        <f t="shared" si="1"/>
        <v>In</v>
      </c>
    </row>
    <row r="2400">
      <c r="A2400" s="62" t="s">
        <v>2538</v>
      </c>
      <c r="B2400" s="63">
        <v>44379.0</v>
      </c>
      <c r="C2400" s="62" t="s">
        <v>119</v>
      </c>
      <c r="D2400" s="64">
        <v>100.0</v>
      </c>
      <c r="E2400" s="62" t="s">
        <v>114</v>
      </c>
      <c r="F2400" s="62" t="s">
        <v>115</v>
      </c>
      <c r="G2400" s="64" t="s">
        <v>64</v>
      </c>
      <c r="H2400" s="3" t="s">
        <v>139</v>
      </c>
      <c r="I2400" s="65" t="str">
        <f>IFERROR(VLOOKUP(A2400,'3. Call duration'!$A:$C,3,0),"--")</f>
        <v>--</v>
      </c>
      <c r="J2400" s="65" t="str">
        <f t="array" ref="J2400">XLOOKUP(H2400,'2. Matching'!$A$2:$A$39,'2. Matching'!$B$2:$B$39,"--")</f>
        <v>Acquisition</v>
      </c>
      <c r="K2400" s="65" t="str">
        <f t="shared" si="1"/>
        <v>In</v>
      </c>
    </row>
    <row r="2401">
      <c r="A2401" s="62" t="s">
        <v>2539</v>
      </c>
      <c r="B2401" s="63">
        <v>44378.0</v>
      </c>
      <c r="C2401" s="62" t="s">
        <v>119</v>
      </c>
      <c r="D2401" s="64">
        <v>100.0</v>
      </c>
      <c r="E2401" s="62" t="s">
        <v>114</v>
      </c>
      <c r="F2401" s="62" t="s">
        <v>110</v>
      </c>
      <c r="G2401" s="64" t="s">
        <v>60</v>
      </c>
      <c r="H2401" s="3" t="s">
        <v>67</v>
      </c>
      <c r="I2401" s="65">
        <f>IFERROR(VLOOKUP(A2401,'3. Call duration'!$A:$C,3,0),"--")</f>
        <v>31.98334109</v>
      </c>
      <c r="J2401" s="65" t="str">
        <f t="array" ref="J2401">XLOOKUP(H2401,'2. Matching'!$A$2:$A$39,'2. Matching'!$B$2:$B$39,"--")</f>
        <v>Acquisition</v>
      </c>
      <c r="K2401" s="65" t="str">
        <f t="shared" si="1"/>
        <v>In</v>
      </c>
    </row>
    <row r="2402">
      <c r="A2402" s="62" t="s">
        <v>2540</v>
      </c>
      <c r="B2402" s="63">
        <v>44397.0</v>
      </c>
      <c r="C2402" s="62" t="s">
        <v>119</v>
      </c>
      <c r="D2402" s="64">
        <v>100.0</v>
      </c>
      <c r="E2402" s="62" t="s">
        <v>114</v>
      </c>
      <c r="F2402" s="62" t="s">
        <v>115</v>
      </c>
      <c r="G2402" s="64" t="s">
        <v>64</v>
      </c>
      <c r="H2402" s="3" t="s">
        <v>116</v>
      </c>
      <c r="I2402" s="65">
        <f>IFERROR(VLOOKUP(A2402,'3. Call duration'!$A:$C,3,0),"--")</f>
        <v>29.18992618</v>
      </c>
      <c r="J2402" s="65" t="str">
        <f t="array" ref="J2402">XLOOKUP(H2402,'2. Matching'!$A$2:$A$39,'2. Matching'!$B$2:$B$39,"--")</f>
        <v>Acquisition</v>
      </c>
      <c r="K2402" s="65" t="str">
        <f t="shared" si="1"/>
        <v>In</v>
      </c>
    </row>
    <row r="2403">
      <c r="A2403" s="62" t="s">
        <v>2541</v>
      </c>
      <c r="B2403" s="63">
        <v>44392.0</v>
      </c>
      <c r="C2403" s="62" t="s">
        <v>119</v>
      </c>
      <c r="D2403" s="64">
        <v>100.0</v>
      </c>
      <c r="E2403" s="62" t="s">
        <v>114</v>
      </c>
      <c r="F2403" s="62" t="s">
        <v>110</v>
      </c>
      <c r="G2403" s="64" t="s">
        <v>64</v>
      </c>
      <c r="H2403" s="3" t="s">
        <v>135</v>
      </c>
      <c r="I2403" s="65">
        <f>IFERROR(VLOOKUP(A2403,'3. Call duration'!$A:$C,3,0),"--")</f>
        <v>22.60703212</v>
      </c>
      <c r="J2403" s="65" t="str">
        <f t="array" ref="J2403">XLOOKUP(H2403,'2. Matching'!$A$2:$A$39,'2. Matching'!$B$2:$B$39,"--")</f>
        <v>Acquisition</v>
      </c>
      <c r="K2403" s="65" t="str">
        <f t="shared" si="1"/>
        <v>In</v>
      </c>
    </row>
    <row r="2404">
      <c r="A2404" s="62" t="s">
        <v>2542</v>
      </c>
      <c r="B2404" s="63">
        <v>44384.0</v>
      </c>
      <c r="C2404" s="62" t="s">
        <v>119</v>
      </c>
      <c r="D2404" s="64">
        <v>100.0</v>
      </c>
      <c r="E2404" s="62" t="s">
        <v>114</v>
      </c>
      <c r="F2404" s="62" t="s">
        <v>110</v>
      </c>
      <c r="G2404" s="64" t="s">
        <v>60</v>
      </c>
      <c r="H2404" s="3" t="s">
        <v>67</v>
      </c>
      <c r="I2404" s="65">
        <f>IFERROR(VLOOKUP(A2404,'3. Call duration'!$A:$C,3,0),"--")</f>
        <v>32.94568676</v>
      </c>
      <c r="J2404" s="65" t="str">
        <f t="array" ref="J2404">XLOOKUP(H2404,'2. Matching'!$A$2:$A$39,'2. Matching'!$B$2:$B$39,"--")</f>
        <v>Acquisition</v>
      </c>
      <c r="K2404" s="65" t="str">
        <f t="shared" si="1"/>
        <v>In</v>
      </c>
    </row>
    <row r="2405">
      <c r="A2405" s="62" t="s">
        <v>2543</v>
      </c>
      <c r="B2405" s="63">
        <v>44380.0</v>
      </c>
      <c r="C2405" s="62" t="s">
        <v>119</v>
      </c>
      <c r="D2405" s="64">
        <v>100.0</v>
      </c>
      <c r="E2405" s="62" t="s">
        <v>114</v>
      </c>
      <c r="F2405" s="62" t="s">
        <v>110</v>
      </c>
      <c r="G2405" s="64" t="s">
        <v>60</v>
      </c>
      <c r="H2405" s="3" t="s">
        <v>67</v>
      </c>
      <c r="I2405" s="65">
        <f>IFERROR(VLOOKUP(A2405,'3. Call duration'!$A:$C,3,0),"--")</f>
        <v>31.85177906</v>
      </c>
      <c r="J2405" s="65" t="str">
        <f t="array" ref="J2405">XLOOKUP(H2405,'2. Matching'!$A$2:$A$39,'2. Matching'!$B$2:$B$39,"--")</f>
        <v>Acquisition</v>
      </c>
      <c r="K2405" s="65" t="str">
        <f t="shared" si="1"/>
        <v>In</v>
      </c>
    </row>
    <row r="2406">
      <c r="A2406" s="62" t="s">
        <v>2544</v>
      </c>
      <c r="B2406" s="63">
        <v>44380.0</v>
      </c>
      <c r="C2406" s="62" t="s">
        <v>119</v>
      </c>
      <c r="D2406" s="64">
        <v>100.0</v>
      </c>
      <c r="E2406" s="62" t="s">
        <v>114</v>
      </c>
      <c r="F2406" s="62" t="s">
        <v>110</v>
      </c>
      <c r="G2406" s="64" t="s">
        <v>60</v>
      </c>
      <c r="H2406" s="3" t="s">
        <v>67</v>
      </c>
      <c r="I2406" s="65">
        <f>IFERROR(VLOOKUP(A2406,'3. Call duration'!$A:$C,3,0),"--")</f>
        <v>20.7556422</v>
      </c>
      <c r="J2406" s="65" t="str">
        <f t="array" ref="J2406">XLOOKUP(H2406,'2. Matching'!$A$2:$A$39,'2. Matching'!$B$2:$B$39,"--")</f>
        <v>Acquisition</v>
      </c>
      <c r="K2406" s="65" t="str">
        <f t="shared" si="1"/>
        <v>In</v>
      </c>
    </row>
    <row r="2407">
      <c r="A2407" s="62" t="s">
        <v>2545</v>
      </c>
      <c r="B2407" s="63">
        <v>44385.0</v>
      </c>
      <c r="C2407" s="62" t="s">
        <v>119</v>
      </c>
      <c r="D2407" s="64">
        <v>100.0</v>
      </c>
      <c r="E2407" s="62" t="s">
        <v>114</v>
      </c>
      <c r="F2407" s="62" t="s">
        <v>110</v>
      </c>
      <c r="G2407" s="64" t="s">
        <v>63</v>
      </c>
      <c r="H2407" s="3" t="s">
        <v>124</v>
      </c>
      <c r="I2407" s="65" t="str">
        <f>IFERROR(VLOOKUP(A2407,'3. Call duration'!$A:$C,3,0),"--")</f>
        <v>--</v>
      </c>
      <c r="J2407" s="65" t="str">
        <f t="array" ref="J2407">XLOOKUP(H2407,'2. Matching'!$A$2:$A$39,'2. Matching'!$B$2:$B$39,"--")</f>
        <v>Acquisition</v>
      </c>
      <c r="K2407" s="65" t="str">
        <f t="shared" si="1"/>
        <v>In</v>
      </c>
    </row>
    <row r="2408">
      <c r="A2408" s="62" t="s">
        <v>2546</v>
      </c>
      <c r="B2408" s="63">
        <v>44384.0</v>
      </c>
      <c r="C2408" s="62" t="s">
        <v>119</v>
      </c>
      <c r="D2408" s="64">
        <v>100.0</v>
      </c>
      <c r="E2408" s="62" t="s">
        <v>114</v>
      </c>
      <c r="F2408" s="62" t="s">
        <v>110</v>
      </c>
      <c r="G2408" s="64" t="s">
        <v>64</v>
      </c>
      <c r="H2408" s="3" t="s">
        <v>175</v>
      </c>
      <c r="I2408" s="65">
        <f>IFERROR(VLOOKUP(A2408,'3. Call duration'!$A:$C,3,0),"--")</f>
        <v>32.35366484</v>
      </c>
      <c r="J2408" s="65" t="str">
        <f t="array" ref="J2408">XLOOKUP(H2408,'2. Matching'!$A$2:$A$39,'2. Matching'!$B$2:$B$39,"--")</f>
        <v>SEO</v>
      </c>
      <c r="K2408" s="65" t="str">
        <f t="shared" si="1"/>
        <v>In</v>
      </c>
    </row>
    <row r="2409">
      <c r="A2409" s="62" t="s">
        <v>2547</v>
      </c>
      <c r="B2409" s="63">
        <v>44385.0</v>
      </c>
      <c r="C2409" s="62" t="s">
        <v>119</v>
      </c>
      <c r="D2409" s="64">
        <v>100.0</v>
      </c>
      <c r="E2409" s="62" t="s">
        <v>114</v>
      </c>
      <c r="F2409" s="62" t="s">
        <v>110</v>
      </c>
      <c r="G2409" s="64" t="s">
        <v>64</v>
      </c>
      <c r="H2409" s="3" t="s">
        <v>221</v>
      </c>
      <c r="I2409" s="65">
        <f>IFERROR(VLOOKUP(A2409,'3. Call duration'!$A:$C,3,0),"--")</f>
        <v>24.28745936</v>
      </c>
      <c r="J2409" s="65" t="str">
        <f t="array" ref="J2409">XLOOKUP(H2409,'2. Matching'!$A$2:$A$39,'2. Matching'!$B$2:$B$39,"--")</f>
        <v>Farming</v>
      </c>
      <c r="K2409" s="65" t="str">
        <f t="shared" si="1"/>
        <v>In</v>
      </c>
    </row>
    <row r="2410">
      <c r="A2410" s="62" t="s">
        <v>2548</v>
      </c>
      <c r="B2410" s="63">
        <v>44383.0</v>
      </c>
      <c r="C2410" s="62" t="s">
        <v>119</v>
      </c>
      <c r="D2410" s="64">
        <v>100.0</v>
      </c>
      <c r="E2410" s="62" t="s">
        <v>114</v>
      </c>
      <c r="F2410" s="62" t="s">
        <v>115</v>
      </c>
      <c r="G2410" s="64" t="s">
        <v>63</v>
      </c>
      <c r="H2410" s="3" t="s">
        <v>128</v>
      </c>
      <c r="I2410" s="65">
        <f>IFERROR(VLOOKUP(A2410,'3. Call duration'!$A:$C,3,0),"--")</f>
        <v>42.61172357</v>
      </c>
      <c r="J2410" s="65" t="str">
        <f t="array" ref="J2410">XLOOKUP(H2410,'2. Matching'!$A$2:$A$39,'2. Matching'!$B$2:$B$39,"--")</f>
        <v>Acquisition</v>
      </c>
      <c r="K2410" s="65" t="str">
        <f t="shared" si="1"/>
        <v>In</v>
      </c>
    </row>
    <row r="2411">
      <c r="A2411" s="62" t="s">
        <v>2549</v>
      </c>
      <c r="B2411" s="63">
        <v>44378.0</v>
      </c>
      <c r="C2411" s="62" t="s">
        <v>119</v>
      </c>
      <c r="D2411" s="64">
        <v>100.0</v>
      </c>
      <c r="E2411" s="62" t="s">
        <v>114</v>
      </c>
      <c r="F2411" s="62" t="s">
        <v>115</v>
      </c>
      <c r="G2411" s="64" t="s">
        <v>64</v>
      </c>
      <c r="H2411" s="3" t="s">
        <v>131</v>
      </c>
      <c r="I2411" s="65">
        <f>IFERROR(VLOOKUP(A2411,'3. Call duration'!$A:$C,3,0),"--")</f>
        <v>27.55418791</v>
      </c>
      <c r="J2411" s="65" t="str">
        <f t="array" ref="J2411">XLOOKUP(H2411,'2. Matching'!$A$2:$A$39,'2. Matching'!$B$2:$B$39,"--")</f>
        <v>Acquisition</v>
      </c>
      <c r="K2411" s="65" t="str">
        <f t="shared" si="1"/>
        <v>In</v>
      </c>
    </row>
    <row r="2412">
      <c r="A2412" s="62" t="s">
        <v>2550</v>
      </c>
      <c r="B2412" s="63">
        <v>44389.0</v>
      </c>
      <c r="C2412" s="62" t="s">
        <v>119</v>
      </c>
      <c r="D2412" s="64">
        <v>100.0</v>
      </c>
      <c r="E2412" s="62" t="s">
        <v>114</v>
      </c>
      <c r="F2412" s="62" t="s">
        <v>115</v>
      </c>
      <c r="G2412" s="64" t="s">
        <v>64</v>
      </c>
      <c r="H2412" s="3" t="s">
        <v>164</v>
      </c>
      <c r="I2412" s="65">
        <f>IFERROR(VLOOKUP(A2412,'3. Call duration'!$A:$C,3,0),"--")</f>
        <v>20.08751145</v>
      </c>
      <c r="J2412" s="65" t="str">
        <f t="array" ref="J2412">XLOOKUP(H2412,'2. Matching'!$A$2:$A$39,'2. Matching'!$B$2:$B$39,"--")</f>
        <v>SEO</v>
      </c>
      <c r="K2412" s="65" t="str">
        <f t="shared" si="1"/>
        <v>In</v>
      </c>
    </row>
    <row r="2413">
      <c r="A2413" s="62" t="s">
        <v>2551</v>
      </c>
      <c r="B2413" s="63">
        <v>44383.0</v>
      </c>
      <c r="C2413" s="62" t="s">
        <v>119</v>
      </c>
      <c r="D2413" s="64">
        <v>100.0</v>
      </c>
      <c r="E2413" s="62" t="s">
        <v>114</v>
      </c>
      <c r="F2413" s="62" t="s">
        <v>110</v>
      </c>
      <c r="G2413" s="64" t="s">
        <v>60</v>
      </c>
      <c r="H2413" s="3" t="s">
        <v>67</v>
      </c>
      <c r="I2413" s="65">
        <f>IFERROR(VLOOKUP(A2413,'3. Call duration'!$A:$C,3,0),"--")</f>
        <v>30.36142203</v>
      </c>
      <c r="J2413" s="65" t="str">
        <f t="array" ref="J2413">XLOOKUP(H2413,'2. Matching'!$A$2:$A$39,'2. Matching'!$B$2:$B$39,"--")</f>
        <v>Acquisition</v>
      </c>
      <c r="K2413" s="65" t="str">
        <f t="shared" si="1"/>
        <v>In</v>
      </c>
    </row>
    <row r="2414">
      <c r="A2414" s="62" t="s">
        <v>2552</v>
      </c>
      <c r="B2414" s="63">
        <v>44386.0</v>
      </c>
      <c r="C2414" s="62" t="s">
        <v>119</v>
      </c>
      <c r="D2414" s="64">
        <v>100.0</v>
      </c>
      <c r="E2414" s="62" t="s">
        <v>114</v>
      </c>
      <c r="F2414" s="62" t="s">
        <v>115</v>
      </c>
      <c r="G2414" s="64" t="s">
        <v>63</v>
      </c>
      <c r="H2414" s="3" t="s">
        <v>124</v>
      </c>
      <c r="I2414" s="65">
        <f>IFERROR(VLOOKUP(A2414,'3. Call duration'!$A:$C,3,0),"--")</f>
        <v>23.80602636</v>
      </c>
      <c r="J2414" s="65" t="str">
        <f t="array" ref="J2414">XLOOKUP(H2414,'2. Matching'!$A$2:$A$39,'2. Matching'!$B$2:$B$39,"--")</f>
        <v>Acquisition</v>
      </c>
      <c r="K2414" s="65" t="str">
        <f t="shared" si="1"/>
        <v>In</v>
      </c>
    </row>
    <row r="2415">
      <c r="A2415" s="62" t="s">
        <v>2553</v>
      </c>
      <c r="B2415" s="63">
        <v>44393.0</v>
      </c>
      <c r="C2415" s="62" t="s">
        <v>119</v>
      </c>
      <c r="D2415" s="64">
        <v>100.0</v>
      </c>
      <c r="E2415" s="62" t="s">
        <v>114</v>
      </c>
      <c r="F2415" s="62" t="s">
        <v>110</v>
      </c>
      <c r="G2415" s="64" t="s">
        <v>60</v>
      </c>
      <c r="H2415" s="3" t="s">
        <v>67</v>
      </c>
      <c r="I2415" s="65">
        <f>IFERROR(VLOOKUP(A2415,'3. Call duration'!$A:$C,3,0),"--")</f>
        <v>20.94918385</v>
      </c>
      <c r="J2415" s="65" t="str">
        <f t="array" ref="J2415">XLOOKUP(H2415,'2. Matching'!$A$2:$A$39,'2. Matching'!$B$2:$B$39,"--")</f>
        <v>Acquisition</v>
      </c>
      <c r="K2415" s="65" t="str">
        <f t="shared" si="1"/>
        <v>In</v>
      </c>
    </row>
    <row r="2416">
      <c r="A2416" s="62" t="s">
        <v>2554</v>
      </c>
      <c r="B2416" s="63">
        <v>44384.0</v>
      </c>
      <c r="C2416" s="62" t="s">
        <v>119</v>
      </c>
      <c r="D2416" s="64">
        <v>100.0</v>
      </c>
      <c r="E2416" s="62" t="s">
        <v>114</v>
      </c>
      <c r="F2416" s="62" t="s">
        <v>115</v>
      </c>
      <c r="G2416" s="64" t="s">
        <v>64</v>
      </c>
      <c r="H2416" s="3" t="s">
        <v>169</v>
      </c>
      <c r="I2416" s="65">
        <f>IFERROR(VLOOKUP(A2416,'3. Call duration'!$A:$C,3,0),"--")</f>
        <v>20.48544296</v>
      </c>
      <c r="J2416" s="65" t="str">
        <f t="array" ref="J2416">XLOOKUP(H2416,'2. Matching'!$A$2:$A$39,'2. Matching'!$B$2:$B$39,"--")</f>
        <v>SEO</v>
      </c>
      <c r="K2416" s="65" t="str">
        <f t="shared" si="1"/>
        <v>In</v>
      </c>
    </row>
    <row r="2417">
      <c r="A2417" s="62" t="s">
        <v>2555</v>
      </c>
      <c r="B2417" s="63">
        <v>44379.0</v>
      </c>
      <c r="C2417" s="62" t="s">
        <v>119</v>
      </c>
      <c r="D2417" s="64">
        <v>100.0</v>
      </c>
      <c r="E2417" s="62" t="s">
        <v>114</v>
      </c>
      <c r="F2417" s="62" t="s">
        <v>110</v>
      </c>
      <c r="G2417" s="64" t="s">
        <v>64</v>
      </c>
      <c r="H2417" s="3" t="s">
        <v>116</v>
      </c>
      <c r="I2417" s="65">
        <f>IFERROR(VLOOKUP(A2417,'3. Call duration'!$A:$C,3,0),"--")</f>
        <v>21.7940079</v>
      </c>
      <c r="J2417" s="65" t="str">
        <f t="array" ref="J2417">XLOOKUP(H2417,'2. Matching'!$A$2:$A$39,'2. Matching'!$B$2:$B$39,"--")</f>
        <v>Acquisition</v>
      </c>
      <c r="K2417" s="65" t="str">
        <f t="shared" si="1"/>
        <v>In</v>
      </c>
    </row>
    <row r="2418">
      <c r="A2418" s="62" t="s">
        <v>2556</v>
      </c>
      <c r="B2418" s="63">
        <v>44385.0</v>
      </c>
      <c r="C2418" s="62" t="s">
        <v>119</v>
      </c>
      <c r="D2418" s="64">
        <v>100.0</v>
      </c>
      <c r="E2418" s="62" t="s">
        <v>114</v>
      </c>
      <c r="F2418" s="62" t="s">
        <v>115</v>
      </c>
      <c r="G2418" s="64" t="s">
        <v>59</v>
      </c>
      <c r="H2418" s="3" t="s">
        <v>53</v>
      </c>
      <c r="I2418" s="65">
        <f>IFERROR(VLOOKUP(A2418,'3. Call duration'!$A:$C,3,0),"--")</f>
        <v>18.06579421</v>
      </c>
      <c r="J2418" s="65" t="str">
        <f t="array" ref="J2418">XLOOKUP(H2418,'2. Matching'!$A$2:$A$39,'2. Matching'!$B$2:$B$39,"--")</f>
        <v>Partnerships</v>
      </c>
      <c r="K2418" s="65" t="str">
        <f t="shared" si="1"/>
        <v>In</v>
      </c>
    </row>
    <row r="2419">
      <c r="A2419" s="62" t="s">
        <v>2557</v>
      </c>
      <c r="B2419" s="63">
        <v>44393.0</v>
      </c>
      <c r="C2419" s="62" t="s">
        <v>119</v>
      </c>
      <c r="D2419" s="64">
        <v>100.0</v>
      </c>
      <c r="E2419" s="62" t="s">
        <v>114</v>
      </c>
      <c r="F2419" s="62" t="s">
        <v>115</v>
      </c>
      <c r="G2419" s="64" t="s">
        <v>64</v>
      </c>
      <c r="H2419" s="3" t="s">
        <v>221</v>
      </c>
      <c r="I2419" s="65">
        <f>IFERROR(VLOOKUP(A2419,'3. Call duration'!$A:$C,3,0),"--")</f>
        <v>16.1671255</v>
      </c>
      <c r="J2419" s="65" t="str">
        <f t="array" ref="J2419">XLOOKUP(H2419,'2. Matching'!$A$2:$A$39,'2. Matching'!$B$2:$B$39,"--")</f>
        <v>Farming</v>
      </c>
      <c r="K2419" s="65" t="str">
        <f t="shared" si="1"/>
        <v>In</v>
      </c>
    </row>
    <row r="2420">
      <c r="A2420" s="62" t="s">
        <v>2558</v>
      </c>
      <c r="B2420" s="63">
        <v>44389.0</v>
      </c>
      <c r="C2420" s="62" t="s">
        <v>119</v>
      </c>
      <c r="D2420" s="64">
        <v>100.0</v>
      </c>
      <c r="E2420" s="62" t="s">
        <v>114</v>
      </c>
      <c r="F2420" s="62" t="s">
        <v>110</v>
      </c>
      <c r="G2420" s="64" t="s">
        <v>60</v>
      </c>
      <c r="H2420" s="3" t="s">
        <v>67</v>
      </c>
      <c r="I2420" s="65">
        <f>IFERROR(VLOOKUP(A2420,'3. Call duration'!$A:$C,3,0),"--")</f>
        <v>13.1358544</v>
      </c>
      <c r="J2420" s="65" t="str">
        <f t="array" ref="J2420">XLOOKUP(H2420,'2. Matching'!$A$2:$A$39,'2. Matching'!$B$2:$B$39,"--")</f>
        <v>Acquisition</v>
      </c>
      <c r="K2420" s="65" t="str">
        <f t="shared" si="1"/>
        <v>In</v>
      </c>
    </row>
    <row r="2421">
      <c r="A2421" s="62" t="s">
        <v>2559</v>
      </c>
      <c r="B2421" s="63">
        <v>44394.0</v>
      </c>
      <c r="C2421" s="62" t="s">
        <v>119</v>
      </c>
      <c r="D2421" s="64">
        <v>100.0</v>
      </c>
      <c r="E2421" s="62" t="s">
        <v>114</v>
      </c>
      <c r="F2421" s="62" t="s">
        <v>110</v>
      </c>
      <c r="G2421" s="64" t="s">
        <v>60</v>
      </c>
      <c r="H2421" s="3" t="s">
        <v>67</v>
      </c>
      <c r="I2421" s="65">
        <f>IFERROR(VLOOKUP(A2421,'3. Call duration'!$A:$C,3,0),"--")</f>
        <v>26.68781341</v>
      </c>
      <c r="J2421" s="65" t="str">
        <f t="array" ref="J2421">XLOOKUP(H2421,'2. Matching'!$A$2:$A$39,'2. Matching'!$B$2:$B$39,"--")</f>
        <v>Acquisition</v>
      </c>
      <c r="K2421" s="65" t="str">
        <f t="shared" si="1"/>
        <v>In</v>
      </c>
    </row>
    <row r="2422">
      <c r="A2422" s="62" t="s">
        <v>2560</v>
      </c>
      <c r="B2422" s="63">
        <v>44383.0</v>
      </c>
      <c r="C2422" s="62" t="s">
        <v>119</v>
      </c>
      <c r="D2422" s="64">
        <v>100.0</v>
      </c>
      <c r="E2422" s="62" t="s">
        <v>114</v>
      </c>
      <c r="F2422" s="62" t="s">
        <v>110</v>
      </c>
      <c r="G2422" s="64" t="s">
        <v>64</v>
      </c>
      <c r="H2422" s="3" t="s">
        <v>139</v>
      </c>
      <c r="I2422" s="65">
        <f>IFERROR(VLOOKUP(A2422,'3. Call duration'!$A:$C,3,0),"--")</f>
        <v>32.23950856</v>
      </c>
      <c r="J2422" s="65" t="str">
        <f t="array" ref="J2422">XLOOKUP(H2422,'2. Matching'!$A$2:$A$39,'2. Matching'!$B$2:$B$39,"--")</f>
        <v>Acquisition</v>
      </c>
      <c r="K2422" s="65" t="str">
        <f t="shared" si="1"/>
        <v>In</v>
      </c>
    </row>
    <row r="2423">
      <c r="A2423" s="62" t="s">
        <v>2561</v>
      </c>
      <c r="B2423" s="63">
        <v>44384.0</v>
      </c>
      <c r="C2423" s="62" t="s">
        <v>119</v>
      </c>
      <c r="D2423" s="64">
        <v>100.0</v>
      </c>
      <c r="E2423" s="62" t="s">
        <v>114</v>
      </c>
      <c r="F2423" s="62" t="s">
        <v>115</v>
      </c>
      <c r="G2423" s="64" t="s">
        <v>64</v>
      </c>
      <c r="H2423" s="3" t="s">
        <v>139</v>
      </c>
      <c r="I2423" s="65">
        <f>IFERROR(VLOOKUP(A2423,'3. Call duration'!$A:$C,3,0),"--")</f>
        <v>29.23090361</v>
      </c>
      <c r="J2423" s="65" t="str">
        <f t="array" ref="J2423">XLOOKUP(H2423,'2. Matching'!$A$2:$A$39,'2. Matching'!$B$2:$B$39,"--")</f>
        <v>Acquisition</v>
      </c>
      <c r="K2423" s="65" t="str">
        <f t="shared" si="1"/>
        <v>In</v>
      </c>
    </row>
    <row r="2424">
      <c r="A2424" s="62" t="s">
        <v>2562</v>
      </c>
      <c r="B2424" s="63">
        <v>44386.0</v>
      </c>
      <c r="C2424" s="62" t="s">
        <v>119</v>
      </c>
      <c r="D2424" s="64">
        <v>100.0</v>
      </c>
      <c r="E2424" s="62" t="s">
        <v>114</v>
      </c>
      <c r="F2424" s="62" t="s">
        <v>110</v>
      </c>
      <c r="G2424" s="64" t="s">
        <v>61</v>
      </c>
      <c r="H2424" s="3" t="s">
        <v>67</v>
      </c>
      <c r="I2424" s="65">
        <f>IFERROR(VLOOKUP(A2424,'3. Call duration'!$A:$C,3,0),"--")</f>
        <v>32.62870517</v>
      </c>
      <c r="J2424" s="65" t="str">
        <f t="array" ref="J2424">XLOOKUP(H2424,'2. Matching'!$A$2:$A$39,'2. Matching'!$B$2:$B$39,"--")</f>
        <v>Acquisition</v>
      </c>
      <c r="K2424" s="65" t="str">
        <f t="shared" si="1"/>
        <v>In</v>
      </c>
    </row>
    <row r="2425">
      <c r="A2425" s="62" t="s">
        <v>2563</v>
      </c>
      <c r="B2425" s="63">
        <v>44387.0</v>
      </c>
      <c r="C2425" s="62" t="s">
        <v>119</v>
      </c>
      <c r="D2425" s="64">
        <v>100.0</v>
      </c>
      <c r="E2425" s="62" t="s">
        <v>114</v>
      </c>
      <c r="F2425" s="62" t="s">
        <v>110</v>
      </c>
      <c r="G2425" s="64" t="s">
        <v>60</v>
      </c>
      <c r="H2425" s="3" t="s">
        <v>67</v>
      </c>
      <c r="I2425" s="65">
        <f>IFERROR(VLOOKUP(A2425,'3. Call duration'!$A:$C,3,0),"--")</f>
        <v>31.61239974</v>
      </c>
      <c r="J2425" s="65" t="str">
        <f t="array" ref="J2425">XLOOKUP(H2425,'2. Matching'!$A$2:$A$39,'2. Matching'!$B$2:$B$39,"--")</f>
        <v>Acquisition</v>
      </c>
      <c r="K2425" s="65" t="str">
        <f t="shared" si="1"/>
        <v>In</v>
      </c>
    </row>
    <row r="2426">
      <c r="A2426" s="62" t="s">
        <v>2564</v>
      </c>
      <c r="B2426" s="63">
        <v>44391.0</v>
      </c>
      <c r="C2426" s="62" t="s">
        <v>119</v>
      </c>
      <c r="D2426" s="64">
        <v>100.0</v>
      </c>
      <c r="E2426" s="62" t="s">
        <v>114</v>
      </c>
      <c r="F2426" s="62" t="s">
        <v>110</v>
      </c>
      <c r="G2426" s="64" t="s">
        <v>64</v>
      </c>
      <c r="H2426" s="3" t="s">
        <v>164</v>
      </c>
      <c r="I2426" s="65">
        <f>IFERROR(VLOOKUP(A2426,'3. Call duration'!$A:$C,3,0),"--")</f>
        <v>32.38731214</v>
      </c>
      <c r="J2426" s="65" t="str">
        <f t="array" ref="J2426">XLOOKUP(H2426,'2. Matching'!$A$2:$A$39,'2. Matching'!$B$2:$B$39,"--")</f>
        <v>SEO</v>
      </c>
      <c r="K2426" s="65" t="str">
        <f t="shared" si="1"/>
        <v>In</v>
      </c>
    </row>
    <row r="2427">
      <c r="A2427" s="62" t="s">
        <v>2565</v>
      </c>
      <c r="B2427" s="63">
        <v>44383.0</v>
      </c>
      <c r="C2427" s="62" t="s">
        <v>119</v>
      </c>
      <c r="D2427" s="64">
        <v>100.0</v>
      </c>
      <c r="E2427" s="62" t="s">
        <v>114</v>
      </c>
      <c r="F2427" s="62" t="s">
        <v>115</v>
      </c>
      <c r="G2427" s="64" t="s">
        <v>60</v>
      </c>
      <c r="H2427" s="3" t="s">
        <v>68</v>
      </c>
      <c r="I2427" s="65">
        <f>IFERROR(VLOOKUP(A2427,'3. Call duration'!$A:$C,3,0),"--")</f>
        <v>14.52669377</v>
      </c>
      <c r="J2427" s="65" t="str">
        <f t="array" ref="J2427">XLOOKUP(H2427,'2. Matching'!$A$2:$A$39,'2. Matching'!$B$2:$B$39,"--")</f>
        <v>Acquisition</v>
      </c>
      <c r="K2427" s="65" t="str">
        <f t="shared" si="1"/>
        <v>In</v>
      </c>
    </row>
    <row r="2428">
      <c r="A2428" s="62" t="s">
        <v>2566</v>
      </c>
      <c r="B2428" s="63">
        <v>44392.0</v>
      </c>
      <c r="C2428" s="62" t="s">
        <v>119</v>
      </c>
      <c r="D2428" s="64">
        <v>100.0</v>
      </c>
      <c r="E2428" s="62" t="s">
        <v>114</v>
      </c>
      <c r="F2428" s="62" t="s">
        <v>110</v>
      </c>
      <c r="G2428" s="64" t="s">
        <v>64</v>
      </c>
      <c r="H2428" s="3" t="s">
        <v>139</v>
      </c>
      <c r="I2428" s="65">
        <f>IFERROR(VLOOKUP(A2428,'3. Call duration'!$A:$C,3,0),"--")</f>
        <v>22.92454602</v>
      </c>
      <c r="J2428" s="65" t="str">
        <f t="array" ref="J2428">XLOOKUP(H2428,'2. Matching'!$A$2:$A$39,'2. Matching'!$B$2:$B$39,"--")</f>
        <v>Acquisition</v>
      </c>
      <c r="K2428" s="65" t="str">
        <f t="shared" si="1"/>
        <v>In</v>
      </c>
    </row>
    <row r="2429">
      <c r="A2429" s="62" t="s">
        <v>2567</v>
      </c>
      <c r="B2429" s="63">
        <v>44386.0</v>
      </c>
      <c r="C2429" s="62" t="s">
        <v>119</v>
      </c>
      <c r="D2429" s="64">
        <v>100.0</v>
      </c>
      <c r="E2429" s="62" t="s">
        <v>114</v>
      </c>
      <c r="F2429" s="62" t="s">
        <v>110</v>
      </c>
      <c r="G2429" s="64" t="s">
        <v>61</v>
      </c>
      <c r="H2429" s="3" t="s">
        <v>67</v>
      </c>
      <c r="I2429" s="65">
        <f>IFERROR(VLOOKUP(A2429,'3. Call duration'!$A:$C,3,0),"--")</f>
        <v>21.99663335</v>
      </c>
      <c r="J2429" s="65" t="str">
        <f t="array" ref="J2429">XLOOKUP(H2429,'2. Matching'!$A$2:$A$39,'2. Matching'!$B$2:$B$39,"--")</f>
        <v>Acquisition</v>
      </c>
      <c r="K2429" s="65" t="str">
        <f t="shared" si="1"/>
        <v>In</v>
      </c>
    </row>
    <row r="2430">
      <c r="A2430" s="62" t="s">
        <v>2568</v>
      </c>
      <c r="B2430" s="63">
        <v>44389.0</v>
      </c>
      <c r="C2430" s="62" t="s">
        <v>119</v>
      </c>
      <c r="D2430" s="64">
        <v>100.0</v>
      </c>
      <c r="E2430" s="62" t="s">
        <v>114</v>
      </c>
      <c r="F2430" s="62" t="s">
        <v>110</v>
      </c>
      <c r="G2430" s="64" t="s">
        <v>60</v>
      </c>
      <c r="H2430" s="3" t="s">
        <v>68</v>
      </c>
      <c r="I2430" s="65">
        <f>IFERROR(VLOOKUP(A2430,'3. Call duration'!$A:$C,3,0),"--")</f>
        <v>30.86794263</v>
      </c>
      <c r="J2430" s="65" t="str">
        <f t="array" ref="J2430">XLOOKUP(H2430,'2. Matching'!$A$2:$A$39,'2. Matching'!$B$2:$B$39,"--")</f>
        <v>Acquisition</v>
      </c>
      <c r="K2430" s="65" t="str">
        <f t="shared" si="1"/>
        <v>In</v>
      </c>
    </row>
    <row r="2431">
      <c r="A2431" s="62" t="s">
        <v>2569</v>
      </c>
      <c r="B2431" s="63">
        <v>44389.0</v>
      </c>
      <c r="C2431" s="62" t="s">
        <v>119</v>
      </c>
      <c r="D2431" s="64">
        <v>100.0</v>
      </c>
      <c r="E2431" s="62" t="s">
        <v>114</v>
      </c>
      <c r="F2431" s="62" t="s">
        <v>115</v>
      </c>
      <c r="G2431" s="64" t="s">
        <v>64</v>
      </c>
      <c r="H2431" s="3" t="s">
        <v>139</v>
      </c>
      <c r="I2431" s="65">
        <f>IFERROR(VLOOKUP(A2431,'3. Call duration'!$A:$C,3,0),"--")</f>
        <v>33.47184841</v>
      </c>
      <c r="J2431" s="65" t="str">
        <f t="array" ref="J2431">XLOOKUP(H2431,'2. Matching'!$A$2:$A$39,'2. Matching'!$B$2:$B$39,"--")</f>
        <v>Acquisition</v>
      </c>
      <c r="K2431" s="65" t="str">
        <f t="shared" si="1"/>
        <v>In</v>
      </c>
    </row>
    <row r="2432">
      <c r="A2432" s="62" t="s">
        <v>2570</v>
      </c>
      <c r="B2432" s="63">
        <v>44390.0</v>
      </c>
      <c r="C2432" s="62" t="s">
        <v>119</v>
      </c>
      <c r="D2432" s="64">
        <v>100.0</v>
      </c>
      <c r="E2432" s="62" t="s">
        <v>114</v>
      </c>
      <c r="F2432" s="62" t="s">
        <v>110</v>
      </c>
      <c r="G2432" s="64" t="s">
        <v>61</v>
      </c>
      <c r="H2432" s="3" t="s">
        <v>67</v>
      </c>
      <c r="I2432" s="65">
        <f>IFERROR(VLOOKUP(A2432,'3. Call duration'!$A:$C,3,0),"--")</f>
        <v>30.44300122</v>
      </c>
      <c r="J2432" s="65" t="str">
        <f t="array" ref="J2432">XLOOKUP(H2432,'2. Matching'!$A$2:$A$39,'2. Matching'!$B$2:$B$39,"--")</f>
        <v>Acquisition</v>
      </c>
      <c r="K2432" s="65" t="str">
        <f t="shared" si="1"/>
        <v>In</v>
      </c>
    </row>
    <row r="2433">
      <c r="A2433" s="62" t="s">
        <v>2571</v>
      </c>
      <c r="B2433" s="63">
        <v>44387.0</v>
      </c>
      <c r="C2433" s="62" t="s">
        <v>119</v>
      </c>
      <c r="D2433" s="64">
        <v>100.0</v>
      </c>
      <c r="E2433" s="62" t="s">
        <v>114</v>
      </c>
      <c r="F2433" s="62" t="s">
        <v>115</v>
      </c>
      <c r="G2433" s="64" t="s">
        <v>112</v>
      </c>
      <c r="H2433" s="3"/>
      <c r="I2433" s="65">
        <f>IFERROR(VLOOKUP(A2433,'3. Call duration'!$A:$C,3,0),"--")</f>
        <v>25.49620325</v>
      </c>
      <c r="J2433" s="65" t="str">
        <f t="array" ref="J2433">XLOOKUP(H2433,'2. Matching'!$A$2:$A$39,'2. Matching'!$B$2:$B$39,"--")</f>
        <v>--</v>
      </c>
      <c r="K2433" s="65" t="str">
        <f t="shared" si="1"/>
        <v>In</v>
      </c>
    </row>
    <row r="2434">
      <c r="A2434" s="62" t="s">
        <v>2572</v>
      </c>
      <c r="B2434" s="63">
        <v>44381.0</v>
      </c>
      <c r="C2434" s="62" t="s">
        <v>119</v>
      </c>
      <c r="D2434" s="64">
        <v>100.0</v>
      </c>
      <c r="E2434" s="62" t="s">
        <v>114</v>
      </c>
      <c r="F2434" s="62" t="s">
        <v>115</v>
      </c>
      <c r="G2434" s="64" t="s">
        <v>64</v>
      </c>
      <c r="H2434" s="3" t="s">
        <v>139</v>
      </c>
      <c r="I2434" s="65">
        <f>IFERROR(VLOOKUP(A2434,'3. Call duration'!$A:$C,3,0),"--")</f>
        <v>27.02947617</v>
      </c>
      <c r="J2434" s="65" t="str">
        <f t="array" ref="J2434">XLOOKUP(H2434,'2. Matching'!$A$2:$A$39,'2. Matching'!$B$2:$B$39,"--")</f>
        <v>Acquisition</v>
      </c>
      <c r="K2434" s="65" t="str">
        <f t="shared" si="1"/>
        <v>In</v>
      </c>
    </row>
    <row r="2435">
      <c r="A2435" s="62" t="s">
        <v>2573</v>
      </c>
      <c r="B2435" s="63">
        <v>44383.0</v>
      </c>
      <c r="C2435" s="62" t="s">
        <v>119</v>
      </c>
      <c r="D2435" s="64">
        <v>100.0</v>
      </c>
      <c r="E2435" s="62" t="s">
        <v>114</v>
      </c>
      <c r="F2435" s="62" t="s">
        <v>110</v>
      </c>
      <c r="G2435" s="64" t="s">
        <v>60</v>
      </c>
      <c r="H2435" s="3" t="s">
        <v>67</v>
      </c>
      <c r="I2435" s="65">
        <f>IFERROR(VLOOKUP(A2435,'3. Call duration'!$A:$C,3,0),"--")</f>
        <v>21.33168444</v>
      </c>
      <c r="J2435" s="65" t="str">
        <f t="array" ref="J2435">XLOOKUP(H2435,'2. Matching'!$A$2:$A$39,'2. Matching'!$B$2:$B$39,"--")</f>
        <v>Acquisition</v>
      </c>
      <c r="K2435" s="65" t="str">
        <f t="shared" si="1"/>
        <v>In</v>
      </c>
    </row>
    <row r="2436">
      <c r="A2436" s="62" t="s">
        <v>2574</v>
      </c>
      <c r="B2436" s="63">
        <v>44385.0</v>
      </c>
      <c r="C2436" s="62" t="s">
        <v>119</v>
      </c>
      <c r="D2436" s="64">
        <v>100.0</v>
      </c>
      <c r="E2436" s="62" t="s">
        <v>114</v>
      </c>
      <c r="F2436" s="62" t="s">
        <v>110</v>
      </c>
      <c r="G2436" s="64" t="s">
        <v>60</v>
      </c>
      <c r="H2436" s="3" t="s">
        <v>67</v>
      </c>
      <c r="I2436" s="65">
        <f>IFERROR(VLOOKUP(A2436,'3. Call duration'!$A:$C,3,0),"--")</f>
        <v>28.8190341</v>
      </c>
      <c r="J2436" s="65" t="str">
        <f t="array" ref="J2436">XLOOKUP(H2436,'2. Matching'!$A$2:$A$39,'2. Matching'!$B$2:$B$39,"--")</f>
        <v>Acquisition</v>
      </c>
      <c r="K2436" s="65" t="str">
        <f t="shared" si="1"/>
        <v>In</v>
      </c>
    </row>
    <row r="2437">
      <c r="A2437" s="62" t="s">
        <v>2575</v>
      </c>
      <c r="B2437" s="63">
        <v>44390.0</v>
      </c>
      <c r="C2437" s="62" t="s">
        <v>119</v>
      </c>
      <c r="D2437" s="64">
        <v>100.0</v>
      </c>
      <c r="E2437" s="62" t="s">
        <v>114</v>
      </c>
      <c r="F2437" s="62" t="s">
        <v>110</v>
      </c>
      <c r="G2437" s="64" t="s">
        <v>60</v>
      </c>
      <c r="H2437" s="3" t="s">
        <v>67</v>
      </c>
      <c r="I2437" s="65">
        <f>IFERROR(VLOOKUP(A2437,'3. Call duration'!$A:$C,3,0),"--")</f>
        <v>33.46489127</v>
      </c>
      <c r="J2437" s="65" t="str">
        <f t="array" ref="J2437">XLOOKUP(H2437,'2. Matching'!$A$2:$A$39,'2. Matching'!$B$2:$B$39,"--")</f>
        <v>Acquisition</v>
      </c>
      <c r="K2437" s="65" t="str">
        <f t="shared" si="1"/>
        <v>In</v>
      </c>
    </row>
    <row r="2438">
      <c r="A2438" s="62" t="s">
        <v>2576</v>
      </c>
      <c r="B2438" s="63">
        <v>44393.0</v>
      </c>
      <c r="C2438" s="62" t="s">
        <v>119</v>
      </c>
      <c r="D2438" s="64">
        <v>100.0</v>
      </c>
      <c r="E2438" s="62" t="s">
        <v>114</v>
      </c>
      <c r="F2438" s="62" t="s">
        <v>115</v>
      </c>
      <c r="G2438" s="64" t="s">
        <v>64</v>
      </c>
      <c r="H2438" s="3" t="s">
        <v>155</v>
      </c>
      <c r="I2438" s="65">
        <f>IFERROR(VLOOKUP(A2438,'3. Call duration'!$A:$C,3,0),"--")</f>
        <v>32.77649711</v>
      </c>
      <c r="J2438" s="65" t="str">
        <f t="array" ref="J2438">XLOOKUP(H2438,'2. Matching'!$A$2:$A$39,'2. Matching'!$B$2:$B$39,"--")</f>
        <v>SEO</v>
      </c>
      <c r="K2438" s="65" t="str">
        <f t="shared" si="1"/>
        <v>In</v>
      </c>
    </row>
    <row r="2439">
      <c r="A2439" s="62" t="s">
        <v>2577</v>
      </c>
      <c r="B2439" s="63">
        <v>44383.0</v>
      </c>
      <c r="C2439" s="62" t="s">
        <v>119</v>
      </c>
      <c r="D2439" s="64">
        <v>100.0</v>
      </c>
      <c r="E2439" s="62" t="s">
        <v>114</v>
      </c>
      <c r="F2439" s="62" t="s">
        <v>115</v>
      </c>
      <c r="G2439" s="64" t="s">
        <v>112</v>
      </c>
      <c r="H2439" s="3"/>
      <c r="I2439" s="65">
        <f>IFERROR(VLOOKUP(A2439,'3. Call duration'!$A:$C,3,0),"--")</f>
        <v>23.98522904</v>
      </c>
      <c r="J2439" s="65" t="str">
        <f t="array" ref="J2439">XLOOKUP(H2439,'2. Matching'!$A$2:$A$39,'2. Matching'!$B$2:$B$39,"--")</f>
        <v>--</v>
      </c>
      <c r="K2439" s="65" t="str">
        <f t="shared" si="1"/>
        <v>In</v>
      </c>
    </row>
    <row r="2440">
      <c r="A2440" s="62" t="s">
        <v>2578</v>
      </c>
      <c r="B2440" s="63">
        <v>44382.0</v>
      </c>
      <c r="C2440" s="62" t="s">
        <v>119</v>
      </c>
      <c r="D2440" s="64">
        <v>100.0</v>
      </c>
      <c r="E2440" s="62" t="s">
        <v>114</v>
      </c>
      <c r="F2440" s="62" t="s">
        <v>115</v>
      </c>
      <c r="G2440" s="64" t="s">
        <v>64</v>
      </c>
      <c r="H2440" s="3" t="s">
        <v>155</v>
      </c>
      <c r="I2440" s="65">
        <f>IFERROR(VLOOKUP(A2440,'3. Call duration'!$A:$C,3,0),"--")</f>
        <v>32.39814547</v>
      </c>
      <c r="J2440" s="65" t="str">
        <f t="array" ref="J2440">XLOOKUP(H2440,'2. Matching'!$A$2:$A$39,'2. Matching'!$B$2:$B$39,"--")</f>
        <v>SEO</v>
      </c>
      <c r="K2440" s="65" t="str">
        <f t="shared" si="1"/>
        <v>In</v>
      </c>
    </row>
    <row r="2441">
      <c r="A2441" s="62" t="s">
        <v>2579</v>
      </c>
      <c r="B2441" s="63">
        <v>44397.0</v>
      </c>
      <c r="C2441" s="62" t="s">
        <v>119</v>
      </c>
      <c r="D2441" s="64">
        <v>100.0</v>
      </c>
      <c r="E2441" s="62" t="s">
        <v>114</v>
      </c>
      <c r="F2441" s="62" t="s">
        <v>110</v>
      </c>
      <c r="G2441" s="64" t="s">
        <v>60</v>
      </c>
      <c r="H2441" s="3" t="s">
        <v>67</v>
      </c>
      <c r="I2441" s="65">
        <f>IFERROR(VLOOKUP(A2441,'3. Call duration'!$A:$C,3,0),"--")</f>
        <v>24.82977003</v>
      </c>
      <c r="J2441" s="65" t="str">
        <f t="array" ref="J2441">XLOOKUP(H2441,'2. Matching'!$A$2:$A$39,'2. Matching'!$B$2:$B$39,"--")</f>
        <v>Acquisition</v>
      </c>
      <c r="K2441" s="65" t="str">
        <f t="shared" si="1"/>
        <v>In</v>
      </c>
    </row>
    <row r="2442">
      <c r="A2442" s="62" t="s">
        <v>2580</v>
      </c>
      <c r="B2442" s="63">
        <v>44399.0</v>
      </c>
      <c r="C2442" s="62" t="s">
        <v>119</v>
      </c>
      <c r="D2442" s="64">
        <v>100.0</v>
      </c>
      <c r="E2442" s="62" t="s">
        <v>114</v>
      </c>
      <c r="F2442" s="62" t="s">
        <v>110</v>
      </c>
      <c r="G2442" s="64" t="s">
        <v>60</v>
      </c>
      <c r="H2442" s="3" t="s">
        <v>67</v>
      </c>
      <c r="I2442" s="65">
        <f>IFERROR(VLOOKUP(A2442,'3. Call duration'!$A:$C,3,0),"--")</f>
        <v>33.59416375</v>
      </c>
      <c r="J2442" s="65" t="str">
        <f t="array" ref="J2442">XLOOKUP(H2442,'2. Matching'!$A$2:$A$39,'2. Matching'!$B$2:$B$39,"--")</f>
        <v>Acquisition</v>
      </c>
      <c r="K2442" s="65" t="str">
        <f t="shared" si="1"/>
        <v>In</v>
      </c>
    </row>
    <row r="2443">
      <c r="A2443" s="62" t="s">
        <v>2581</v>
      </c>
      <c r="B2443" s="63">
        <v>44392.0</v>
      </c>
      <c r="C2443" s="62" t="s">
        <v>119</v>
      </c>
      <c r="D2443" s="64">
        <v>100.0</v>
      </c>
      <c r="E2443" s="62" t="s">
        <v>114</v>
      </c>
      <c r="F2443" s="62" t="s">
        <v>110</v>
      </c>
      <c r="G2443" s="64" t="s">
        <v>62</v>
      </c>
      <c r="H2443" s="3" t="s">
        <v>286</v>
      </c>
      <c r="I2443" s="65">
        <f>IFERROR(VLOOKUP(A2443,'3. Call duration'!$A:$C,3,0),"--")</f>
        <v>22.22319362</v>
      </c>
      <c r="J2443" s="65" t="str">
        <f t="array" ref="J2443">XLOOKUP(H2443,'2. Matching'!$A$2:$A$39,'2. Matching'!$B$2:$B$39,"--")</f>
        <v>Farming</v>
      </c>
      <c r="K2443" s="65" t="str">
        <f t="shared" si="1"/>
        <v>In</v>
      </c>
    </row>
    <row r="2444">
      <c r="A2444" s="62" t="s">
        <v>2582</v>
      </c>
      <c r="B2444" s="63">
        <v>44384.0</v>
      </c>
      <c r="C2444" s="62" t="s">
        <v>119</v>
      </c>
      <c r="D2444" s="64">
        <v>100.0</v>
      </c>
      <c r="E2444" s="62" t="s">
        <v>114</v>
      </c>
      <c r="F2444" s="62" t="s">
        <v>115</v>
      </c>
      <c r="G2444" s="64" t="s">
        <v>64</v>
      </c>
      <c r="H2444" s="3" t="s">
        <v>139</v>
      </c>
      <c r="I2444" s="65" t="str">
        <f>IFERROR(VLOOKUP(A2444,'3. Call duration'!$A:$C,3,0),"--")</f>
        <v>--</v>
      </c>
      <c r="J2444" s="65" t="str">
        <f t="array" ref="J2444">XLOOKUP(H2444,'2. Matching'!$A$2:$A$39,'2. Matching'!$B$2:$B$39,"--")</f>
        <v>Acquisition</v>
      </c>
      <c r="K2444" s="65" t="str">
        <f t="shared" si="1"/>
        <v>In</v>
      </c>
    </row>
    <row r="2445">
      <c r="A2445" s="62" t="s">
        <v>2583</v>
      </c>
      <c r="B2445" s="63">
        <v>44378.0</v>
      </c>
      <c r="C2445" s="62" t="s">
        <v>119</v>
      </c>
      <c r="D2445" s="64">
        <v>100.0</v>
      </c>
      <c r="E2445" s="62" t="s">
        <v>114</v>
      </c>
      <c r="F2445" s="62" t="s">
        <v>110</v>
      </c>
      <c r="G2445" s="64" t="s">
        <v>61</v>
      </c>
      <c r="H2445" s="3" t="s">
        <v>69</v>
      </c>
      <c r="I2445" s="65">
        <f>IFERROR(VLOOKUP(A2445,'3. Call duration'!$A:$C,3,0),"--")</f>
        <v>24.43312804</v>
      </c>
      <c r="J2445" s="65" t="str">
        <f t="array" ref="J2445">XLOOKUP(H2445,'2. Matching'!$A$2:$A$39,'2. Matching'!$B$2:$B$39,"--")</f>
        <v>Acquisition</v>
      </c>
      <c r="K2445" s="65" t="str">
        <f t="shared" si="1"/>
        <v>In</v>
      </c>
    </row>
    <row r="2446">
      <c r="A2446" s="62" t="s">
        <v>2584</v>
      </c>
      <c r="B2446" s="63">
        <v>44385.0</v>
      </c>
      <c r="C2446" s="62" t="s">
        <v>119</v>
      </c>
      <c r="D2446" s="64">
        <v>100.0</v>
      </c>
      <c r="E2446" s="62" t="s">
        <v>114</v>
      </c>
      <c r="F2446" s="62" t="s">
        <v>110</v>
      </c>
      <c r="G2446" s="64" t="s">
        <v>60</v>
      </c>
      <c r="H2446" s="3" t="s">
        <v>67</v>
      </c>
      <c r="I2446" s="65">
        <f>IFERROR(VLOOKUP(A2446,'3. Call duration'!$A:$C,3,0),"--")</f>
        <v>23.44192083</v>
      </c>
      <c r="J2446" s="65" t="str">
        <f t="array" ref="J2446">XLOOKUP(H2446,'2. Matching'!$A$2:$A$39,'2. Matching'!$B$2:$B$39,"--")</f>
        <v>Acquisition</v>
      </c>
      <c r="K2446" s="65" t="str">
        <f t="shared" si="1"/>
        <v>In</v>
      </c>
    </row>
    <row r="2447">
      <c r="A2447" s="62" t="s">
        <v>2585</v>
      </c>
      <c r="B2447" s="63">
        <v>44385.0</v>
      </c>
      <c r="C2447" s="62" t="s">
        <v>119</v>
      </c>
      <c r="D2447" s="64">
        <v>100.0</v>
      </c>
      <c r="E2447" s="62" t="s">
        <v>114</v>
      </c>
      <c r="F2447" s="62" t="s">
        <v>110</v>
      </c>
      <c r="G2447" s="64" t="s">
        <v>60</v>
      </c>
      <c r="H2447" s="3" t="s">
        <v>67</v>
      </c>
      <c r="I2447" s="65">
        <f>IFERROR(VLOOKUP(A2447,'3. Call duration'!$A:$C,3,0),"--")</f>
        <v>22.95480997</v>
      </c>
      <c r="J2447" s="65" t="str">
        <f t="array" ref="J2447">XLOOKUP(H2447,'2. Matching'!$A$2:$A$39,'2. Matching'!$B$2:$B$39,"--")</f>
        <v>Acquisition</v>
      </c>
      <c r="K2447" s="65" t="str">
        <f t="shared" si="1"/>
        <v>In</v>
      </c>
    </row>
    <row r="2448">
      <c r="A2448" s="62" t="s">
        <v>2586</v>
      </c>
      <c r="B2448" s="63">
        <v>44380.0</v>
      </c>
      <c r="C2448" s="62" t="s">
        <v>119</v>
      </c>
      <c r="D2448" s="64">
        <v>100.0</v>
      </c>
      <c r="E2448" s="62" t="s">
        <v>114</v>
      </c>
      <c r="F2448" s="62" t="s">
        <v>110</v>
      </c>
      <c r="G2448" s="64" t="s">
        <v>60</v>
      </c>
      <c r="H2448" s="3" t="s">
        <v>67</v>
      </c>
      <c r="I2448" s="65">
        <f>IFERROR(VLOOKUP(A2448,'3. Call duration'!$A:$C,3,0),"--")</f>
        <v>22.51430542</v>
      </c>
      <c r="J2448" s="65" t="str">
        <f t="array" ref="J2448">XLOOKUP(H2448,'2. Matching'!$A$2:$A$39,'2. Matching'!$B$2:$B$39,"--")</f>
        <v>Acquisition</v>
      </c>
      <c r="K2448" s="65" t="str">
        <f t="shared" si="1"/>
        <v>In</v>
      </c>
    </row>
    <row r="2449">
      <c r="A2449" s="62" t="s">
        <v>2587</v>
      </c>
      <c r="B2449" s="63">
        <v>44383.0</v>
      </c>
      <c r="C2449" s="62" t="s">
        <v>119</v>
      </c>
      <c r="D2449" s="64">
        <v>100.0</v>
      </c>
      <c r="E2449" s="62" t="s">
        <v>114</v>
      </c>
      <c r="F2449" s="62" t="s">
        <v>110</v>
      </c>
      <c r="G2449" s="64" t="s">
        <v>61</v>
      </c>
      <c r="H2449" s="3" t="s">
        <v>69</v>
      </c>
      <c r="I2449" s="65">
        <f>IFERROR(VLOOKUP(A2449,'3. Call duration'!$A:$C,3,0),"--")</f>
        <v>39.97918113</v>
      </c>
      <c r="J2449" s="65" t="str">
        <f t="array" ref="J2449">XLOOKUP(H2449,'2. Matching'!$A$2:$A$39,'2. Matching'!$B$2:$B$39,"--")</f>
        <v>Acquisition</v>
      </c>
      <c r="K2449" s="65" t="str">
        <f t="shared" si="1"/>
        <v>In</v>
      </c>
    </row>
    <row r="2450">
      <c r="A2450" s="62" t="s">
        <v>2588</v>
      </c>
      <c r="B2450" s="63">
        <v>44380.0</v>
      </c>
      <c r="C2450" s="62" t="s">
        <v>119</v>
      </c>
      <c r="D2450" s="64">
        <v>100.0</v>
      </c>
      <c r="E2450" s="62" t="s">
        <v>114</v>
      </c>
      <c r="F2450" s="62" t="s">
        <v>115</v>
      </c>
      <c r="G2450" s="64" t="s">
        <v>64</v>
      </c>
      <c r="H2450" s="3" t="s">
        <v>139</v>
      </c>
      <c r="I2450" s="65">
        <f>IFERROR(VLOOKUP(A2450,'3. Call duration'!$A:$C,3,0),"--")</f>
        <v>27.30192162</v>
      </c>
      <c r="J2450" s="65" t="str">
        <f t="array" ref="J2450">XLOOKUP(H2450,'2. Matching'!$A$2:$A$39,'2. Matching'!$B$2:$B$39,"--")</f>
        <v>Acquisition</v>
      </c>
      <c r="K2450" s="65" t="str">
        <f t="shared" si="1"/>
        <v>In</v>
      </c>
    </row>
    <row r="2451">
      <c r="A2451" s="62" t="s">
        <v>2589</v>
      </c>
      <c r="B2451" s="63">
        <v>44394.0</v>
      </c>
      <c r="C2451" s="62" t="s">
        <v>119</v>
      </c>
      <c r="D2451" s="64">
        <v>100.0</v>
      </c>
      <c r="E2451" s="62" t="s">
        <v>114</v>
      </c>
      <c r="F2451" s="62" t="s">
        <v>110</v>
      </c>
      <c r="G2451" s="64" t="s">
        <v>61</v>
      </c>
      <c r="H2451" s="3" t="s">
        <v>67</v>
      </c>
      <c r="I2451" s="65">
        <f>IFERROR(VLOOKUP(A2451,'3. Call duration'!$A:$C,3,0),"--")</f>
        <v>33.03253416</v>
      </c>
      <c r="J2451" s="65" t="str">
        <f t="array" ref="J2451">XLOOKUP(H2451,'2. Matching'!$A$2:$A$39,'2. Matching'!$B$2:$B$39,"--")</f>
        <v>Acquisition</v>
      </c>
      <c r="K2451" s="65" t="str">
        <f t="shared" si="1"/>
        <v>In</v>
      </c>
    </row>
    <row r="2452">
      <c r="A2452" s="62" t="s">
        <v>2590</v>
      </c>
      <c r="B2452" s="63">
        <v>44385.0</v>
      </c>
      <c r="C2452" s="62" t="s">
        <v>119</v>
      </c>
      <c r="D2452" s="64">
        <v>100.0</v>
      </c>
      <c r="E2452" s="62" t="s">
        <v>114</v>
      </c>
      <c r="F2452" s="62" t="s">
        <v>110</v>
      </c>
      <c r="G2452" s="64" t="s">
        <v>60</v>
      </c>
      <c r="H2452" s="3" t="s">
        <v>67</v>
      </c>
      <c r="I2452" s="65">
        <f>IFERROR(VLOOKUP(A2452,'3. Call duration'!$A:$C,3,0),"--")</f>
        <v>30.07947754</v>
      </c>
      <c r="J2452" s="65" t="str">
        <f t="array" ref="J2452">XLOOKUP(H2452,'2. Matching'!$A$2:$A$39,'2. Matching'!$B$2:$B$39,"--")</f>
        <v>Acquisition</v>
      </c>
      <c r="K2452" s="65" t="str">
        <f t="shared" si="1"/>
        <v>In</v>
      </c>
    </row>
    <row r="2453">
      <c r="A2453" s="62" t="s">
        <v>2591</v>
      </c>
      <c r="B2453" s="63">
        <v>44392.0</v>
      </c>
      <c r="C2453" s="62" t="s">
        <v>119</v>
      </c>
      <c r="D2453" s="64">
        <v>100.0</v>
      </c>
      <c r="E2453" s="62" t="s">
        <v>114</v>
      </c>
      <c r="F2453" s="62" t="s">
        <v>110</v>
      </c>
      <c r="G2453" s="64" t="s">
        <v>61</v>
      </c>
      <c r="H2453" s="3" t="s">
        <v>68</v>
      </c>
      <c r="I2453" s="65">
        <f>IFERROR(VLOOKUP(A2453,'3. Call duration'!$A:$C,3,0),"--")</f>
        <v>30.31341496</v>
      </c>
      <c r="J2453" s="65" t="str">
        <f t="array" ref="J2453">XLOOKUP(H2453,'2. Matching'!$A$2:$A$39,'2. Matching'!$B$2:$B$39,"--")</f>
        <v>Acquisition</v>
      </c>
      <c r="K2453" s="65" t="str">
        <f t="shared" si="1"/>
        <v>In</v>
      </c>
    </row>
    <row r="2454">
      <c r="A2454" s="62" t="s">
        <v>2592</v>
      </c>
      <c r="B2454" s="63">
        <v>44383.0</v>
      </c>
      <c r="C2454" s="62" t="s">
        <v>119</v>
      </c>
      <c r="D2454" s="64">
        <v>100.0</v>
      </c>
      <c r="E2454" s="62" t="s">
        <v>114</v>
      </c>
      <c r="F2454" s="62" t="s">
        <v>110</v>
      </c>
      <c r="G2454" s="64" t="s">
        <v>60</v>
      </c>
      <c r="H2454" s="3" t="s">
        <v>67</v>
      </c>
      <c r="I2454" s="65">
        <f>IFERROR(VLOOKUP(A2454,'3. Call duration'!$A:$C,3,0),"--")</f>
        <v>32.06654269</v>
      </c>
      <c r="J2454" s="65" t="str">
        <f t="array" ref="J2454">XLOOKUP(H2454,'2. Matching'!$A$2:$A$39,'2. Matching'!$B$2:$B$39,"--")</f>
        <v>Acquisition</v>
      </c>
      <c r="K2454" s="65" t="str">
        <f t="shared" si="1"/>
        <v>In</v>
      </c>
    </row>
    <row r="2455">
      <c r="A2455" s="62" t="s">
        <v>2593</v>
      </c>
      <c r="B2455" s="63">
        <v>44379.0</v>
      </c>
      <c r="C2455" s="62" t="s">
        <v>119</v>
      </c>
      <c r="D2455" s="64">
        <v>100.0</v>
      </c>
      <c r="E2455" s="62" t="s">
        <v>114</v>
      </c>
      <c r="F2455" s="62" t="s">
        <v>110</v>
      </c>
      <c r="G2455" s="64" t="s">
        <v>64</v>
      </c>
      <c r="H2455" s="3" t="s">
        <v>52</v>
      </c>
      <c r="I2455" s="65" t="str">
        <f>IFERROR(VLOOKUP(A2455,'3. Call duration'!$A:$C,3,0),"--")</f>
        <v>--</v>
      </c>
      <c r="J2455" s="65" t="str">
        <f t="array" ref="J2455">XLOOKUP(H2455,'2. Matching'!$A$2:$A$39,'2. Matching'!$B$2:$B$39,"--")</f>
        <v>Partnerships</v>
      </c>
      <c r="K2455" s="65" t="str">
        <f t="shared" si="1"/>
        <v>In</v>
      </c>
    </row>
    <row r="2456">
      <c r="A2456" s="62" t="s">
        <v>2594</v>
      </c>
      <c r="B2456" s="63">
        <v>44382.0</v>
      </c>
      <c r="C2456" s="62" t="s">
        <v>119</v>
      </c>
      <c r="D2456" s="64">
        <v>100.0</v>
      </c>
      <c r="E2456" s="62" t="s">
        <v>114</v>
      </c>
      <c r="F2456" s="62" t="s">
        <v>110</v>
      </c>
      <c r="G2456" s="64" t="s">
        <v>59</v>
      </c>
      <c r="H2456" s="3" t="s">
        <v>68</v>
      </c>
      <c r="I2456" s="65">
        <f>IFERROR(VLOOKUP(A2456,'3. Call duration'!$A:$C,3,0),"--")</f>
        <v>31.53125032</v>
      </c>
      <c r="J2456" s="65" t="str">
        <f t="array" ref="J2456">XLOOKUP(H2456,'2. Matching'!$A$2:$A$39,'2. Matching'!$B$2:$B$39,"--")</f>
        <v>Acquisition</v>
      </c>
      <c r="K2456" s="65" t="str">
        <f t="shared" si="1"/>
        <v>In</v>
      </c>
    </row>
    <row r="2457">
      <c r="A2457" s="62" t="s">
        <v>2595</v>
      </c>
      <c r="B2457" s="63">
        <v>44379.0</v>
      </c>
      <c r="C2457" s="62" t="s">
        <v>119</v>
      </c>
      <c r="D2457" s="64">
        <v>100.0</v>
      </c>
      <c r="E2457" s="62" t="s">
        <v>114</v>
      </c>
      <c r="F2457" s="62" t="s">
        <v>110</v>
      </c>
      <c r="G2457" s="64" t="s">
        <v>60</v>
      </c>
      <c r="H2457" s="3" t="s">
        <v>67</v>
      </c>
      <c r="I2457" s="65">
        <f>IFERROR(VLOOKUP(A2457,'3. Call duration'!$A:$C,3,0),"--")</f>
        <v>21.63323711</v>
      </c>
      <c r="J2457" s="65" t="str">
        <f t="array" ref="J2457">XLOOKUP(H2457,'2. Matching'!$A$2:$A$39,'2. Matching'!$B$2:$B$39,"--")</f>
        <v>Acquisition</v>
      </c>
      <c r="K2457" s="65" t="str">
        <f t="shared" si="1"/>
        <v>In</v>
      </c>
    </row>
    <row r="2458">
      <c r="A2458" s="62" t="s">
        <v>2596</v>
      </c>
      <c r="B2458" s="63">
        <v>44399.0</v>
      </c>
      <c r="C2458" s="62" t="s">
        <v>119</v>
      </c>
      <c r="D2458" s="64">
        <v>100.0</v>
      </c>
      <c r="E2458" s="62" t="s">
        <v>114</v>
      </c>
      <c r="F2458" s="62" t="s">
        <v>110</v>
      </c>
      <c r="G2458" s="64" t="s">
        <v>60</v>
      </c>
      <c r="H2458" s="3" t="s">
        <v>67</v>
      </c>
      <c r="I2458" s="65">
        <f>IFERROR(VLOOKUP(A2458,'3. Call duration'!$A:$C,3,0),"--")</f>
        <v>20.22357043</v>
      </c>
      <c r="J2458" s="65" t="str">
        <f t="array" ref="J2458">XLOOKUP(H2458,'2. Matching'!$A$2:$A$39,'2. Matching'!$B$2:$B$39,"--")</f>
        <v>Acquisition</v>
      </c>
      <c r="K2458" s="65" t="str">
        <f t="shared" si="1"/>
        <v>In</v>
      </c>
    </row>
    <row r="2459">
      <c r="A2459" s="62" t="s">
        <v>2597</v>
      </c>
      <c r="B2459" s="63">
        <v>44389.0</v>
      </c>
      <c r="C2459" s="62" t="s">
        <v>119</v>
      </c>
      <c r="D2459" s="64">
        <v>100.0</v>
      </c>
      <c r="E2459" s="62" t="s">
        <v>114</v>
      </c>
      <c r="F2459" s="62" t="s">
        <v>110</v>
      </c>
      <c r="G2459" s="64" t="s">
        <v>60</v>
      </c>
      <c r="H2459" s="3" t="s">
        <v>67</v>
      </c>
      <c r="I2459" s="65">
        <f>IFERROR(VLOOKUP(A2459,'3. Call duration'!$A:$C,3,0),"--")</f>
        <v>10.28553103</v>
      </c>
      <c r="J2459" s="65" t="str">
        <f t="array" ref="J2459">XLOOKUP(H2459,'2. Matching'!$A$2:$A$39,'2. Matching'!$B$2:$B$39,"--")</f>
        <v>Acquisition</v>
      </c>
      <c r="K2459" s="65" t="str">
        <f t="shared" si="1"/>
        <v>In</v>
      </c>
    </row>
    <row r="2460">
      <c r="A2460" s="62" t="s">
        <v>2598</v>
      </c>
      <c r="B2460" s="63">
        <v>44382.0</v>
      </c>
      <c r="C2460" s="62" t="s">
        <v>119</v>
      </c>
      <c r="D2460" s="64">
        <v>100.0</v>
      </c>
      <c r="E2460" s="62" t="s">
        <v>114</v>
      </c>
      <c r="F2460" s="62" t="s">
        <v>110</v>
      </c>
      <c r="G2460" s="64" t="s">
        <v>64</v>
      </c>
      <c r="H2460" s="3" t="s">
        <v>221</v>
      </c>
      <c r="I2460" s="65">
        <f>IFERROR(VLOOKUP(A2460,'3. Call duration'!$A:$C,3,0),"--")</f>
        <v>24.40819815</v>
      </c>
      <c r="J2460" s="65" t="str">
        <f t="array" ref="J2460">XLOOKUP(H2460,'2. Matching'!$A$2:$A$39,'2. Matching'!$B$2:$B$39,"--")</f>
        <v>Farming</v>
      </c>
      <c r="K2460" s="65" t="str">
        <f t="shared" si="1"/>
        <v>In</v>
      </c>
    </row>
    <row r="2461">
      <c r="A2461" s="62" t="s">
        <v>2599</v>
      </c>
      <c r="B2461" s="63">
        <v>44384.0</v>
      </c>
      <c r="C2461" s="62" t="s">
        <v>119</v>
      </c>
      <c r="D2461" s="64">
        <v>100.0</v>
      </c>
      <c r="E2461" s="62" t="s">
        <v>114</v>
      </c>
      <c r="F2461" s="62" t="s">
        <v>110</v>
      </c>
      <c r="G2461" s="64" t="s">
        <v>60</v>
      </c>
      <c r="H2461" s="3" t="s">
        <v>67</v>
      </c>
      <c r="I2461" s="65">
        <f>IFERROR(VLOOKUP(A2461,'3. Call duration'!$A:$C,3,0),"--")</f>
        <v>30.70543406</v>
      </c>
      <c r="J2461" s="65" t="str">
        <f t="array" ref="J2461">XLOOKUP(H2461,'2. Matching'!$A$2:$A$39,'2. Matching'!$B$2:$B$39,"--")</f>
        <v>Acquisition</v>
      </c>
      <c r="K2461" s="65" t="str">
        <f t="shared" si="1"/>
        <v>In</v>
      </c>
    </row>
    <row r="2462">
      <c r="A2462" s="62" t="s">
        <v>2600</v>
      </c>
      <c r="B2462" s="63">
        <v>44392.0</v>
      </c>
      <c r="C2462" s="62" t="s">
        <v>119</v>
      </c>
      <c r="D2462" s="64">
        <v>100.0</v>
      </c>
      <c r="E2462" s="62" t="s">
        <v>114</v>
      </c>
      <c r="F2462" s="62" t="s">
        <v>110</v>
      </c>
      <c r="G2462" s="64" t="s">
        <v>60</v>
      </c>
      <c r="H2462" s="3" t="s">
        <v>67</v>
      </c>
      <c r="I2462" s="65">
        <f>IFERROR(VLOOKUP(A2462,'3. Call duration'!$A:$C,3,0),"--")</f>
        <v>21.96988864</v>
      </c>
      <c r="J2462" s="65" t="str">
        <f t="array" ref="J2462">XLOOKUP(H2462,'2. Matching'!$A$2:$A$39,'2. Matching'!$B$2:$B$39,"--")</f>
        <v>Acquisition</v>
      </c>
      <c r="K2462" s="65" t="str">
        <f t="shared" si="1"/>
        <v>In</v>
      </c>
    </row>
    <row r="2463">
      <c r="A2463" s="62" t="s">
        <v>2601</v>
      </c>
      <c r="B2463" s="63">
        <v>44392.0</v>
      </c>
      <c r="C2463" s="62" t="s">
        <v>119</v>
      </c>
      <c r="D2463" s="64">
        <v>100.0</v>
      </c>
      <c r="E2463" s="62" t="s">
        <v>114</v>
      </c>
      <c r="F2463" s="62" t="s">
        <v>110</v>
      </c>
      <c r="G2463" s="64" t="s">
        <v>61</v>
      </c>
      <c r="H2463" s="3" t="s">
        <v>67</v>
      </c>
      <c r="I2463" s="65">
        <f>IFERROR(VLOOKUP(A2463,'3. Call duration'!$A:$C,3,0),"--")</f>
        <v>31.47532918</v>
      </c>
      <c r="J2463" s="65" t="str">
        <f t="array" ref="J2463">XLOOKUP(H2463,'2. Matching'!$A$2:$A$39,'2. Matching'!$B$2:$B$39,"--")</f>
        <v>Acquisition</v>
      </c>
      <c r="K2463" s="65" t="str">
        <f t="shared" si="1"/>
        <v>In</v>
      </c>
    </row>
    <row r="2464">
      <c r="A2464" s="62" t="s">
        <v>2602</v>
      </c>
      <c r="B2464" s="63">
        <v>44390.0</v>
      </c>
      <c r="C2464" s="62" t="s">
        <v>119</v>
      </c>
      <c r="D2464" s="64">
        <v>100.0</v>
      </c>
      <c r="E2464" s="62" t="s">
        <v>114</v>
      </c>
      <c r="F2464" s="62" t="s">
        <v>115</v>
      </c>
      <c r="G2464" s="64" t="s">
        <v>64</v>
      </c>
      <c r="H2464" s="3" t="s">
        <v>139</v>
      </c>
      <c r="I2464" s="65">
        <f>IFERROR(VLOOKUP(A2464,'3. Call duration'!$A:$C,3,0),"--")</f>
        <v>32.40375733</v>
      </c>
      <c r="J2464" s="65" t="str">
        <f t="array" ref="J2464">XLOOKUP(H2464,'2. Matching'!$A$2:$A$39,'2. Matching'!$B$2:$B$39,"--")</f>
        <v>Acquisition</v>
      </c>
      <c r="K2464" s="65" t="str">
        <f t="shared" si="1"/>
        <v>In</v>
      </c>
    </row>
    <row r="2465">
      <c r="A2465" s="62" t="s">
        <v>2603</v>
      </c>
      <c r="B2465" s="63">
        <v>44385.0</v>
      </c>
      <c r="C2465" s="62" t="s">
        <v>119</v>
      </c>
      <c r="D2465" s="64">
        <v>100.0</v>
      </c>
      <c r="E2465" s="62" t="s">
        <v>114</v>
      </c>
      <c r="F2465" s="62" t="s">
        <v>110</v>
      </c>
      <c r="G2465" s="64" t="s">
        <v>61</v>
      </c>
      <c r="H2465" s="3" t="s">
        <v>67</v>
      </c>
      <c r="I2465" s="65">
        <f>IFERROR(VLOOKUP(A2465,'3. Call duration'!$A:$C,3,0),"--")</f>
        <v>20.7491934</v>
      </c>
      <c r="J2465" s="65" t="str">
        <f t="array" ref="J2465">XLOOKUP(H2465,'2. Matching'!$A$2:$A$39,'2. Matching'!$B$2:$B$39,"--")</f>
        <v>Acquisition</v>
      </c>
      <c r="K2465" s="65" t="str">
        <f t="shared" si="1"/>
        <v>In</v>
      </c>
    </row>
    <row r="2466">
      <c r="A2466" s="62" t="s">
        <v>2604</v>
      </c>
      <c r="B2466" s="63">
        <v>44378.0</v>
      </c>
      <c r="C2466" s="62" t="s">
        <v>119</v>
      </c>
      <c r="D2466" s="64">
        <v>100.0</v>
      </c>
      <c r="E2466" s="62" t="s">
        <v>114</v>
      </c>
      <c r="F2466" s="62" t="s">
        <v>115</v>
      </c>
      <c r="G2466" s="64" t="s">
        <v>60</v>
      </c>
      <c r="H2466" s="3" t="s">
        <v>68</v>
      </c>
      <c r="I2466" s="65">
        <f>IFERROR(VLOOKUP(A2466,'3. Call duration'!$A:$C,3,0),"--")</f>
        <v>24.79015141</v>
      </c>
      <c r="J2466" s="65" t="str">
        <f t="array" ref="J2466">XLOOKUP(H2466,'2. Matching'!$A$2:$A$39,'2. Matching'!$B$2:$B$39,"--")</f>
        <v>Acquisition</v>
      </c>
      <c r="K2466" s="65" t="str">
        <f t="shared" si="1"/>
        <v>In</v>
      </c>
    </row>
    <row r="2467">
      <c r="A2467" s="62" t="s">
        <v>2605</v>
      </c>
      <c r="B2467" s="63">
        <v>44384.0</v>
      </c>
      <c r="C2467" s="62" t="s">
        <v>119</v>
      </c>
      <c r="D2467" s="64">
        <v>100.0</v>
      </c>
      <c r="E2467" s="62" t="s">
        <v>114</v>
      </c>
      <c r="F2467" s="62" t="s">
        <v>110</v>
      </c>
      <c r="G2467" s="64" t="s">
        <v>60</v>
      </c>
      <c r="H2467" s="3" t="s">
        <v>67</v>
      </c>
      <c r="I2467" s="65">
        <f>IFERROR(VLOOKUP(A2467,'3. Call duration'!$A:$C,3,0),"--")</f>
        <v>25.04893549</v>
      </c>
      <c r="J2467" s="65" t="str">
        <f t="array" ref="J2467">XLOOKUP(H2467,'2. Matching'!$A$2:$A$39,'2. Matching'!$B$2:$B$39,"--")</f>
        <v>Acquisition</v>
      </c>
      <c r="K2467" s="65" t="str">
        <f t="shared" si="1"/>
        <v>In</v>
      </c>
    </row>
    <row r="2468">
      <c r="A2468" s="62" t="s">
        <v>2606</v>
      </c>
      <c r="B2468" s="63">
        <v>44394.0</v>
      </c>
      <c r="C2468" s="62" t="s">
        <v>119</v>
      </c>
      <c r="D2468" s="64">
        <v>100.0</v>
      </c>
      <c r="E2468" s="62" t="s">
        <v>114</v>
      </c>
      <c r="F2468" s="62" t="s">
        <v>110</v>
      </c>
      <c r="G2468" s="64" t="s">
        <v>60</v>
      </c>
      <c r="H2468" s="3" t="s">
        <v>67</v>
      </c>
      <c r="I2468" s="65">
        <f>IFERROR(VLOOKUP(A2468,'3. Call duration'!$A:$C,3,0),"--")</f>
        <v>21.12887096</v>
      </c>
      <c r="J2468" s="65" t="str">
        <f t="array" ref="J2468">XLOOKUP(H2468,'2. Matching'!$A$2:$A$39,'2. Matching'!$B$2:$B$39,"--")</f>
        <v>Acquisition</v>
      </c>
      <c r="K2468" s="65" t="str">
        <f t="shared" si="1"/>
        <v>In</v>
      </c>
    </row>
    <row r="2469">
      <c r="A2469" s="62" t="s">
        <v>2607</v>
      </c>
      <c r="B2469" s="63">
        <v>44398.0</v>
      </c>
      <c r="C2469" s="62" t="s">
        <v>119</v>
      </c>
      <c r="D2469" s="64">
        <v>100.0</v>
      </c>
      <c r="E2469" s="62" t="s">
        <v>114</v>
      </c>
      <c r="F2469" s="62" t="s">
        <v>110</v>
      </c>
      <c r="G2469" s="64" t="s">
        <v>60</v>
      </c>
      <c r="H2469" s="3" t="s">
        <v>67</v>
      </c>
      <c r="I2469" s="65">
        <f>IFERROR(VLOOKUP(A2469,'3. Call duration'!$A:$C,3,0),"--")</f>
        <v>25.52971231</v>
      </c>
      <c r="J2469" s="65" t="str">
        <f t="array" ref="J2469">XLOOKUP(H2469,'2. Matching'!$A$2:$A$39,'2. Matching'!$B$2:$B$39,"--")</f>
        <v>Acquisition</v>
      </c>
      <c r="K2469" s="65" t="str">
        <f t="shared" si="1"/>
        <v>In</v>
      </c>
    </row>
    <row r="2470">
      <c r="A2470" s="62" t="s">
        <v>2608</v>
      </c>
      <c r="B2470" s="63">
        <v>44382.0</v>
      </c>
      <c r="C2470" s="62" t="s">
        <v>119</v>
      </c>
      <c r="D2470" s="64">
        <v>100.0</v>
      </c>
      <c r="E2470" s="62" t="s">
        <v>114</v>
      </c>
      <c r="F2470" s="62" t="s">
        <v>110</v>
      </c>
      <c r="G2470" s="64" t="s">
        <v>60</v>
      </c>
      <c r="H2470" s="3" t="s">
        <v>67</v>
      </c>
      <c r="I2470" s="65">
        <f>IFERROR(VLOOKUP(A2470,'3. Call duration'!$A:$C,3,0),"--")</f>
        <v>22.56627309</v>
      </c>
      <c r="J2470" s="65" t="str">
        <f t="array" ref="J2470">XLOOKUP(H2470,'2. Matching'!$A$2:$A$39,'2. Matching'!$B$2:$B$39,"--")</f>
        <v>Acquisition</v>
      </c>
      <c r="K2470" s="65" t="str">
        <f t="shared" si="1"/>
        <v>In</v>
      </c>
    </row>
    <row r="2471">
      <c r="A2471" s="62" t="s">
        <v>2609</v>
      </c>
      <c r="B2471" s="63">
        <v>44390.0</v>
      </c>
      <c r="C2471" s="62" t="s">
        <v>119</v>
      </c>
      <c r="D2471" s="64">
        <v>100.0</v>
      </c>
      <c r="E2471" s="62" t="s">
        <v>114</v>
      </c>
      <c r="F2471" s="62" t="s">
        <v>115</v>
      </c>
      <c r="G2471" s="64" t="s">
        <v>64</v>
      </c>
      <c r="H2471" s="3" t="s">
        <v>139</v>
      </c>
      <c r="I2471" s="65">
        <f>IFERROR(VLOOKUP(A2471,'3. Call duration'!$A:$C,3,0),"--")</f>
        <v>29.7983308</v>
      </c>
      <c r="J2471" s="65" t="str">
        <f t="array" ref="J2471">XLOOKUP(H2471,'2. Matching'!$A$2:$A$39,'2. Matching'!$B$2:$B$39,"--")</f>
        <v>Acquisition</v>
      </c>
      <c r="K2471" s="65" t="str">
        <f t="shared" si="1"/>
        <v>In</v>
      </c>
    </row>
    <row r="2472">
      <c r="A2472" s="62" t="s">
        <v>2610</v>
      </c>
      <c r="B2472" s="63">
        <v>44384.0</v>
      </c>
      <c r="C2472" s="62" t="s">
        <v>119</v>
      </c>
      <c r="D2472" s="64">
        <v>100.0</v>
      </c>
      <c r="E2472" s="62" t="s">
        <v>114</v>
      </c>
      <c r="F2472" s="62" t="s">
        <v>115</v>
      </c>
      <c r="G2472" s="64" t="s">
        <v>64</v>
      </c>
      <c r="H2472" s="3" t="s">
        <v>139</v>
      </c>
      <c r="I2472" s="65">
        <f>IFERROR(VLOOKUP(A2472,'3. Call duration'!$A:$C,3,0),"--")</f>
        <v>11.7580701</v>
      </c>
      <c r="J2472" s="65" t="str">
        <f t="array" ref="J2472">XLOOKUP(H2472,'2. Matching'!$A$2:$A$39,'2. Matching'!$B$2:$B$39,"--")</f>
        <v>Acquisition</v>
      </c>
      <c r="K2472" s="65" t="str">
        <f t="shared" si="1"/>
        <v>In</v>
      </c>
    </row>
    <row r="2473">
      <c r="A2473" s="62" t="s">
        <v>2611</v>
      </c>
      <c r="B2473" s="63">
        <v>44382.0</v>
      </c>
      <c r="C2473" s="62" t="s">
        <v>119</v>
      </c>
      <c r="D2473" s="64">
        <v>100.0</v>
      </c>
      <c r="E2473" s="62" t="s">
        <v>114</v>
      </c>
      <c r="F2473" s="62" t="s">
        <v>115</v>
      </c>
      <c r="G2473" s="64" t="s">
        <v>64</v>
      </c>
      <c r="H2473" s="3" t="s">
        <v>49</v>
      </c>
      <c r="I2473" s="65">
        <f>IFERROR(VLOOKUP(A2473,'3. Call duration'!$A:$C,3,0),"--")</f>
        <v>14.0765833</v>
      </c>
      <c r="J2473" s="65" t="str">
        <f t="array" ref="J2473">XLOOKUP(H2473,'2. Matching'!$A$2:$A$39,'2. Matching'!$B$2:$B$39,"--")</f>
        <v>Partnerships</v>
      </c>
      <c r="K2473" s="65" t="str">
        <f t="shared" si="1"/>
        <v>In</v>
      </c>
    </row>
    <row r="2474">
      <c r="A2474" s="62" t="s">
        <v>2612</v>
      </c>
      <c r="B2474" s="63">
        <v>44383.0</v>
      </c>
      <c r="C2474" s="62" t="s">
        <v>119</v>
      </c>
      <c r="D2474" s="64">
        <v>100.0</v>
      </c>
      <c r="E2474" s="62" t="s">
        <v>114</v>
      </c>
      <c r="F2474" s="62" t="s">
        <v>115</v>
      </c>
      <c r="G2474" s="64" t="s">
        <v>64</v>
      </c>
      <c r="H2474" s="3" t="s">
        <v>139</v>
      </c>
      <c r="I2474" s="65">
        <f>IFERROR(VLOOKUP(A2474,'3. Call duration'!$A:$C,3,0),"--")</f>
        <v>30.56271595</v>
      </c>
      <c r="J2474" s="65" t="str">
        <f t="array" ref="J2474">XLOOKUP(H2474,'2. Matching'!$A$2:$A$39,'2. Matching'!$B$2:$B$39,"--")</f>
        <v>Acquisition</v>
      </c>
      <c r="K2474" s="65" t="str">
        <f t="shared" si="1"/>
        <v>In</v>
      </c>
    </row>
    <row r="2475">
      <c r="A2475" s="62" t="s">
        <v>2613</v>
      </c>
      <c r="B2475" s="63">
        <v>44386.0</v>
      </c>
      <c r="C2475" s="62" t="s">
        <v>119</v>
      </c>
      <c r="D2475" s="64">
        <v>100.0</v>
      </c>
      <c r="E2475" s="62" t="s">
        <v>114</v>
      </c>
      <c r="F2475" s="62" t="s">
        <v>110</v>
      </c>
      <c r="G2475" s="64" t="s">
        <v>61</v>
      </c>
      <c r="H2475" s="3" t="s">
        <v>67</v>
      </c>
      <c r="I2475" s="65">
        <f>IFERROR(VLOOKUP(A2475,'3. Call duration'!$A:$C,3,0),"--")</f>
        <v>48.37495223</v>
      </c>
      <c r="J2475" s="65" t="str">
        <f t="array" ref="J2475">XLOOKUP(H2475,'2. Matching'!$A$2:$A$39,'2. Matching'!$B$2:$B$39,"--")</f>
        <v>Acquisition</v>
      </c>
      <c r="K2475" s="65" t="str">
        <f t="shared" si="1"/>
        <v>In</v>
      </c>
    </row>
    <row r="2476">
      <c r="A2476" s="62" t="s">
        <v>2614</v>
      </c>
      <c r="B2476" s="63">
        <v>44379.0</v>
      </c>
      <c r="C2476" s="62" t="s">
        <v>119</v>
      </c>
      <c r="D2476" s="64">
        <v>100.0</v>
      </c>
      <c r="E2476" s="62" t="s">
        <v>114</v>
      </c>
      <c r="F2476" s="62" t="s">
        <v>115</v>
      </c>
      <c r="G2476" s="64" t="s">
        <v>64</v>
      </c>
      <c r="H2476" s="3" t="s">
        <v>139</v>
      </c>
      <c r="I2476" s="65">
        <f>IFERROR(VLOOKUP(A2476,'3. Call duration'!$A:$C,3,0),"--")</f>
        <v>32.34507027</v>
      </c>
      <c r="J2476" s="65" t="str">
        <f t="array" ref="J2476">XLOOKUP(H2476,'2. Matching'!$A$2:$A$39,'2. Matching'!$B$2:$B$39,"--")</f>
        <v>Acquisition</v>
      </c>
      <c r="K2476" s="65" t="str">
        <f t="shared" si="1"/>
        <v>In</v>
      </c>
    </row>
    <row r="2477">
      <c r="A2477" s="62" t="s">
        <v>2615</v>
      </c>
      <c r="B2477" s="63">
        <v>44385.0</v>
      </c>
      <c r="C2477" s="62" t="s">
        <v>119</v>
      </c>
      <c r="D2477" s="64">
        <v>100.0</v>
      </c>
      <c r="E2477" s="62" t="s">
        <v>114</v>
      </c>
      <c r="F2477" s="62" t="s">
        <v>115</v>
      </c>
      <c r="G2477" s="64" t="s">
        <v>64</v>
      </c>
      <c r="H2477" s="3" t="s">
        <v>139</v>
      </c>
      <c r="I2477" s="65">
        <f>IFERROR(VLOOKUP(A2477,'3. Call duration'!$A:$C,3,0),"--")</f>
        <v>23.63033441</v>
      </c>
      <c r="J2477" s="65" t="str">
        <f t="array" ref="J2477">XLOOKUP(H2477,'2. Matching'!$A$2:$A$39,'2. Matching'!$B$2:$B$39,"--")</f>
        <v>Acquisition</v>
      </c>
      <c r="K2477" s="65" t="str">
        <f t="shared" si="1"/>
        <v>In</v>
      </c>
    </row>
    <row r="2478">
      <c r="A2478" s="62" t="s">
        <v>2616</v>
      </c>
      <c r="B2478" s="63">
        <v>44390.0</v>
      </c>
      <c r="C2478" s="62" t="s">
        <v>119</v>
      </c>
      <c r="D2478" s="64">
        <v>100.0</v>
      </c>
      <c r="E2478" s="62" t="s">
        <v>114</v>
      </c>
      <c r="F2478" s="62" t="s">
        <v>110</v>
      </c>
      <c r="G2478" s="64" t="s">
        <v>60</v>
      </c>
      <c r="H2478" s="3" t="s">
        <v>67</v>
      </c>
      <c r="I2478" s="65">
        <f>IFERROR(VLOOKUP(A2478,'3. Call duration'!$A:$C,3,0),"--")</f>
        <v>24.39887401</v>
      </c>
      <c r="J2478" s="65" t="str">
        <f t="array" ref="J2478">XLOOKUP(H2478,'2. Matching'!$A$2:$A$39,'2. Matching'!$B$2:$B$39,"--")</f>
        <v>Acquisition</v>
      </c>
      <c r="K2478" s="65" t="str">
        <f t="shared" si="1"/>
        <v>In</v>
      </c>
    </row>
    <row r="2479">
      <c r="A2479" s="62" t="s">
        <v>2617</v>
      </c>
      <c r="B2479" s="63">
        <v>44383.0</v>
      </c>
      <c r="C2479" s="62" t="s">
        <v>119</v>
      </c>
      <c r="D2479" s="64">
        <v>100.0</v>
      </c>
      <c r="E2479" s="62" t="s">
        <v>114</v>
      </c>
      <c r="F2479" s="62" t="s">
        <v>115</v>
      </c>
      <c r="G2479" s="64" t="s">
        <v>64</v>
      </c>
      <c r="H2479" s="3" t="s">
        <v>70</v>
      </c>
      <c r="I2479" s="65">
        <f>IFERROR(VLOOKUP(A2479,'3. Call duration'!$A:$C,3,0),"--")</f>
        <v>25.14311201</v>
      </c>
      <c r="J2479" s="65" t="str">
        <f t="array" ref="J2479">XLOOKUP(H2479,'2. Matching'!$A$2:$A$39,'2. Matching'!$B$2:$B$39,"--")</f>
        <v>Farming</v>
      </c>
      <c r="K2479" s="65" t="str">
        <f t="shared" si="1"/>
        <v>In</v>
      </c>
    </row>
    <row r="2480">
      <c r="A2480" s="62" t="s">
        <v>2618</v>
      </c>
      <c r="B2480" s="63">
        <v>44393.0</v>
      </c>
      <c r="C2480" s="62" t="s">
        <v>119</v>
      </c>
      <c r="D2480" s="64">
        <v>100.0</v>
      </c>
      <c r="E2480" s="62" t="s">
        <v>114</v>
      </c>
      <c r="F2480" s="62" t="s">
        <v>110</v>
      </c>
      <c r="G2480" s="64" t="s">
        <v>61</v>
      </c>
      <c r="H2480" s="3" t="s">
        <v>69</v>
      </c>
      <c r="I2480" s="65">
        <f>IFERROR(VLOOKUP(A2480,'3. Call duration'!$A:$C,3,0),"--")</f>
        <v>44.13311451</v>
      </c>
      <c r="J2480" s="65" t="str">
        <f t="array" ref="J2480">XLOOKUP(H2480,'2. Matching'!$A$2:$A$39,'2. Matching'!$B$2:$B$39,"--")</f>
        <v>Acquisition</v>
      </c>
      <c r="K2480" s="65" t="str">
        <f t="shared" si="1"/>
        <v>In</v>
      </c>
    </row>
    <row r="2481">
      <c r="A2481" s="62" t="s">
        <v>2619</v>
      </c>
      <c r="B2481" s="63">
        <v>44390.0</v>
      </c>
      <c r="C2481" s="62" t="s">
        <v>119</v>
      </c>
      <c r="D2481" s="64">
        <v>100.0</v>
      </c>
      <c r="E2481" s="62" t="s">
        <v>114</v>
      </c>
      <c r="F2481" s="62" t="s">
        <v>110</v>
      </c>
      <c r="G2481" s="64" t="s">
        <v>61</v>
      </c>
      <c r="H2481" s="3" t="s">
        <v>67</v>
      </c>
      <c r="I2481" s="65">
        <f>IFERROR(VLOOKUP(A2481,'3. Call duration'!$A:$C,3,0),"--")</f>
        <v>25.74352157</v>
      </c>
      <c r="J2481" s="65" t="str">
        <f t="array" ref="J2481">XLOOKUP(H2481,'2. Matching'!$A$2:$A$39,'2. Matching'!$B$2:$B$39,"--")</f>
        <v>Acquisition</v>
      </c>
      <c r="K2481" s="65" t="str">
        <f t="shared" si="1"/>
        <v>In</v>
      </c>
    </row>
    <row r="2482">
      <c r="A2482" s="62" t="s">
        <v>2620</v>
      </c>
      <c r="B2482" s="63">
        <v>44398.0</v>
      </c>
      <c r="C2482" s="62" t="s">
        <v>119</v>
      </c>
      <c r="D2482" s="64">
        <v>100.0</v>
      </c>
      <c r="E2482" s="62" t="s">
        <v>114</v>
      </c>
      <c r="F2482" s="62" t="s">
        <v>110</v>
      </c>
      <c r="G2482" s="64" t="s">
        <v>60</v>
      </c>
      <c r="H2482" s="3" t="s">
        <v>67</v>
      </c>
      <c r="I2482" s="65">
        <f>IFERROR(VLOOKUP(A2482,'3. Call duration'!$A:$C,3,0),"--")</f>
        <v>14.18436739</v>
      </c>
      <c r="J2482" s="65" t="str">
        <f t="array" ref="J2482">XLOOKUP(H2482,'2. Matching'!$A$2:$A$39,'2. Matching'!$B$2:$B$39,"--")</f>
        <v>Acquisition</v>
      </c>
      <c r="K2482" s="65" t="str">
        <f t="shared" si="1"/>
        <v>In</v>
      </c>
    </row>
    <row r="2483">
      <c r="A2483" s="62" t="s">
        <v>2621</v>
      </c>
      <c r="B2483" s="63">
        <v>44382.0</v>
      </c>
      <c r="C2483" s="62" t="s">
        <v>119</v>
      </c>
      <c r="D2483" s="64">
        <v>100.0</v>
      </c>
      <c r="E2483" s="62" t="s">
        <v>114</v>
      </c>
      <c r="F2483" s="62" t="s">
        <v>115</v>
      </c>
      <c r="G2483" s="64" t="s">
        <v>64</v>
      </c>
      <c r="H2483" s="3" t="s">
        <v>145</v>
      </c>
      <c r="I2483" s="65">
        <f>IFERROR(VLOOKUP(A2483,'3. Call duration'!$A:$C,3,0),"--")</f>
        <v>33.08748272</v>
      </c>
      <c r="J2483" s="65" t="str">
        <f t="array" ref="J2483">XLOOKUP(H2483,'2. Matching'!$A$2:$A$39,'2. Matching'!$B$2:$B$39,"--")</f>
        <v>SEO</v>
      </c>
      <c r="K2483" s="65" t="str">
        <f t="shared" si="1"/>
        <v>In</v>
      </c>
    </row>
    <row r="2484">
      <c r="A2484" s="62" t="s">
        <v>2622</v>
      </c>
      <c r="B2484" s="63">
        <v>44395.0</v>
      </c>
      <c r="C2484" s="62" t="s">
        <v>119</v>
      </c>
      <c r="D2484" s="64">
        <v>100.0</v>
      </c>
      <c r="E2484" s="62" t="s">
        <v>114</v>
      </c>
      <c r="F2484" s="62" t="s">
        <v>115</v>
      </c>
      <c r="G2484" s="64" t="s">
        <v>64</v>
      </c>
      <c r="H2484" s="3" t="s">
        <v>139</v>
      </c>
      <c r="I2484" s="65">
        <f>IFERROR(VLOOKUP(A2484,'3. Call duration'!$A:$C,3,0),"--")</f>
        <v>26.07576943</v>
      </c>
      <c r="J2484" s="65" t="str">
        <f t="array" ref="J2484">XLOOKUP(H2484,'2. Matching'!$A$2:$A$39,'2. Matching'!$B$2:$B$39,"--")</f>
        <v>Acquisition</v>
      </c>
      <c r="K2484" s="65" t="str">
        <f t="shared" si="1"/>
        <v>In</v>
      </c>
    </row>
    <row r="2485">
      <c r="A2485" s="62" t="s">
        <v>2623</v>
      </c>
      <c r="B2485" s="63">
        <v>44387.0</v>
      </c>
      <c r="C2485" s="62" t="s">
        <v>119</v>
      </c>
      <c r="D2485" s="64">
        <v>100.0</v>
      </c>
      <c r="E2485" s="62" t="s">
        <v>114</v>
      </c>
      <c r="F2485" s="62" t="s">
        <v>110</v>
      </c>
      <c r="G2485" s="64" t="s">
        <v>61</v>
      </c>
      <c r="H2485" s="3" t="s">
        <v>67</v>
      </c>
      <c r="I2485" s="65">
        <f>IFERROR(VLOOKUP(A2485,'3. Call duration'!$A:$C,3,0),"--")</f>
        <v>20.66459643</v>
      </c>
      <c r="J2485" s="65" t="str">
        <f t="array" ref="J2485">XLOOKUP(H2485,'2. Matching'!$A$2:$A$39,'2. Matching'!$B$2:$B$39,"--")</f>
        <v>Acquisition</v>
      </c>
      <c r="K2485" s="65" t="str">
        <f t="shared" si="1"/>
        <v>In</v>
      </c>
    </row>
    <row r="2486">
      <c r="A2486" s="62" t="s">
        <v>2624</v>
      </c>
      <c r="B2486" s="63">
        <v>44385.0</v>
      </c>
      <c r="C2486" s="62" t="s">
        <v>119</v>
      </c>
      <c r="D2486" s="64">
        <v>100.0</v>
      </c>
      <c r="E2486" s="62" t="s">
        <v>114</v>
      </c>
      <c r="F2486" s="62" t="s">
        <v>110</v>
      </c>
      <c r="G2486" s="64" t="s">
        <v>61</v>
      </c>
      <c r="H2486" s="3" t="s">
        <v>67</v>
      </c>
      <c r="I2486" s="65">
        <f>IFERROR(VLOOKUP(A2486,'3. Call duration'!$A:$C,3,0),"--")</f>
        <v>24.10662817</v>
      </c>
      <c r="J2486" s="65" t="str">
        <f t="array" ref="J2486">XLOOKUP(H2486,'2. Matching'!$A$2:$A$39,'2. Matching'!$B$2:$B$39,"--")</f>
        <v>Acquisition</v>
      </c>
      <c r="K2486" s="65" t="str">
        <f t="shared" si="1"/>
        <v>In</v>
      </c>
    </row>
    <row r="2487">
      <c r="A2487" s="62" t="s">
        <v>2625</v>
      </c>
      <c r="B2487" s="63">
        <v>44393.0</v>
      </c>
      <c r="C2487" s="62" t="s">
        <v>119</v>
      </c>
      <c r="D2487" s="64">
        <v>100.0</v>
      </c>
      <c r="E2487" s="62" t="s">
        <v>114</v>
      </c>
      <c r="F2487" s="62" t="s">
        <v>110</v>
      </c>
      <c r="G2487" s="64" t="s">
        <v>60</v>
      </c>
      <c r="H2487" s="3" t="s">
        <v>67</v>
      </c>
      <c r="I2487" s="65">
        <f>IFERROR(VLOOKUP(A2487,'3. Call duration'!$A:$C,3,0),"--")</f>
        <v>21.24193271</v>
      </c>
      <c r="J2487" s="65" t="str">
        <f t="array" ref="J2487">XLOOKUP(H2487,'2. Matching'!$A$2:$A$39,'2. Matching'!$B$2:$B$39,"--")</f>
        <v>Acquisition</v>
      </c>
      <c r="K2487" s="65" t="str">
        <f t="shared" si="1"/>
        <v>In</v>
      </c>
    </row>
    <row r="2488">
      <c r="A2488" s="62" t="s">
        <v>2626</v>
      </c>
      <c r="B2488" s="63">
        <v>44391.0</v>
      </c>
      <c r="C2488" s="62" t="s">
        <v>119</v>
      </c>
      <c r="D2488" s="64">
        <v>100.0</v>
      </c>
      <c r="E2488" s="62" t="s">
        <v>114</v>
      </c>
      <c r="F2488" s="62" t="s">
        <v>115</v>
      </c>
      <c r="G2488" s="64" t="s">
        <v>64</v>
      </c>
      <c r="H2488" s="3" t="s">
        <v>139</v>
      </c>
      <c r="I2488" s="65">
        <f>IFERROR(VLOOKUP(A2488,'3. Call duration'!$A:$C,3,0),"--")</f>
        <v>24.3891106</v>
      </c>
      <c r="J2488" s="65" t="str">
        <f t="array" ref="J2488">XLOOKUP(H2488,'2. Matching'!$A$2:$A$39,'2. Matching'!$B$2:$B$39,"--")</f>
        <v>Acquisition</v>
      </c>
      <c r="K2488" s="65" t="str">
        <f t="shared" si="1"/>
        <v>In</v>
      </c>
    </row>
    <row r="2489">
      <c r="A2489" s="62" t="s">
        <v>2627</v>
      </c>
      <c r="B2489" s="63">
        <v>44207.0</v>
      </c>
      <c r="C2489" s="62" t="s">
        <v>119</v>
      </c>
      <c r="D2489" s="64">
        <v>42.5</v>
      </c>
      <c r="E2489" s="62" t="s">
        <v>109</v>
      </c>
      <c r="F2489" s="62" t="s">
        <v>115</v>
      </c>
      <c r="G2489" s="64" t="s">
        <v>64</v>
      </c>
      <c r="H2489" s="3" t="s">
        <v>164</v>
      </c>
      <c r="I2489" s="65">
        <f>IFERROR(VLOOKUP(A2489,'3. Call duration'!$A:$C,3,0),"--")</f>
        <v>49.26637573</v>
      </c>
      <c r="J2489" s="65" t="str">
        <f t="array" ref="J2489">XLOOKUP(H2489,'2. Matching'!$A$2:$A$39,'2. Matching'!$B$2:$B$39,"--")</f>
        <v>SEO</v>
      </c>
      <c r="K2489" s="65" t="str">
        <f t="shared" si="1"/>
        <v>In</v>
      </c>
    </row>
    <row r="2490">
      <c r="A2490" s="62" t="s">
        <v>2628</v>
      </c>
      <c r="B2490" s="63">
        <v>44121.0</v>
      </c>
      <c r="C2490" s="62" t="s">
        <v>119</v>
      </c>
      <c r="D2490" s="64">
        <v>42.5</v>
      </c>
      <c r="E2490" s="62" t="s">
        <v>109</v>
      </c>
      <c r="F2490" s="62" t="s">
        <v>115</v>
      </c>
      <c r="G2490" s="64" t="s">
        <v>64</v>
      </c>
      <c r="H2490" s="3" t="s">
        <v>139</v>
      </c>
      <c r="I2490" s="65">
        <f>IFERROR(VLOOKUP(A2490,'3. Call duration'!$A:$C,3,0),"--")</f>
        <v>22.17539947</v>
      </c>
      <c r="J2490" s="65" t="str">
        <f t="array" ref="J2490">XLOOKUP(H2490,'2. Matching'!$A$2:$A$39,'2. Matching'!$B$2:$B$39,"--")</f>
        <v>Acquisition</v>
      </c>
      <c r="K2490" s="65" t="str">
        <f t="shared" si="1"/>
        <v>In</v>
      </c>
    </row>
    <row r="2491">
      <c r="A2491" s="62" t="s">
        <v>2629</v>
      </c>
      <c r="B2491" s="63">
        <v>44102.0</v>
      </c>
      <c r="C2491" s="62" t="s">
        <v>119</v>
      </c>
      <c r="D2491" s="64">
        <v>42.5</v>
      </c>
      <c r="E2491" s="62" t="s">
        <v>109</v>
      </c>
      <c r="F2491" s="62" t="s">
        <v>115</v>
      </c>
      <c r="G2491" s="64" t="s">
        <v>62</v>
      </c>
      <c r="H2491" s="3" t="s">
        <v>286</v>
      </c>
      <c r="I2491" s="65">
        <f>IFERROR(VLOOKUP(A2491,'3. Call duration'!$A:$C,3,0),"--")</f>
        <v>31.34439109</v>
      </c>
      <c r="J2491" s="65" t="str">
        <f t="array" ref="J2491">XLOOKUP(H2491,'2. Matching'!$A$2:$A$39,'2. Matching'!$B$2:$B$39,"--")</f>
        <v>Farming</v>
      </c>
      <c r="K2491" s="65" t="str">
        <f t="shared" si="1"/>
        <v>In</v>
      </c>
    </row>
    <row r="2492">
      <c r="A2492" s="62" t="s">
        <v>2630</v>
      </c>
      <c r="B2492" s="63">
        <v>44195.0</v>
      </c>
      <c r="C2492" s="62" t="s">
        <v>119</v>
      </c>
      <c r="D2492" s="64">
        <v>42.5</v>
      </c>
      <c r="E2492" s="62" t="s">
        <v>109</v>
      </c>
      <c r="F2492" s="62" t="s">
        <v>115</v>
      </c>
      <c r="G2492" s="64" t="s">
        <v>64</v>
      </c>
      <c r="H2492" s="3" t="s">
        <v>139</v>
      </c>
      <c r="I2492" s="65">
        <f>IFERROR(VLOOKUP(A2492,'3. Call duration'!$A:$C,3,0),"--")</f>
        <v>30.52203035</v>
      </c>
      <c r="J2492" s="65" t="str">
        <f t="array" ref="J2492">XLOOKUP(H2492,'2. Matching'!$A$2:$A$39,'2. Matching'!$B$2:$B$39,"--")</f>
        <v>Acquisition</v>
      </c>
      <c r="K2492" s="65" t="str">
        <f t="shared" si="1"/>
        <v>In</v>
      </c>
    </row>
    <row r="2493">
      <c r="A2493" s="62" t="s">
        <v>2631</v>
      </c>
      <c r="B2493" s="63">
        <v>44214.0</v>
      </c>
      <c r="C2493" s="62" t="s">
        <v>119</v>
      </c>
      <c r="D2493" s="64">
        <v>42.5</v>
      </c>
      <c r="E2493" s="62" t="s">
        <v>109</v>
      </c>
      <c r="F2493" s="62" t="s">
        <v>115</v>
      </c>
      <c r="G2493" s="64" t="s">
        <v>64</v>
      </c>
      <c r="H2493" s="3" t="s">
        <v>175</v>
      </c>
      <c r="I2493" s="65">
        <f>IFERROR(VLOOKUP(A2493,'3. Call duration'!$A:$C,3,0),"--")</f>
        <v>31.46687376</v>
      </c>
      <c r="J2493" s="65" t="str">
        <f t="array" ref="J2493">XLOOKUP(H2493,'2. Matching'!$A$2:$A$39,'2. Matching'!$B$2:$B$39,"--")</f>
        <v>SEO</v>
      </c>
      <c r="K2493" s="65" t="str">
        <f t="shared" si="1"/>
        <v>In</v>
      </c>
    </row>
    <row r="2494">
      <c r="A2494" s="62" t="s">
        <v>2632</v>
      </c>
      <c r="B2494" s="63">
        <v>44120.0</v>
      </c>
      <c r="C2494" s="62" t="s">
        <v>119</v>
      </c>
      <c r="D2494" s="64">
        <v>42.5</v>
      </c>
      <c r="E2494" s="62" t="s">
        <v>109</v>
      </c>
      <c r="F2494" s="62" t="s">
        <v>115</v>
      </c>
      <c r="G2494" s="64" t="s">
        <v>64</v>
      </c>
      <c r="H2494" s="3" t="s">
        <v>155</v>
      </c>
      <c r="I2494" s="65">
        <f>IFERROR(VLOOKUP(A2494,'3. Call duration'!$A:$C,3,0),"--")</f>
        <v>31.90234849</v>
      </c>
      <c r="J2494" s="65" t="str">
        <f t="array" ref="J2494">XLOOKUP(H2494,'2. Matching'!$A$2:$A$39,'2. Matching'!$B$2:$B$39,"--")</f>
        <v>SEO</v>
      </c>
      <c r="K2494" s="65" t="str">
        <f t="shared" si="1"/>
        <v>In</v>
      </c>
    </row>
    <row r="2495">
      <c r="A2495" s="62" t="s">
        <v>2633</v>
      </c>
      <c r="B2495" s="63">
        <v>44124.0</v>
      </c>
      <c r="C2495" s="62" t="s">
        <v>119</v>
      </c>
      <c r="D2495" s="64">
        <v>42.5</v>
      </c>
      <c r="E2495" s="62" t="s">
        <v>109</v>
      </c>
      <c r="F2495" s="62" t="s">
        <v>110</v>
      </c>
      <c r="G2495" s="64" t="s">
        <v>64</v>
      </c>
      <c r="H2495" s="3" t="s">
        <v>221</v>
      </c>
      <c r="I2495" s="65">
        <f>IFERROR(VLOOKUP(A2495,'3. Call duration'!$A:$C,3,0),"--")</f>
        <v>24.83761428</v>
      </c>
      <c r="J2495" s="65" t="str">
        <f t="array" ref="J2495">XLOOKUP(H2495,'2. Matching'!$A$2:$A$39,'2. Matching'!$B$2:$B$39,"--")</f>
        <v>Farming</v>
      </c>
      <c r="K2495" s="65" t="str">
        <f t="shared" si="1"/>
        <v>In</v>
      </c>
    </row>
    <row r="2496">
      <c r="A2496" s="62" t="s">
        <v>2634</v>
      </c>
      <c r="B2496" s="63">
        <v>44078.0</v>
      </c>
      <c r="C2496" s="62" t="s">
        <v>119</v>
      </c>
      <c r="D2496" s="64">
        <v>42.5</v>
      </c>
      <c r="E2496" s="62" t="s">
        <v>109</v>
      </c>
      <c r="F2496" s="62" t="s">
        <v>115</v>
      </c>
      <c r="G2496" s="64" t="s">
        <v>64</v>
      </c>
      <c r="H2496" s="3" t="s">
        <v>135</v>
      </c>
      <c r="I2496" s="65">
        <f>IFERROR(VLOOKUP(A2496,'3. Call duration'!$A:$C,3,0),"--")</f>
        <v>27.93275208</v>
      </c>
      <c r="J2496" s="65" t="str">
        <f t="array" ref="J2496">XLOOKUP(H2496,'2. Matching'!$A$2:$A$39,'2. Matching'!$B$2:$B$39,"--")</f>
        <v>Acquisition</v>
      </c>
      <c r="K2496" s="65" t="str">
        <f t="shared" si="1"/>
        <v>In</v>
      </c>
    </row>
    <row r="2497">
      <c r="A2497" s="62" t="s">
        <v>2635</v>
      </c>
      <c r="B2497" s="63">
        <v>44187.0</v>
      </c>
      <c r="C2497" s="62" t="s">
        <v>119</v>
      </c>
      <c r="D2497" s="64">
        <v>42.5</v>
      </c>
      <c r="E2497" s="62" t="s">
        <v>109</v>
      </c>
      <c r="F2497" s="62" t="s">
        <v>115</v>
      </c>
      <c r="G2497" s="64" t="s">
        <v>62</v>
      </c>
      <c r="H2497" s="3" t="s">
        <v>286</v>
      </c>
      <c r="I2497" s="65">
        <f>IFERROR(VLOOKUP(A2497,'3. Call duration'!$A:$C,3,0),"--")</f>
        <v>35.06049522</v>
      </c>
      <c r="J2497" s="65" t="str">
        <f t="array" ref="J2497">XLOOKUP(H2497,'2. Matching'!$A$2:$A$39,'2. Matching'!$B$2:$B$39,"--")</f>
        <v>Farming</v>
      </c>
      <c r="K2497" s="65" t="str">
        <f t="shared" si="1"/>
        <v>In</v>
      </c>
    </row>
    <row r="2498">
      <c r="A2498" s="62" t="s">
        <v>2636</v>
      </c>
      <c r="B2498" s="63">
        <v>44188.0</v>
      </c>
      <c r="C2498" s="62" t="s">
        <v>119</v>
      </c>
      <c r="D2498" s="64">
        <v>42.5</v>
      </c>
      <c r="E2498" s="62" t="s">
        <v>109</v>
      </c>
      <c r="F2498" s="62" t="s">
        <v>115</v>
      </c>
      <c r="G2498" s="64" t="s">
        <v>64</v>
      </c>
      <c r="H2498" s="3" t="s">
        <v>150</v>
      </c>
      <c r="I2498" s="65">
        <f>IFERROR(VLOOKUP(A2498,'3. Call duration'!$A:$C,3,0),"--")</f>
        <v>32.07251913</v>
      </c>
      <c r="J2498" s="65" t="str">
        <f t="array" ref="J2498">XLOOKUP(H2498,'2. Matching'!$A$2:$A$39,'2. Matching'!$B$2:$B$39,"--")</f>
        <v>SEO</v>
      </c>
      <c r="K2498" s="65" t="str">
        <f t="shared" si="1"/>
        <v>In</v>
      </c>
    </row>
    <row r="2499">
      <c r="A2499" s="62" t="s">
        <v>2637</v>
      </c>
      <c r="B2499" s="63">
        <v>44229.0</v>
      </c>
      <c r="C2499" s="62" t="s">
        <v>119</v>
      </c>
      <c r="D2499" s="64">
        <v>42.5</v>
      </c>
      <c r="E2499" s="62" t="s">
        <v>109</v>
      </c>
      <c r="F2499" s="62" t="s">
        <v>115</v>
      </c>
      <c r="G2499" s="64" t="s">
        <v>64</v>
      </c>
      <c r="H2499" s="3" t="s">
        <v>150</v>
      </c>
      <c r="I2499" s="65">
        <f>IFERROR(VLOOKUP(A2499,'3. Call duration'!$A:$C,3,0),"--")</f>
        <v>31.08723721</v>
      </c>
      <c r="J2499" s="65" t="str">
        <f t="array" ref="J2499">XLOOKUP(H2499,'2. Matching'!$A$2:$A$39,'2. Matching'!$B$2:$B$39,"--")</f>
        <v>SEO</v>
      </c>
      <c r="K2499" s="65" t="str">
        <f t="shared" si="1"/>
        <v>In</v>
      </c>
    </row>
    <row r="2500">
      <c r="A2500" s="62" t="s">
        <v>2638</v>
      </c>
      <c r="B2500" s="63">
        <v>44235.0</v>
      </c>
      <c r="C2500" s="62" t="s">
        <v>119</v>
      </c>
      <c r="D2500" s="64">
        <v>42.5</v>
      </c>
      <c r="E2500" s="62" t="s">
        <v>109</v>
      </c>
      <c r="F2500" s="62" t="s">
        <v>110</v>
      </c>
      <c r="G2500" s="64" t="s">
        <v>64</v>
      </c>
      <c r="H2500" s="3" t="s">
        <v>145</v>
      </c>
      <c r="I2500" s="65">
        <f>IFERROR(VLOOKUP(A2500,'3. Call duration'!$A:$C,3,0),"--")</f>
        <v>31.16753635</v>
      </c>
      <c r="J2500" s="65" t="str">
        <f t="array" ref="J2500">XLOOKUP(H2500,'2. Matching'!$A$2:$A$39,'2. Matching'!$B$2:$B$39,"--")</f>
        <v>SEO</v>
      </c>
      <c r="K2500" s="65" t="str">
        <f t="shared" si="1"/>
        <v>In</v>
      </c>
    </row>
    <row r="2501">
      <c r="A2501" s="62" t="s">
        <v>2639</v>
      </c>
      <c r="B2501" s="63">
        <v>44208.0</v>
      </c>
      <c r="C2501" s="62" t="s">
        <v>119</v>
      </c>
      <c r="D2501" s="64">
        <v>42.5</v>
      </c>
      <c r="E2501" s="62" t="s">
        <v>109</v>
      </c>
      <c r="F2501" s="62" t="s">
        <v>110</v>
      </c>
      <c r="G2501" s="64" t="s">
        <v>64</v>
      </c>
      <c r="H2501" s="3" t="s">
        <v>221</v>
      </c>
      <c r="I2501" s="65">
        <f>IFERROR(VLOOKUP(A2501,'3. Call duration'!$A:$C,3,0),"--")</f>
        <v>11.27876191</v>
      </c>
      <c r="J2501" s="65" t="str">
        <f t="array" ref="J2501">XLOOKUP(H2501,'2. Matching'!$A$2:$A$39,'2. Matching'!$B$2:$B$39,"--")</f>
        <v>Farming</v>
      </c>
      <c r="K2501" s="65" t="str">
        <f t="shared" si="1"/>
        <v>In</v>
      </c>
    </row>
    <row r="2502">
      <c r="A2502" s="62" t="s">
        <v>2640</v>
      </c>
      <c r="B2502" s="63">
        <v>44222.0</v>
      </c>
      <c r="C2502" s="62" t="s">
        <v>119</v>
      </c>
      <c r="D2502" s="64">
        <v>42.5</v>
      </c>
      <c r="E2502" s="62" t="s">
        <v>109</v>
      </c>
      <c r="F2502" s="62" t="s">
        <v>115</v>
      </c>
      <c r="G2502" s="64" t="s">
        <v>64</v>
      </c>
      <c r="H2502" s="3" t="s">
        <v>169</v>
      </c>
      <c r="I2502" s="65">
        <f>IFERROR(VLOOKUP(A2502,'3. Call duration'!$A:$C,3,0),"--")</f>
        <v>33.4809784</v>
      </c>
      <c r="J2502" s="65" t="str">
        <f t="array" ref="J2502">XLOOKUP(H2502,'2. Matching'!$A$2:$A$39,'2. Matching'!$B$2:$B$39,"--")</f>
        <v>SEO</v>
      </c>
      <c r="K2502" s="65" t="str">
        <f t="shared" si="1"/>
        <v>In</v>
      </c>
    </row>
    <row r="2503">
      <c r="A2503" s="62" t="s">
        <v>2641</v>
      </c>
      <c r="B2503" s="63">
        <v>44215.0</v>
      </c>
      <c r="C2503" s="62" t="s">
        <v>119</v>
      </c>
      <c r="D2503" s="64">
        <v>42.5</v>
      </c>
      <c r="E2503" s="62" t="s">
        <v>109</v>
      </c>
      <c r="F2503" s="62" t="s">
        <v>115</v>
      </c>
      <c r="G2503" s="64" t="s">
        <v>64</v>
      </c>
      <c r="H2503" s="3" t="s">
        <v>164</v>
      </c>
      <c r="I2503" s="65">
        <f>IFERROR(VLOOKUP(A2503,'3. Call duration'!$A:$C,3,0),"--")</f>
        <v>31.37095888</v>
      </c>
      <c r="J2503" s="65" t="str">
        <f t="array" ref="J2503">XLOOKUP(H2503,'2. Matching'!$A$2:$A$39,'2. Matching'!$B$2:$B$39,"--")</f>
        <v>SEO</v>
      </c>
      <c r="K2503" s="65" t="str">
        <f t="shared" si="1"/>
        <v>In</v>
      </c>
    </row>
    <row r="2504">
      <c r="A2504" s="62" t="s">
        <v>2642</v>
      </c>
      <c r="B2504" s="63">
        <v>44203.0</v>
      </c>
      <c r="C2504" s="62" t="s">
        <v>119</v>
      </c>
      <c r="D2504" s="64">
        <v>42.5</v>
      </c>
      <c r="E2504" s="62" t="s">
        <v>109</v>
      </c>
      <c r="F2504" s="62" t="s">
        <v>115</v>
      </c>
      <c r="G2504" s="64" t="s">
        <v>64</v>
      </c>
      <c r="H2504" s="3" t="s">
        <v>164</v>
      </c>
      <c r="I2504" s="65">
        <f>IFERROR(VLOOKUP(A2504,'3. Call duration'!$A:$C,3,0),"--")</f>
        <v>27.28670371</v>
      </c>
      <c r="J2504" s="65" t="str">
        <f t="array" ref="J2504">XLOOKUP(H2504,'2. Matching'!$A$2:$A$39,'2. Matching'!$B$2:$B$39,"--")</f>
        <v>SEO</v>
      </c>
      <c r="K2504" s="65" t="str">
        <f t="shared" si="1"/>
        <v>In</v>
      </c>
    </row>
    <row r="2505">
      <c r="A2505" s="62" t="s">
        <v>2643</v>
      </c>
      <c r="B2505" s="63">
        <v>44236.0</v>
      </c>
      <c r="C2505" s="62" t="s">
        <v>119</v>
      </c>
      <c r="D2505" s="64">
        <v>42.5</v>
      </c>
      <c r="E2505" s="62" t="s">
        <v>109</v>
      </c>
      <c r="F2505" s="62" t="s">
        <v>110</v>
      </c>
      <c r="G2505" s="64" t="s">
        <v>64</v>
      </c>
      <c r="H2505" s="3" t="s">
        <v>169</v>
      </c>
      <c r="I2505" s="65">
        <f>IFERROR(VLOOKUP(A2505,'3. Call duration'!$A:$C,3,0),"--")</f>
        <v>35.39831611</v>
      </c>
      <c r="J2505" s="65" t="str">
        <f t="array" ref="J2505">XLOOKUP(H2505,'2. Matching'!$A$2:$A$39,'2. Matching'!$B$2:$B$39,"--")</f>
        <v>SEO</v>
      </c>
      <c r="K2505" s="65" t="str">
        <f t="shared" si="1"/>
        <v>In</v>
      </c>
    </row>
    <row r="2506">
      <c r="A2506" s="62" t="s">
        <v>2644</v>
      </c>
      <c r="B2506" s="63">
        <v>44253.0</v>
      </c>
      <c r="C2506" s="62" t="s">
        <v>119</v>
      </c>
      <c r="D2506" s="64">
        <v>42.5</v>
      </c>
      <c r="E2506" s="62" t="s">
        <v>109</v>
      </c>
      <c r="F2506" s="62" t="s">
        <v>115</v>
      </c>
      <c r="G2506" s="64" t="s">
        <v>64</v>
      </c>
      <c r="H2506" s="3" t="s">
        <v>221</v>
      </c>
      <c r="I2506" s="65">
        <f>IFERROR(VLOOKUP(A2506,'3. Call duration'!$A:$C,3,0),"--")</f>
        <v>23.00646889</v>
      </c>
      <c r="J2506" s="65" t="str">
        <f t="array" ref="J2506">XLOOKUP(H2506,'2. Matching'!$A$2:$A$39,'2. Matching'!$B$2:$B$39,"--")</f>
        <v>Farming</v>
      </c>
      <c r="K2506" s="65" t="str">
        <f t="shared" si="1"/>
        <v>In</v>
      </c>
    </row>
    <row r="2507">
      <c r="A2507" s="62" t="s">
        <v>2645</v>
      </c>
      <c r="B2507" s="63">
        <v>44216.0</v>
      </c>
      <c r="C2507" s="62" t="s">
        <v>119</v>
      </c>
      <c r="D2507" s="64">
        <v>42.5</v>
      </c>
      <c r="E2507" s="62" t="s">
        <v>109</v>
      </c>
      <c r="F2507" s="62" t="s">
        <v>115</v>
      </c>
      <c r="G2507" s="64" t="s">
        <v>64</v>
      </c>
      <c r="H2507" s="3" t="s">
        <v>145</v>
      </c>
      <c r="I2507" s="65">
        <f>IFERROR(VLOOKUP(A2507,'3. Call duration'!$A:$C,3,0),"--")</f>
        <v>21.51147702</v>
      </c>
      <c r="J2507" s="65" t="str">
        <f t="array" ref="J2507">XLOOKUP(H2507,'2. Matching'!$A$2:$A$39,'2. Matching'!$B$2:$B$39,"--")</f>
        <v>SEO</v>
      </c>
      <c r="K2507" s="65" t="str">
        <f t="shared" si="1"/>
        <v>In</v>
      </c>
    </row>
    <row r="2508">
      <c r="A2508" s="62" t="s">
        <v>2646</v>
      </c>
      <c r="B2508" s="63">
        <v>44169.0</v>
      </c>
      <c r="C2508" s="62" t="s">
        <v>119</v>
      </c>
      <c r="D2508" s="64">
        <v>42.5</v>
      </c>
      <c r="E2508" s="62" t="s">
        <v>109</v>
      </c>
      <c r="F2508" s="62" t="s">
        <v>115</v>
      </c>
      <c r="G2508" s="64" t="s">
        <v>64</v>
      </c>
      <c r="H2508" s="3" t="s">
        <v>164</v>
      </c>
      <c r="I2508" s="65">
        <f>IFERROR(VLOOKUP(A2508,'3. Call duration'!$A:$C,3,0),"--")</f>
        <v>30.59589595</v>
      </c>
      <c r="J2508" s="65" t="str">
        <f t="array" ref="J2508">XLOOKUP(H2508,'2. Matching'!$A$2:$A$39,'2. Matching'!$B$2:$B$39,"--")</f>
        <v>SEO</v>
      </c>
      <c r="K2508" s="65" t="str">
        <f t="shared" si="1"/>
        <v>In</v>
      </c>
    </row>
    <row r="2509">
      <c r="A2509" s="62" t="s">
        <v>2647</v>
      </c>
      <c r="B2509" s="63">
        <v>44088.0</v>
      </c>
      <c r="C2509" s="62" t="s">
        <v>119</v>
      </c>
      <c r="D2509" s="64">
        <v>42.5</v>
      </c>
      <c r="E2509" s="62" t="s">
        <v>109</v>
      </c>
      <c r="F2509" s="62" t="s">
        <v>115</v>
      </c>
      <c r="G2509" s="64" t="s">
        <v>64</v>
      </c>
      <c r="H2509" s="3" t="s">
        <v>139</v>
      </c>
      <c r="I2509" s="65">
        <f>IFERROR(VLOOKUP(A2509,'3. Call duration'!$A:$C,3,0),"--")</f>
        <v>23.19973986</v>
      </c>
      <c r="J2509" s="65" t="str">
        <f t="array" ref="J2509">XLOOKUP(H2509,'2. Matching'!$A$2:$A$39,'2. Matching'!$B$2:$B$39,"--")</f>
        <v>Acquisition</v>
      </c>
      <c r="K2509" s="65" t="str">
        <f t="shared" si="1"/>
        <v>In</v>
      </c>
    </row>
    <row r="2510">
      <c r="A2510" s="62" t="s">
        <v>2648</v>
      </c>
      <c r="B2510" s="63">
        <v>44237.0</v>
      </c>
      <c r="C2510" s="62" t="s">
        <v>119</v>
      </c>
      <c r="D2510" s="64">
        <v>42.5</v>
      </c>
      <c r="E2510" s="62" t="s">
        <v>109</v>
      </c>
      <c r="F2510" s="62" t="s">
        <v>115</v>
      </c>
      <c r="G2510" s="64" t="s">
        <v>64</v>
      </c>
      <c r="H2510" s="3" t="s">
        <v>116</v>
      </c>
      <c r="I2510" s="65">
        <f>IFERROR(VLOOKUP(A2510,'3. Call duration'!$A:$C,3,0),"--")</f>
        <v>33.22034366</v>
      </c>
      <c r="J2510" s="65" t="str">
        <f t="array" ref="J2510">XLOOKUP(H2510,'2. Matching'!$A$2:$A$39,'2. Matching'!$B$2:$B$39,"--")</f>
        <v>Acquisition</v>
      </c>
      <c r="K2510" s="65" t="str">
        <f t="shared" si="1"/>
        <v>In</v>
      </c>
    </row>
    <row r="2511">
      <c r="A2511" s="62" t="s">
        <v>2649</v>
      </c>
      <c r="B2511" s="63">
        <v>44148.0</v>
      </c>
      <c r="C2511" s="62" t="s">
        <v>119</v>
      </c>
      <c r="D2511" s="64">
        <v>42.5</v>
      </c>
      <c r="E2511" s="62" t="s">
        <v>109</v>
      </c>
      <c r="F2511" s="62" t="s">
        <v>115</v>
      </c>
      <c r="G2511" s="64" t="s">
        <v>64</v>
      </c>
      <c r="H2511" s="3" t="s">
        <v>175</v>
      </c>
      <c r="I2511" s="65">
        <f>IFERROR(VLOOKUP(A2511,'3. Call duration'!$A:$C,3,0),"--")</f>
        <v>21.79805917</v>
      </c>
      <c r="J2511" s="65" t="str">
        <f t="array" ref="J2511">XLOOKUP(H2511,'2. Matching'!$A$2:$A$39,'2. Matching'!$B$2:$B$39,"--")</f>
        <v>SEO</v>
      </c>
      <c r="K2511" s="65" t="str">
        <f t="shared" si="1"/>
        <v>In</v>
      </c>
    </row>
    <row r="2512">
      <c r="A2512" s="62" t="s">
        <v>2650</v>
      </c>
      <c r="B2512" s="63">
        <v>44120.0</v>
      </c>
      <c r="C2512" s="62" t="s">
        <v>119</v>
      </c>
      <c r="D2512" s="64">
        <v>42.5</v>
      </c>
      <c r="E2512" s="62" t="s">
        <v>109</v>
      </c>
      <c r="F2512" s="62" t="s">
        <v>110</v>
      </c>
      <c r="G2512" s="64" t="s">
        <v>64</v>
      </c>
      <c r="H2512" s="3" t="s">
        <v>155</v>
      </c>
      <c r="I2512" s="65">
        <f>IFERROR(VLOOKUP(A2512,'3. Call duration'!$A:$C,3,0),"--")</f>
        <v>10.88636597</v>
      </c>
      <c r="J2512" s="65" t="str">
        <f t="array" ref="J2512">XLOOKUP(H2512,'2. Matching'!$A$2:$A$39,'2. Matching'!$B$2:$B$39,"--")</f>
        <v>SEO</v>
      </c>
      <c r="K2512" s="65" t="str">
        <f t="shared" si="1"/>
        <v>In</v>
      </c>
    </row>
    <row r="2513">
      <c r="A2513" s="62" t="s">
        <v>2651</v>
      </c>
      <c r="B2513" s="63">
        <v>44111.0</v>
      </c>
      <c r="C2513" s="62" t="s">
        <v>119</v>
      </c>
      <c r="D2513" s="64">
        <v>42.5</v>
      </c>
      <c r="E2513" s="62" t="s">
        <v>109</v>
      </c>
      <c r="F2513" s="62" t="s">
        <v>115</v>
      </c>
      <c r="G2513" s="64" t="s">
        <v>64</v>
      </c>
      <c r="H2513" s="3" t="s">
        <v>155</v>
      </c>
      <c r="I2513" s="65">
        <f>IFERROR(VLOOKUP(A2513,'3. Call duration'!$A:$C,3,0),"--")</f>
        <v>24.67243645</v>
      </c>
      <c r="J2513" s="65" t="str">
        <f t="array" ref="J2513">XLOOKUP(H2513,'2. Matching'!$A$2:$A$39,'2. Matching'!$B$2:$B$39,"--")</f>
        <v>SEO</v>
      </c>
      <c r="K2513" s="65" t="str">
        <f t="shared" si="1"/>
        <v>In</v>
      </c>
    </row>
    <row r="2514">
      <c r="A2514" s="62" t="s">
        <v>2652</v>
      </c>
      <c r="B2514" s="63">
        <v>44223.0</v>
      </c>
      <c r="C2514" s="62" t="s">
        <v>119</v>
      </c>
      <c r="D2514" s="64">
        <v>42.5</v>
      </c>
      <c r="E2514" s="62" t="s">
        <v>109</v>
      </c>
      <c r="F2514" s="62" t="s">
        <v>110</v>
      </c>
      <c r="G2514" s="64" t="s">
        <v>64</v>
      </c>
      <c r="H2514" s="3" t="s">
        <v>169</v>
      </c>
      <c r="I2514" s="65">
        <f>IFERROR(VLOOKUP(A2514,'3. Call duration'!$A:$C,3,0),"--")</f>
        <v>27.52830009</v>
      </c>
      <c r="J2514" s="65" t="str">
        <f t="array" ref="J2514">XLOOKUP(H2514,'2. Matching'!$A$2:$A$39,'2. Matching'!$B$2:$B$39,"--")</f>
        <v>SEO</v>
      </c>
      <c r="K2514" s="65" t="str">
        <f t="shared" si="1"/>
        <v>In</v>
      </c>
    </row>
    <row r="2515">
      <c r="A2515" s="62" t="s">
        <v>2653</v>
      </c>
      <c r="B2515" s="63">
        <v>44090.0</v>
      </c>
      <c r="C2515" s="62" t="s">
        <v>119</v>
      </c>
      <c r="D2515" s="64">
        <v>42.5</v>
      </c>
      <c r="E2515" s="62" t="s">
        <v>109</v>
      </c>
      <c r="F2515" s="62" t="s">
        <v>115</v>
      </c>
      <c r="G2515" s="64" t="s">
        <v>64</v>
      </c>
      <c r="H2515" s="3" t="s">
        <v>139</v>
      </c>
      <c r="I2515" s="65">
        <f>IFERROR(VLOOKUP(A2515,'3. Call duration'!$A:$C,3,0),"--")</f>
        <v>24.61643125</v>
      </c>
      <c r="J2515" s="65" t="str">
        <f t="array" ref="J2515">XLOOKUP(H2515,'2. Matching'!$A$2:$A$39,'2. Matching'!$B$2:$B$39,"--")</f>
        <v>Acquisition</v>
      </c>
      <c r="K2515" s="65" t="str">
        <f t="shared" si="1"/>
        <v>In</v>
      </c>
    </row>
    <row r="2516">
      <c r="A2516" s="62" t="s">
        <v>2654</v>
      </c>
      <c r="B2516" s="63">
        <v>44237.0</v>
      </c>
      <c r="C2516" s="62" t="s">
        <v>119</v>
      </c>
      <c r="D2516" s="64">
        <v>42.5</v>
      </c>
      <c r="E2516" s="62" t="s">
        <v>109</v>
      </c>
      <c r="F2516" s="62" t="s">
        <v>115</v>
      </c>
      <c r="G2516" s="64" t="s">
        <v>112</v>
      </c>
      <c r="H2516" s="3"/>
      <c r="I2516" s="65">
        <f>IFERROR(VLOOKUP(A2516,'3. Call duration'!$A:$C,3,0),"--")</f>
        <v>30.4602327</v>
      </c>
      <c r="J2516" s="65" t="str">
        <f t="array" ref="J2516">XLOOKUP(H2516,'2. Matching'!$A$2:$A$39,'2. Matching'!$B$2:$B$39,"--")</f>
        <v>--</v>
      </c>
      <c r="K2516" s="65" t="str">
        <f t="shared" si="1"/>
        <v>In</v>
      </c>
    </row>
    <row r="2517">
      <c r="A2517" s="62" t="s">
        <v>2655</v>
      </c>
      <c r="B2517" s="63">
        <v>44237.0</v>
      </c>
      <c r="C2517" s="62" t="s">
        <v>119</v>
      </c>
      <c r="D2517" s="64">
        <v>42.5</v>
      </c>
      <c r="E2517" s="62" t="s">
        <v>109</v>
      </c>
      <c r="F2517" s="62" t="s">
        <v>115</v>
      </c>
      <c r="G2517" s="64" t="s">
        <v>62</v>
      </c>
      <c r="H2517" s="3" t="s">
        <v>203</v>
      </c>
      <c r="I2517" s="65">
        <f>IFERROR(VLOOKUP(A2517,'3. Call duration'!$A:$C,3,0),"--")</f>
        <v>20.85277945</v>
      </c>
      <c r="J2517" s="65" t="str">
        <f t="array" ref="J2517">XLOOKUP(H2517,'2. Matching'!$A$2:$A$39,'2. Matching'!$B$2:$B$39,"--")</f>
        <v>Farming</v>
      </c>
      <c r="K2517" s="65" t="str">
        <f t="shared" si="1"/>
        <v>In</v>
      </c>
    </row>
    <row r="2518">
      <c r="A2518" s="62" t="s">
        <v>2656</v>
      </c>
      <c r="B2518" s="63">
        <v>44208.0</v>
      </c>
      <c r="C2518" s="62" t="s">
        <v>119</v>
      </c>
      <c r="D2518" s="64">
        <v>42.5</v>
      </c>
      <c r="E2518" s="62" t="s">
        <v>109</v>
      </c>
      <c r="F2518" s="62" t="s">
        <v>115</v>
      </c>
      <c r="G2518" s="64" t="s">
        <v>64</v>
      </c>
      <c r="H2518" s="3" t="s">
        <v>169</v>
      </c>
      <c r="I2518" s="65">
        <f>IFERROR(VLOOKUP(A2518,'3. Call duration'!$A:$C,3,0),"--")</f>
        <v>31.89554993</v>
      </c>
      <c r="J2518" s="65" t="str">
        <f t="array" ref="J2518">XLOOKUP(H2518,'2. Matching'!$A$2:$A$39,'2. Matching'!$B$2:$B$39,"--")</f>
        <v>SEO</v>
      </c>
      <c r="K2518" s="65" t="str">
        <f t="shared" si="1"/>
        <v>In</v>
      </c>
    </row>
    <row r="2519">
      <c r="A2519" s="62" t="s">
        <v>2657</v>
      </c>
      <c r="B2519" s="63">
        <v>44181.0</v>
      </c>
      <c r="C2519" s="62" t="s">
        <v>119</v>
      </c>
      <c r="D2519" s="64">
        <v>42.5</v>
      </c>
      <c r="E2519" s="62" t="s">
        <v>109</v>
      </c>
      <c r="F2519" s="62" t="s">
        <v>115</v>
      </c>
      <c r="G2519" s="64" t="s">
        <v>64</v>
      </c>
      <c r="H2519" s="3" t="s">
        <v>164</v>
      </c>
      <c r="I2519" s="65">
        <f>IFERROR(VLOOKUP(A2519,'3. Call duration'!$A:$C,3,0),"--")</f>
        <v>24.56720036</v>
      </c>
      <c r="J2519" s="65" t="str">
        <f t="array" ref="J2519">XLOOKUP(H2519,'2. Matching'!$A$2:$A$39,'2. Matching'!$B$2:$B$39,"--")</f>
        <v>SEO</v>
      </c>
      <c r="K2519" s="65" t="str">
        <f t="shared" si="1"/>
        <v>In</v>
      </c>
    </row>
    <row r="2520">
      <c r="A2520" s="62" t="s">
        <v>2658</v>
      </c>
      <c r="B2520" s="63">
        <v>44091.0</v>
      </c>
      <c r="C2520" s="62" t="s">
        <v>119</v>
      </c>
      <c r="D2520" s="64">
        <v>42.5</v>
      </c>
      <c r="E2520" s="62" t="s">
        <v>109</v>
      </c>
      <c r="F2520" s="62" t="s">
        <v>115</v>
      </c>
      <c r="G2520" s="64" t="s">
        <v>64</v>
      </c>
      <c r="H2520" s="3" t="s">
        <v>150</v>
      </c>
      <c r="I2520" s="65">
        <f>IFERROR(VLOOKUP(A2520,'3. Call duration'!$A:$C,3,0),"--")</f>
        <v>30.76802036</v>
      </c>
      <c r="J2520" s="65" t="str">
        <f t="array" ref="J2520">XLOOKUP(H2520,'2. Matching'!$A$2:$A$39,'2. Matching'!$B$2:$B$39,"--")</f>
        <v>SEO</v>
      </c>
      <c r="K2520" s="65" t="str">
        <f t="shared" si="1"/>
        <v>In</v>
      </c>
    </row>
    <row r="2521">
      <c r="A2521" s="62" t="s">
        <v>2659</v>
      </c>
      <c r="B2521" s="63">
        <v>44121.0</v>
      </c>
      <c r="C2521" s="62" t="s">
        <v>119</v>
      </c>
      <c r="D2521" s="64">
        <v>42.5</v>
      </c>
      <c r="E2521" s="62" t="s">
        <v>109</v>
      </c>
      <c r="F2521" s="62" t="s">
        <v>115</v>
      </c>
      <c r="G2521" s="64" t="s">
        <v>64</v>
      </c>
      <c r="H2521" s="3" t="s">
        <v>235</v>
      </c>
      <c r="I2521" s="65">
        <f>IFERROR(VLOOKUP(A2521,'3. Call duration'!$A:$C,3,0),"--")</f>
        <v>27.77245837</v>
      </c>
      <c r="J2521" s="65" t="str">
        <f t="array" ref="J2521">XLOOKUP(H2521,'2. Matching'!$A$2:$A$39,'2. Matching'!$B$2:$B$39,"--")</f>
        <v>Farming</v>
      </c>
      <c r="K2521" s="65" t="str">
        <f t="shared" si="1"/>
        <v>In</v>
      </c>
    </row>
    <row r="2522">
      <c r="A2522" s="62" t="s">
        <v>2660</v>
      </c>
      <c r="B2522" s="63">
        <v>44236.0</v>
      </c>
      <c r="C2522" s="62" t="s">
        <v>119</v>
      </c>
      <c r="D2522" s="64">
        <v>42.5</v>
      </c>
      <c r="E2522" s="62" t="s">
        <v>109</v>
      </c>
      <c r="F2522" s="62" t="s">
        <v>110</v>
      </c>
      <c r="G2522" s="64" t="s">
        <v>64</v>
      </c>
      <c r="H2522" s="3" t="s">
        <v>175</v>
      </c>
      <c r="I2522" s="65">
        <f>IFERROR(VLOOKUP(A2522,'3. Call duration'!$A:$C,3,0),"--")</f>
        <v>49.47919145</v>
      </c>
      <c r="J2522" s="65" t="str">
        <f t="array" ref="J2522">XLOOKUP(H2522,'2. Matching'!$A$2:$A$39,'2. Matching'!$B$2:$B$39,"--")</f>
        <v>SEO</v>
      </c>
      <c r="K2522" s="65" t="str">
        <f t="shared" si="1"/>
        <v>In</v>
      </c>
    </row>
    <row r="2523">
      <c r="A2523" s="62" t="s">
        <v>2661</v>
      </c>
      <c r="B2523" s="63">
        <v>44178.0</v>
      </c>
      <c r="C2523" s="62" t="s">
        <v>119</v>
      </c>
      <c r="D2523" s="64">
        <v>42.5</v>
      </c>
      <c r="E2523" s="62" t="s">
        <v>109</v>
      </c>
      <c r="F2523" s="62" t="s">
        <v>115</v>
      </c>
      <c r="G2523" s="64" t="s">
        <v>64</v>
      </c>
      <c r="H2523" s="3" t="s">
        <v>139</v>
      </c>
      <c r="I2523" s="65">
        <f>IFERROR(VLOOKUP(A2523,'3. Call duration'!$A:$C,3,0),"--")</f>
        <v>32.62592594</v>
      </c>
      <c r="J2523" s="65" t="str">
        <f t="array" ref="J2523">XLOOKUP(H2523,'2. Matching'!$A$2:$A$39,'2. Matching'!$B$2:$B$39,"--")</f>
        <v>Acquisition</v>
      </c>
      <c r="K2523" s="65" t="str">
        <f t="shared" si="1"/>
        <v>In</v>
      </c>
    </row>
    <row r="2524">
      <c r="A2524" s="62" t="s">
        <v>2662</v>
      </c>
      <c r="B2524" s="63">
        <v>44202.0</v>
      </c>
      <c r="C2524" s="62" t="s">
        <v>119</v>
      </c>
      <c r="D2524" s="64">
        <v>42.5</v>
      </c>
      <c r="E2524" s="62" t="s">
        <v>109</v>
      </c>
      <c r="F2524" s="62" t="s">
        <v>115</v>
      </c>
      <c r="G2524" s="64" t="s">
        <v>64</v>
      </c>
      <c r="H2524" s="3" t="s">
        <v>185</v>
      </c>
      <c r="I2524" s="65">
        <f>IFERROR(VLOOKUP(A2524,'3. Call duration'!$A:$C,3,0),"--")</f>
        <v>26.06309872</v>
      </c>
      <c r="J2524" s="65" t="str">
        <f t="array" ref="J2524">XLOOKUP(H2524,'2. Matching'!$A$2:$A$39,'2. Matching'!$B$2:$B$39,"--")</f>
        <v>SEO</v>
      </c>
      <c r="K2524" s="65" t="str">
        <f t="shared" si="1"/>
        <v>In</v>
      </c>
    </row>
    <row r="2525">
      <c r="A2525" s="62" t="s">
        <v>2663</v>
      </c>
      <c r="B2525" s="63">
        <v>44116.0</v>
      </c>
      <c r="C2525" s="62" t="s">
        <v>119</v>
      </c>
      <c r="D2525" s="64">
        <v>42.5</v>
      </c>
      <c r="E2525" s="62" t="s">
        <v>109</v>
      </c>
      <c r="F2525" s="62" t="s">
        <v>115</v>
      </c>
      <c r="G2525" s="64" t="s">
        <v>64</v>
      </c>
      <c r="H2525" s="3" t="s">
        <v>150</v>
      </c>
      <c r="I2525" s="65">
        <f>IFERROR(VLOOKUP(A2525,'3. Call duration'!$A:$C,3,0),"--")</f>
        <v>26.22043213</v>
      </c>
      <c r="J2525" s="65" t="str">
        <f t="array" ref="J2525">XLOOKUP(H2525,'2. Matching'!$A$2:$A$39,'2. Matching'!$B$2:$B$39,"--")</f>
        <v>SEO</v>
      </c>
      <c r="K2525" s="65" t="str">
        <f t="shared" si="1"/>
        <v>In</v>
      </c>
    </row>
    <row r="2526">
      <c r="A2526" s="62" t="s">
        <v>2664</v>
      </c>
      <c r="B2526" s="63">
        <v>44186.0</v>
      </c>
      <c r="C2526" s="62" t="s">
        <v>119</v>
      </c>
      <c r="D2526" s="64">
        <v>42.5</v>
      </c>
      <c r="E2526" s="62" t="s">
        <v>109</v>
      </c>
      <c r="F2526" s="62" t="s">
        <v>115</v>
      </c>
      <c r="G2526" s="64" t="s">
        <v>62</v>
      </c>
      <c r="H2526" s="3" t="s">
        <v>286</v>
      </c>
      <c r="I2526" s="65">
        <f>IFERROR(VLOOKUP(A2526,'3. Call duration'!$A:$C,3,0),"--")</f>
        <v>30.79590321</v>
      </c>
      <c r="J2526" s="65" t="str">
        <f t="array" ref="J2526">XLOOKUP(H2526,'2. Matching'!$A$2:$A$39,'2. Matching'!$B$2:$B$39,"--")</f>
        <v>Farming</v>
      </c>
      <c r="K2526" s="65" t="str">
        <f t="shared" si="1"/>
        <v>In</v>
      </c>
    </row>
    <row r="2527">
      <c r="A2527" s="62" t="s">
        <v>2665</v>
      </c>
      <c r="B2527" s="63">
        <v>44083.0</v>
      </c>
      <c r="C2527" s="62" t="s">
        <v>119</v>
      </c>
      <c r="D2527" s="64">
        <v>42.5</v>
      </c>
      <c r="E2527" s="62" t="s">
        <v>109</v>
      </c>
      <c r="F2527" s="62" t="s">
        <v>115</v>
      </c>
      <c r="G2527" s="64" t="s">
        <v>64</v>
      </c>
      <c r="H2527" s="3" t="s">
        <v>139</v>
      </c>
      <c r="I2527" s="65">
        <f>IFERROR(VLOOKUP(A2527,'3. Call duration'!$A:$C,3,0),"--")</f>
        <v>42.72594085</v>
      </c>
      <c r="J2527" s="65" t="str">
        <f t="array" ref="J2527">XLOOKUP(H2527,'2. Matching'!$A$2:$A$39,'2. Matching'!$B$2:$B$39,"--")</f>
        <v>Acquisition</v>
      </c>
      <c r="K2527" s="65" t="str">
        <f t="shared" si="1"/>
        <v>In</v>
      </c>
    </row>
    <row r="2528">
      <c r="A2528" s="62" t="s">
        <v>2666</v>
      </c>
      <c r="B2528" s="63">
        <v>44237.0</v>
      </c>
      <c r="C2528" s="62" t="s">
        <v>119</v>
      </c>
      <c r="D2528" s="64">
        <v>42.5</v>
      </c>
      <c r="E2528" s="62" t="s">
        <v>109</v>
      </c>
      <c r="F2528" s="62" t="s">
        <v>115</v>
      </c>
      <c r="G2528" s="64" t="s">
        <v>64</v>
      </c>
      <c r="H2528" s="3" t="s">
        <v>164</v>
      </c>
      <c r="I2528" s="65">
        <f>IFERROR(VLOOKUP(A2528,'3. Call duration'!$A:$C,3,0),"--")</f>
        <v>20.85526411</v>
      </c>
      <c r="J2528" s="65" t="str">
        <f t="array" ref="J2528">XLOOKUP(H2528,'2. Matching'!$A$2:$A$39,'2. Matching'!$B$2:$B$39,"--")</f>
        <v>SEO</v>
      </c>
      <c r="K2528" s="65" t="str">
        <f t="shared" si="1"/>
        <v>In</v>
      </c>
    </row>
    <row r="2529">
      <c r="A2529" s="62" t="s">
        <v>2667</v>
      </c>
      <c r="B2529" s="63">
        <v>44249.0</v>
      </c>
      <c r="C2529" s="62" t="s">
        <v>119</v>
      </c>
      <c r="D2529" s="64">
        <v>42.5</v>
      </c>
      <c r="E2529" s="62" t="s">
        <v>109</v>
      </c>
      <c r="F2529" s="62" t="s">
        <v>115</v>
      </c>
      <c r="G2529" s="64" t="s">
        <v>64</v>
      </c>
      <c r="H2529" s="3" t="s">
        <v>139</v>
      </c>
      <c r="I2529" s="65">
        <f>IFERROR(VLOOKUP(A2529,'3. Call duration'!$A:$C,3,0),"--")</f>
        <v>20.35457239</v>
      </c>
      <c r="J2529" s="65" t="str">
        <f t="array" ref="J2529">XLOOKUP(H2529,'2. Matching'!$A$2:$A$39,'2. Matching'!$B$2:$B$39,"--")</f>
        <v>Acquisition</v>
      </c>
      <c r="K2529" s="65" t="str">
        <f t="shared" si="1"/>
        <v>In</v>
      </c>
    </row>
    <row r="2530">
      <c r="A2530" s="62" t="s">
        <v>2668</v>
      </c>
      <c r="B2530" s="63">
        <v>44229.0</v>
      </c>
      <c r="C2530" s="62" t="s">
        <v>119</v>
      </c>
      <c r="D2530" s="64">
        <v>42.5</v>
      </c>
      <c r="E2530" s="62" t="s">
        <v>109</v>
      </c>
      <c r="F2530" s="62" t="s">
        <v>110</v>
      </c>
      <c r="G2530" s="64" t="s">
        <v>64</v>
      </c>
      <c r="H2530" s="3" t="s">
        <v>171</v>
      </c>
      <c r="I2530" s="65">
        <f>IFERROR(VLOOKUP(A2530,'3. Call duration'!$A:$C,3,0),"--")</f>
        <v>32.61320457</v>
      </c>
      <c r="J2530" s="65" t="str">
        <f t="array" ref="J2530">XLOOKUP(H2530,'2. Matching'!$A$2:$A$39,'2. Matching'!$B$2:$B$39,"--")</f>
        <v>SEO</v>
      </c>
      <c r="K2530" s="65" t="str">
        <f t="shared" si="1"/>
        <v>In</v>
      </c>
    </row>
    <row r="2531">
      <c r="A2531" s="62" t="s">
        <v>2669</v>
      </c>
      <c r="B2531" s="63">
        <v>44111.0</v>
      </c>
      <c r="C2531" s="62" t="s">
        <v>119</v>
      </c>
      <c r="D2531" s="64">
        <v>42.5</v>
      </c>
      <c r="E2531" s="62" t="s">
        <v>109</v>
      </c>
      <c r="F2531" s="62" t="s">
        <v>115</v>
      </c>
      <c r="G2531" s="64" t="s">
        <v>64</v>
      </c>
      <c r="H2531" s="3" t="s">
        <v>49</v>
      </c>
      <c r="I2531" s="65">
        <f>IFERROR(VLOOKUP(A2531,'3. Call duration'!$A:$C,3,0),"--")</f>
        <v>16.87691928</v>
      </c>
      <c r="J2531" s="65" t="str">
        <f t="array" ref="J2531">XLOOKUP(H2531,'2. Matching'!$A$2:$A$39,'2. Matching'!$B$2:$B$39,"--")</f>
        <v>Partnerships</v>
      </c>
      <c r="K2531" s="65" t="str">
        <f t="shared" si="1"/>
        <v>In</v>
      </c>
    </row>
    <row r="2532">
      <c r="A2532" s="62" t="s">
        <v>2670</v>
      </c>
      <c r="B2532" s="63">
        <v>44104.0</v>
      </c>
      <c r="C2532" s="62" t="s">
        <v>119</v>
      </c>
      <c r="D2532" s="64">
        <v>42.5</v>
      </c>
      <c r="E2532" s="62" t="s">
        <v>109</v>
      </c>
      <c r="F2532" s="62" t="s">
        <v>115</v>
      </c>
      <c r="G2532" s="64" t="s">
        <v>64</v>
      </c>
      <c r="H2532" s="3" t="s">
        <v>175</v>
      </c>
      <c r="I2532" s="65">
        <f>IFERROR(VLOOKUP(A2532,'3. Call duration'!$A:$C,3,0),"--")</f>
        <v>21.8579378</v>
      </c>
      <c r="J2532" s="65" t="str">
        <f t="array" ref="J2532">XLOOKUP(H2532,'2. Matching'!$A$2:$A$39,'2. Matching'!$B$2:$B$39,"--")</f>
        <v>SEO</v>
      </c>
      <c r="K2532" s="65" t="str">
        <f t="shared" si="1"/>
        <v>In</v>
      </c>
    </row>
    <row r="2533">
      <c r="A2533" s="62" t="s">
        <v>2671</v>
      </c>
      <c r="B2533" s="63">
        <v>44218.0</v>
      </c>
      <c r="C2533" s="62" t="s">
        <v>119</v>
      </c>
      <c r="D2533" s="64">
        <v>42.5</v>
      </c>
      <c r="E2533" s="62" t="s">
        <v>109</v>
      </c>
      <c r="F2533" s="62" t="s">
        <v>115</v>
      </c>
      <c r="G2533" s="64" t="s">
        <v>64</v>
      </c>
      <c r="H2533" s="3" t="s">
        <v>164</v>
      </c>
      <c r="I2533" s="65">
        <f>IFERROR(VLOOKUP(A2533,'3. Call duration'!$A:$C,3,0),"--")</f>
        <v>15.90244452</v>
      </c>
      <c r="J2533" s="65" t="str">
        <f t="array" ref="J2533">XLOOKUP(H2533,'2. Matching'!$A$2:$A$39,'2. Matching'!$B$2:$B$39,"--")</f>
        <v>SEO</v>
      </c>
      <c r="K2533" s="65" t="str">
        <f t="shared" si="1"/>
        <v>In</v>
      </c>
    </row>
    <row r="2534">
      <c r="A2534" s="62" t="s">
        <v>2672</v>
      </c>
      <c r="B2534" s="63">
        <v>44125.0</v>
      </c>
      <c r="C2534" s="62" t="s">
        <v>119</v>
      </c>
      <c r="D2534" s="64">
        <v>42.5</v>
      </c>
      <c r="E2534" s="62" t="s">
        <v>109</v>
      </c>
      <c r="F2534" s="62" t="s">
        <v>115</v>
      </c>
      <c r="G2534" s="64" t="s">
        <v>64</v>
      </c>
      <c r="H2534" s="3" t="s">
        <v>164</v>
      </c>
      <c r="I2534" s="65">
        <f>IFERROR(VLOOKUP(A2534,'3. Call duration'!$A:$C,3,0),"--")</f>
        <v>22.42876294</v>
      </c>
      <c r="J2534" s="65" t="str">
        <f t="array" ref="J2534">XLOOKUP(H2534,'2. Matching'!$A$2:$A$39,'2. Matching'!$B$2:$B$39,"--")</f>
        <v>SEO</v>
      </c>
      <c r="K2534" s="65" t="str">
        <f t="shared" si="1"/>
        <v>In</v>
      </c>
    </row>
    <row r="2535">
      <c r="A2535" s="62" t="s">
        <v>2673</v>
      </c>
      <c r="B2535" s="63">
        <v>44133.0</v>
      </c>
      <c r="C2535" s="62" t="s">
        <v>119</v>
      </c>
      <c r="D2535" s="64">
        <v>42.5</v>
      </c>
      <c r="E2535" s="62" t="s">
        <v>109</v>
      </c>
      <c r="F2535" s="62" t="s">
        <v>115</v>
      </c>
      <c r="G2535" s="64" t="s">
        <v>112</v>
      </c>
      <c r="H2535" s="3"/>
      <c r="I2535" s="65">
        <f>IFERROR(VLOOKUP(A2535,'3. Call duration'!$A:$C,3,0),"--")</f>
        <v>32.45910366</v>
      </c>
      <c r="J2535" s="65" t="str">
        <f t="array" ref="J2535">XLOOKUP(H2535,'2. Matching'!$A$2:$A$39,'2. Matching'!$B$2:$B$39,"--")</f>
        <v>--</v>
      </c>
      <c r="K2535" s="65" t="str">
        <f t="shared" si="1"/>
        <v>In</v>
      </c>
    </row>
    <row r="2536">
      <c r="A2536" s="62" t="s">
        <v>2674</v>
      </c>
      <c r="B2536" s="63">
        <v>44120.0</v>
      </c>
      <c r="C2536" s="62" t="s">
        <v>119</v>
      </c>
      <c r="D2536" s="64">
        <v>42.5</v>
      </c>
      <c r="E2536" s="62" t="s">
        <v>109</v>
      </c>
      <c r="F2536" s="62" t="s">
        <v>115</v>
      </c>
      <c r="G2536" s="64" t="s">
        <v>64</v>
      </c>
      <c r="H2536" s="3" t="s">
        <v>139</v>
      </c>
      <c r="I2536" s="65">
        <f>IFERROR(VLOOKUP(A2536,'3. Call duration'!$A:$C,3,0),"--")</f>
        <v>23.87499089</v>
      </c>
      <c r="J2536" s="65" t="str">
        <f t="array" ref="J2536">XLOOKUP(H2536,'2. Matching'!$A$2:$A$39,'2. Matching'!$B$2:$B$39,"--")</f>
        <v>Acquisition</v>
      </c>
      <c r="K2536" s="65" t="str">
        <f t="shared" si="1"/>
        <v>In</v>
      </c>
    </row>
    <row r="2537">
      <c r="A2537" s="62" t="s">
        <v>2675</v>
      </c>
      <c r="B2537" s="63">
        <v>44229.0</v>
      </c>
      <c r="C2537" s="62" t="s">
        <v>119</v>
      </c>
      <c r="D2537" s="64">
        <v>42.5</v>
      </c>
      <c r="E2537" s="62" t="s">
        <v>109</v>
      </c>
      <c r="F2537" s="62" t="s">
        <v>110</v>
      </c>
      <c r="G2537" s="64" t="s">
        <v>62</v>
      </c>
      <c r="H2537" s="3" t="s">
        <v>286</v>
      </c>
      <c r="I2537" s="65">
        <f>IFERROR(VLOOKUP(A2537,'3. Call duration'!$A:$C,3,0),"--")</f>
        <v>20.54268229</v>
      </c>
      <c r="J2537" s="65" t="str">
        <f t="array" ref="J2537">XLOOKUP(H2537,'2. Matching'!$A$2:$A$39,'2. Matching'!$B$2:$B$39,"--")</f>
        <v>Farming</v>
      </c>
      <c r="K2537" s="65" t="str">
        <f t="shared" si="1"/>
        <v>In</v>
      </c>
    </row>
    <row r="2538">
      <c r="A2538" s="62" t="s">
        <v>2676</v>
      </c>
      <c r="B2538" s="63">
        <v>44246.0</v>
      </c>
      <c r="C2538" s="62" t="s">
        <v>119</v>
      </c>
      <c r="D2538" s="64">
        <v>42.5</v>
      </c>
      <c r="E2538" s="62" t="s">
        <v>109</v>
      </c>
      <c r="F2538" s="62" t="s">
        <v>115</v>
      </c>
      <c r="G2538" s="64" t="s">
        <v>64</v>
      </c>
      <c r="H2538" s="3" t="s">
        <v>169</v>
      </c>
      <c r="I2538" s="65">
        <f>IFERROR(VLOOKUP(A2538,'3. Call duration'!$A:$C,3,0),"--")</f>
        <v>32.33539221</v>
      </c>
      <c r="J2538" s="65" t="str">
        <f t="array" ref="J2538">XLOOKUP(H2538,'2. Matching'!$A$2:$A$39,'2. Matching'!$B$2:$B$39,"--")</f>
        <v>SEO</v>
      </c>
      <c r="K2538" s="65" t="str">
        <f t="shared" si="1"/>
        <v>In</v>
      </c>
    </row>
    <row r="2539">
      <c r="A2539" s="62" t="s">
        <v>2677</v>
      </c>
      <c r="B2539" s="63">
        <v>44097.0</v>
      </c>
      <c r="C2539" s="62" t="s">
        <v>119</v>
      </c>
      <c r="D2539" s="64">
        <v>42.5</v>
      </c>
      <c r="E2539" s="62" t="s">
        <v>109</v>
      </c>
      <c r="F2539" s="62" t="s">
        <v>115</v>
      </c>
      <c r="G2539" s="64" t="s">
        <v>64</v>
      </c>
      <c r="H2539" s="3" t="s">
        <v>139</v>
      </c>
      <c r="I2539" s="65">
        <f>IFERROR(VLOOKUP(A2539,'3. Call duration'!$A:$C,3,0),"--")</f>
        <v>25.99961402</v>
      </c>
      <c r="J2539" s="65" t="str">
        <f t="array" ref="J2539">XLOOKUP(H2539,'2. Matching'!$A$2:$A$39,'2. Matching'!$B$2:$B$39,"--")</f>
        <v>Acquisition</v>
      </c>
      <c r="K2539" s="65" t="str">
        <f t="shared" si="1"/>
        <v>In</v>
      </c>
    </row>
    <row r="2540">
      <c r="A2540" s="62" t="s">
        <v>2678</v>
      </c>
      <c r="B2540" s="63">
        <v>44125.0</v>
      </c>
      <c r="C2540" s="62" t="s">
        <v>119</v>
      </c>
      <c r="D2540" s="64">
        <v>42.5</v>
      </c>
      <c r="E2540" s="62" t="s">
        <v>109</v>
      </c>
      <c r="F2540" s="62" t="s">
        <v>115</v>
      </c>
      <c r="G2540" s="64" t="s">
        <v>64</v>
      </c>
      <c r="H2540" s="3" t="s">
        <v>164</v>
      </c>
      <c r="I2540" s="65">
        <f>IFERROR(VLOOKUP(A2540,'3. Call duration'!$A:$C,3,0),"--")</f>
        <v>47.93356058</v>
      </c>
      <c r="J2540" s="65" t="str">
        <f t="array" ref="J2540">XLOOKUP(H2540,'2. Matching'!$A$2:$A$39,'2. Matching'!$B$2:$B$39,"--")</f>
        <v>SEO</v>
      </c>
      <c r="K2540" s="65" t="str">
        <f t="shared" si="1"/>
        <v>In</v>
      </c>
    </row>
    <row r="2541">
      <c r="A2541" s="62" t="s">
        <v>2679</v>
      </c>
      <c r="B2541" s="63">
        <v>44228.0</v>
      </c>
      <c r="C2541" s="62" t="s">
        <v>119</v>
      </c>
      <c r="D2541" s="64">
        <v>42.5</v>
      </c>
      <c r="E2541" s="62" t="s">
        <v>109</v>
      </c>
      <c r="F2541" s="62" t="s">
        <v>110</v>
      </c>
      <c r="G2541" s="64" t="s">
        <v>64</v>
      </c>
      <c r="H2541" s="3" t="s">
        <v>145</v>
      </c>
      <c r="I2541" s="65">
        <f>IFERROR(VLOOKUP(A2541,'3. Call duration'!$A:$C,3,0),"--")</f>
        <v>25.62584421</v>
      </c>
      <c r="J2541" s="65" t="str">
        <f t="array" ref="J2541">XLOOKUP(H2541,'2. Matching'!$A$2:$A$39,'2. Matching'!$B$2:$B$39,"--")</f>
        <v>SEO</v>
      </c>
      <c r="K2541" s="65" t="str">
        <f t="shared" si="1"/>
        <v>In</v>
      </c>
    </row>
    <row r="2542">
      <c r="A2542" s="62" t="s">
        <v>2680</v>
      </c>
      <c r="B2542" s="63">
        <v>44207.0</v>
      </c>
      <c r="C2542" s="62" t="s">
        <v>119</v>
      </c>
      <c r="D2542" s="64">
        <v>42.5</v>
      </c>
      <c r="E2542" s="62" t="s">
        <v>109</v>
      </c>
      <c r="F2542" s="62" t="s">
        <v>115</v>
      </c>
      <c r="G2542" s="64" t="s">
        <v>64</v>
      </c>
      <c r="H2542" s="3" t="s">
        <v>131</v>
      </c>
      <c r="I2542" s="65">
        <f>IFERROR(VLOOKUP(A2542,'3. Call duration'!$A:$C,3,0),"--")</f>
        <v>31.41614714</v>
      </c>
      <c r="J2542" s="65" t="str">
        <f t="array" ref="J2542">XLOOKUP(H2542,'2. Matching'!$A$2:$A$39,'2. Matching'!$B$2:$B$39,"--")</f>
        <v>Acquisition</v>
      </c>
      <c r="K2542" s="65" t="str">
        <f t="shared" si="1"/>
        <v>In</v>
      </c>
    </row>
    <row r="2543">
      <c r="A2543" s="62" t="s">
        <v>2681</v>
      </c>
      <c r="B2543" s="63">
        <v>44254.0</v>
      </c>
      <c r="C2543" s="62" t="s">
        <v>119</v>
      </c>
      <c r="D2543" s="64">
        <v>42.5</v>
      </c>
      <c r="E2543" s="62" t="s">
        <v>109</v>
      </c>
      <c r="F2543" s="62" t="s">
        <v>115</v>
      </c>
      <c r="G2543" s="64" t="s">
        <v>64</v>
      </c>
      <c r="H2543" s="3" t="s">
        <v>169</v>
      </c>
      <c r="I2543" s="65">
        <f>IFERROR(VLOOKUP(A2543,'3. Call duration'!$A:$C,3,0),"--")</f>
        <v>30.65646782</v>
      </c>
      <c r="J2543" s="65" t="str">
        <f t="array" ref="J2543">XLOOKUP(H2543,'2. Matching'!$A$2:$A$39,'2. Matching'!$B$2:$B$39,"--")</f>
        <v>SEO</v>
      </c>
      <c r="K2543" s="65" t="str">
        <f t="shared" si="1"/>
        <v>In</v>
      </c>
    </row>
    <row r="2544">
      <c r="A2544" s="62" t="s">
        <v>2682</v>
      </c>
      <c r="B2544" s="63">
        <v>44223.0</v>
      </c>
      <c r="C2544" s="62" t="s">
        <v>119</v>
      </c>
      <c r="D2544" s="64">
        <v>42.5</v>
      </c>
      <c r="E2544" s="62" t="s">
        <v>109</v>
      </c>
      <c r="F2544" s="62" t="s">
        <v>115</v>
      </c>
      <c r="G2544" s="64" t="s">
        <v>64</v>
      </c>
      <c r="H2544" s="3" t="s">
        <v>164</v>
      </c>
      <c r="I2544" s="65">
        <f>IFERROR(VLOOKUP(A2544,'3. Call duration'!$A:$C,3,0),"--")</f>
        <v>30.67702161</v>
      </c>
      <c r="J2544" s="65" t="str">
        <f t="array" ref="J2544">XLOOKUP(H2544,'2. Matching'!$A$2:$A$39,'2. Matching'!$B$2:$B$39,"--")</f>
        <v>SEO</v>
      </c>
      <c r="K2544" s="65" t="str">
        <f t="shared" si="1"/>
        <v>In</v>
      </c>
    </row>
    <row r="2545">
      <c r="A2545" s="62" t="s">
        <v>2683</v>
      </c>
      <c r="B2545" s="63">
        <v>44098.0</v>
      </c>
      <c r="C2545" s="62" t="s">
        <v>119</v>
      </c>
      <c r="D2545" s="64">
        <v>42.5</v>
      </c>
      <c r="E2545" s="62" t="s">
        <v>109</v>
      </c>
      <c r="F2545" s="62" t="s">
        <v>115</v>
      </c>
      <c r="G2545" s="64" t="s">
        <v>64</v>
      </c>
      <c r="H2545" s="3" t="s">
        <v>139</v>
      </c>
      <c r="I2545" s="65">
        <f>IFERROR(VLOOKUP(A2545,'3. Call duration'!$A:$C,3,0),"--")</f>
        <v>25.00038149</v>
      </c>
      <c r="J2545" s="65" t="str">
        <f t="array" ref="J2545">XLOOKUP(H2545,'2. Matching'!$A$2:$A$39,'2. Matching'!$B$2:$B$39,"--")</f>
        <v>Acquisition</v>
      </c>
      <c r="K2545" s="65" t="str">
        <f t="shared" si="1"/>
        <v>In</v>
      </c>
    </row>
    <row r="2546">
      <c r="A2546" s="62" t="s">
        <v>2684</v>
      </c>
      <c r="B2546" s="63">
        <v>44231.0</v>
      </c>
      <c r="C2546" s="62" t="s">
        <v>119</v>
      </c>
      <c r="D2546" s="64">
        <v>42.5</v>
      </c>
      <c r="E2546" s="62" t="s">
        <v>109</v>
      </c>
      <c r="F2546" s="62" t="s">
        <v>115</v>
      </c>
      <c r="G2546" s="64" t="s">
        <v>64</v>
      </c>
      <c r="H2546" s="3" t="s">
        <v>221</v>
      </c>
      <c r="I2546" s="65">
        <f>IFERROR(VLOOKUP(A2546,'3. Call duration'!$A:$C,3,0),"--")</f>
        <v>13.15685316</v>
      </c>
      <c r="J2546" s="65" t="str">
        <f t="array" ref="J2546">XLOOKUP(H2546,'2. Matching'!$A$2:$A$39,'2. Matching'!$B$2:$B$39,"--")</f>
        <v>Farming</v>
      </c>
      <c r="K2546" s="65" t="str">
        <f t="shared" si="1"/>
        <v>In</v>
      </c>
    </row>
    <row r="2547">
      <c r="A2547" s="62" t="s">
        <v>2685</v>
      </c>
      <c r="B2547" s="63">
        <v>44168.0</v>
      </c>
      <c r="C2547" s="62" t="s">
        <v>119</v>
      </c>
      <c r="D2547" s="64">
        <v>42.5</v>
      </c>
      <c r="E2547" s="62" t="s">
        <v>109</v>
      </c>
      <c r="F2547" s="62" t="s">
        <v>115</v>
      </c>
      <c r="G2547" s="64" t="s">
        <v>64</v>
      </c>
      <c r="H2547" s="3" t="s">
        <v>185</v>
      </c>
      <c r="I2547" s="65">
        <f>IFERROR(VLOOKUP(A2547,'3. Call duration'!$A:$C,3,0),"--")</f>
        <v>10.99715311</v>
      </c>
      <c r="J2547" s="65" t="str">
        <f t="array" ref="J2547">XLOOKUP(H2547,'2. Matching'!$A$2:$A$39,'2. Matching'!$B$2:$B$39,"--")</f>
        <v>SEO</v>
      </c>
      <c r="K2547" s="65" t="str">
        <f t="shared" si="1"/>
        <v>In</v>
      </c>
    </row>
    <row r="2548">
      <c r="A2548" s="62" t="s">
        <v>2686</v>
      </c>
      <c r="B2548" s="63">
        <v>44103.0</v>
      </c>
      <c r="C2548" s="62" t="s">
        <v>119</v>
      </c>
      <c r="D2548" s="64">
        <v>42.5</v>
      </c>
      <c r="E2548" s="62" t="s">
        <v>109</v>
      </c>
      <c r="F2548" s="62" t="s">
        <v>115</v>
      </c>
      <c r="G2548" s="64" t="s">
        <v>64</v>
      </c>
      <c r="H2548" s="3" t="s">
        <v>139</v>
      </c>
      <c r="I2548" s="65">
        <f>IFERROR(VLOOKUP(A2548,'3. Call duration'!$A:$C,3,0),"--")</f>
        <v>33.19758678</v>
      </c>
      <c r="J2548" s="65" t="str">
        <f t="array" ref="J2548">XLOOKUP(H2548,'2. Matching'!$A$2:$A$39,'2. Matching'!$B$2:$B$39,"--")</f>
        <v>Acquisition</v>
      </c>
      <c r="K2548" s="65" t="str">
        <f t="shared" si="1"/>
        <v>In</v>
      </c>
    </row>
    <row r="2549">
      <c r="A2549" s="62" t="s">
        <v>2687</v>
      </c>
      <c r="B2549" s="63">
        <v>44221.0</v>
      </c>
      <c r="C2549" s="62" t="s">
        <v>119</v>
      </c>
      <c r="D2549" s="64">
        <v>42.5</v>
      </c>
      <c r="E2549" s="62" t="s">
        <v>109</v>
      </c>
      <c r="F2549" s="62" t="s">
        <v>115</v>
      </c>
      <c r="G2549" s="64" t="s">
        <v>64</v>
      </c>
      <c r="H2549" s="3" t="s">
        <v>150</v>
      </c>
      <c r="I2549" s="65">
        <f>IFERROR(VLOOKUP(A2549,'3. Call duration'!$A:$C,3,0),"--")</f>
        <v>31.95171063</v>
      </c>
      <c r="J2549" s="65" t="str">
        <f t="array" ref="J2549">XLOOKUP(H2549,'2. Matching'!$A$2:$A$39,'2. Matching'!$B$2:$B$39,"--")</f>
        <v>SEO</v>
      </c>
      <c r="K2549" s="65" t="str">
        <f t="shared" si="1"/>
        <v>In</v>
      </c>
    </row>
    <row r="2550">
      <c r="A2550" s="62" t="s">
        <v>2688</v>
      </c>
      <c r="B2550" s="63">
        <v>44126.0</v>
      </c>
      <c r="C2550" s="62" t="s">
        <v>119</v>
      </c>
      <c r="D2550" s="64">
        <v>42.5</v>
      </c>
      <c r="E2550" s="62" t="s">
        <v>109</v>
      </c>
      <c r="F2550" s="62" t="s">
        <v>115</v>
      </c>
      <c r="G2550" s="64" t="s">
        <v>62</v>
      </c>
      <c r="H2550" s="3" t="s">
        <v>286</v>
      </c>
      <c r="I2550" s="65">
        <f>IFERROR(VLOOKUP(A2550,'3. Call duration'!$A:$C,3,0),"--")</f>
        <v>28.33234206</v>
      </c>
      <c r="J2550" s="65" t="str">
        <f t="array" ref="J2550">XLOOKUP(H2550,'2. Matching'!$A$2:$A$39,'2. Matching'!$B$2:$B$39,"--")</f>
        <v>Farming</v>
      </c>
      <c r="K2550" s="65" t="str">
        <f t="shared" si="1"/>
        <v>In</v>
      </c>
    </row>
    <row r="2551">
      <c r="A2551" s="62" t="s">
        <v>2689</v>
      </c>
      <c r="B2551" s="63">
        <v>44216.0</v>
      </c>
      <c r="C2551" s="62" t="s">
        <v>119</v>
      </c>
      <c r="D2551" s="64">
        <v>42.5</v>
      </c>
      <c r="E2551" s="62" t="s">
        <v>109</v>
      </c>
      <c r="F2551" s="62" t="s">
        <v>115</v>
      </c>
      <c r="G2551" s="64" t="s">
        <v>64</v>
      </c>
      <c r="H2551" s="3" t="s">
        <v>145</v>
      </c>
      <c r="I2551" s="65">
        <f>IFERROR(VLOOKUP(A2551,'3. Call duration'!$A:$C,3,0),"--")</f>
        <v>20.49885161</v>
      </c>
      <c r="J2551" s="65" t="str">
        <f t="array" ref="J2551">XLOOKUP(H2551,'2. Matching'!$A$2:$A$39,'2. Matching'!$B$2:$B$39,"--")</f>
        <v>SEO</v>
      </c>
      <c r="K2551" s="65" t="str">
        <f t="shared" si="1"/>
        <v>In</v>
      </c>
    </row>
    <row r="2552">
      <c r="A2552" s="62" t="s">
        <v>2690</v>
      </c>
      <c r="B2552" s="63">
        <v>44221.0</v>
      </c>
      <c r="C2552" s="62" t="s">
        <v>119</v>
      </c>
      <c r="D2552" s="64">
        <v>42.5</v>
      </c>
      <c r="E2552" s="62" t="s">
        <v>109</v>
      </c>
      <c r="F2552" s="62" t="s">
        <v>115</v>
      </c>
      <c r="G2552" s="64" t="s">
        <v>64</v>
      </c>
      <c r="H2552" s="3" t="s">
        <v>185</v>
      </c>
      <c r="I2552" s="65">
        <f>IFERROR(VLOOKUP(A2552,'3. Call duration'!$A:$C,3,0),"--")</f>
        <v>28.03018667</v>
      </c>
      <c r="J2552" s="65" t="str">
        <f t="array" ref="J2552">XLOOKUP(H2552,'2. Matching'!$A$2:$A$39,'2. Matching'!$B$2:$B$39,"--")</f>
        <v>SEO</v>
      </c>
      <c r="K2552" s="65" t="str">
        <f t="shared" si="1"/>
        <v>In</v>
      </c>
    </row>
    <row r="2553">
      <c r="A2553" s="62" t="s">
        <v>2691</v>
      </c>
      <c r="B2553" s="63">
        <v>44225.0</v>
      </c>
      <c r="C2553" s="62" t="s">
        <v>119</v>
      </c>
      <c r="D2553" s="64">
        <v>42.5</v>
      </c>
      <c r="E2553" s="62" t="s">
        <v>109</v>
      </c>
      <c r="F2553" s="62" t="s">
        <v>115</v>
      </c>
      <c r="G2553" s="64" t="s">
        <v>64</v>
      </c>
      <c r="H2553" s="3" t="s">
        <v>139</v>
      </c>
      <c r="I2553" s="65">
        <f>IFERROR(VLOOKUP(A2553,'3. Call duration'!$A:$C,3,0),"--")</f>
        <v>28.72744039</v>
      </c>
      <c r="J2553" s="65" t="str">
        <f t="array" ref="J2553">XLOOKUP(H2553,'2. Matching'!$A$2:$A$39,'2. Matching'!$B$2:$B$39,"--")</f>
        <v>Acquisition</v>
      </c>
      <c r="K2553" s="65" t="str">
        <f t="shared" si="1"/>
        <v>In</v>
      </c>
    </row>
    <row r="2554">
      <c r="A2554" s="62" t="s">
        <v>2692</v>
      </c>
      <c r="B2554" s="63">
        <v>44144.0</v>
      </c>
      <c r="C2554" s="62" t="s">
        <v>119</v>
      </c>
      <c r="D2554" s="64">
        <v>42.5</v>
      </c>
      <c r="E2554" s="62" t="s">
        <v>109</v>
      </c>
      <c r="F2554" s="62" t="s">
        <v>115</v>
      </c>
      <c r="G2554" s="64" t="s">
        <v>64</v>
      </c>
      <c r="H2554" s="3" t="s">
        <v>171</v>
      </c>
      <c r="I2554" s="65">
        <f>IFERROR(VLOOKUP(A2554,'3. Call duration'!$A:$C,3,0),"--")</f>
        <v>48.2600655</v>
      </c>
      <c r="J2554" s="65" t="str">
        <f t="array" ref="J2554">XLOOKUP(H2554,'2. Matching'!$A$2:$A$39,'2. Matching'!$B$2:$B$39,"--")</f>
        <v>SEO</v>
      </c>
      <c r="K2554" s="65" t="str">
        <f t="shared" si="1"/>
        <v>In</v>
      </c>
    </row>
    <row r="2555">
      <c r="A2555" s="62" t="s">
        <v>2693</v>
      </c>
      <c r="B2555" s="63">
        <v>44203.0</v>
      </c>
      <c r="C2555" s="62" t="s">
        <v>119</v>
      </c>
      <c r="D2555" s="64">
        <v>42.5</v>
      </c>
      <c r="E2555" s="62" t="s">
        <v>109</v>
      </c>
      <c r="F2555" s="62" t="s">
        <v>115</v>
      </c>
      <c r="G2555" s="64" t="s">
        <v>64</v>
      </c>
      <c r="H2555" s="3" t="s">
        <v>139</v>
      </c>
      <c r="I2555" s="65">
        <f>IFERROR(VLOOKUP(A2555,'3. Call duration'!$A:$C,3,0),"--")</f>
        <v>23.50113757</v>
      </c>
      <c r="J2555" s="65" t="str">
        <f t="array" ref="J2555">XLOOKUP(H2555,'2. Matching'!$A$2:$A$39,'2. Matching'!$B$2:$B$39,"--")</f>
        <v>Acquisition</v>
      </c>
      <c r="K2555" s="65" t="str">
        <f t="shared" si="1"/>
        <v>In</v>
      </c>
    </row>
    <row r="2556">
      <c r="A2556" s="62" t="s">
        <v>2694</v>
      </c>
      <c r="B2556" s="63">
        <v>44126.0</v>
      </c>
      <c r="C2556" s="62" t="s">
        <v>119</v>
      </c>
      <c r="D2556" s="64">
        <v>42.5</v>
      </c>
      <c r="E2556" s="62" t="s">
        <v>109</v>
      </c>
      <c r="F2556" s="62" t="s">
        <v>115</v>
      </c>
      <c r="G2556" s="64" t="s">
        <v>62</v>
      </c>
      <c r="H2556" s="3" t="s">
        <v>203</v>
      </c>
      <c r="I2556" s="65">
        <f>IFERROR(VLOOKUP(A2556,'3. Call duration'!$A:$C,3,0),"--")</f>
        <v>30.74956692</v>
      </c>
      <c r="J2556" s="65" t="str">
        <f t="array" ref="J2556">XLOOKUP(H2556,'2. Matching'!$A$2:$A$39,'2. Matching'!$B$2:$B$39,"--")</f>
        <v>Farming</v>
      </c>
      <c r="K2556" s="65" t="str">
        <f t="shared" si="1"/>
        <v>In</v>
      </c>
    </row>
    <row r="2557">
      <c r="A2557" s="62" t="s">
        <v>2695</v>
      </c>
      <c r="B2557" s="63">
        <v>44114.0</v>
      </c>
      <c r="C2557" s="62" t="s">
        <v>119</v>
      </c>
      <c r="D2557" s="64">
        <v>42.5</v>
      </c>
      <c r="E2557" s="62" t="s">
        <v>109</v>
      </c>
      <c r="F2557" s="62" t="s">
        <v>115</v>
      </c>
      <c r="G2557" s="64" t="s">
        <v>64</v>
      </c>
      <c r="H2557" s="3" t="s">
        <v>139</v>
      </c>
      <c r="I2557" s="65">
        <f>IFERROR(VLOOKUP(A2557,'3. Call duration'!$A:$C,3,0),"--")</f>
        <v>32.01326396</v>
      </c>
      <c r="J2557" s="65" t="str">
        <f t="array" ref="J2557">XLOOKUP(H2557,'2. Matching'!$A$2:$A$39,'2. Matching'!$B$2:$B$39,"--")</f>
        <v>Acquisition</v>
      </c>
      <c r="K2557" s="65" t="str">
        <f t="shared" si="1"/>
        <v>In</v>
      </c>
    </row>
    <row r="2558">
      <c r="A2558" s="62" t="s">
        <v>2696</v>
      </c>
      <c r="B2558" s="63">
        <v>44228.0</v>
      </c>
      <c r="C2558" s="62" t="s">
        <v>119</v>
      </c>
      <c r="D2558" s="64">
        <v>42.5</v>
      </c>
      <c r="E2558" s="62" t="s">
        <v>109</v>
      </c>
      <c r="F2558" s="62" t="s">
        <v>115</v>
      </c>
      <c r="G2558" s="64" t="s">
        <v>64</v>
      </c>
      <c r="H2558" s="3" t="s">
        <v>131</v>
      </c>
      <c r="I2558" s="65">
        <f>IFERROR(VLOOKUP(A2558,'3. Call duration'!$A:$C,3,0),"--")</f>
        <v>20.86276601</v>
      </c>
      <c r="J2558" s="65" t="str">
        <f t="array" ref="J2558">XLOOKUP(H2558,'2. Matching'!$A$2:$A$39,'2. Matching'!$B$2:$B$39,"--")</f>
        <v>Acquisition</v>
      </c>
      <c r="K2558" s="65" t="str">
        <f t="shared" si="1"/>
        <v>In</v>
      </c>
    </row>
    <row r="2559">
      <c r="A2559" s="62" t="s">
        <v>2697</v>
      </c>
      <c r="B2559" s="63">
        <v>44123.0</v>
      </c>
      <c r="C2559" s="62" t="s">
        <v>119</v>
      </c>
      <c r="D2559" s="64">
        <v>42.5</v>
      </c>
      <c r="E2559" s="62" t="s">
        <v>109</v>
      </c>
      <c r="F2559" s="62" t="s">
        <v>115</v>
      </c>
      <c r="G2559" s="64" t="s">
        <v>64</v>
      </c>
      <c r="H2559" s="3" t="s">
        <v>139</v>
      </c>
      <c r="I2559" s="65" t="str">
        <f>IFERROR(VLOOKUP(A2559,'3. Call duration'!$A:$C,3,0),"--")</f>
        <v>--</v>
      </c>
      <c r="J2559" s="65" t="str">
        <f t="array" ref="J2559">XLOOKUP(H2559,'2. Matching'!$A$2:$A$39,'2. Matching'!$B$2:$B$39,"--")</f>
        <v>Acquisition</v>
      </c>
      <c r="K2559" s="65" t="str">
        <f t="shared" si="1"/>
        <v>In</v>
      </c>
    </row>
    <row r="2560">
      <c r="A2560" s="62" t="s">
        <v>2698</v>
      </c>
      <c r="B2560" s="63">
        <v>44129.0</v>
      </c>
      <c r="C2560" s="62" t="s">
        <v>119</v>
      </c>
      <c r="D2560" s="64">
        <v>42.5</v>
      </c>
      <c r="E2560" s="62" t="s">
        <v>109</v>
      </c>
      <c r="F2560" s="62" t="s">
        <v>115</v>
      </c>
      <c r="G2560" s="64" t="s">
        <v>64</v>
      </c>
      <c r="H2560" s="3" t="s">
        <v>155</v>
      </c>
      <c r="I2560" s="65">
        <f>IFERROR(VLOOKUP(A2560,'3. Call duration'!$A:$C,3,0),"--")</f>
        <v>26.51737089</v>
      </c>
      <c r="J2560" s="65" t="str">
        <f t="array" ref="J2560">XLOOKUP(H2560,'2. Matching'!$A$2:$A$39,'2. Matching'!$B$2:$B$39,"--")</f>
        <v>SEO</v>
      </c>
      <c r="K2560" s="65" t="str">
        <f t="shared" si="1"/>
        <v>In</v>
      </c>
    </row>
    <row r="2561">
      <c r="A2561" s="62" t="s">
        <v>2699</v>
      </c>
      <c r="B2561" s="63">
        <v>44253.0</v>
      </c>
      <c r="C2561" s="62" t="s">
        <v>119</v>
      </c>
      <c r="D2561" s="64">
        <v>42.5</v>
      </c>
      <c r="E2561" s="62" t="s">
        <v>109</v>
      </c>
      <c r="F2561" s="62" t="s">
        <v>115</v>
      </c>
      <c r="G2561" s="64" t="s">
        <v>64</v>
      </c>
      <c r="H2561" s="3" t="s">
        <v>155</v>
      </c>
      <c r="I2561" s="65">
        <f>IFERROR(VLOOKUP(A2561,'3. Call duration'!$A:$C,3,0),"--")</f>
        <v>20.606212</v>
      </c>
      <c r="J2561" s="65" t="str">
        <f t="array" ref="J2561">XLOOKUP(H2561,'2. Matching'!$A$2:$A$39,'2. Matching'!$B$2:$B$39,"--")</f>
        <v>SEO</v>
      </c>
      <c r="K2561" s="65" t="str">
        <f t="shared" si="1"/>
        <v>In</v>
      </c>
    </row>
    <row r="2562">
      <c r="A2562" s="62" t="s">
        <v>2700</v>
      </c>
      <c r="B2562" s="63">
        <v>44236.0</v>
      </c>
      <c r="C2562" s="62" t="s">
        <v>119</v>
      </c>
      <c r="D2562" s="64">
        <v>42.5</v>
      </c>
      <c r="E2562" s="62" t="s">
        <v>109</v>
      </c>
      <c r="F2562" s="62" t="s">
        <v>110</v>
      </c>
      <c r="G2562" s="64" t="s">
        <v>64</v>
      </c>
      <c r="H2562" s="3" t="s">
        <v>49</v>
      </c>
      <c r="I2562" s="65">
        <f>IFERROR(VLOOKUP(A2562,'3. Call duration'!$A:$C,3,0),"--")</f>
        <v>22.85705115</v>
      </c>
      <c r="J2562" s="65" t="str">
        <f t="array" ref="J2562">XLOOKUP(H2562,'2. Matching'!$A$2:$A$39,'2. Matching'!$B$2:$B$39,"--")</f>
        <v>Partnerships</v>
      </c>
      <c r="K2562" s="65" t="str">
        <f t="shared" si="1"/>
        <v>In</v>
      </c>
    </row>
    <row r="2563">
      <c r="A2563" s="62" t="s">
        <v>2701</v>
      </c>
      <c r="B2563" s="63">
        <v>44208.0</v>
      </c>
      <c r="C2563" s="62" t="s">
        <v>119</v>
      </c>
      <c r="D2563" s="64">
        <v>42.5</v>
      </c>
      <c r="E2563" s="62" t="s">
        <v>109</v>
      </c>
      <c r="F2563" s="62" t="s">
        <v>115</v>
      </c>
      <c r="G2563" s="64" t="s">
        <v>64</v>
      </c>
      <c r="H2563" s="3" t="s">
        <v>164</v>
      </c>
      <c r="I2563" s="65">
        <f>IFERROR(VLOOKUP(A2563,'3. Call duration'!$A:$C,3,0),"--")</f>
        <v>16.69593839</v>
      </c>
      <c r="J2563" s="65" t="str">
        <f t="array" ref="J2563">XLOOKUP(H2563,'2. Matching'!$A$2:$A$39,'2. Matching'!$B$2:$B$39,"--")</f>
        <v>SEO</v>
      </c>
      <c r="K2563" s="65" t="str">
        <f t="shared" si="1"/>
        <v>In</v>
      </c>
    </row>
    <row r="2564">
      <c r="A2564" s="62" t="s">
        <v>2702</v>
      </c>
      <c r="B2564" s="63">
        <v>44094.0</v>
      </c>
      <c r="C2564" s="62" t="s">
        <v>119</v>
      </c>
      <c r="D2564" s="64">
        <v>42.5</v>
      </c>
      <c r="E2564" s="62" t="s">
        <v>109</v>
      </c>
      <c r="F2564" s="62" t="s">
        <v>115</v>
      </c>
      <c r="G2564" s="64" t="s">
        <v>64</v>
      </c>
      <c r="H2564" s="3" t="s">
        <v>139</v>
      </c>
      <c r="I2564" s="65">
        <f>IFERROR(VLOOKUP(A2564,'3. Call duration'!$A:$C,3,0),"--")</f>
        <v>21.12882569</v>
      </c>
      <c r="J2564" s="65" t="str">
        <f t="array" ref="J2564">XLOOKUP(H2564,'2. Matching'!$A$2:$A$39,'2. Matching'!$B$2:$B$39,"--")</f>
        <v>Acquisition</v>
      </c>
      <c r="K2564" s="65" t="str">
        <f t="shared" si="1"/>
        <v>In</v>
      </c>
    </row>
    <row r="2565">
      <c r="A2565" s="62" t="s">
        <v>2703</v>
      </c>
      <c r="B2565" s="63">
        <v>44221.0</v>
      </c>
      <c r="C2565" s="62" t="s">
        <v>119</v>
      </c>
      <c r="D2565" s="64">
        <v>42.5</v>
      </c>
      <c r="E2565" s="62" t="s">
        <v>109</v>
      </c>
      <c r="F2565" s="62" t="s">
        <v>115</v>
      </c>
      <c r="G2565" s="64" t="s">
        <v>64</v>
      </c>
      <c r="H2565" s="3" t="s">
        <v>169</v>
      </c>
      <c r="I2565" s="65">
        <f>IFERROR(VLOOKUP(A2565,'3. Call duration'!$A:$C,3,0),"--")</f>
        <v>26.00864386</v>
      </c>
      <c r="J2565" s="65" t="str">
        <f t="array" ref="J2565">XLOOKUP(H2565,'2. Matching'!$A$2:$A$39,'2. Matching'!$B$2:$B$39,"--")</f>
        <v>SEO</v>
      </c>
      <c r="K2565" s="65" t="str">
        <f t="shared" si="1"/>
        <v>In</v>
      </c>
    </row>
    <row r="2566">
      <c r="A2566" s="62" t="s">
        <v>2704</v>
      </c>
      <c r="B2566" s="63">
        <v>44210.0</v>
      </c>
      <c r="C2566" s="62" t="s">
        <v>119</v>
      </c>
      <c r="D2566" s="64">
        <v>42.5</v>
      </c>
      <c r="E2566" s="62" t="s">
        <v>109</v>
      </c>
      <c r="F2566" s="62" t="s">
        <v>115</v>
      </c>
      <c r="G2566" s="64" t="s">
        <v>64</v>
      </c>
      <c r="H2566" s="3" t="s">
        <v>139</v>
      </c>
      <c r="I2566" s="65">
        <f>IFERROR(VLOOKUP(A2566,'3. Call duration'!$A:$C,3,0),"--")</f>
        <v>30.40601331</v>
      </c>
      <c r="J2566" s="65" t="str">
        <f t="array" ref="J2566">XLOOKUP(H2566,'2. Matching'!$A$2:$A$39,'2. Matching'!$B$2:$B$39,"--")</f>
        <v>Acquisition</v>
      </c>
      <c r="K2566" s="65" t="str">
        <f t="shared" si="1"/>
        <v>In</v>
      </c>
    </row>
    <row r="2567">
      <c r="A2567" s="62" t="s">
        <v>2705</v>
      </c>
      <c r="B2567" s="63">
        <v>44224.0</v>
      </c>
      <c r="C2567" s="62" t="s">
        <v>119</v>
      </c>
      <c r="D2567" s="64">
        <v>42.5</v>
      </c>
      <c r="E2567" s="62" t="s">
        <v>109</v>
      </c>
      <c r="F2567" s="62" t="s">
        <v>115</v>
      </c>
      <c r="G2567" s="64" t="s">
        <v>64</v>
      </c>
      <c r="H2567" s="3" t="s">
        <v>221</v>
      </c>
      <c r="I2567" s="65">
        <f>IFERROR(VLOOKUP(A2567,'3. Call duration'!$A:$C,3,0),"--")</f>
        <v>30.79279186</v>
      </c>
      <c r="J2567" s="65" t="str">
        <f t="array" ref="J2567">XLOOKUP(H2567,'2. Matching'!$A$2:$A$39,'2. Matching'!$B$2:$B$39,"--")</f>
        <v>Farming</v>
      </c>
      <c r="K2567" s="65" t="str">
        <f t="shared" si="1"/>
        <v>In</v>
      </c>
    </row>
    <row r="2568">
      <c r="A2568" s="62" t="s">
        <v>2706</v>
      </c>
      <c r="B2568" s="63">
        <v>44235.0</v>
      </c>
      <c r="C2568" s="62" t="s">
        <v>119</v>
      </c>
      <c r="D2568" s="64">
        <v>42.5</v>
      </c>
      <c r="E2568" s="62" t="s">
        <v>109</v>
      </c>
      <c r="F2568" s="62" t="s">
        <v>115</v>
      </c>
      <c r="G2568" s="64" t="s">
        <v>64</v>
      </c>
      <c r="H2568" s="3" t="s">
        <v>116</v>
      </c>
      <c r="I2568" s="65">
        <f>IFERROR(VLOOKUP(A2568,'3. Call duration'!$A:$C,3,0),"--")</f>
        <v>24.97928691</v>
      </c>
      <c r="J2568" s="65" t="str">
        <f t="array" ref="J2568">XLOOKUP(H2568,'2. Matching'!$A$2:$A$39,'2. Matching'!$B$2:$B$39,"--")</f>
        <v>Acquisition</v>
      </c>
      <c r="K2568" s="65" t="str">
        <f t="shared" si="1"/>
        <v>In</v>
      </c>
    </row>
    <row r="2569">
      <c r="A2569" s="62" t="s">
        <v>2707</v>
      </c>
      <c r="B2569" s="63">
        <v>44103.0</v>
      </c>
      <c r="C2569" s="62" t="s">
        <v>119</v>
      </c>
      <c r="D2569" s="64">
        <v>42.5</v>
      </c>
      <c r="E2569" s="62" t="s">
        <v>109</v>
      </c>
      <c r="F2569" s="62" t="s">
        <v>115</v>
      </c>
      <c r="G2569" s="64" t="s">
        <v>64</v>
      </c>
      <c r="H2569" s="3" t="s">
        <v>139</v>
      </c>
      <c r="I2569" s="65">
        <f>IFERROR(VLOOKUP(A2569,'3. Call duration'!$A:$C,3,0),"--")</f>
        <v>20.25688396</v>
      </c>
      <c r="J2569" s="65" t="str">
        <f t="array" ref="J2569">XLOOKUP(H2569,'2. Matching'!$A$2:$A$39,'2. Matching'!$B$2:$B$39,"--")</f>
        <v>Acquisition</v>
      </c>
      <c r="K2569" s="65" t="str">
        <f t="shared" si="1"/>
        <v>In</v>
      </c>
    </row>
    <row r="2570">
      <c r="A2570" s="62" t="s">
        <v>2708</v>
      </c>
      <c r="B2570" s="63">
        <v>44096.0</v>
      </c>
      <c r="C2570" s="62" t="s">
        <v>119</v>
      </c>
      <c r="D2570" s="64">
        <v>42.5</v>
      </c>
      <c r="E2570" s="62" t="s">
        <v>109</v>
      </c>
      <c r="F2570" s="62" t="s">
        <v>115</v>
      </c>
      <c r="G2570" s="64" t="s">
        <v>62</v>
      </c>
      <c r="H2570" s="3" t="s">
        <v>294</v>
      </c>
      <c r="I2570" s="65">
        <f>IFERROR(VLOOKUP(A2570,'3. Call duration'!$A:$C,3,0),"--")</f>
        <v>21.09762437</v>
      </c>
      <c r="J2570" s="65" t="str">
        <f t="array" ref="J2570">XLOOKUP(H2570,'2. Matching'!$A$2:$A$39,'2. Matching'!$B$2:$B$39,"--")</f>
        <v>Farming</v>
      </c>
      <c r="K2570" s="65" t="str">
        <f t="shared" si="1"/>
        <v>In</v>
      </c>
    </row>
    <row r="2571">
      <c r="A2571" s="62" t="s">
        <v>2709</v>
      </c>
      <c r="B2571" s="63">
        <v>44098.0</v>
      </c>
      <c r="C2571" s="62" t="s">
        <v>119</v>
      </c>
      <c r="D2571" s="64">
        <v>42.5</v>
      </c>
      <c r="E2571" s="62" t="s">
        <v>109</v>
      </c>
      <c r="F2571" s="62" t="s">
        <v>115</v>
      </c>
      <c r="G2571" s="64" t="s">
        <v>64</v>
      </c>
      <c r="H2571" s="3" t="s">
        <v>139</v>
      </c>
      <c r="I2571" s="65">
        <f>IFERROR(VLOOKUP(A2571,'3. Call duration'!$A:$C,3,0),"--")</f>
        <v>28.47267311</v>
      </c>
      <c r="J2571" s="65" t="str">
        <f t="array" ref="J2571">XLOOKUP(H2571,'2. Matching'!$A$2:$A$39,'2. Matching'!$B$2:$B$39,"--")</f>
        <v>Acquisition</v>
      </c>
      <c r="K2571" s="65" t="str">
        <f t="shared" si="1"/>
        <v>In</v>
      </c>
    </row>
    <row r="2572">
      <c r="A2572" s="62" t="s">
        <v>2710</v>
      </c>
      <c r="B2572" s="63">
        <v>44228.0</v>
      </c>
      <c r="C2572" s="62" t="s">
        <v>119</v>
      </c>
      <c r="D2572" s="64">
        <v>42.5</v>
      </c>
      <c r="E2572" s="62" t="s">
        <v>109</v>
      </c>
      <c r="F2572" s="62" t="s">
        <v>115</v>
      </c>
      <c r="G2572" s="64" t="s">
        <v>64</v>
      </c>
      <c r="H2572" s="3" t="s">
        <v>155</v>
      </c>
      <c r="I2572" s="65">
        <f>IFERROR(VLOOKUP(A2572,'3. Call duration'!$A:$C,3,0),"--")</f>
        <v>29.31040917</v>
      </c>
      <c r="J2572" s="65" t="str">
        <f t="array" ref="J2572">XLOOKUP(H2572,'2. Matching'!$A$2:$A$39,'2. Matching'!$B$2:$B$39,"--")</f>
        <v>SEO</v>
      </c>
      <c r="K2572" s="65" t="str">
        <f t="shared" si="1"/>
        <v>In</v>
      </c>
    </row>
    <row r="2573">
      <c r="A2573" s="62" t="s">
        <v>2711</v>
      </c>
      <c r="B2573" s="63">
        <v>44152.0</v>
      </c>
      <c r="C2573" s="62" t="s">
        <v>119</v>
      </c>
      <c r="D2573" s="64">
        <v>42.5</v>
      </c>
      <c r="E2573" s="62" t="s">
        <v>109</v>
      </c>
      <c r="F2573" s="62" t="s">
        <v>115</v>
      </c>
      <c r="G2573" s="64" t="s">
        <v>64</v>
      </c>
      <c r="H2573" s="3" t="s">
        <v>131</v>
      </c>
      <c r="I2573" s="65">
        <f>IFERROR(VLOOKUP(A2573,'3. Call duration'!$A:$C,3,0),"--")</f>
        <v>28.98411211</v>
      </c>
      <c r="J2573" s="65" t="str">
        <f t="array" ref="J2573">XLOOKUP(H2573,'2. Matching'!$A$2:$A$39,'2. Matching'!$B$2:$B$39,"--")</f>
        <v>Acquisition</v>
      </c>
      <c r="K2573" s="65" t="str">
        <f t="shared" si="1"/>
        <v>In</v>
      </c>
    </row>
    <row r="2574">
      <c r="A2574" s="62" t="s">
        <v>2712</v>
      </c>
      <c r="B2574" s="63">
        <v>44090.0</v>
      </c>
      <c r="C2574" s="62" t="s">
        <v>119</v>
      </c>
      <c r="D2574" s="64">
        <v>42.5</v>
      </c>
      <c r="E2574" s="62" t="s">
        <v>109</v>
      </c>
      <c r="F2574" s="62" t="s">
        <v>115</v>
      </c>
      <c r="G2574" s="64" t="s">
        <v>64</v>
      </c>
      <c r="H2574" s="3" t="s">
        <v>139</v>
      </c>
      <c r="I2574" s="65">
        <f>IFERROR(VLOOKUP(A2574,'3. Call duration'!$A:$C,3,0),"--")</f>
        <v>25.00339957</v>
      </c>
      <c r="J2574" s="65" t="str">
        <f t="array" ref="J2574">XLOOKUP(H2574,'2. Matching'!$A$2:$A$39,'2. Matching'!$B$2:$B$39,"--")</f>
        <v>Acquisition</v>
      </c>
      <c r="K2574" s="65" t="str">
        <f t="shared" si="1"/>
        <v>In</v>
      </c>
    </row>
    <row r="2575">
      <c r="A2575" s="62" t="s">
        <v>2713</v>
      </c>
      <c r="B2575" s="63">
        <v>44225.0</v>
      </c>
      <c r="C2575" s="62" t="s">
        <v>119</v>
      </c>
      <c r="D2575" s="64">
        <v>42.5</v>
      </c>
      <c r="E2575" s="62" t="s">
        <v>109</v>
      </c>
      <c r="F2575" s="62" t="s">
        <v>115</v>
      </c>
      <c r="G2575" s="64" t="s">
        <v>64</v>
      </c>
      <c r="H2575" s="3" t="s">
        <v>139</v>
      </c>
      <c r="I2575" s="65">
        <f>IFERROR(VLOOKUP(A2575,'3. Call duration'!$A:$C,3,0),"--")</f>
        <v>27.19320959</v>
      </c>
      <c r="J2575" s="65" t="str">
        <f t="array" ref="J2575">XLOOKUP(H2575,'2. Matching'!$A$2:$A$39,'2. Matching'!$B$2:$B$39,"--")</f>
        <v>Acquisition</v>
      </c>
      <c r="K2575" s="65" t="str">
        <f t="shared" si="1"/>
        <v>In</v>
      </c>
    </row>
    <row r="2576">
      <c r="A2576" s="62" t="s">
        <v>2714</v>
      </c>
      <c r="B2576" s="63">
        <v>44167.0</v>
      </c>
      <c r="C2576" s="62" t="s">
        <v>119</v>
      </c>
      <c r="D2576" s="64">
        <v>42.5</v>
      </c>
      <c r="E2576" s="62" t="s">
        <v>109</v>
      </c>
      <c r="F2576" s="62" t="s">
        <v>110</v>
      </c>
      <c r="G2576" s="64" t="s">
        <v>64</v>
      </c>
      <c r="H2576" s="3" t="s">
        <v>131</v>
      </c>
      <c r="I2576" s="65">
        <f>IFERROR(VLOOKUP(A2576,'3. Call duration'!$A:$C,3,0),"--")</f>
        <v>27.67861997</v>
      </c>
      <c r="J2576" s="65" t="str">
        <f t="array" ref="J2576">XLOOKUP(H2576,'2. Matching'!$A$2:$A$39,'2. Matching'!$B$2:$B$39,"--")</f>
        <v>Acquisition</v>
      </c>
      <c r="K2576" s="65" t="str">
        <f t="shared" si="1"/>
        <v>In</v>
      </c>
    </row>
    <row r="2577">
      <c r="A2577" s="62" t="s">
        <v>2715</v>
      </c>
      <c r="B2577" s="63">
        <v>44129.0</v>
      </c>
      <c r="C2577" s="62" t="s">
        <v>119</v>
      </c>
      <c r="D2577" s="64">
        <v>42.5</v>
      </c>
      <c r="E2577" s="62" t="s">
        <v>109</v>
      </c>
      <c r="F2577" s="62" t="s">
        <v>115</v>
      </c>
      <c r="G2577" s="64" t="s">
        <v>64</v>
      </c>
      <c r="H2577" s="3" t="s">
        <v>139</v>
      </c>
      <c r="I2577" s="65">
        <f>IFERROR(VLOOKUP(A2577,'3. Call duration'!$A:$C,3,0),"--")</f>
        <v>26.165338</v>
      </c>
      <c r="J2577" s="65" t="str">
        <f t="array" ref="J2577">XLOOKUP(H2577,'2. Matching'!$A$2:$A$39,'2. Matching'!$B$2:$B$39,"--")</f>
        <v>Acquisition</v>
      </c>
      <c r="K2577" s="65" t="str">
        <f t="shared" si="1"/>
        <v>In</v>
      </c>
    </row>
    <row r="2578">
      <c r="A2578" s="62" t="s">
        <v>2716</v>
      </c>
      <c r="B2578" s="63">
        <v>44215.0</v>
      </c>
      <c r="C2578" s="62" t="s">
        <v>119</v>
      </c>
      <c r="D2578" s="64">
        <v>42.5</v>
      </c>
      <c r="E2578" s="62" t="s">
        <v>109</v>
      </c>
      <c r="F2578" s="62" t="s">
        <v>110</v>
      </c>
      <c r="G2578" s="64" t="s">
        <v>64</v>
      </c>
      <c r="H2578" s="3" t="s">
        <v>175</v>
      </c>
      <c r="I2578" s="65">
        <f>IFERROR(VLOOKUP(A2578,'3. Call duration'!$A:$C,3,0),"--")</f>
        <v>31.19899741</v>
      </c>
      <c r="J2578" s="65" t="str">
        <f t="array" ref="J2578">XLOOKUP(H2578,'2. Matching'!$A$2:$A$39,'2. Matching'!$B$2:$B$39,"--")</f>
        <v>SEO</v>
      </c>
      <c r="K2578" s="65" t="str">
        <f t="shared" si="1"/>
        <v>In</v>
      </c>
    </row>
    <row r="2579">
      <c r="A2579" s="62" t="s">
        <v>2717</v>
      </c>
      <c r="B2579" s="63">
        <v>44228.0</v>
      </c>
      <c r="C2579" s="62" t="s">
        <v>119</v>
      </c>
      <c r="D2579" s="64">
        <v>42.5</v>
      </c>
      <c r="E2579" s="62" t="s">
        <v>109</v>
      </c>
      <c r="F2579" s="62" t="s">
        <v>115</v>
      </c>
      <c r="G2579" s="64" t="s">
        <v>64</v>
      </c>
      <c r="H2579" s="3" t="s">
        <v>175</v>
      </c>
      <c r="I2579" s="65">
        <f>IFERROR(VLOOKUP(A2579,'3. Call duration'!$A:$C,3,0),"--")</f>
        <v>24.16754966</v>
      </c>
      <c r="J2579" s="65" t="str">
        <f t="array" ref="J2579">XLOOKUP(H2579,'2. Matching'!$A$2:$A$39,'2. Matching'!$B$2:$B$39,"--")</f>
        <v>SEO</v>
      </c>
      <c r="K2579" s="65" t="str">
        <f t="shared" si="1"/>
        <v>In</v>
      </c>
    </row>
    <row r="2580">
      <c r="A2580" s="62" t="s">
        <v>2718</v>
      </c>
      <c r="B2580" s="63">
        <v>44235.0</v>
      </c>
      <c r="C2580" s="62" t="s">
        <v>119</v>
      </c>
      <c r="D2580" s="64">
        <v>42.5</v>
      </c>
      <c r="E2580" s="62" t="s">
        <v>109</v>
      </c>
      <c r="F2580" s="62" t="s">
        <v>115</v>
      </c>
      <c r="G2580" s="64" t="s">
        <v>64</v>
      </c>
      <c r="H2580" s="3" t="s">
        <v>169</v>
      </c>
      <c r="I2580" s="65">
        <f>IFERROR(VLOOKUP(A2580,'3. Call duration'!$A:$C,3,0),"--")</f>
        <v>29.72810568</v>
      </c>
      <c r="J2580" s="65" t="str">
        <f t="array" ref="J2580">XLOOKUP(H2580,'2. Matching'!$A$2:$A$39,'2. Matching'!$B$2:$B$39,"--")</f>
        <v>SEO</v>
      </c>
      <c r="K2580" s="65" t="str">
        <f t="shared" si="1"/>
        <v>In</v>
      </c>
    </row>
    <row r="2581">
      <c r="A2581" s="62" t="s">
        <v>2719</v>
      </c>
      <c r="B2581" s="63">
        <v>44223.0</v>
      </c>
      <c r="C2581" s="62" t="s">
        <v>119</v>
      </c>
      <c r="D2581" s="64">
        <v>42.5</v>
      </c>
      <c r="E2581" s="62" t="s">
        <v>109</v>
      </c>
      <c r="F2581" s="62" t="s">
        <v>110</v>
      </c>
      <c r="G2581" s="64" t="s">
        <v>64</v>
      </c>
      <c r="H2581" s="3" t="s">
        <v>175</v>
      </c>
      <c r="I2581" s="65">
        <f>IFERROR(VLOOKUP(A2581,'3. Call duration'!$A:$C,3,0),"--")</f>
        <v>20.63902971</v>
      </c>
      <c r="J2581" s="65" t="str">
        <f t="array" ref="J2581">XLOOKUP(H2581,'2. Matching'!$A$2:$A$39,'2. Matching'!$B$2:$B$39,"--")</f>
        <v>SEO</v>
      </c>
      <c r="K2581" s="65" t="str">
        <f t="shared" si="1"/>
        <v>In</v>
      </c>
    </row>
    <row r="2582">
      <c r="A2582" s="62" t="s">
        <v>2720</v>
      </c>
      <c r="B2582" s="63">
        <v>44135.0</v>
      </c>
      <c r="C2582" s="62" t="s">
        <v>119</v>
      </c>
      <c r="D2582" s="64">
        <v>42.5</v>
      </c>
      <c r="E2582" s="62" t="s">
        <v>109</v>
      </c>
      <c r="F2582" s="62" t="s">
        <v>115</v>
      </c>
      <c r="G2582" s="64" t="s">
        <v>112</v>
      </c>
      <c r="H2582" s="3"/>
      <c r="I2582" s="65">
        <f>IFERROR(VLOOKUP(A2582,'3. Call duration'!$A:$C,3,0),"--")</f>
        <v>27.25152791</v>
      </c>
      <c r="J2582" s="65" t="str">
        <f t="array" ref="J2582">XLOOKUP(H2582,'2. Matching'!$A$2:$A$39,'2. Matching'!$B$2:$B$39,"--")</f>
        <v>--</v>
      </c>
      <c r="K2582" s="65" t="str">
        <f t="shared" si="1"/>
        <v>In</v>
      </c>
    </row>
    <row r="2583">
      <c r="A2583" s="62" t="s">
        <v>2721</v>
      </c>
      <c r="B2583" s="63">
        <v>44246.0</v>
      </c>
      <c r="C2583" s="62" t="s">
        <v>119</v>
      </c>
      <c r="D2583" s="64">
        <v>42.5</v>
      </c>
      <c r="E2583" s="62" t="s">
        <v>109</v>
      </c>
      <c r="F2583" s="62" t="s">
        <v>110</v>
      </c>
      <c r="G2583" s="64" t="s">
        <v>64</v>
      </c>
      <c r="H2583" s="3" t="s">
        <v>169</v>
      </c>
      <c r="I2583" s="65">
        <f>IFERROR(VLOOKUP(A2583,'3. Call duration'!$A:$C,3,0),"--")</f>
        <v>26.28744048</v>
      </c>
      <c r="J2583" s="65" t="str">
        <f t="array" ref="J2583">XLOOKUP(H2583,'2. Matching'!$A$2:$A$39,'2. Matching'!$B$2:$B$39,"--")</f>
        <v>SEO</v>
      </c>
      <c r="K2583" s="65" t="str">
        <f t="shared" si="1"/>
        <v>In</v>
      </c>
    </row>
    <row r="2584">
      <c r="A2584" s="62" t="s">
        <v>2722</v>
      </c>
      <c r="B2584" s="63">
        <v>44237.0</v>
      </c>
      <c r="C2584" s="62" t="s">
        <v>119</v>
      </c>
      <c r="D2584" s="64">
        <v>42.5</v>
      </c>
      <c r="E2584" s="62" t="s">
        <v>109</v>
      </c>
      <c r="F2584" s="62" t="s">
        <v>115</v>
      </c>
      <c r="G2584" s="64" t="s">
        <v>64</v>
      </c>
      <c r="H2584" s="3" t="s">
        <v>150</v>
      </c>
      <c r="I2584" s="65">
        <f>IFERROR(VLOOKUP(A2584,'3. Call duration'!$A:$C,3,0),"--")</f>
        <v>30.3298042</v>
      </c>
      <c r="J2584" s="65" t="str">
        <f t="array" ref="J2584">XLOOKUP(H2584,'2. Matching'!$A$2:$A$39,'2. Matching'!$B$2:$B$39,"--")</f>
        <v>SEO</v>
      </c>
      <c r="K2584" s="65" t="str">
        <f t="shared" si="1"/>
        <v>In</v>
      </c>
    </row>
    <row r="2585">
      <c r="A2585" s="62" t="s">
        <v>2723</v>
      </c>
      <c r="B2585" s="63">
        <v>44079.0</v>
      </c>
      <c r="C2585" s="62" t="s">
        <v>119</v>
      </c>
      <c r="D2585" s="64">
        <v>42.5</v>
      </c>
      <c r="E2585" s="62" t="s">
        <v>109</v>
      </c>
      <c r="F2585" s="62" t="s">
        <v>115</v>
      </c>
      <c r="G2585" s="64" t="s">
        <v>64</v>
      </c>
      <c r="H2585" s="3" t="s">
        <v>139</v>
      </c>
      <c r="I2585" s="65">
        <f>IFERROR(VLOOKUP(A2585,'3. Call duration'!$A:$C,3,0),"--")</f>
        <v>23.78337731</v>
      </c>
      <c r="J2585" s="65" t="str">
        <f t="array" ref="J2585">XLOOKUP(H2585,'2. Matching'!$A$2:$A$39,'2. Matching'!$B$2:$B$39,"--")</f>
        <v>Acquisition</v>
      </c>
      <c r="K2585" s="65" t="str">
        <f t="shared" si="1"/>
        <v>In</v>
      </c>
    </row>
    <row r="2586">
      <c r="A2586" s="62" t="s">
        <v>2724</v>
      </c>
      <c r="B2586" s="63">
        <v>44155.0</v>
      </c>
      <c r="C2586" s="62" t="s">
        <v>119</v>
      </c>
      <c r="D2586" s="64">
        <v>42.5</v>
      </c>
      <c r="E2586" s="62" t="s">
        <v>109</v>
      </c>
      <c r="F2586" s="62" t="s">
        <v>110</v>
      </c>
      <c r="G2586" s="64" t="s">
        <v>64</v>
      </c>
      <c r="H2586" s="3" t="s">
        <v>155</v>
      </c>
      <c r="I2586" s="65">
        <f>IFERROR(VLOOKUP(A2586,'3. Call duration'!$A:$C,3,0),"--")</f>
        <v>43.10068323</v>
      </c>
      <c r="J2586" s="65" t="str">
        <f t="array" ref="J2586">XLOOKUP(H2586,'2. Matching'!$A$2:$A$39,'2. Matching'!$B$2:$B$39,"--")</f>
        <v>SEO</v>
      </c>
      <c r="K2586" s="65" t="str">
        <f t="shared" si="1"/>
        <v>In</v>
      </c>
    </row>
    <row r="2587">
      <c r="A2587" s="62" t="s">
        <v>2725</v>
      </c>
      <c r="B2587" s="63">
        <v>44090.0</v>
      </c>
      <c r="C2587" s="62" t="s">
        <v>119</v>
      </c>
      <c r="D2587" s="64">
        <v>42.5</v>
      </c>
      <c r="E2587" s="62" t="s">
        <v>109</v>
      </c>
      <c r="F2587" s="62" t="s">
        <v>115</v>
      </c>
      <c r="G2587" s="64" t="s">
        <v>64</v>
      </c>
      <c r="H2587" s="3" t="s">
        <v>150</v>
      </c>
      <c r="I2587" s="65">
        <f>IFERROR(VLOOKUP(A2587,'3. Call duration'!$A:$C,3,0),"--")</f>
        <v>33.68702888</v>
      </c>
      <c r="J2587" s="65" t="str">
        <f t="array" ref="J2587">XLOOKUP(H2587,'2. Matching'!$A$2:$A$39,'2. Matching'!$B$2:$B$39,"--")</f>
        <v>SEO</v>
      </c>
      <c r="K2587" s="65" t="str">
        <f t="shared" si="1"/>
        <v>In</v>
      </c>
    </row>
    <row r="2588">
      <c r="A2588" s="62" t="s">
        <v>2726</v>
      </c>
      <c r="B2588" s="63">
        <v>44204.0</v>
      </c>
      <c r="C2588" s="62" t="s">
        <v>119</v>
      </c>
      <c r="D2588" s="64">
        <v>42.5</v>
      </c>
      <c r="E2588" s="62" t="s">
        <v>109</v>
      </c>
      <c r="F2588" s="62" t="s">
        <v>115</v>
      </c>
      <c r="G2588" s="64" t="s">
        <v>64</v>
      </c>
      <c r="H2588" s="3" t="s">
        <v>139</v>
      </c>
      <c r="I2588" s="65">
        <f>IFERROR(VLOOKUP(A2588,'3. Call duration'!$A:$C,3,0),"--")</f>
        <v>22.02976514</v>
      </c>
      <c r="J2588" s="65" t="str">
        <f t="array" ref="J2588">XLOOKUP(H2588,'2. Matching'!$A$2:$A$39,'2. Matching'!$B$2:$B$39,"--")</f>
        <v>Acquisition</v>
      </c>
      <c r="K2588" s="65" t="str">
        <f t="shared" si="1"/>
        <v>In</v>
      </c>
    </row>
    <row r="2589">
      <c r="A2589" s="62" t="s">
        <v>2727</v>
      </c>
      <c r="B2589" s="63">
        <v>44224.0</v>
      </c>
      <c r="C2589" s="62" t="s">
        <v>119</v>
      </c>
      <c r="D2589" s="64">
        <v>42.5</v>
      </c>
      <c r="E2589" s="62" t="s">
        <v>109</v>
      </c>
      <c r="F2589" s="62" t="s">
        <v>115</v>
      </c>
      <c r="G2589" s="64" t="s">
        <v>64</v>
      </c>
      <c r="H2589" s="3" t="s">
        <v>139</v>
      </c>
      <c r="I2589" s="65">
        <f>IFERROR(VLOOKUP(A2589,'3. Call duration'!$A:$C,3,0),"--")</f>
        <v>27.36894</v>
      </c>
      <c r="J2589" s="65" t="str">
        <f t="array" ref="J2589">XLOOKUP(H2589,'2. Matching'!$A$2:$A$39,'2. Matching'!$B$2:$B$39,"--")</f>
        <v>Acquisition</v>
      </c>
      <c r="K2589" s="65" t="str">
        <f t="shared" si="1"/>
        <v>In</v>
      </c>
    </row>
    <row r="2590">
      <c r="A2590" s="62" t="s">
        <v>2728</v>
      </c>
      <c r="B2590" s="63">
        <v>44201.0</v>
      </c>
      <c r="C2590" s="62" t="s">
        <v>119</v>
      </c>
      <c r="D2590" s="64">
        <v>42.5</v>
      </c>
      <c r="E2590" s="62" t="s">
        <v>109</v>
      </c>
      <c r="F2590" s="62" t="s">
        <v>110</v>
      </c>
      <c r="G2590" s="64" t="s">
        <v>64</v>
      </c>
      <c r="H2590" s="3" t="s">
        <v>139</v>
      </c>
      <c r="I2590" s="65">
        <f>IFERROR(VLOOKUP(A2590,'3. Call duration'!$A:$C,3,0),"--")</f>
        <v>33.12512035</v>
      </c>
      <c r="J2590" s="65" t="str">
        <f t="array" ref="J2590">XLOOKUP(H2590,'2. Matching'!$A$2:$A$39,'2. Matching'!$B$2:$B$39,"--")</f>
        <v>Acquisition</v>
      </c>
      <c r="K2590" s="65" t="str">
        <f t="shared" si="1"/>
        <v>In</v>
      </c>
    </row>
    <row r="2591">
      <c r="A2591" s="62" t="s">
        <v>2729</v>
      </c>
      <c r="B2591" s="63">
        <v>44130.0</v>
      </c>
      <c r="C2591" s="62" t="s">
        <v>119</v>
      </c>
      <c r="D2591" s="64">
        <v>42.5</v>
      </c>
      <c r="E2591" s="62" t="s">
        <v>109</v>
      </c>
      <c r="F2591" s="62" t="s">
        <v>115</v>
      </c>
      <c r="G2591" s="64" t="s">
        <v>64</v>
      </c>
      <c r="H2591" s="3" t="s">
        <v>169</v>
      </c>
      <c r="I2591" s="65">
        <f>IFERROR(VLOOKUP(A2591,'3. Call duration'!$A:$C,3,0),"--")</f>
        <v>24.14976432</v>
      </c>
      <c r="J2591" s="65" t="str">
        <f t="array" ref="J2591">XLOOKUP(H2591,'2. Matching'!$A$2:$A$39,'2. Matching'!$B$2:$B$39,"--")</f>
        <v>SEO</v>
      </c>
      <c r="K2591" s="65" t="str">
        <f t="shared" si="1"/>
        <v>In</v>
      </c>
    </row>
    <row r="2592">
      <c r="A2592" s="62" t="s">
        <v>2730</v>
      </c>
      <c r="B2592" s="63">
        <v>44176.0</v>
      </c>
      <c r="C2592" s="62" t="s">
        <v>119</v>
      </c>
      <c r="D2592" s="64">
        <v>42.5</v>
      </c>
      <c r="E2592" s="62" t="s">
        <v>109</v>
      </c>
      <c r="F2592" s="62" t="s">
        <v>115</v>
      </c>
      <c r="G2592" s="64" t="s">
        <v>64</v>
      </c>
      <c r="H2592" s="3" t="s">
        <v>221</v>
      </c>
      <c r="I2592" s="65">
        <f>IFERROR(VLOOKUP(A2592,'3. Call duration'!$A:$C,3,0),"--")</f>
        <v>22.22750766</v>
      </c>
      <c r="J2592" s="65" t="str">
        <f t="array" ref="J2592">XLOOKUP(H2592,'2. Matching'!$A$2:$A$39,'2. Matching'!$B$2:$B$39,"--")</f>
        <v>Farming</v>
      </c>
      <c r="K2592" s="65" t="str">
        <f t="shared" si="1"/>
        <v>In</v>
      </c>
    </row>
    <row r="2593">
      <c r="A2593" s="62" t="s">
        <v>2731</v>
      </c>
      <c r="B2593" s="63">
        <v>44202.0</v>
      </c>
      <c r="C2593" s="62" t="s">
        <v>119</v>
      </c>
      <c r="D2593" s="64">
        <v>42.5</v>
      </c>
      <c r="E2593" s="62" t="s">
        <v>109</v>
      </c>
      <c r="F2593" s="62" t="s">
        <v>110</v>
      </c>
      <c r="G2593" s="64" t="s">
        <v>62</v>
      </c>
      <c r="H2593" s="3" t="s">
        <v>286</v>
      </c>
      <c r="I2593" s="65">
        <f>IFERROR(VLOOKUP(A2593,'3. Call duration'!$A:$C,3,0),"--")</f>
        <v>33.35398231</v>
      </c>
      <c r="J2593" s="65" t="str">
        <f t="array" ref="J2593">XLOOKUP(H2593,'2. Matching'!$A$2:$A$39,'2. Matching'!$B$2:$B$39,"--")</f>
        <v>Farming</v>
      </c>
      <c r="K2593" s="65" t="str">
        <f t="shared" si="1"/>
        <v>In</v>
      </c>
    </row>
    <row r="2594">
      <c r="A2594" s="62" t="s">
        <v>2732</v>
      </c>
      <c r="B2594" s="63">
        <v>44177.0</v>
      </c>
      <c r="C2594" s="62" t="s">
        <v>119</v>
      </c>
      <c r="D2594" s="64">
        <v>42.5</v>
      </c>
      <c r="E2594" s="62" t="s">
        <v>109</v>
      </c>
      <c r="F2594" s="62" t="s">
        <v>115</v>
      </c>
      <c r="G2594" s="64" t="s">
        <v>64</v>
      </c>
      <c r="H2594" s="3" t="s">
        <v>139</v>
      </c>
      <c r="I2594" s="65">
        <f>IFERROR(VLOOKUP(A2594,'3. Call duration'!$A:$C,3,0),"--")</f>
        <v>30.39106291</v>
      </c>
      <c r="J2594" s="65" t="str">
        <f t="array" ref="J2594">XLOOKUP(H2594,'2. Matching'!$A$2:$A$39,'2. Matching'!$B$2:$B$39,"--")</f>
        <v>Acquisition</v>
      </c>
      <c r="K2594" s="65" t="str">
        <f t="shared" si="1"/>
        <v>In</v>
      </c>
    </row>
    <row r="2595">
      <c r="A2595" s="62" t="s">
        <v>2733</v>
      </c>
      <c r="B2595" s="63">
        <v>44204.0</v>
      </c>
      <c r="C2595" s="62" t="s">
        <v>119</v>
      </c>
      <c r="D2595" s="64">
        <v>42.5</v>
      </c>
      <c r="E2595" s="62" t="s">
        <v>109</v>
      </c>
      <c r="F2595" s="62" t="s">
        <v>115</v>
      </c>
      <c r="G2595" s="64" t="s">
        <v>64</v>
      </c>
      <c r="H2595" s="3" t="s">
        <v>150</v>
      </c>
      <c r="I2595" s="65">
        <f>IFERROR(VLOOKUP(A2595,'3. Call duration'!$A:$C,3,0),"--")</f>
        <v>33.11834023</v>
      </c>
      <c r="J2595" s="65" t="str">
        <f t="array" ref="J2595">XLOOKUP(H2595,'2. Matching'!$A$2:$A$39,'2. Matching'!$B$2:$B$39,"--")</f>
        <v>SEO</v>
      </c>
      <c r="K2595" s="65" t="str">
        <f t="shared" si="1"/>
        <v>In</v>
      </c>
    </row>
    <row r="2596">
      <c r="A2596" s="62" t="s">
        <v>2734</v>
      </c>
      <c r="B2596" s="63">
        <v>44204.0</v>
      </c>
      <c r="C2596" s="62" t="s">
        <v>119</v>
      </c>
      <c r="D2596" s="64">
        <v>42.5</v>
      </c>
      <c r="E2596" s="62" t="s">
        <v>109</v>
      </c>
      <c r="F2596" s="62" t="s">
        <v>115</v>
      </c>
      <c r="G2596" s="64" t="s">
        <v>64</v>
      </c>
      <c r="H2596" s="3" t="s">
        <v>185</v>
      </c>
      <c r="I2596" s="65">
        <f>IFERROR(VLOOKUP(A2596,'3. Call duration'!$A:$C,3,0),"--")</f>
        <v>31.84296666</v>
      </c>
      <c r="J2596" s="65" t="str">
        <f t="array" ref="J2596">XLOOKUP(H2596,'2. Matching'!$A$2:$A$39,'2. Matching'!$B$2:$B$39,"--")</f>
        <v>SEO</v>
      </c>
      <c r="K2596" s="65" t="str">
        <f t="shared" si="1"/>
        <v>In</v>
      </c>
    </row>
    <row r="2597">
      <c r="A2597" s="62" t="s">
        <v>2735</v>
      </c>
      <c r="B2597" s="63">
        <v>44223.0</v>
      </c>
      <c r="C2597" s="62" t="s">
        <v>119</v>
      </c>
      <c r="D2597" s="64">
        <v>42.5</v>
      </c>
      <c r="E2597" s="62" t="s">
        <v>109</v>
      </c>
      <c r="F2597" s="62" t="s">
        <v>115</v>
      </c>
      <c r="G2597" s="64" t="s">
        <v>64</v>
      </c>
      <c r="H2597" s="3" t="s">
        <v>185</v>
      </c>
      <c r="I2597" s="65">
        <f>IFERROR(VLOOKUP(A2597,'3. Call duration'!$A:$C,3,0),"--")</f>
        <v>22.68200234</v>
      </c>
      <c r="J2597" s="65" t="str">
        <f t="array" ref="J2597">XLOOKUP(H2597,'2. Matching'!$A$2:$A$39,'2. Matching'!$B$2:$B$39,"--")</f>
        <v>SEO</v>
      </c>
      <c r="K2597" s="65" t="str">
        <f t="shared" si="1"/>
        <v>In</v>
      </c>
    </row>
    <row r="2598">
      <c r="A2598" s="62" t="s">
        <v>2736</v>
      </c>
      <c r="B2598" s="63">
        <v>44154.0</v>
      </c>
      <c r="C2598" s="62" t="s">
        <v>119</v>
      </c>
      <c r="D2598" s="64">
        <v>42.5</v>
      </c>
      <c r="E2598" s="62" t="s">
        <v>109</v>
      </c>
      <c r="F2598" s="62" t="s">
        <v>115</v>
      </c>
      <c r="G2598" s="64" t="s">
        <v>64</v>
      </c>
      <c r="H2598" s="3" t="s">
        <v>131</v>
      </c>
      <c r="I2598" s="65">
        <f>IFERROR(VLOOKUP(A2598,'3. Call duration'!$A:$C,3,0),"--")</f>
        <v>32.13252194</v>
      </c>
      <c r="J2598" s="65" t="str">
        <f t="array" ref="J2598">XLOOKUP(H2598,'2. Matching'!$A$2:$A$39,'2. Matching'!$B$2:$B$39,"--")</f>
        <v>Acquisition</v>
      </c>
      <c r="K2598" s="65" t="str">
        <f t="shared" si="1"/>
        <v>In</v>
      </c>
    </row>
    <row r="2599">
      <c r="A2599" s="62" t="s">
        <v>2737</v>
      </c>
      <c r="B2599" s="63">
        <v>44077.0</v>
      </c>
      <c r="C2599" s="62" t="s">
        <v>119</v>
      </c>
      <c r="D2599" s="64">
        <v>42.5</v>
      </c>
      <c r="E2599" s="62" t="s">
        <v>109</v>
      </c>
      <c r="F2599" s="62" t="s">
        <v>115</v>
      </c>
      <c r="G2599" s="64" t="s">
        <v>64</v>
      </c>
      <c r="H2599" s="3" t="s">
        <v>155</v>
      </c>
      <c r="I2599" s="65">
        <f>IFERROR(VLOOKUP(A2599,'3. Call duration'!$A:$C,3,0),"--")</f>
        <v>29.98012563</v>
      </c>
      <c r="J2599" s="65" t="str">
        <f t="array" ref="J2599">XLOOKUP(H2599,'2. Matching'!$A$2:$A$39,'2. Matching'!$B$2:$B$39,"--")</f>
        <v>SEO</v>
      </c>
      <c r="K2599" s="65" t="str">
        <f t="shared" si="1"/>
        <v>In</v>
      </c>
    </row>
    <row r="2600">
      <c r="A2600" s="62" t="s">
        <v>2738</v>
      </c>
      <c r="B2600" s="63">
        <v>44076.0</v>
      </c>
      <c r="C2600" s="62" t="s">
        <v>119</v>
      </c>
      <c r="D2600" s="64">
        <v>42.5</v>
      </c>
      <c r="E2600" s="62" t="s">
        <v>109</v>
      </c>
      <c r="F2600" s="62" t="s">
        <v>115</v>
      </c>
      <c r="G2600" s="64" t="s">
        <v>62</v>
      </c>
      <c r="H2600" s="3" t="s">
        <v>286</v>
      </c>
      <c r="I2600" s="65">
        <f>IFERROR(VLOOKUP(A2600,'3. Call duration'!$A:$C,3,0),"--")</f>
        <v>20.16622754</v>
      </c>
      <c r="J2600" s="65" t="str">
        <f t="array" ref="J2600">XLOOKUP(H2600,'2. Matching'!$A$2:$A$39,'2. Matching'!$B$2:$B$39,"--")</f>
        <v>Farming</v>
      </c>
      <c r="K2600" s="65" t="str">
        <f t="shared" si="1"/>
        <v>In</v>
      </c>
    </row>
    <row r="2601">
      <c r="A2601" s="62" t="s">
        <v>2739</v>
      </c>
      <c r="B2601" s="63">
        <v>44255.0</v>
      </c>
      <c r="C2601" s="62" t="s">
        <v>119</v>
      </c>
      <c r="D2601" s="64">
        <v>42.5</v>
      </c>
      <c r="E2601" s="62" t="s">
        <v>109</v>
      </c>
      <c r="F2601" s="62" t="s">
        <v>115</v>
      </c>
      <c r="G2601" s="64" t="s">
        <v>64</v>
      </c>
      <c r="H2601" s="3" t="s">
        <v>139</v>
      </c>
      <c r="I2601" s="65">
        <f>IFERROR(VLOOKUP(A2601,'3. Call duration'!$A:$C,3,0),"--")</f>
        <v>32.1558193</v>
      </c>
      <c r="J2601" s="65" t="str">
        <f t="array" ref="J2601">XLOOKUP(H2601,'2. Matching'!$A$2:$A$39,'2. Matching'!$B$2:$B$39,"--")</f>
        <v>Acquisition</v>
      </c>
      <c r="K2601" s="65" t="str">
        <f t="shared" si="1"/>
        <v>In</v>
      </c>
    </row>
    <row r="2602">
      <c r="A2602" s="62" t="s">
        <v>2740</v>
      </c>
      <c r="B2602" s="63">
        <v>44208.0</v>
      </c>
      <c r="C2602" s="62" t="s">
        <v>119</v>
      </c>
      <c r="D2602" s="64">
        <v>42.5</v>
      </c>
      <c r="E2602" s="62" t="s">
        <v>109</v>
      </c>
      <c r="F2602" s="62" t="s">
        <v>115</v>
      </c>
      <c r="G2602" s="64" t="s">
        <v>64</v>
      </c>
      <c r="H2602" s="3" t="s">
        <v>131</v>
      </c>
      <c r="I2602" s="65">
        <f>IFERROR(VLOOKUP(A2602,'3. Call duration'!$A:$C,3,0),"--")</f>
        <v>33.57323245</v>
      </c>
      <c r="J2602" s="65" t="str">
        <f t="array" ref="J2602">XLOOKUP(H2602,'2. Matching'!$A$2:$A$39,'2. Matching'!$B$2:$B$39,"--")</f>
        <v>Acquisition</v>
      </c>
      <c r="K2602" s="65" t="str">
        <f t="shared" si="1"/>
        <v>In</v>
      </c>
    </row>
    <row r="2603">
      <c r="A2603" s="62" t="s">
        <v>2741</v>
      </c>
      <c r="B2603" s="63">
        <v>44180.0</v>
      </c>
      <c r="C2603" s="62" t="s">
        <v>119</v>
      </c>
      <c r="D2603" s="64">
        <v>42.5</v>
      </c>
      <c r="E2603" s="62" t="s">
        <v>109</v>
      </c>
      <c r="F2603" s="62" t="s">
        <v>115</v>
      </c>
      <c r="G2603" s="64" t="s">
        <v>64</v>
      </c>
      <c r="H2603" s="3" t="s">
        <v>155</v>
      </c>
      <c r="I2603" s="65">
        <f>IFERROR(VLOOKUP(A2603,'3. Call duration'!$A:$C,3,0),"--")</f>
        <v>21.65104815</v>
      </c>
      <c r="J2603" s="65" t="str">
        <f t="array" ref="J2603">XLOOKUP(H2603,'2. Matching'!$A$2:$A$39,'2. Matching'!$B$2:$B$39,"--")</f>
        <v>SEO</v>
      </c>
      <c r="K2603" s="65" t="str">
        <f t="shared" si="1"/>
        <v>In</v>
      </c>
    </row>
    <row r="2604">
      <c r="A2604" s="62" t="s">
        <v>2742</v>
      </c>
      <c r="B2604" s="63">
        <v>44077.0</v>
      </c>
      <c r="C2604" s="62" t="s">
        <v>119</v>
      </c>
      <c r="D2604" s="64">
        <v>42.5</v>
      </c>
      <c r="E2604" s="62" t="s">
        <v>109</v>
      </c>
      <c r="F2604" s="62" t="s">
        <v>115</v>
      </c>
      <c r="G2604" s="64" t="s">
        <v>64</v>
      </c>
      <c r="H2604" s="3" t="s">
        <v>175</v>
      </c>
      <c r="I2604" s="65">
        <f>IFERROR(VLOOKUP(A2604,'3. Call duration'!$A:$C,3,0),"--")</f>
        <v>43.27029388</v>
      </c>
      <c r="J2604" s="65" t="str">
        <f t="array" ref="J2604">XLOOKUP(H2604,'2. Matching'!$A$2:$A$39,'2. Matching'!$B$2:$B$39,"--")</f>
        <v>SEO</v>
      </c>
      <c r="K2604" s="65" t="str">
        <f t="shared" si="1"/>
        <v>In</v>
      </c>
    </row>
    <row r="2605">
      <c r="A2605" s="62" t="s">
        <v>2743</v>
      </c>
      <c r="B2605" s="63">
        <v>44097.0</v>
      </c>
      <c r="C2605" s="62" t="s">
        <v>119</v>
      </c>
      <c r="D2605" s="64">
        <v>42.5</v>
      </c>
      <c r="E2605" s="62" t="s">
        <v>109</v>
      </c>
      <c r="F2605" s="62" t="s">
        <v>115</v>
      </c>
      <c r="G2605" s="64" t="s">
        <v>64</v>
      </c>
      <c r="H2605" s="3" t="s">
        <v>139</v>
      </c>
      <c r="I2605" s="65">
        <f>IFERROR(VLOOKUP(A2605,'3. Call duration'!$A:$C,3,0),"--")</f>
        <v>20.11786162</v>
      </c>
      <c r="J2605" s="65" t="str">
        <f t="array" ref="J2605">XLOOKUP(H2605,'2. Matching'!$A$2:$A$39,'2. Matching'!$B$2:$B$39,"--")</f>
        <v>Acquisition</v>
      </c>
      <c r="K2605" s="65" t="str">
        <f t="shared" si="1"/>
        <v>In</v>
      </c>
    </row>
    <row r="2606">
      <c r="A2606" s="62" t="s">
        <v>2744</v>
      </c>
      <c r="B2606" s="63">
        <v>44223.0</v>
      </c>
      <c r="C2606" s="62" t="s">
        <v>119</v>
      </c>
      <c r="D2606" s="64">
        <v>42.5</v>
      </c>
      <c r="E2606" s="62" t="s">
        <v>109</v>
      </c>
      <c r="F2606" s="62" t="s">
        <v>115</v>
      </c>
      <c r="G2606" s="64" t="s">
        <v>64</v>
      </c>
      <c r="H2606" s="3" t="s">
        <v>164</v>
      </c>
      <c r="I2606" s="65">
        <f>IFERROR(VLOOKUP(A2606,'3. Call duration'!$A:$C,3,0),"--")</f>
        <v>37.14228782</v>
      </c>
      <c r="J2606" s="65" t="str">
        <f t="array" ref="J2606">XLOOKUP(H2606,'2. Matching'!$A$2:$A$39,'2. Matching'!$B$2:$B$39,"--")</f>
        <v>SEO</v>
      </c>
      <c r="K2606" s="65" t="str">
        <f t="shared" si="1"/>
        <v>In</v>
      </c>
    </row>
    <row r="2607">
      <c r="A2607" s="62" t="s">
        <v>2745</v>
      </c>
      <c r="B2607" s="63">
        <v>44184.0</v>
      </c>
      <c r="C2607" s="62" t="s">
        <v>119</v>
      </c>
      <c r="D2607" s="64">
        <v>42.5</v>
      </c>
      <c r="E2607" s="62" t="s">
        <v>109</v>
      </c>
      <c r="F2607" s="62" t="s">
        <v>115</v>
      </c>
      <c r="G2607" s="64" t="s">
        <v>64</v>
      </c>
      <c r="H2607" s="3" t="s">
        <v>139</v>
      </c>
      <c r="I2607" s="65">
        <f>IFERROR(VLOOKUP(A2607,'3. Call duration'!$A:$C,3,0),"--")</f>
        <v>28.24398359</v>
      </c>
      <c r="J2607" s="65" t="str">
        <f t="array" ref="J2607">XLOOKUP(H2607,'2. Matching'!$A$2:$A$39,'2. Matching'!$B$2:$B$39,"--")</f>
        <v>Acquisition</v>
      </c>
      <c r="K2607" s="65" t="str">
        <f t="shared" si="1"/>
        <v>In</v>
      </c>
    </row>
    <row r="2608">
      <c r="A2608" s="62" t="s">
        <v>2746</v>
      </c>
      <c r="B2608" s="63">
        <v>44232.0</v>
      </c>
      <c r="C2608" s="62" t="s">
        <v>119</v>
      </c>
      <c r="D2608" s="64">
        <v>42.5</v>
      </c>
      <c r="E2608" s="62" t="s">
        <v>109</v>
      </c>
      <c r="F2608" s="62" t="s">
        <v>115</v>
      </c>
      <c r="G2608" s="64" t="s">
        <v>64</v>
      </c>
      <c r="H2608" s="3" t="s">
        <v>139</v>
      </c>
      <c r="I2608" s="65">
        <f>IFERROR(VLOOKUP(A2608,'3. Call duration'!$A:$C,3,0),"--")</f>
        <v>20.43196702</v>
      </c>
      <c r="J2608" s="65" t="str">
        <f t="array" ref="J2608">XLOOKUP(H2608,'2. Matching'!$A$2:$A$39,'2. Matching'!$B$2:$B$39,"--")</f>
        <v>Acquisition</v>
      </c>
      <c r="K2608" s="65" t="str">
        <f t="shared" si="1"/>
        <v>In</v>
      </c>
    </row>
    <row r="2609">
      <c r="A2609" s="62" t="s">
        <v>2747</v>
      </c>
      <c r="B2609" s="63">
        <v>44152.0</v>
      </c>
      <c r="C2609" s="62" t="s">
        <v>119</v>
      </c>
      <c r="D2609" s="64">
        <v>42.5</v>
      </c>
      <c r="E2609" s="62" t="s">
        <v>109</v>
      </c>
      <c r="F2609" s="62" t="s">
        <v>110</v>
      </c>
      <c r="G2609" s="64" t="s">
        <v>64</v>
      </c>
      <c r="H2609" s="3" t="s">
        <v>155</v>
      </c>
      <c r="I2609" s="65">
        <f>IFERROR(VLOOKUP(A2609,'3. Call duration'!$A:$C,3,0),"--")</f>
        <v>46.15462207</v>
      </c>
      <c r="J2609" s="65" t="str">
        <f t="array" ref="J2609">XLOOKUP(H2609,'2. Matching'!$A$2:$A$39,'2. Matching'!$B$2:$B$39,"--")</f>
        <v>SEO</v>
      </c>
      <c r="K2609" s="65" t="str">
        <f t="shared" si="1"/>
        <v>In</v>
      </c>
    </row>
    <row r="2610">
      <c r="A2610" s="62" t="s">
        <v>2748</v>
      </c>
      <c r="B2610" s="63">
        <v>44198.0</v>
      </c>
      <c r="C2610" s="62" t="s">
        <v>119</v>
      </c>
      <c r="D2610" s="64">
        <v>42.5</v>
      </c>
      <c r="E2610" s="62" t="s">
        <v>109</v>
      </c>
      <c r="F2610" s="62" t="s">
        <v>115</v>
      </c>
      <c r="G2610" s="64" t="s">
        <v>64</v>
      </c>
      <c r="H2610" s="3" t="s">
        <v>139</v>
      </c>
      <c r="I2610" s="65">
        <f>IFERROR(VLOOKUP(A2610,'3. Call duration'!$A:$C,3,0),"--")</f>
        <v>15.81769192</v>
      </c>
      <c r="J2610" s="65" t="str">
        <f t="array" ref="J2610">XLOOKUP(H2610,'2. Matching'!$A$2:$A$39,'2. Matching'!$B$2:$B$39,"--")</f>
        <v>Acquisition</v>
      </c>
      <c r="K2610" s="65" t="str">
        <f t="shared" si="1"/>
        <v>In</v>
      </c>
    </row>
    <row r="2611">
      <c r="A2611" s="62" t="s">
        <v>2749</v>
      </c>
      <c r="B2611" s="63">
        <v>44161.0</v>
      </c>
      <c r="C2611" s="62" t="s">
        <v>119</v>
      </c>
      <c r="D2611" s="64">
        <v>42.5</v>
      </c>
      <c r="E2611" s="62" t="s">
        <v>109</v>
      </c>
      <c r="F2611" s="62" t="s">
        <v>115</v>
      </c>
      <c r="G2611" s="64" t="s">
        <v>62</v>
      </c>
      <c r="H2611" s="3" t="s">
        <v>203</v>
      </c>
      <c r="I2611" s="65">
        <f>IFERROR(VLOOKUP(A2611,'3. Call duration'!$A:$C,3,0),"--")</f>
        <v>26.69563926</v>
      </c>
      <c r="J2611" s="65" t="str">
        <f t="array" ref="J2611">XLOOKUP(H2611,'2. Matching'!$A$2:$A$39,'2. Matching'!$B$2:$B$39,"--")</f>
        <v>Farming</v>
      </c>
      <c r="K2611" s="65" t="str">
        <f t="shared" si="1"/>
        <v>In</v>
      </c>
    </row>
    <row r="2612">
      <c r="A2612" s="62" t="s">
        <v>2750</v>
      </c>
      <c r="B2612" s="63">
        <v>44095.0</v>
      </c>
      <c r="C2612" s="62" t="s">
        <v>119</v>
      </c>
      <c r="D2612" s="64">
        <v>42.5</v>
      </c>
      <c r="E2612" s="62" t="s">
        <v>109</v>
      </c>
      <c r="F2612" s="62" t="s">
        <v>115</v>
      </c>
      <c r="G2612" s="64" t="s">
        <v>64</v>
      </c>
      <c r="H2612" s="3" t="s">
        <v>155</v>
      </c>
      <c r="I2612" s="65">
        <f>IFERROR(VLOOKUP(A2612,'3. Call duration'!$A:$C,3,0),"--")</f>
        <v>32.72148115</v>
      </c>
      <c r="J2612" s="65" t="str">
        <f t="array" ref="J2612">XLOOKUP(H2612,'2. Matching'!$A$2:$A$39,'2. Matching'!$B$2:$B$39,"--")</f>
        <v>SEO</v>
      </c>
      <c r="K2612" s="65" t="str">
        <f t="shared" si="1"/>
        <v>In</v>
      </c>
    </row>
    <row r="2613">
      <c r="A2613" s="62" t="s">
        <v>2751</v>
      </c>
      <c r="B2613" s="63">
        <v>44237.0</v>
      </c>
      <c r="C2613" s="62" t="s">
        <v>119</v>
      </c>
      <c r="D2613" s="64">
        <v>42.5</v>
      </c>
      <c r="E2613" s="62" t="s">
        <v>109</v>
      </c>
      <c r="F2613" s="62" t="s">
        <v>115</v>
      </c>
      <c r="G2613" s="64" t="s">
        <v>64</v>
      </c>
      <c r="H2613" s="3" t="s">
        <v>116</v>
      </c>
      <c r="I2613" s="65">
        <f>IFERROR(VLOOKUP(A2613,'3. Call duration'!$A:$C,3,0),"--")</f>
        <v>22.21033158</v>
      </c>
      <c r="J2613" s="65" t="str">
        <f t="array" ref="J2613">XLOOKUP(H2613,'2. Matching'!$A$2:$A$39,'2. Matching'!$B$2:$B$39,"--")</f>
        <v>Acquisition</v>
      </c>
      <c r="K2613" s="65" t="str">
        <f t="shared" si="1"/>
        <v>In</v>
      </c>
    </row>
    <row r="2614">
      <c r="A2614" s="62" t="s">
        <v>2752</v>
      </c>
      <c r="B2614" s="63">
        <v>44076.0</v>
      </c>
      <c r="C2614" s="62" t="s">
        <v>119</v>
      </c>
      <c r="D2614" s="64">
        <v>42.5</v>
      </c>
      <c r="E2614" s="62" t="s">
        <v>109</v>
      </c>
      <c r="F2614" s="62" t="s">
        <v>110</v>
      </c>
      <c r="G2614" s="64" t="s">
        <v>64</v>
      </c>
      <c r="H2614" s="3" t="s">
        <v>139</v>
      </c>
      <c r="I2614" s="65" t="str">
        <f>IFERROR(VLOOKUP(A2614,'3. Call duration'!$A:$C,3,0),"--")</f>
        <v>--</v>
      </c>
      <c r="J2614" s="65" t="str">
        <f t="array" ref="J2614">XLOOKUP(H2614,'2. Matching'!$A$2:$A$39,'2. Matching'!$B$2:$B$39,"--")</f>
        <v>Acquisition</v>
      </c>
      <c r="K2614" s="65" t="str">
        <f t="shared" si="1"/>
        <v>In</v>
      </c>
    </row>
    <row r="2615">
      <c r="A2615" s="62" t="s">
        <v>2753</v>
      </c>
      <c r="B2615" s="63">
        <v>44238.0</v>
      </c>
      <c r="C2615" s="62" t="s">
        <v>119</v>
      </c>
      <c r="D2615" s="64">
        <v>42.5</v>
      </c>
      <c r="E2615" s="62" t="s">
        <v>109</v>
      </c>
      <c r="F2615" s="62" t="s">
        <v>115</v>
      </c>
      <c r="G2615" s="64" t="s">
        <v>64</v>
      </c>
      <c r="H2615" s="3" t="s">
        <v>169</v>
      </c>
      <c r="I2615" s="65">
        <f>IFERROR(VLOOKUP(A2615,'3. Call duration'!$A:$C,3,0),"--")</f>
        <v>31.05359801</v>
      </c>
      <c r="J2615" s="65" t="str">
        <f t="array" ref="J2615">XLOOKUP(H2615,'2. Matching'!$A$2:$A$39,'2. Matching'!$B$2:$B$39,"--")</f>
        <v>SEO</v>
      </c>
      <c r="K2615" s="65" t="str">
        <f t="shared" si="1"/>
        <v>In</v>
      </c>
    </row>
    <row r="2616">
      <c r="A2616" s="62" t="s">
        <v>2754</v>
      </c>
      <c r="B2616" s="63">
        <v>44214.0</v>
      </c>
      <c r="C2616" s="62" t="s">
        <v>119</v>
      </c>
      <c r="D2616" s="64">
        <v>42.5</v>
      </c>
      <c r="E2616" s="62" t="s">
        <v>109</v>
      </c>
      <c r="F2616" s="62" t="s">
        <v>110</v>
      </c>
      <c r="G2616" s="64" t="s">
        <v>64</v>
      </c>
      <c r="H2616" s="3" t="s">
        <v>131</v>
      </c>
      <c r="I2616" s="65">
        <f>IFERROR(VLOOKUP(A2616,'3. Call duration'!$A:$C,3,0),"--")</f>
        <v>20.06829517</v>
      </c>
      <c r="J2616" s="65" t="str">
        <f t="array" ref="J2616">XLOOKUP(H2616,'2. Matching'!$A$2:$A$39,'2. Matching'!$B$2:$B$39,"--")</f>
        <v>Acquisition</v>
      </c>
      <c r="K2616" s="65" t="str">
        <f t="shared" si="1"/>
        <v>In</v>
      </c>
    </row>
    <row r="2617">
      <c r="A2617" s="62" t="s">
        <v>2755</v>
      </c>
      <c r="B2617" s="63">
        <v>44075.0</v>
      </c>
      <c r="C2617" s="62" t="s">
        <v>119</v>
      </c>
      <c r="D2617" s="64">
        <v>42.5</v>
      </c>
      <c r="E2617" s="62" t="s">
        <v>109</v>
      </c>
      <c r="F2617" s="62" t="s">
        <v>115</v>
      </c>
      <c r="G2617" s="64" t="s">
        <v>64</v>
      </c>
      <c r="H2617" s="3" t="s">
        <v>145</v>
      </c>
      <c r="I2617" s="65">
        <f>IFERROR(VLOOKUP(A2617,'3. Call duration'!$A:$C,3,0),"--")</f>
        <v>23.17366933</v>
      </c>
      <c r="J2617" s="65" t="str">
        <f t="array" ref="J2617">XLOOKUP(H2617,'2. Matching'!$A$2:$A$39,'2. Matching'!$B$2:$B$39,"--")</f>
        <v>SEO</v>
      </c>
      <c r="K2617" s="65" t="str">
        <f t="shared" si="1"/>
        <v>In</v>
      </c>
    </row>
    <row r="2618">
      <c r="A2618" s="62" t="s">
        <v>2756</v>
      </c>
      <c r="B2618" s="63">
        <v>44237.0</v>
      </c>
      <c r="C2618" s="62" t="s">
        <v>119</v>
      </c>
      <c r="D2618" s="64">
        <v>42.5</v>
      </c>
      <c r="E2618" s="62" t="s">
        <v>109</v>
      </c>
      <c r="F2618" s="62" t="s">
        <v>115</v>
      </c>
      <c r="G2618" s="64" t="s">
        <v>64</v>
      </c>
      <c r="H2618" s="3" t="s">
        <v>185</v>
      </c>
      <c r="I2618" s="65">
        <f>IFERROR(VLOOKUP(A2618,'3. Call duration'!$A:$C,3,0),"--")</f>
        <v>30.07638744</v>
      </c>
      <c r="J2618" s="65" t="str">
        <f t="array" ref="J2618">XLOOKUP(H2618,'2. Matching'!$A$2:$A$39,'2. Matching'!$B$2:$B$39,"--")</f>
        <v>SEO</v>
      </c>
      <c r="K2618" s="65" t="str">
        <f t="shared" si="1"/>
        <v>In</v>
      </c>
    </row>
    <row r="2619">
      <c r="A2619" s="62" t="s">
        <v>2757</v>
      </c>
      <c r="B2619" s="63">
        <v>44147.0</v>
      </c>
      <c r="C2619" s="62" t="s">
        <v>119</v>
      </c>
      <c r="D2619" s="64">
        <v>42.5</v>
      </c>
      <c r="E2619" s="62" t="s">
        <v>109</v>
      </c>
      <c r="F2619" s="62" t="s">
        <v>115</v>
      </c>
      <c r="G2619" s="64" t="s">
        <v>64</v>
      </c>
      <c r="H2619" s="3" t="s">
        <v>155</v>
      </c>
      <c r="I2619" s="65">
        <f>IFERROR(VLOOKUP(A2619,'3. Call duration'!$A:$C,3,0),"--")</f>
        <v>30.12619244</v>
      </c>
      <c r="J2619" s="65" t="str">
        <f t="array" ref="J2619">XLOOKUP(H2619,'2. Matching'!$A$2:$A$39,'2. Matching'!$B$2:$B$39,"--")</f>
        <v>SEO</v>
      </c>
      <c r="K2619" s="65" t="str">
        <f t="shared" si="1"/>
        <v>In</v>
      </c>
    </row>
    <row r="2620">
      <c r="A2620" s="62" t="s">
        <v>2758</v>
      </c>
      <c r="B2620" s="63">
        <v>44223.0</v>
      </c>
      <c r="C2620" s="62" t="s">
        <v>119</v>
      </c>
      <c r="D2620" s="64">
        <v>42.5</v>
      </c>
      <c r="E2620" s="62" t="s">
        <v>109</v>
      </c>
      <c r="F2620" s="62" t="s">
        <v>110</v>
      </c>
      <c r="G2620" s="64" t="s">
        <v>64</v>
      </c>
      <c r="H2620" s="3" t="s">
        <v>155</v>
      </c>
      <c r="I2620" s="65">
        <f>IFERROR(VLOOKUP(A2620,'3. Call duration'!$A:$C,3,0),"--")</f>
        <v>42.30232558</v>
      </c>
      <c r="J2620" s="65" t="str">
        <f t="array" ref="J2620">XLOOKUP(H2620,'2. Matching'!$A$2:$A$39,'2. Matching'!$B$2:$B$39,"--")</f>
        <v>SEO</v>
      </c>
      <c r="K2620" s="65" t="str">
        <f t="shared" si="1"/>
        <v>In</v>
      </c>
    </row>
    <row r="2621">
      <c r="A2621" s="62" t="s">
        <v>2759</v>
      </c>
      <c r="B2621" s="63">
        <v>44250.0</v>
      </c>
      <c r="C2621" s="62" t="s">
        <v>119</v>
      </c>
      <c r="D2621" s="64">
        <v>42.5</v>
      </c>
      <c r="E2621" s="62" t="s">
        <v>109</v>
      </c>
      <c r="F2621" s="62" t="s">
        <v>115</v>
      </c>
      <c r="G2621" s="64" t="s">
        <v>64</v>
      </c>
      <c r="H2621" s="3" t="s">
        <v>221</v>
      </c>
      <c r="I2621" s="65">
        <f>IFERROR(VLOOKUP(A2621,'3. Call duration'!$A:$C,3,0),"--")</f>
        <v>31.83696453</v>
      </c>
      <c r="J2621" s="65" t="str">
        <f t="array" ref="J2621">XLOOKUP(H2621,'2. Matching'!$A$2:$A$39,'2. Matching'!$B$2:$B$39,"--")</f>
        <v>Farming</v>
      </c>
      <c r="K2621" s="65" t="str">
        <f t="shared" si="1"/>
        <v>In</v>
      </c>
    </row>
    <row r="2622">
      <c r="A2622" s="62" t="s">
        <v>2760</v>
      </c>
      <c r="B2622" s="63">
        <v>44229.0</v>
      </c>
      <c r="C2622" s="62" t="s">
        <v>119</v>
      </c>
      <c r="D2622" s="64">
        <v>42.5</v>
      </c>
      <c r="E2622" s="62" t="s">
        <v>109</v>
      </c>
      <c r="F2622" s="62" t="s">
        <v>115</v>
      </c>
      <c r="G2622" s="64" t="s">
        <v>64</v>
      </c>
      <c r="H2622" s="3" t="s">
        <v>139</v>
      </c>
      <c r="I2622" s="65">
        <f>IFERROR(VLOOKUP(A2622,'3. Call duration'!$A:$C,3,0),"--")</f>
        <v>26.12368365</v>
      </c>
      <c r="J2622" s="65" t="str">
        <f t="array" ref="J2622">XLOOKUP(H2622,'2. Matching'!$A$2:$A$39,'2. Matching'!$B$2:$B$39,"--")</f>
        <v>Acquisition</v>
      </c>
      <c r="K2622" s="65" t="str">
        <f t="shared" si="1"/>
        <v>In</v>
      </c>
    </row>
    <row r="2623">
      <c r="A2623" s="62" t="s">
        <v>2761</v>
      </c>
      <c r="B2623" s="63">
        <v>44232.0</v>
      </c>
      <c r="C2623" s="62" t="s">
        <v>119</v>
      </c>
      <c r="D2623" s="64">
        <v>42.5</v>
      </c>
      <c r="E2623" s="62" t="s">
        <v>109</v>
      </c>
      <c r="F2623" s="62" t="s">
        <v>115</v>
      </c>
      <c r="G2623" s="64" t="s">
        <v>64</v>
      </c>
      <c r="H2623" s="3" t="s">
        <v>145</v>
      </c>
      <c r="I2623" s="65">
        <f>IFERROR(VLOOKUP(A2623,'3. Call duration'!$A:$C,3,0),"--")</f>
        <v>26.14749305</v>
      </c>
      <c r="J2623" s="65" t="str">
        <f t="array" ref="J2623">XLOOKUP(H2623,'2. Matching'!$A$2:$A$39,'2. Matching'!$B$2:$B$39,"--")</f>
        <v>SEO</v>
      </c>
      <c r="K2623" s="65" t="str">
        <f t="shared" si="1"/>
        <v>In</v>
      </c>
    </row>
    <row r="2624">
      <c r="A2624" s="62" t="s">
        <v>2762</v>
      </c>
      <c r="B2624" s="63">
        <v>44121.0</v>
      </c>
      <c r="C2624" s="62" t="s">
        <v>119</v>
      </c>
      <c r="D2624" s="64">
        <v>42.5</v>
      </c>
      <c r="E2624" s="62" t="s">
        <v>109</v>
      </c>
      <c r="F2624" s="62" t="s">
        <v>115</v>
      </c>
      <c r="G2624" s="64" t="s">
        <v>64</v>
      </c>
      <c r="H2624" s="3" t="s">
        <v>139</v>
      </c>
      <c r="I2624" s="65">
        <f>IFERROR(VLOOKUP(A2624,'3. Call duration'!$A:$C,3,0),"--")</f>
        <v>14.65760884</v>
      </c>
      <c r="J2624" s="65" t="str">
        <f t="array" ref="J2624">XLOOKUP(H2624,'2. Matching'!$A$2:$A$39,'2. Matching'!$B$2:$B$39,"--")</f>
        <v>Acquisition</v>
      </c>
      <c r="K2624" s="65" t="str">
        <f t="shared" si="1"/>
        <v>In</v>
      </c>
    </row>
    <row r="2625">
      <c r="A2625" s="62" t="s">
        <v>2763</v>
      </c>
      <c r="B2625" s="63">
        <v>44221.0</v>
      </c>
      <c r="C2625" s="62" t="s">
        <v>119</v>
      </c>
      <c r="D2625" s="64">
        <v>42.5</v>
      </c>
      <c r="E2625" s="62" t="s">
        <v>109</v>
      </c>
      <c r="F2625" s="62" t="s">
        <v>110</v>
      </c>
      <c r="G2625" s="64" t="s">
        <v>64</v>
      </c>
      <c r="H2625" s="3" t="s">
        <v>185</v>
      </c>
      <c r="I2625" s="65">
        <f>IFERROR(VLOOKUP(A2625,'3. Call duration'!$A:$C,3,0),"--")</f>
        <v>30.02512507</v>
      </c>
      <c r="J2625" s="65" t="str">
        <f t="array" ref="J2625">XLOOKUP(H2625,'2. Matching'!$A$2:$A$39,'2. Matching'!$B$2:$B$39,"--")</f>
        <v>SEO</v>
      </c>
      <c r="K2625" s="65" t="str">
        <f t="shared" si="1"/>
        <v>In</v>
      </c>
    </row>
    <row r="2626">
      <c r="A2626" s="62" t="s">
        <v>2764</v>
      </c>
      <c r="B2626" s="63">
        <v>44224.0</v>
      </c>
      <c r="C2626" s="62" t="s">
        <v>119</v>
      </c>
      <c r="D2626" s="64">
        <v>42.5</v>
      </c>
      <c r="E2626" s="62" t="s">
        <v>109</v>
      </c>
      <c r="F2626" s="62" t="s">
        <v>115</v>
      </c>
      <c r="G2626" s="64" t="s">
        <v>64</v>
      </c>
      <c r="H2626" s="3" t="s">
        <v>150</v>
      </c>
      <c r="I2626" s="65">
        <f>IFERROR(VLOOKUP(A2626,'3. Call duration'!$A:$C,3,0),"--")</f>
        <v>14.29670118</v>
      </c>
      <c r="J2626" s="65" t="str">
        <f t="array" ref="J2626">XLOOKUP(H2626,'2. Matching'!$A$2:$A$39,'2. Matching'!$B$2:$B$39,"--")</f>
        <v>SEO</v>
      </c>
      <c r="K2626" s="65" t="str">
        <f t="shared" si="1"/>
        <v>In</v>
      </c>
    </row>
    <row r="2627">
      <c r="A2627" s="62" t="s">
        <v>2765</v>
      </c>
      <c r="B2627" s="63">
        <v>44221.0</v>
      </c>
      <c r="C2627" s="62" t="s">
        <v>119</v>
      </c>
      <c r="D2627" s="64">
        <v>42.5</v>
      </c>
      <c r="E2627" s="62" t="s">
        <v>109</v>
      </c>
      <c r="F2627" s="62" t="s">
        <v>115</v>
      </c>
      <c r="G2627" s="64" t="s">
        <v>64</v>
      </c>
      <c r="H2627" s="3" t="s">
        <v>175</v>
      </c>
      <c r="I2627" s="65">
        <f>IFERROR(VLOOKUP(A2627,'3. Call duration'!$A:$C,3,0),"--")</f>
        <v>16.54658432</v>
      </c>
      <c r="J2627" s="65" t="str">
        <f t="array" ref="J2627">XLOOKUP(H2627,'2. Matching'!$A$2:$A$39,'2. Matching'!$B$2:$B$39,"--")</f>
        <v>SEO</v>
      </c>
      <c r="K2627" s="65" t="str">
        <f t="shared" si="1"/>
        <v>In</v>
      </c>
    </row>
    <row r="2628">
      <c r="A2628" s="62" t="s">
        <v>2766</v>
      </c>
      <c r="B2628" s="63">
        <v>44237.0</v>
      </c>
      <c r="C2628" s="62" t="s">
        <v>119</v>
      </c>
      <c r="D2628" s="64">
        <v>42.5</v>
      </c>
      <c r="E2628" s="62" t="s">
        <v>109</v>
      </c>
      <c r="F2628" s="62" t="s">
        <v>115</v>
      </c>
      <c r="G2628" s="64" t="s">
        <v>64</v>
      </c>
      <c r="H2628" s="3" t="s">
        <v>185</v>
      </c>
      <c r="I2628" s="65">
        <f>IFERROR(VLOOKUP(A2628,'3. Call duration'!$A:$C,3,0),"--")</f>
        <v>31.3708653</v>
      </c>
      <c r="J2628" s="65" t="str">
        <f t="array" ref="J2628">XLOOKUP(H2628,'2. Matching'!$A$2:$A$39,'2. Matching'!$B$2:$B$39,"--")</f>
        <v>SEO</v>
      </c>
      <c r="K2628" s="65" t="str">
        <f t="shared" si="1"/>
        <v>In</v>
      </c>
    </row>
    <row r="2629">
      <c r="A2629" s="62" t="s">
        <v>2767</v>
      </c>
      <c r="B2629" s="63">
        <v>44116.0</v>
      </c>
      <c r="C2629" s="62" t="s">
        <v>119</v>
      </c>
      <c r="D2629" s="64">
        <v>42.5</v>
      </c>
      <c r="E2629" s="62" t="s">
        <v>109</v>
      </c>
      <c r="F2629" s="62" t="s">
        <v>115</v>
      </c>
      <c r="G2629" s="64" t="s">
        <v>64</v>
      </c>
      <c r="H2629" s="3" t="s">
        <v>139</v>
      </c>
      <c r="I2629" s="65">
        <f>IFERROR(VLOOKUP(A2629,'3. Call duration'!$A:$C,3,0),"--")</f>
        <v>30.17893678</v>
      </c>
      <c r="J2629" s="65" t="str">
        <f t="array" ref="J2629">XLOOKUP(H2629,'2. Matching'!$A$2:$A$39,'2. Matching'!$B$2:$B$39,"--")</f>
        <v>Acquisition</v>
      </c>
      <c r="K2629" s="65" t="str">
        <f t="shared" si="1"/>
        <v>In</v>
      </c>
    </row>
    <row r="2630">
      <c r="A2630" s="62" t="s">
        <v>2768</v>
      </c>
      <c r="B2630" s="63">
        <v>44190.0</v>
      </c>
      <c r="C2630" s="62" t="s">
        <v>119</v>
      </c>
      <c r="D2630" s="64">
        <v>42.5</v>
      </c>
      <c r="E2630" s="62" t="s">
        <v>109</v>
      </c>
      <c r="F2630" s="62" t="s">
        <v>110</v>
      </c>
      <c r="G2630" s="64" t="s">
        <v>64</v>
      </c>
      <c r="H2630" s="3" t="s">
        <v>139</v>
      </c>
      <c r="I2630" s="65">
        <f>IFERROR(VLOOKUP(A2630,'3. Call duration'!$A:$C,3,0),"--")</f>
        <v>22.33087805</v>
      </c>
      <c r="J2630" s="65" t="str">
        <f t="array" ref="J2630">XLOOKUP(H2630,'2. Matching'!$A$2:$A$39,'2. Matching'!$B$2:$B$39,"--")</f>
        <v>Acquisition</v>
      </c>
      <c r="K2630" s="65" t="str">
        <f t="shared" si="1"/>
        <v>In</v>
      </c>
    </row>
    <row r="2631">
      <c r="A2631" s="62" t="s">
        <v>2769</v>
      </c>
      <c r="B2631" s="63">
        <v>44209.0</v>
      </c>
      <c r="C2631" s="62" t="s">
        <v>119</v>
      </c>
      <c r="D2631" s="64">
        <v>42.5</v>
      </c>
      <c r="E2631" s="62" t="s">
        <v>109</v>
      </c>
      <c r="F2631" s="62" t="s">
        <v>115</v>
      </c>
      <c r="G2631" s="64" t="s">
        <v>64</v>
      </c>
      <c r="H2631" s="3" t="s">
        <v>169</v>
      </c>
      <c r="I2631" s="65">
        <f>IFERROR(VLOOKUP(A2631,'3. Call duration'!$A:$C,3,0),"--")</f>
        <v>46.93938824</v>
      </c>
      <c r="J2631" s="65" t="str">
        <f t="array" ref="J2631">XLOOKUP(H2631,'2. Matching'!$A$2:$A$39,'2. Matching'!$B$2:$B$39,"--")</f>
        <v>SEO</v>
      </c>
      <c r="K2631" s="65" t="str">
        <f t="shared" si="1"/>
        <v>In</v>
      </c>
    </row>
    <row r="2632">
      <c r="A2632" s="62" t="s">
        <v>2770</v>
      </c>
      <c r="B2632" s="63">
        <v>44162.0</v>
      </c>
      <c r="C2632" s="62" t="s">
        <v>119</v>
      </c>
      <c r="D2632" s="64">
        <v>42.5</v>
      </c>
      <c r="E2632" s="62" t="s">
        <v>109</v>
      </c>
      <c r="F2632" s="62" t="s">
        <v>115</v>
      </c>
      <c r="G2632" s="64" t="s">
        <v>64</v>
      </c>
      <c r="H2632" s="3" t="s">
        <v>49</v>
      </c>
      <c r="I2632" s="65">
        <f>IFERROR(VLOOKUP(A2632,'3. Call duration'!$A:$C,3,0),"--")</f>
        <v>22.12778346</v>
      </c>
      <c r="J2632" s="65" t="str">
        <f t="array" ref="J2632">XLOOKUP(H2632,'2. Matching'!$A$2:$A$39,'2. Matching'!$B$2:$B$39,"--")</f>
        <v>Partnerships</v>
      </c>
      <c r="K2632" s="65" t="str">
        <f t="shared" si="1"/>
        <v>In</v>
      </c>
    </row>
    <row r="2633">
      <c r="A2633" s="62" t="s">
        <v>2771</v>
      </c>
      <c r="B2633" s="63">
        <v>44236.0</v>
      </c>
      <c r="C2633" s="62" t="s">
        <v>119</v>
      </c>
      <c r="D2633" s="64">
        <v>42.5</v>
      </c>
      <c r="E2633" s="62" t="s">
        <v>109</v>
      </c>
      <c r="F2633" s="62" t="s">
        <v>115</v>
      </c>
      <c r="G2633" s="64" t="s">
        <v>64</v>
      </c>
      <c r="H2633" s="3" t="s">
        <v>145</v>
      </c>
      <c r="I2633" s="65">
        <f>IFERROR(VLOOKUP(A2633,'3. Call duration'!$A:$C,3,0),"--")</f>
        <v>22.29191425</v>
      </c>
      <c r="J2633" s="65" t="str">
        <f t="array" ref="J2633">XLOOKUP(H2633,'2. Matching'!$A$2:$A$39,'2. Matching'!$B$2:$B$39,"--")</f>
        <v>SEO</v>
      </c>
      <c r="K2633" s="65" t="str">
        <f t="shared" si="1"/>
        <v>In</v>
      </c>
    </row>
    <row r="2634">
      <c r="A2634" s="62" t="s">
        <v>2772</v>
      </c>
      <c r="B2634" s="63">
        <v>44244.0</v>
      </c>
      <c r="C2634" s="62" t="s">
        <v>119</v>
      </c>
      <c r="D2634" s="64">
        <v>42.5</v>
      </c>
      <c r="E2634" s="62" t="s">
        <v>109</v>
      </c>
      <c r="F2634" s="62" t="s">
        <v>110</v>
      </c>
      <c r="G2634" s="64" t="s">
        <v>64</v>
      </c>
      <c r="H2634" s="3" t="s">
        <v>175</v>
      </c>
      <c r="I2634" s="65">
        <f>IFERROR(VLOOKUP(A2634,'3. Call duration'!$A:$C,3,0),"--")</f>
        <v>21.38282459</v>
      </c>
      <c r="J2634" s="65" t="str">
        <f t="array" ref="J2634">XLOOKUP(H2634,'2. Matching'!$A$2:$A$39,'2. Matching'!$B$2:$B$39,"--")</f>
        <v>SEO</v>
      </c>
      <c r="K2634" s="65" t="str">
        <f t="shared" si="1"/>
        <v>In</v>
      </c>
    </row>
    <row r="2635">
      <c r="A2635" s="62" t="s">
        <v>2773</v>
      </c>
      <c r="B2635" s="63">
        <v>44175.0</v>
      </c>
      <c r="C2635" s="62" t="s">
        <v>119</v>
      </c>
      <c r="D2635" s="64">
        <v>42.5</v>
      </c>
      <c r="E2635" s="62" t="s">
        <v>109</v>
      </c>
      <c r="F2635" s="62" t="s">
        <v>115</v>
      </c>
      <c r="G2635" s="64" t="s">
        <v>64</v>
      </c>
      <c r="H2635" s="3" t="s">
        <v>150</v>
      </c>
      <c r="I2635" s="65">
        <f>IFERROR(VLOOKUP(A2635,'3. Call duration'!$A:$C,3,0),"--")</f>
        <v>31.75060105</v>
      </c>
      <c r="J2635" s="65" t="str">
        <f t="array" ref="J2635">XLOOKUP(H2635,'2. Matching'!$A$2:$A$39,'2. Matching'!$B$2:$B$39,"--")</f>
        <v>SEO</v>
      </c>
      <c r="K2635" s="65" t="str">
        <f t="shared" si="1"/>
        <v>In</v>
      </c>
    </row>
    <row r="2636">
      <c r="A2636" s="62" t="s">
        <v>2774</v>
      </c>
      <c r="B2636" s="63">
        <v>44229.0</v>
      </c>
      <c r="C2636" s="62" t="s">
        <v>119</v>
      </c>
      <c r="D2636" s="64">
        <v>42.5</v>
      </c>
      <c r="E2636" s="62" t="s">
        <v>109</v>
      </c>
      <c r="F2636" s="62" t="s">
        <v>115</v>
      </c>
      <c r="G2636" s="64" t="s">
        <v>64</v>
      </c>
      <c r="H2636" s="3" t="s">
        <v>155</v>
      </c>
      <c r="I2636" s="65">
        <f>IFERROR(VLOOKUP(A2636,'3. Call duration'!$A:$C,3,0),"--")</f>
        <v>29.51708664</v>
      </c>
      <c r="J2636" s="65" t="str">
        <f t="array" ref="J2636">XLOOKUP(H2636,'2. Matching'!$A$2:$A$39,'2. Matching'!$B$2:$B$39,"--")</f>
        <v>SEO</v>
      </c>
      <c r="K2636" s="65" t="str">
        <f t="shared" si="1"/>
        <v>In</v>
      </c>
    </row>
    <row r="2637">
      <c r="A2637" s="62" t="s">
        <v>2775</v>
      </c>
      <c r="B2637" s="63">
        <v>44123.0</v>
      </c>
      <c r="C2637" s="62" t="s">
        <v>119</v>
      </c>
      <c r="D2637" s="64">
        <v>42.5</v>
      </c>
      <c r="E2637" s="62" t="s">
        <v>109</v>
      </c>
      <c r="F2637" s="62" t="s">
        <v>115</v>
      </c>
      <c r="G2637" s="64" t="s">
        <v>64</v>
      </c>
      <c r="H2637" s="3" t="s">
        <v>150</v>
      </c>
      <c r="I2637" s="65">
        <f>IFERROR(VLOOKUP(A2637,'3. Call duration'!$A:$C,3,0),"--")</f>
        <v>29.25314678</v>
      </c>
      <c r="J2637" s="65" t="str">
        <f t="array" ref="J2637">XLOOKUP(H2637,'2. Matching'!$A$2:$A$39,'2. Matching'!$B$2:$B$39,"--")</f>
        <v>SEO</v>
      </c>
      <c r="K2637" s="65" t="str">
        <f t="shared" si="1"/>
        <v>In</v>
      </c>
    </row>
    <row r="2638">
      <c r="A2638" s="62" t="s">
        <v>2776</v>
      </c>
      <c r="B2638" s="63">
        <v>44228.0</v>
      </c>
      <c r="C2638" s="62" t="s">
        <v>119</v>
      </c>
      <c r="D2638" s="64">
        <v>42.5</v>
      </c>
      <c r="E2638" s="62" t="s">
        <v>109</v>
      </c>
      <c r="F2638" s="62" t="s">
        <v>115</v>
      </c>
      <c r="G2638" s="64" t="s">
        <v>64</v>
      </c>
      <c r="H2638" s="3" t="s">
        <v>145</v>
      </c>
      <c r="I2638" s="65">
        <f>IFERROR(VLOOKUP(A2638,'3. Call duration'!$A:$C,3,0),"--")</f>
        <v>23.3529953</v>
      </c>
      <c r="J2638" s="65" t="str">
        <f t="array" ref="J2638">XLOOKUP(H2638,'2. Matching'!$A$2:$A$39,'2. Matching'!$B$2:$B$39,"--")</f>
        <v>SEO</v>
      </c>
      <c r="K2638" s="65" t="str">
        <f t="shared" si="1"/>
        <v>In</v>
      </c>
    </row>
    <row r="2639">
      <c r="A2639" s="62" t="s">
        <v>2777</v>
      </c>
      <c r="B2639" s="63">
        <v>44207.0</v>
      </c>
      <c r="C2639" s="62" t="s">
        <v>119</v>
      </c>
      <c r="D2639" s="64">
        <v>42.5</v>
      </c>
      <c r="E2639" s="62" t="s">
        <v>109</v>
      </c>
      <c r="F2639" s="62" t="s">
        <v>115</v>
      </c>
      <c r="G2639" s="64" t="s">
        <v>64</v>
      </c>
      <c r="H2639" s="3" t="s">
        <v>150</v>
      </c>
      <c r="I2639" s="65">
        <f>IFERROR(VLOOKUP(A2639,'3. Call duration'!$A:$C,3,0),"--")</f>
        <v>10.98651995</v>
      </c>
      <c r="J2639" s="65" t="str">
        <f t="array" ref="J2639">XLOOKUP(H2639,'2. Matching'!$A$2:$A$39,'2. Matching'!$B$2:$B$39,"--")</f>
        <v>SEO</v>
      </c>
      <c r="K2639" s="65" t="str">
        <f t="shared" si="1"/>
        <v>In</v>
      </c>
    </row>
    <row r="2640">
      <c r="A2640" s="62" t="s">
        <v>2778</v>
      </c>
      <c r="B2640" s="63">
        <v>44096.0</v>
      </c>
      <c r="C2640" s="62" t="s">
        <v>119</v>
      </c>
      <c r="D2640" s="64">
        <v>42.5</v>
      </c>
      <c r="E2640" s="62" t="s">
        <v>109</v>
      </c>
      <c r="F2640" s="62" t="s">
        <v>115</v>
      </c>
      <c r="G2640" s="64" t="s">
        <v>64</v>
      </c>
      <c r="H2640" s="3" t="s">
        <v>139</v>
      </c>
      <c r="I2640" s="65">
        <f>IFERROR(VLOOKUP(A2640,'3. Call duration'!$A:$C,3,0),"--")</f>
        <v>26.45664324</v>
      </c>
      <c r="J2640" s="65" t="str">
        <f t="array" ref="J2640">XLOOKUP(H2640,'2. Matching'!$A$2:$A$39,'2. Matching'!$B$2:$B$39,"--")</f>
        <v>Acquisition</v>
      </c>
      <c r="K2640" s="65" t="str">
        <f t="shared" si="1"/>
        <v>In</v>
      </c>
    </row>
    <row r="2641">
      <c r="A2641" s="62" t="s">
        <v>2779</v>
      </c>
      <c r="B2641" s="63">
        <v>44081.0</v>
      </c>
      <c r="C2641" s="62" t="s">
        <v>119</v>
      </c>
      <c r="D2641" s="64">
        <v>42.5</v>
      </c>
      <c r="E2641" s="62" t="s">
        <v>109</v>
      </c>
      <c r="F2641" s="62" t="s">
        <v>110</v>
      </c>
      <c r="G2641" s="64" t="s">
        <v>64</v>
      </c>
      <c r="H2641" s="3" t="s">
        <v>139</v>
      </c>
      <c r="I2641" s="65">
        <f>IFERROR(VLOOKUP(A2641,'3. Call duration'!$A:$C,3,0),"--")</f>
        <v>39.67255159</v>
      </c>
      <c r="J2641" s="65" t="str">
        <f t="array" ref="J2641">XLOOKUP(H2641,'2. Matching'!$A$2:$A$39,'2. Matching'!$B$2:$B$39,"--")</f>
        <v>Acquisition</v>
      </c>
      <c r="K2641" s="65" t="str">
        <f t="shared" si="1"/>
        <v>In</v>
      </c>
    </row>
    <row r="2642">
      <c r="A2642" s="62" t="s">
        <v>2780</v>
      </c>
      <c r="B2642" s="63">
        <v>44242.0</v>
      </c>
      <c r="C2642" s="62" t="s">
        <v>119</v>
      </c>
      <c r="D2642" s="64">
        <v>42.5</v>
      </c>
      <c r="E2642" s="62" t="s">
        <v>109</v>
      </c>
      <c r="F2642" s="62" t="s">
        <v>115</v>
      </c>
      <c r="G2642" s="64" t="s">
        <v>64</v>
      </c>
      <c r="H2642" s="3" t="s">
        <v>139</v>
      </c>
      <c r="I2642" s="65">
        <f>IFERROR(VLOOKUP(A2642,'3. Call duration'!$A:$C,3,0),"--")</f>
        <v>22.02324841</v>
      </c>
      <c r="J2642" s="65" t="str">
        <f t="array" ref="J2642">XLOOKUP(H2642,'2. Matching'!$A$2:$A$39,'2. Matching'!$B$2:$B$39,"--")</f>
        <v>Acquisition</v>
      </c>
      <c r="K2642" s="65" t="str">
        <f t="shared" si="1"/>
        <v>In</v>
      </c>
    </row>
    <row r="2643">
      <c r="A2643" s="62" t="s">
        <v>2781</v>
      </c>
      <c r="B2643" s="63">
        <v>44162.0</v>
      </c>
      <c r="C2643" s="62" t="s">
        <v>119</v>
      </c>
      <c r="D2643" s="64">
        <v>42.5</v>
      </c>
      <c r="E2643" s="62" t="s">
        <v>109</v>
      </c>
      <c r="F2643" s="62" t="s">
        <v>110</v>
      </c>
      <c r="G2643" s="64" t="s">
        <v>62</v>
      </c>
      <c r="H2643" s="3" t="s">
        <v>203</v>
      </c>
      <c r="I2643" s="65">
        <f>IFERROR(VLOOKUP(A2643,'3. Call duration'!$A:$C,3,0),"--")</f>
        <v>30.42659008</v>
      </c>
      <c r="J2643" s="65" t="str">
        <f t="array" ref="J2643">XLOOKUP(H2643,'2. Matching'!$A$2:$A$39,'2. Matching'!$B$2:$B$39,"--")</f>
        <v>Farming</v>
      </c>
      <c r="K2643" s="65" t="str">
        <f t="shared" si="1"/>
        <v>In</v>
      </c>
    </row>
    <row r="2644">
      <c r="A2644" s="62" t="s">
        <v>2782</v>
      </c>
      <c r="B2644" s="63">
        <v>44170.0</v>
      </c>
      <c r="C2644" s="62" t="s">
        <v>119</v>
      </c>
      <c r="D2644" s="64">
        <v>42.5</v>
      </c>
      <c r="E2644" s="62" t="s">
        <v>109</v>
      </c>
      <c r="F2644" s="62" t="s">
        <v>110</v>
      </c>
      <c r="G2644" s="64" t="s">
        <v>64</v>
      </c>
      <c r="H2644" s="3" t="s">
        <v>139</v>
      </c>
      <c r="I2644" s="65">
        <f>IFERROR(VLOOKUP(A2644,'3. Call duration'!$A:$C,3,0),"--")</f>
        <v>33.37697023</v>
      </c>
      <c r="J2644" s="65" t="str">
        <f t="array" ref="J2644">XLOOKUP(H2644,'2. Matching'!$A$2:$A$39,'2. Matching'!$B$2:$B$39,"--")</f>
        <v>Acquisition</v>
      </c>
      <c r="K2644" s="65" t="str">
        <f t="shared" si="1"/>
        <v>In</v>
      </c>
    </row>
    <row r="2645">
      <c r="A2645" s="62" t="s">
        <v>2783</v>
      </c>
      <c r="B2645" s="63">
        <v>44235.0</v>
      </c>
      <c r="C2645" s="62" t="s">
        <v>119</v>
      </c>
      <c r="D2645" s="64">
        <v>42.5</v>
      </c>
      <c r="E2645" s="62" t="s">
        <v>109</v>
      </c>
      <c r="F2645" s="62" t="s">
        <v>115</v>
      </c>
      <c r="G2645" s="64" t="s">
        <v>64</v>
      </c>
      <c r="H2645" s="3" t="s">
        <v>150</v>
      </c>
      <c r="I2645" s="65">
        <f>IFERROR(VLOOKUP(A2645,'3. Call duration'!$A:$C,3,0),"--")</f>
        <v>33.43716432</v>
      </c>
      <c r="J2645" s="65" t="str">
        <f t="array" ref="J2645">XLOOKUP(H2645,'2. Matching'!$A$2:$A$39,'2. Matching'!$B$2:$B$39,"--")</f>
        <v>SEO</v>
      </c>
      <c r="K2645" s="65" t="str">
        <f t="shared" si="1"/>
        <v>In</v>
      </c>
    </row>
    <row r="2646">
      <c r="A2646" s="62" t="s">
        <v>2784</v>
      </c>
      <c r="B2646" s="63">
        <v>44142.0</v>
      </c>
      <c r="C2646" s="62" t="s">
        <v>119</v>
      </c>
      <c r="D2646" s="64">
        <v>42.5</v>
      </c>
      <c r="E2646" s="62" t="s">
        <v>109</v>
      </c>
      <c r="F2646" s="62" t="s">
        <v>110</v>
      </c>
      <c r="G2646" s="64" t="s">
        <v>64</v>
      </c>
      <c r="H2646" s="3" t="s">
        <v>139</v>
      </c>
      <c r="I2646" s="65">
        <f>IFERROR(VLOOKUP(A2646,'3. Call duration'!$A:$C,3,0),"--")</f>
        <v>23.23855834</v>
      </c>
      <c r="J2646" s="65" t="str">
        <f t="array" ref="J2646">XLOOKUP(H2646,'2. Matching'!$A$2:$A$39,'2. Matching'!$B$2:$B$39,"--")</f>
        <v>Acquisition</v>
      </c>
      <c r="K2646" s="65" t="str">
        <f t="shared" si="1"/>
        <v>In</v>
      </c>
    </row>
    <row r="2647">
      <c r="A2647" s="62" t="s">
        <v>2785</v>
      </c>
      <c r="B2647" s="63">
        <v>44228.0</v>
      </c>
      <c r="C2647" s="62" t="s">
        <v>119</v>
      </c>
      <c r="D2647" s="64">
        <v>42.5</v>
      </c>
      <c r="E2647" s="62" t="s">
        <v>109</v>
      </c>
      <c r="F2647" s="62" t="s">
        <v>115</v>
      </c>
      <c r="G2647" s="64" t="s">
        <v>64</v>
      </c>
      <c r="H2647" s="3" t="s">
        <v>175</v>
      </c>
      <c r="I2647" s="65">
        <f>IFERROR(VLOOKUP(A2647,'3. Call duration'!$A:$C,3,0),"--")</f>
        <v>28.42443235</v>
      </c>
      <c r="J2647" s="65" t="str">
        <f t="array" ref="J2647">XLOOKUP(H2647,'2. Matching'!$A$2:$A$39,'2. Matching'!$B$2:$B$39,"--")</f>
        <v>SEO</v>
      </c>
      <c r="K2647" s="65" t="str">
        <f t="shared" si="1"/>
        <v>In</v>
      </c>
    </row>
    <row r="2648">
      <c r="A2648" s="62" t="s">
        <v>2786</v>
      </c>
      <c r="B2648" s="63">
        <v>44176.0</v>
      </c>
      <c r="C2648" s="62" t="s">
        <v>119</v>
      </c>
      <c r="D2648" s="64">
        <v>42.5</v>
      </c>
      <c r="E2648" s="62" t="s">
        <v>109</v>
      </c>
      <c r="F2648" s="62" t="s">
        <v>115</v>
      </c>
      <c r="G2648" s="64" t="s">
        <v>64</v>
      </c>
      <c r="H2648" s="3" t="s">
        <v>175</v>
      </c>
      <c r="I2648" s="65">
        <f>IFERROR(VLOOKUP(A2648,'3. Call duration'!$A:$C,3,0),"--")</f>
        <v>21.99003657</v>
      </c>
      <c r="J2648" s="65" t="str">
        <f t="array" ref="J2648">XLOOKUP(H2648,'2. Matching'!$A$2:$A$39,'2. Matching'!$B$2:$B$39,"--")</f>
        <v>SEO</v>
      </c>
      <c r="K2648" s="65" t="str">
        <f t="shared" si="1"/>
        <v>In</v>
      </c>
    </row>
    <row r="2649">
      <c r="A2649" s="62" t="s">
        <v>2787</v>
      </c>
      <c r="B2649" s="63">
        <v>44080.0</v>
      </c>
      <c r="C2649" s="62" t="s">
        <v>119</v>
      </c>
      <c r="D2649" s="64">
        <v>42.5</v>
      </c>
      <c r="E2649" s="62" t="s">
        <v>109</v>
      </c>
      <c r="F2649" s="62" t="s">
        <v>110</v>
      </c>
      <c r="G2649" s="64" t="s">
        <v>64</v>
      </c>
      <c r="H2649" s="3" t="s">
        <v>139</v>
      </c>
      <c r="I2649" s="65">
        <f>IFERROR(VLOOKUP(A2649,'3. Call duration'!$A:$C,3,0),"--")</f>
        <v>23.22588375</v>
      </c>
      <c r="J2649" s="65" t="str">
        <f t="array" ref="J2649">XLOOKUP(H2649,'2. Matching'!$A$2:$A$39,'2. Matching'!$B$2:$B$39,"--")</f>
        <v>Acquisition</v>
      </c>
      <c r="K2649" s="65" t="str">
        <f t="shared" si="1"/>
        <v>In</v>
      </c>
    </row>
    <row r="2650">
      <c r="A2650" s="62" t="s">
        <v>2788</v>
      </c>
      <c r="B2650" s="63">
        <v>44104.0</v>
      </c>
      <c r="C2650" s="62" t="s">
        <v>119</v>
      </c>
      <c r="D2650" s="64">
        <v>42.5</v>
      </c>
      <c r="E2650" s="62" t="s">
        <v>109</v>
      </c>
      <c r="F2650" s="62" t="s">
        <v>115</v>
      </c>
      <c r="G2650" s="64" t="s">
        <v>64</v>
      </c>
      <c r="H2650" s="3" t="s">
        <v>139</v>
      </c>
      <c r="I2650" s="65">
        <f>IFERROR(VLOOKUP(A2650,'3. Call duration'!$A:$C,3,0),"--")</f>
        <v>29.24241587</v>
      </c>
      <c r="J2650" s="65" t="str">
        <f t="array" ref="J2650">XLOOKUP(H2650,'2. Matching'!$A$2:$A$39,'2. Matching'!$B$2:$B$39,"--")</f>
        <v>Acquisition</v>
      </c>
      <c r="K2650" s="65" t="str">
        <f t="shared" si="1"/>
        <v>In</v>
      </c>
    </row>
    <row r="2651">
      <c r="A2651" s="62" t="s">
        <v>2789</v>
      </c>
      <c r="B2651" s="63">
        <v>44233.0</v>
      </c>
      <c r="C2651" s="62" t="s">
        <v>119</v>
      </c>
      <c r="D2651" s="64">
        <v>42.5</v>
      </c>
      <c r="E2651" s="62" t="s">
        <v>109</v>
      </c>
      <c r="F2651" s="62" t="s">
        <v>115</v>
      </c>
      <c r="G2651" s="64" t="s">
        <v>64</v>
      </c>
      <c r="H2651" s="3" t="s">
        <v>164</v>
      </c>
      <c r="I2651" s="65">
        <f>IFERROR(VLOOKUP(A2651,'3. Call duration'!$A:$C,3,0),"--")</f>
        <v>29.66192175</v>
      </c>
      <c r="J2651" s="65" t="str">
        <f t="array" ref="J2651">XLOOKUP(H2651,'2. Matching'!$A$2:$A$39,'2. Matching'!$B$2:$B$39,"--")</f>
        <v>SEO</v>
      </c>
      <c r="K2651" s="65" t="str">
        <f t="shared" si="1"/>
        <v>In</v>
      </c>
    </row>
    <row r="2652">
      <c r="A2652" s="62" t="s">
        <v>2790</v>
      </c>
      <c r="B2652" s="63">
        <v>44221.0</v>
      </c>
      <c r="C2652" s="62" t="s">
        <v>119</v>
      </c>
      <c r="D2652" s="64">
        <v>42.5</v>
      </c>
      <c r="E2652" s="62" t="s">
        <v>109</v>
      </c>
      <c r="F2652" s="62" t="s">
        <v>115</v>
      </c>
      <c r="G2652" s="64" t="s">
        <v>64</v>
      </c>
      <c r="H2652" s="3" t="s">
        <v>169</v>
      </c>
      <c r="I2652" s="65">
        <f>IFERROR(VLOOKUP(A2652,'3. Call duration'!$A:$C,3,0),"--")</f>
        <v>26.77070375</v>
      </c>
      <c r="J2652" s="65" t="str">
        <f t="array" ref="J2652">XLOOKUP(H2652,'2. Matching'!$A$2:$A$39,'2. Matching'!$B$2:$B$39,"--")</f>
        <v>SEO</v>
      </c>
      <c r="K2652" s="65" t="str">
        <f t="shared" si="1"/>
        <v>In</v>
      </c>
    </row>
    <row r="2653">
      <c r="A2653" s="62" t="s">
        <v>2791</v>
      </c>
      <c r="B2653" s="63">
        <v>44223.0</v>
      </c>
      <c r="C2653" s="62" t="s">
        <v>119</v>
      </c>
      <c r="D2653" s="64">
        <v>42.5</v>
      </c>
      <c r="E2653" s="62" t="s">
        <v>109</v>
      </c>
      <c r="F2653" s="62" t="s">
        <v>110</v>
      </c>
      <c r="G2653" s="64" t="s">
        <v>64</v>
      </c>
      <c r="H2653" s="3" t="s">
        <v>139</v>
      </c>
      <c r="I2653" s="65">
        <f>IFERROR(VLOOKUP(A2653,'3. Call duration'!$A:$C,3,0),"--")</f>
        <v>32.75139255</v>
      </c>
      <c r="J2653" s="65" t="str">
        <f t="array" ref="J2653">XLOOKUP(H2653,'2. Matching'!$A$2:$A$39,'2. Matching'!$B$2:$B$39,"--")</f>
        <v>Acquisition</v>
      </c>
      <c r="K2653" s="65" t="str">
        <f t="shared" si="1"/>
        <v>In</v>
      </c>
    </row>
    <row r="2654">
      <c r="A2654" s="62" t="s">
        <v>2792</v>
      </c>
      <c r="B2654" s="63">
        <v>44209.0</v>
      </c>
      <c r="C2654" s="62" t="s">
        <v>119</v>
      </c>
      <c r="D2654" s="64">
        <v>42.5</v>
      </c>
      <c r="E2654" s="62" t="s">
        <v>109</v>
      </c>
      <c r="F2654" s="62" t="s">
        <v>110</v>
      </c>
      <c r="G2654" s="64" t="s">
        <v>62</v>
      </c>
      <c r="H2654" s="3" t="s">
        <v>294</v>
      </c>
      <c r="I2654" s="65">
        <f>IFERROR(VLOOKUP(A2654,'3. Call duration'!$A:$C,3,0),"--")</f>
        <v>36.80480769</v>
      </c>
      <c r="J2654" s="65" t="str">
        <f t="array" ref="J2654">XLOOKUP(H2654,'2. Matching'!$A$2:$A$39,'2. Matching'!$B$2:$B$39,"--")</f>
        <v>Farming</v>
      </c>
      <c r="K2654" s="65" t="str">
        <f t="shared" si="1"/>
        <v>In</v>
      </c>
    </row>
    <row r="2655">
      <c r="A2655" s="62" t="s">
        <v>2793</v>
      </c>
      <c r="B2655" s="63">
        <v>44232.0</v>
      </c>
      <c r="C2655" s="62" t="s">
        <v>119</v>
      </c>
      <c r="D2655" s="64">
        <v>42.5</v>
      </c>
      <c r="E2655" s="62" t="s">
        <v>109</v>
      </c>
      <c r="F2655" s="62" t="s">
        <v>115</v>
      </c>
      <c r="G2655" s="64" t="s">
        <v>64</v>
      </c>
      <c r="H2655" s="3" t="s">
        <v>169</v>
      </c>
      <c r="I2655" s="65">
        <f>IFERROR(VLOOKUP(A2655,'3. Call duration'!$A:$C,3,0),"--")</f>
        <v>46.05528084</v>
      </c>
      <c r="J2655" s="65" t="str">
        <f t="array" ref="J2655">XLOOKUP(H2655,'2. Matching'!$A$2:$A$39,'2. Matching'!$B$2:$B$39,"--")</f>
        <v>SEO</v>
      </c>
      <c r="K2655" s="65" t="str">
        <f t="shared" si="1"/>
        <v>In</v>
      </c>
    </row>
    <row r="2656">
      <c r="A2656" s="62" t="s">
        <v>2794</v>
      </c>
      <c r="B2656" s="63">
        <v>44214.0</v>
      </c>
      <c r="C2656" s="62" t="s">
        <v>119</v>
      </c>
      <c r="D2656" s="64">
        <v>42.5</v>
      </c>
      <c r="E2656" s="62" t="s">
        <v>109</v>
      </c>
      <c r="F2656" s="62" t="s">
        <v>115</v>
      </c>
      <c r="G2656" s="64" t="s">
        <v>64</v>
      </c>
      <c r="H2656" s="3" t="s">
        <v>139</v>
      </c>
      <c r="I2656" s="65">
        <f>IFERROR(VLOOKUP(A2656,'3. Call duration'!$A:$C,3,0),"--")</f>
        <v>30.60852977</v>
      </c>
      <c r="J2656" s="65" t="str">
        <f t="array" ref="J2656">XLOOKUP(H2656,'2. Matching'!$A$2:$A$39,'2. Matching'!$B$2:$B$39,"--")</f>
        <v>Acquisition</v>
      </c>
      <c r="K2656" s="65" t="str">
        <f t="shared" si="1"/>
        <v>In</v>
      </c>
    </row>
    <row r="2657">
      <c r="A2657" s="62" t="s">
        <v>2795</v>
      </c>
      <c r="B2657" s="63">
        <v>44211.0</v>
      </c>
      <c r="C2657" s="62" t="s">
        <v>119</v>
      </c>
      <c r="D2657" s="64">
        <v>42.5</v>
      </c>
      <c r="E2657" s="62" t="s">
        <v>109</v>
      </c>
      <c r="F2657" s="62" t="s">
        <v>115</v>
      </c>
      <c r="G2657" s="64" t="s">
        <v>64</v>
      </c>
      <c r="H2657" s="3" t="s">
        <v>155</v>
      </c>
      <c r="I2657" s="65">
        <f>IFERROR(VLOOKUP(A2657,'3. Call duration'!$A:$C,3,0),"--")</f>
        <v>26.57172338</v>
      </c>
      <c r="J2657" s="65" t="str">
        <f t="array" ref="J2657">XLOOKUP(H2657,'2. Matching'!$A$2:$A$39,'2. Matching'!$B$2:$B$39,"--")</f>
        <v>SEO</v>
      </c>
      <c r="K2657" s="65" t="str">
        <f t="shared" si="1"/>
        <v>In</v>
      </c>
    </row>
    <row r="2658">
      <c r="A2658" s="62" t="s">
        <v>2796</v>
      </c>
      <c r="B2658" s="63">
        <v>44109.0</v>
      </c>
      <c r="C2658" s="62" t="s">
        <v>119</v>
      </c>
      <c r="D2658" s="64">
        <v>42.5</v>
      </c>
      <c r="E2658" s="62" t="s">
        <v>109</v>
      </c>
      <c r="F2658" s="62" t="s">
        <v>110</v>
      </c>
      <c r="G2658" s="64" t="s">
        <v>64</v>
      </c>
      <c r="H2658" s="3" t="s">
        <v>49</v>
      </c>
      <c r="I2658" s="65">
        <f>IFERROR(VLOOKUP(A2658,'3. Call duration'!$A:$C,3,0),"--")</f>
        <v>18.5435172</v>
      </c>
      <c r="J2658" s="65" t="str">
        <f t="array" ref="J2658">XLOOKUP(H2658,'2. Matching'!$A$2:$A$39,'2. Matching'!$B$2:$B$39,"--")</f>
        <v>Partnerships</v>
      </c>
      <c r="K2658" s="65" t="str">
        <f t="shared" si="1"/>
        <v>In</v>
      </c>
    </row>
    <row r="2659">
      <c r="A2659" s="62" t="s">
        <v>2797</v>
      </c>
      <c r="B2659" s="63">
        <v>44082.0</v>
      </c>
      <c r="C2659" s="62" t="s">
        <v>119</v>
      </c>
      <c r="D2659" s="64">
        <v>42.5</v>
      </c>
      <c r="E2659" s="62" t="s">
        <v>109</v>
      </c>
      <c r="F2659" s="62" t="s">
        <v>115</v>
      </c>
      <c r="G2659" s="64" t="s">
        <v>64</v>
      </c>
      <c r="H2659" s="3" t="s">
        <v>150</v>
      </c>
      <c r="I2659" s="65">
        <f>IFERROR(VLOOKUP(A2659,'3. Call duration'!$A:$C,3,0),"--")</f>
        <v>28.12468569</v>
      </c>
      <c r="J2659" s="65" t="str">
        <f t="array" ref="J2659">XLOOKUP(H2659,'2. Matching'!$A$2:$A$39,'2. Matching'!$B$2:$B$39,"--")</f>
        <v>SEO</v>
      </c>
      <c r="K2659" s="65" t="str">
        <f t="shared" si="1"/>
        <v>In</v>
      </c>
    </row>
    <row r="2660">
      <c r="A2660" s="62" t="s">
        <v>2798</v>
      </c>
      <c r="B2660" s="63">
        <v>44218.0</v>
      </c>
      <c r="C2660" s="62" t="s">
        <v>119</v>
      </c>
      <c r="D2660" s="64">
        <v>42.5</v>
      </c>
      <c r="E2660" s="62" t="s">
        <v>109</v>
      </c>
      <c r="F2660" s="62" t="s">
        <v>115</v>
      </c>
      <c r="G2660" s="64" t="s">
        <v>64</v>
      </c>
      <c r="H2660" s="3" t="s">
        <v>164</v>
      </c>
      <c r="I2660" s="65">
        <f>IFERROR(VLOOKUP(A2660,'3. Call duration'!$A:$C,3,0),"--")</f>
        <v>31.13232359</v>
      </c>
      <c r="J2660" s="65" t="str">
        <f t="array" ref="J2660">XLOOKUP(H2660,'2. Matching'!$A$2:$A$39,'2. Matching'!$B$2:$B$39,"--")</f>
        <v>SEO</v>
      </c>
      <c r="K2660" s="65" t="str">
        <f t="shared" si="1"/>
        <v>In</v>
      </c>
    </row>
    <row r="2661">
      <c r="A2661" s="62" t="s">
        <v>2799</v>
      </c>
      <c r="B2661" s="63">
        <v>44236.0</v>
      </c>
      <c r="C2661" s="62" t="s">
        <v>119</v>
      </c>
      <c r="D2661" s="64">
        <v>42.5</v>
      </c>
      <c r="E2661" s="62" t="s">
        <v>109</v>
      </c>
      <c r="F2661" s="62" t="s">
        <v>115</v>
      </c>
      <c r="G2661" s="64" t="s">
        <v>64</v>
      </c>
      <c r="H2661" s="3" t="s">
        <v>131</v>
      </c>
      <c r="I2661" s="65">
        <f>IFERROR(VLOOKUP(A2661,'3. Call duration'!$A:$C,3,0),"--")</f>
        <v>31.6871064</v>
      </c>
      <c r="J2661" s="65" t="str">
        <f t="array" ref="J2661">XLOOKUP(H2661,'2. Matching'!$A$2:$A$39,'2. Matching'!$B$2:$B$39,"--")</f>
        <v>Acquisition</v>
      </c>
      <c r="K2661" s="65" t="str">
        <f t="shared" si="1"/>
        <v>In</v>
      </c>
    </row>
    <row r="2662">
      <c r="A2662" s="62" t="s">
        <v>2800</v>
      </c>
      <c r="B2662" s="63">
        <v>44200.0</v>
      </c>
      <c r="C2662" s="62" t="s">
        <v>119</v>
      </c>
      <c r="D2662" s="64">
        <v>42.5</v>
      </c>
      <c r="E2662" s="62" t="s">
        <v>109</v>
      </c>
      <c r="F2662" s="62" t="s">
        <v>115</v>
      </c>
      <c r="G2662" s="64" t="s">
        <v>64</v>
      </c>
      <c r="H2662" s="3" t="s">
        <v>164</v>
      </c>
      <c r="I2662" s="65">
        <f>IFERROR(VLOOKUP(A2662,'3. Call duration'!$A:$C,3,0),"--")</f>
        <v>32.66891111</v>
      </c>
      <c r="J2662" s="65" t="str">
        <f t="array" ref="J2662">XLOOKUP(H2662,'2. Matching'!$A$2:$A$39,'2. Matching'!$B$2:$B$39,"--")</f>
        <v>SEO</v>
      </c>
      <c r="K2662" s="65" t="str">
        <f t="shared" si="1"/>
        <v>In</v>
      </c>
    </row>
    <row r="2663">
      <c r="A2663" s="62" t="s">
        <v>2801</v>
      </c>
      <c r="B2663" s="63">
        <v>44154.0</v>
      </c>
      <c r="C2663" s="62" t="s">
        <v>119</v>
      </c>
      <c r="D2663" s="64">
        <v>42.5</v>
      </c>
      <c r="E2663" s="62" t="s">
        <v>109</v>
      </c>
      <c r="F2663" s="62" t="s">
        <v>115</v>
      </c>
      <c r="G2663" s="64" t="s">
        <v>64</v>
      </c>
      <c r="H2663" s="3" t="s">
        <v>164</v>
      </c>
      <c r="I2663" s="65" t="str">
        <f>IFERROR(VLOOKUP(A2663,'3. Call duration'!$A:$C,3,0),"--")</f>
        <v>--</v>
      </c>
      <c r="J2663" s="65" t="str">
        <f t="array" ref="J2663">XLOOKUP(H2663,'2. Matching'!$A$2:$A$39,'2. Matching'!$B$2:$B$39,"--")</f>
        <v>SEO</v>
      </c>
      <c r="K2663" s="65" t="str">
        <f t="shared" si="1"/>
        <v>In</v>
      </c>
    </row>
    <row r="2664">
      <c r="A2664" s="62" t="s">
        <v>2802</v>
      </c>
      <c r="B2664" s="63">
        <v>44214.0</v>
      </c>
      <c r="C2664" s="62" t="s">
        <v>119</v>
      </c>
      <c r="D2664" s="64">
        <v>42.5</v>
      </c>
      <c r="E2664" s="62" t="s">
        <v>109</v>
      </c>
      <c r="F2664" s="62" t="s">
        <v>110</v>
      </c>
      <c r="G2664" s="64" t="s">
        <v>64</v>
      </c>
      <c r="H2664" s="3" t="s">
        <v>164</v>
      </c>
      <c r="I2664" s="65">
        <f>IFERROR(VLOOKUP(A2664,'3. Call duration'!$A:$C,3,0),"--")</f>
        <v>35.34087604</v>
      </c>
      <c r="J2664" s="65" t="str">
        <f t="array" ref="J2664">XLOOKUP(H2664,'2. Matching'!$A$2:$A$39,'2. Matching'!$B$2:$B$39,"--")</f>
        <v>SEO</v>
      </c>
      <c r="K2664" s="65" t="str">
        <f t="shared" si="1"/>
        <v>In</v>
      </c>
    </row>
    <row r="2665">
      <c r="A2665" s="62" t="s">
        <v>2803</v>
      </c>
      <c r="B2665" s="63">
        <v>44211.0</v>
      </c>
      <c r="C2665" s="62" t="s">
        <v>119</v>
      </c>
      <c r="D2665" s="64">
        <v>42.5</v>
      </c>
      <c r="E2665" s="62" t="s">
        <v>109</v>
      </c>
      <c r="F2665" s="62" t="s">
        <v>115</v>
      </c>
      <c r="G2665" s="64" t="s">
        <v>64</v>
      </c>
      <c r="H2665" s="3" t="s">
        <v>164</v>
      </c>
      <c r="I2665" s="65">
        <f>IFERROR(VLOOKUP(A2665,'3. Call duration'!$A:$C,3,0),"--")</f>
        <v>26.9486404</v>
      </c>
      <c r="J2665" s="65" t="str">
        <f t="array" ref="J2665">XLOOKUP(H2665,'2. Matching'!$A$2:$A$39,'2. Matching'!$B$2:$B$39,"--")</f>
        <v>SEO</v>
      </c>
      <c r="K2665" s="65" t="str">
        <f t="shared" si="1"/>
        <v>In</v>
      </c>
    </row>
    <row r="2666">
      <c r="A2666" s="62" t="s">
        <v>2804</v>
      </c>
      <c r="B2666" s="63">
        <v>44232.0</v>
      </c>
      <c r="C2666" s="62" t="s">
        <v>119</v>
      </c>
      <c r="D2666" s="64">
        <v>42.5</v>
      </c>
      <c r="E2666" s="62" t="s">
        <v>109</v>
      </c>
      <c r="F2666" s="62" t="s">
        <v>110</v>
      </c>
      <c r="G2666" s="64" t="s">
        <v>64</v>
      </c>
      <c r="H2666" s="3" t="s">
        <v>169</v>
      </c>
      <c r="I2666" s="65">
        <f>IFERROR(VLOOKUP(A2666,'3. Call duration'!$A:$C,3,0),"--")</f>
        <v>29.16295955</v>
      </c>
      <c r="J2666" s="65" t="str">
        <f t="array" ref="J2666">XLOOKUP(H2666,'2. Matching'!$A$2:$A$39,'2. Matching'!$B$2:$B$39,"--")</f>
        <v>SEO</v>
      </c>
      <c r="K2666" s="65" t="str">
        <f t="shared" si="1"/>
        <v>In</v>
      </c>
    </row>
    <row r="2667">
      <c r="A2667" s="62" t="s">
        <v>2805</v>
      </c>
      <c r="B2667" s="63">
        <v>44175.0</v>
      </c>
      <c r="C2667" s="62" t="s">
        <v>119</v>
      </c>
      <c r="D2667" s="64">
        <v>42.5</v>
      </c>
      <c r="E2667" s="62" t="s">
        <v>109</v>
      </c>
      <c r="F2667" s="62" t="s">
        <v>115</v>
      </c>
      <c r="G2667" s="64" t="s">
        <v>64</v>
      </c>
      <c r="H2667" s="3" t="s">
        <v>235</v>
      </c>
      <c r="I2667" s="65">
        <f>IFERROR(VLOOKUP(A2667,'3. Call duration'!$A:$C,3,0),"--")</f>
        <v>30.47290436</v>
      </c>
      <c r="J2667" s="65" t="str">
        <f t="array" ref="J2667">XLOOKUP(H2667,'2. Matching'!$A$2:$A$39,'2. Matching'!$B$2:$B$39,"--")</f>
        <v>Farming</v>
      </c>
      <c r="K2667" s="65" t="str">
        <f t="shared" si="1"/>
        <v>In</v>
      </c>
    </row>
    <row r="2668">
      <c r="A2668" s="62" t="s">
        <v>2806</v>
      </c>
      <c r="B2668" s="63">
        <v>44218.0</v>
      </c>
      <c r="C2668" s="62" t="s">
        <v>119</v>
      </c>
      <c r="D2668" s="64">
        <v>42.5</v>
      </c>
      <c r="E2668" s="62" t="s">
        <v>109</v>
      </c>
      <c r="F2668" s="62" t="s">
        <v>115</v>
      </c>
      <c r="G2668" s="64" t="s">
        <v>64</v>
      </c>
      <c r="H2668" s="3" t="s">
        <v>175</v>
      </c>
      <c r="I2668" s="65">
        <f>IFERROR(VLOOKUP(A2668,'3. Call duration'!$A:$C,3,0),"--")</f>
        <v>28.97000888</v>
      </c>
      <c r="J2668" s="65" t="str">
        <f t="array" ref="J2668">XLOOKUP(H2668,'2. Matching'!$A$2:$A$39,'2. Matching'!$B$2:$B$39,"--")</f>
        <v>SEO</v>
      </c>
      <c r="K2668" s="65" t="str">
        <f t="shared" si="1"/>
        <v>In</v>
      </c>
    </row>
    <row r="2669">
      <c r="A2669" s="62" t="s">
        <v>2807</v>
      </c>
      <c r="B2669" s="63">
        <v>44174.0</v>
      </c>
      <c r="C2669" s="62" t="s">
        <v>119</v>
      </c>
      <c r="D2669" s="64">
        <v>42.5</v>
      </c>
      <c r="E2669" s="62" t="s">
        <v>109</v>
      </c>
      <c r="F2669" s="62" t="s">
        <v>110</v>
      </c>
      <c r="G2669" s="64" t="s">
        <v>64</v>
      </c>
      <c r="H2669" s="3" t="s">
        <v>150</v>
      </c>
      <c r="I2669" s="65">
        <f>IFERROR(VLOOKUP(A2669,'3. Call duration'!$A:$C,3,0),"--")</f>
        <v>25.48225889</v>
      </c>
      <c r="J2669" s="65" t="str">
        <f t="array" ref="J2669">XLOOKUP(H2669,'2. Matching'!$A$2:$A$39,'2. Matching'!$B$2:$B$39,"--")</f>
        <v>SEO</v>
      </c>
      <c r="K2669" s="65" t="str">
        <f t="shared" si="1"/>
        <v>In</v>
      </c>
    </row>
    <row r="2670">
      <c r="A2670" s="62" t="s">
        <v>2808</v>
      </c>
      <c r="B2670" s="63">
        <v>44244.0</v>
      </c>
      <c r="C2670" s="62" t="s">
        <v>119</v>
      </c>
      <c r="D2670" s="64">
        <v>42.5</v>
      </c>
      <c r="E2670" s="62" t="s">
        <v>109</v>
      </c>
      <c r="F2670" s="62" t="s">
        <v>115</v>
      </c>
      <c r="G2670" s="64" t="s">
        <v>64</v>
      </c>
      <c r="H2670" s="3" t="s">
        <v>155</v>
      </c>
      <c r="I2670" s="65">
        <f>IFERROR(VLOOKUP(A2670,'3. Call duration'!$A:$C,3,0),"--")</f>
        <v>33.18083335</v>
      </c>
      <c r="J2670" s="65" t="str">
        <f t="array" ref="J2670">XLOOKUP(H2670,'2. Matching'!$A$2:$A$39,'2. Matching'!$B$2:$B$39,"--")</f>
        <v>SEO</v>
      </c>
      <c r="K2670" s="65" t="str">
        <f t="shared" si="1"/>
        <v>In</v>
      </c>
    </row>
    <row r="2671">
      <c r="A2671" s="62" t="s">
        <v>2809</v>
      </c>
      <c r="B2671" s="63">
        <v>44168.0</v>
      </c>
      <c r="C2671" s="62" t="s">
        <v>119</v>
      </c>
      <c r="D2671" s="64">
        <v>42.5</v>
      </c>
      <c r="E2671" s="62" t="s">
        <v>109</v>
      </c>
      <c r="F2671" s="62" t="s">
        <v>115</v>
      </c>
      <c r="G2671" s="64" t="s">
        <v>64</v>
      </c>
      <c r="H2671" s="3" t="s">
        <v>164</v>
      </c>
      <c r="I2671" s="65">
        <f>IFERROR(VLOOKUP(A2671,'3. Call duration'!$A:$C,3,0),"--")</f>
        <v>14.84985245</v>
      </c>
      <c r="J2671" s="65" t="str">
        <f t="array" ref="J2671">XLOOKUP(H2671,'2. Matching'!$A$2:$A$39,'2. Matching'!$B$2:$B$39,"--")</f>
        <v>SEO</v>
      </c>
      <c r="K2671" s="65" t="str">
        <f t="shared" si="1"/>
        <v>In</v>
      </c>
    </row>
    <row r="2672">
      <c r="A2672" s="62" t="s">
        <v>2810</v>
      </c>
      <c r="B2672" s="63">
        <v>44174.0</v>
      </c>
      <c r="C2672" s="62" t="s">
        <v>119</v>
      </c>
      <c r="D2672" s="64">
        <v>42.5</v>
      </c>
      <c r="E2672" s="62" t="s">
        <v>109</v>
      </c>
      <c r="F2672" s="62" t="s">
        <v>115</v>
      </c>
      <c r="G2672" s="64" t="s">
        <v>64</v>
      </c>
      <c r="H2672" s="3" t="s">
        <v>164</v>
      </c>
      <c r="I2672" s="65">
        <f>IFERROR(VLOOKUP(A2672,'3. Call duration'!$A:$C,3,0),"--")</f>
        <v>41.00581743</v>
      </c>
      <c r="J2672" s="65" t="str">
        <f t="array" ref="J2672">XLOOKUP(H2672,'2. Matching'!$A$2:$A$39,'2. Matching'!$B$2:$B$39,"--")</f>
        <v>SEO</v>
      </c>
      <c r="K2672" s="65" t="str">
        <f t="shared" si="1"/>
        <v>In</v>
      </c>
    </row>
    <row r="2673">
      <c r="A2673" s="62" t="s">
        <v>2811</v>
      </c>
      <c r="B2673" s="63">
        <v>44141.0</v>
      </c>
      <c r="C2673" s="62" t="s">
        <v>119</v>
      </c>
      <c r="D2673" s="64">
        <v>42.5</v>
      </c>
      <c r="E2673" s="62" t="s">
        <v>109</v>
      </c>
      <c r="F2673" s="62" t="s">
        <v>115</v>
      </c>
      <c r="G2673" s="64" t="s">
        <v>64</v>
      </c>
      <c r="H2673" s="3" t="s">
        <v>185</v>
      </c>
      <c r="I2673" s="65">
        <f>IFERROR(VLOOKUP(A2673,'3. Call duration'!$A:$C,3,0),"--")</f>
        <v>24.16380419</v>
      </c>
      <c r="J2673" s="65" t="str">
        <f t="array" ref="J2673">XLOOKUP(H2673,'2. Matching'!$A$2:$A$39,'2. Matching'!$B$2:$B$39,"--")</f>
        <v>SEO</v>
      </c>
      <c r="K2673" s="65" t="str">
        <f t="shared" si="1"/>
        <v>In</v>
      </c>
    </row>
    <row r="2674">
      <c r="A2674" s="62" t="s">
        <v>2812</v>
      </c>
      <c r="B2674" s="63">
        <v>44235.0</v>
      </c>
      <c r="C2674" s="62" t="s">
        <v>119</v>
      </c>
      <c r="D2674" s="64">
        <v>42.5</v>
      </c>
      <c r="E2674" s="62" t="s">
        <v>109</v>
      </c>
      <c r="F2674" s="62" t="s">
        <v>110</v>
      </c>
      <c r="G2674" s="64" t="s">
        <v>64</v>
      </c>
      <c r="H2674" s="3" t="s">
        <v>139</v>
      </c>
      <c r="I2674" s="65">
        <f>IFERROR(VLOOKUP(A2674,'3. Call duration'!$A:$C,3,0),"--")</f>
        <v>14.56381078</v>
      </c>
      <c r="J2674" s="65" t="str">
        <f t="array" ref="J2674">XLOOKUP(H2674,'2. Matching'!$A$2:$A$39,'2. Matching'!$B$2:$B$39,"--")</f>
        <v>Acquisition</v>
      </c>
      <c r="K2674" s="65" t="str">
        <f t="shared" si="1"/>
        <v>In</v>
      </c>
    </row>
    <row r="2675">
      <c r="A2675" s="62" t="s">
        <v>2813</v>
      </c>
      <c r="B2675" s="63">
        <v>44119.0</v>
      </c>
      <c r="C2675" s="62" t="s">
        <v>119</v>
      </c>
      <c r="D2675" s="64">
        <v>42.5</v>
      </c>
      <c r="E2675" s="62" t="s">
        <v>109</v>
      </c>
      <c r="F2675" s="62" t="s">
        <v>115</v>
      </c>
      <c r="G2675" s="64" t="s">
        <v>64</v>
      </c>
      <c r="H2675" s="3" t="s">
        <v>139</v>
      </c>
      <c r="I2675" s="65" t="str">
        <f>IFERROR(VLOOKUP(A2675,'3. Call duration'!$A:$C,3,0),"--")</f>
        <v>--</v>
      </c>
      <c r="J2675" s="65" t="str">
        <f t="array" ref="J2675">XLOOKUP(H2675,'2. Matching'!$A$2:$A$39,'2. Matching'!$B$2:$B$39,"--")</f>
        <v>Acquisition</v>
      </c>
      <c r="K2675" s="65" t="str">
        <f t="shared" si="1"/>
        <v>In</v>
      </c>
    </row>
    <row r="2676">
      <c r="A2676" s="62" t="s">
        <v>2814</v>
      </c>
      <c r="B2676" s="63">
        <v>44145.0</v>
      </c>
      <c r="C2676" s="62" t="s">
        <v>119</v>
      </c>
      <c r="D2676" s="64">
        <v>42.5</v>
      </c>
      <c r="E2676" s="62" t="s">
        <v>109</v>
      </c>
      <c r="F2676" s="62" t="s">
        <v>115</v>
      </c>
      <c r="G2676" s="64" t="s">
        <v>64</v>
      </c>
      <c r="H2676" s="3" t="s">
        <v>175</v>
      </c>
      <c r="I2676" s="65">
        <f>IFERROR(VLOOKUP(A2676,'3. Call duration'!$A:$C,3,0),"--")</f>
        <v>21.50950539</v>
      </c>
      <c r="J2676" s="65" t="str">
        <f t="array" ref="J2676">XLOOKUP(H2676,'2. Matching'!$A$2:$A$39,'2. Matching'!$B$2:$B$39,"--")</f>
        <v>SEO</v>
      </c>
      <c r="K2676" s="65" t="str">
        <f t="shared" si="1"/>
        <v>In</v>
      </c>
    </row>
    <row r="2677">
      <c r="A2677" s="62" t="s">
        <v>2815</v>
      </c>
      <c r="B2677" s="63">
        <v>44121.0</v>
      </c>
      <c r="C2677" s="62" t="s">
        <v>119</v>
      </c>
      <c r="D2677" s="64">
        <v>42.5</v>
      </c>
      <c r="E2677" s="62" t="s">
        <v>109</v>
      </c>
      <c r="F2677" s="62" t="s">
        <v>115</v>
      </c>
      <c r="G2677" s="64" t="s">
        <v>64</v>
      </c>
      <c r="H2677" s="3" t="s">
        <v>139</v>
      </c>
      <c r="I2677" s="65">
        <f>IFERROR(VLOOKUP(A2677,'3. Call duration'!$A:$C,3,0),"--")</f>
        <v>28.39901197</v>
      </c>
      <c r="J2677" s="65" t="str">
        <f t="array" ref="J2677">XLOOKUP(H2677,'2. Matching'!$A$2:$A$39,'2. Matching'!$B$2:$B$39,"--")</f>
        <v>Acquisition</v>
      </c>
      <c r="K2677" s="65" t="str">
        <f t="shared" si="1"/>
        <v>In</v>
      </c>
    </row>
    <row r="2678">
      <c r="A2678" s="62" t="s">
        <v>2816</v>
      </c>
      <c r="B2678" s="63">
        <v>44076.0</v>
      </c>
      <c r="C2678" s="62" t="s">
        <v>119</v>
      </c>
      <c r="D2678" s="64">
        <v>42.5</v>
      </c>
      <c r="E2678" s="62" t="s">
        <v>109</v>
      </c>
      <c r="F2678" s="62" t="s">
        <v>115</v>
      </c>
      <c r="G2678" s="64" t="s">
        <v>64</v>
      </c>
      <c r="H2678" s="3" t="s">
        <v>139</v>
      </c>
      <c r="I2678" s="65">
        <f>IFERROR(VLOOKUP(A2678,'3. Call duration'!$A:$C,3,0),"--")</f>
        <v>28.56764364</v>
      </c>
      <c r="J2678" s="65" t="str">
        <f t="array" ref="J2678">XLOOKUP(H2678,'2. Matching'!$A$2:$A$39,'2. Matching'!$B$2:$B$39,"--")</f>
        <v>Acquisition</v>
      </c>
      <c r="K2678" s="65" t="str">
        <f t="shared" si="1"/>
        <v>In</v>
      </c>
    </row>
    <row r="2679">
      <c r="A2679" s="62" t="s">
        <v>2817</v>
      </c>
      <c r="B2679" s="63">
        <v>44141.0</v>
      </c>
      <c r="C2679" s="62" t="s">
        <v>119</v>
      </c>
      <c r="D2679" s="64">
        <v>42.5</v>
      </c>
      <c r="E2679" s="62" t="s">
        <v>109</v>
      </c>
      <c r="F2679" s="62" t="s">
        <v>110</v>
      </c>
      <c r="G2679" s="64" t="s">
        <v>64</v>
      </c>
      <c r="H2679" s="3" t="s">
        <v>175</v>
      </c>
      <c r="I2679" s="65">
        <f>IFERROR(VLOOKUP(A2679,'3. Call duration'!$A:$C,3,0),"--")</f>
        <v>27.27655367</v>
      </c>
      <c r="J2679" s="65" t="str">
        <f t="array" ref="J2679">XLOOKUP(H2679,'2. Matching'!$A$2:$A$39,'2. Matching'!$B$2:$B$39,"--")</f>
        <v>SEO</v>
      </c>
      <c r="K2679" s="65" t="str">
        <f t="shared" si="1"/>
        <v>In</v>
      </c>
    </row>
    <row r="2680">
      <c r="A2680" s="62" t="s">
        <v>2818</v>
      </c>
      <c r="B2680" s="63">
        <v>44152.0</v>
      </c>
      <c r="C2680" s="62" t="s">
        <v>119</v>
      </c>
      <c r="D2680" s="64">
        <v>42.5</v>
      </c>
      <c r="E2680" s="62" t="s">
        <v>109</v>
      </c>
      <c r="F2680" s="62" t="s">
        <v>110</v>
      </c>
      <c r="G2680" s="64" t="s">
        <v>64</v>
      </c>
      <c r="H2680" s="3" t="s">
        <v>131</v>
      </c>
      <c r="I2680" s="65">
        <f>IFERROR(VLOOKUP(A2680,'3. Call duration'!$A:$C,3,0),"--")</f>
        <v>11.50279436</v>
      </c>
      <c r="J2680" s="65" t="str">
        <f t="array" ref="J2680">XLOOKUP(H2680,'2. Matching'!$A$2:$A$39,'2. Matching'!$B$2:$B$39,"--")</f>
        <v>Acquisition</v>
      </c>
      <c r="K2680" s="65" t="str">
        <f t="shared" si="1"/>
        <v>In</v>
      </c>
    </row>
    <row r="2681">
      <c r="A2681" s="62" t="s">
        <v>2819</v>
      </c>
      <c r="B2681" s="63">
        <v>44181.0</v>
      </c>
      <c r="C2681" s="62" t="s">
        <v>119</v>
      </c>
      <c r="D2681" s="64">
        <v>42.5</v>
      </c>
      <c r="E2681" s="62" t="s">
        <v>109</v>
      </c>
      <c r="F2681" s="62" t="s">
        <v>115</v>
      </c>
      <c r="G2681" s="64" t="s">
        <v>64</v>
      </c>
      <c r="H2681" s="3" t="s">
        <v>139</v>
      </c>
      <c r="I2681" s="65">
        <f>IFERROR(VLOOKUP(A2681,'3. Call duration'!$A:$C,3,0),"--")</f>
        <v>30.59870275</v>
      </c>
      <c r="J2681" s="65" t="str">
        <f t="array" ref="J2681">XLOOKUP(H2681,'2. Matching'!$A$2:$A$39,'2. Matching'!$B$2:$B$39,"--")</f>
        <v>Acquisition</v>
      </c>
      <c r="K2681" s="65" t="str">
        <f t="shared" si="1"/>
        <v>In</v>
      </c>
    </row>
    <row r="2682">
      <c r="A2682" s="62" t="s">
        <v>2820</v>
      </c>
      <c r="B2682" s="63">
        <v>44225.0</v>
      </c>
      <c r="C2682" s="62" t="s">
        <v>119</v>
      </c>
      <c r="D2682" s="64">
        <v>42.5</v>
      </c>
      <c r="E2682" s="62" t="s">
        <v>109</v>
      </c>
      <c r="F2682" s="62" t="s">
        <v>115</v>
      </c>
      <c r="G2682" s="64" t="s">
        <v>64</v>
      </c>
      <c r="H2682" s="3" t="s">
        <v>150</v>
      </c>
      <c r="I2682" s="65">
        <f>IFERROR(VLOOKUP(A2682,'3. Call duration'!$A:$C,3,0),"--")</f>
        <v>32.65592913</v>
      </c>
      <c r="J2682" s="65" t="str">
        <f t="array" ref="J2682">XLOOKUP(H2682,'2. Matching'!$A$2:$A$39,'2. Matching'!$B$2:$B$39,"--")</f>
        <v>SEO</v>
      </c>
      <c r="K2682" s="65" t="str">
        <f t="shared" si="1"/>
        <v>In</v>
      </c>
    </row>
    <row r="2683">
      <c r="A2683" s="62" t="s">
        <v>2821</v>
      </c>
      <c r="B2683" s="63">
        <v>44242.0</v>
      </c>
      <c r="C2683" s="62" t="s">
        <v>119</v>
      </c>
      <c r="D2683" s="64">
        <v>42.5</v>
      </c>
      <c r="E2683" s="62" t="s">
        <v>109</v>
      </c>
      <c r="F2683" s="62" t="s">
        <v>115</v>
      </c>
      <c r="G2683" s="64" t="s">
        <v>64</v>
      </c>
      <c r="H2683" s="3" t="s">
        <v>155</v>
      </c>
      <c r="I2683" s="65">
        <f>IFERROR(VLOOKUP(A2683,'3. Call duration'!$A:$C,3,0),"--")</f>
        <v>24.04169845</v>
      </c>
      <c r="J2683" s="65" t="str">
        <f t="array" ref="J2683">XLOOKUP(H2683,'2. Matching'!$A$2:$A$39,'2. Matching'!$B$2:$B$39,"--")</f>
        <v>SEO</v>
      </c>
      <c r="K2683" s="65" t="str">
        <f t="shared" si="1"/>
        <v>In</v>
      </c>
    </row>
    <row r="2684">
      <c r="A2684" s="62" t="s">
        <v>2822</v>
      </c>
      <c r="B2684" s="63">
        <v>44159.0</v>
      </c>
      <c r="C2684" s="62" t="s">
        <v>119</v>
      </c>
      <c r="D2684" s="64">
        <v>42.5</v>
      </c>
      <c r="E2684" s="62" t="s">
        <v>109</v>
      </c>
      <c r="F2684" s="62" t="s">
        <v>110</v>
      </c>
      <c r="G2684" s="64" t="s">
        <v>64</v>
      </c>
      <c r="H2684" s="3" t="s">
        <v>155</v>
      </c>
      <c r="I2684" s="65" t="str">
        <f>IFERROR(VLOOKUP(A2684,'3. Call duration'!$A:$C,3,0),"--")</f>
        <v>--</v>
      </c>
      <c r="J2684" s="65" t="str">
        <f t="array" ref="J2684">XLOOKUP(H2684,'2. Matching'!$A$2:$A$39,'2. Matching'!$B$2:$B$39,"--")</f>
        <v>SEO</v>
      </c>
      <c r="K2684" s="65" t="str">
        <f t="shared" si="1"/>
        <v>In</v>
      </c>
    </row>
    <row r="2685">
      <c r="A2685" s="62" t="s">
        <v>2823</v>
      </c>
      <c r="B2685" s="63">
        <v>44112.0</v>
      </c>
      <c r="C2685" s="62" t="s">
        <v>119</v>
      </c>
      <c r="D2685" s="64">
        <v>42.5</v>
      </c>
      <c r="E2685" s="62" t="s">
        <v>109</v>
      </c>
      <c r="F2685" s="62" t="s">
        <v>110</v>
      </c>
      <c r="G2685" s="64" t="s">
        <v>64</v>
      </c>
      <c r="H2685" s="3" t="s">
        <v>169</v>
      </c>
      <c r="I2685" s="65">
        <f>IFERROR(VLOOKUP(A2685,'3. Call duration'!$A:$C,3,0),"--")</f>
        <v>32.23151798</v>
      </c>
      <c r="J2685" s="65" t="str">
        <f t="array" ref="J2685">XLOOKUP(H2685,'2. Matching'!$A$2:$A$39,'2. Matching'!$B$2:$B$39,"--")</f>
        <v>SEO</v>
      </c>
      <c r="K2685" s="65" t="str">
        <f t="shared" si="1"/>
        <v>In</v>
      </c>
    </row>
    <row r="2686">
      <c r="A2686" s="62" t="s">
        <v>2824</v>
      </c>
      <c r="B2686" s="63">
        <v>44228.0</v>
      </c>
      <c r="C2686" s="62" t="s">
        <v>119</v>
      </c>
      <c r="D2686" s="64">
        <v>42.5</v>
      </c>
      <c r="E2686" s="62" t="s">
        <v>109</v>
      </c>
      <c r="F2686" s="62" t="s">
        <v>115</v>
      </c>
      <c r="G2686" s="64" t="s">
        <v>64</v>
      </c>
      <c r="H2686" s="3" t="s">
        <v>131</v>
      </c>
      <c r="I2686" s="65" t="str">
        <f>IFERROR(VLOOKUP(A2686,'3. Call duration'!$A:$C,3,0),"--")</f>
        <v>--</v>
      </c>
      <c r="J2686" s="65" t="str">
        <f t="array" ref="J2686">XLOOKUP(H2686,'2. Matching'!$A$2:$A$39,'2. Matching'!$B$2:$B$39,"--")</f>
        <v>Acquisition</v>
      </c>
      <c r="K2686" s="65" t="str">
        <f t="shared" si="1"/>
        <v>In</v>
      </c>
    </row>
    <row r="2687">
      <c r="A2687" s="62" t="s">
        <v>2825</v>
      </c>
      <c r="B2687" s="63">
        <v>44098.0</v>
      </c>
      <c r="C2687" s="62" t="s">
        <v>119</v>
      </c>
      <c r="D2687" s="64">
        <v>42.5</v>
      </c>
      <c r="E2687" s="62" t="s">
        <v>109</v>
      </c>
      <c r="F2687" s="62" t="s">
        <v>115</v>
      </c>
      <c r="G2687" s="64" t="s">
        <v>64</v>
      </c>
      <c r="H2687" s="3" t="s">
        <v>49</v>
      </c>
      <c r="I2687" s="65">
        <f>IFERROR(VLOOKUP(A2687,'3. Call duration'!$A:$C,3,0),"--")</f>
        <v>16.43270479</v>
      </c>
      <c r="J2687" s="65" t="str">
        <f t="array" ref="J2687">XLOOKUP(H2687,'2. Matching'!$A$2:$A$39,'2. Matching'!$B$2:$B$39,"--")</f>
        <v>Partnerships</v>
      </c>
      <c r="K2687" s="65" t="str">
        <f t="shared" si="1"/>
        <v>In</v>
      </c>
    </row>
    <row r="2688">
      <c r="A2688" s="62" t="s">
        <v>2826</v>
      </c>
      <c r="B2688" s="63">
        <v>44236.0</v>
      </c>
      <c r="C2688" s="62" t="s">
        <v>119</v>
      </c>
      <c r="D2688" s="64">
        <v>42.5</v>
      </c>
      <c r="E2688" s="62" t="s">
        <v>109</v>
      </c>
      <c r="F2688" s="62" t="s">
        <v>115</v>
      </c>
      <c r="G2688" s="64" t="s">
        <v>64</v>
      </c>
      <c r="H2688" s="3" t="s">
        <v>131</v>
      </c>
      <c r="I2688" s="65">
        <f>IFERROR(VLOOKUP(A2688,'3. Call duration'!$A:$C,3,0),"--")</f>
        <v>28.51225509</v>
      </c>
      <c r="J2688" s="65" t="str">
        <f t="array" ref="J2688">XLOOKUP(H2688,'2. Matching'!$A$2:$A$39,'2. Matching'!$B$2:$B$39,"--")</f>
        <v>Acquisition</v>
      </c>
      <c r="K2688" s="65" t="str">
        <f t="shared" si="1"/>
        <v>In</v>
      </c>
    </row>
    <row r="2689">
      <c r="A2689" s="62" t="s">
        <v>2827</v>
      </c>
      <c r="B2689" s="63">
        <v>44236.0</v>
      </c>
      <c r="C2689" s="62" t="s">
        <v>119</v>
      </c>
      <c r="D2689" s="64">
        <v>42.5</v>
      </c>
      <c r="E2689" s="62" t="s">
        <v>109</v>
      </c>
      <c r="F2689" s="62" t="s">
        <v>110</v>
      </c>
      <c r="G2689" s="64" t="s">
        <v>64</v>
      </c>
      <c r="H2689" s="3" t="s">
        <v>221</v>
      </c>
      <c r="I2689" s="65">
        <f>IFERROR(VLOOKUP(A2689,'3. Call duration'!$A:$C,3,0),"--")</f>
        <v>26.04526736</v>
      </c>
      <c r="J2689" s="65" t="str">
        <f t="array" ref="J2689">XLOOKUP(H2689,'2. Matching'!$A$2:$A$39,'2. Matching'!$B$2:$B$39,"--")</f>
        <v>Farming</v>
      </c>
      <c r="K2689" s="65" t="str">
        <f t="shared" si="1"/>
        <v>In</v>
      </c>
    </row>
    <row r="2690">
      <c r="A2690" s="62" t="s">
        <v>2828</v>
      </c>
      <c r="B2690" s="63">
        <v>44151.0</v>
      </c>
      <c r="C2690" s="62" t="s">
        <v>119</v>
      </c>
      <c r="D2690" s="64">
        <v>42.5</v>
      </c>
      <c r="E2690" s="62" t="s">
        <v>109</v>
      </c>
      <c r="F2690" s="62" t="s">
        <v>115</v>
      </c>
      <c r="G2690" s="64" t="s">
        <v>64</v>
      </c>
      <c r="H2690" s="3" t="s">
        <v>145</v>
      </c>
      <c r="I2690" s="65">
        <f>IFERROR(VLOOKUP(A2690,'3. Call duration'!$A:$C,3,0),"--")</f>
        <v>25.87193676</v>
      </c>
      <c r="J2690" s="65" t="str">
        <f t="array" ref="J2690">XLOOKUP(H2690,'2. Matching'!$A$2:$A$39,'2. Matching'!$B$2:$B$39,"--")</f>
        <v>SEO</v>
      </c>
      <c r="K2690" s="65" t="str">
        <f t="shared" si="1"/>
        <v>In</v>
      </c>
    </row>
    <row r="2691">
      <c r="A2691" s="62" t="s">
        <v>2829</v>
      </c>
      <c r="B2691" s="63">
        <v>44166.0</v>
      </c>
      <c r="C2691" s="62" t="s">
        <v>119</v>
      </c>
      <c r="D2691" s="64">
        <v>42.5</v>
      </c>
      <c r="E2691" s="62" t="s">
        <v>109</v>
      </c>
      <c r="F2691" s="62" t="s">
        <v>115</v>
      </c>
      <c r="G2691" s="64" t="s">
        <v>64</v>
      </c>
      <c r="H2691" s="3" t="s">
        <v>139</v>
      </c>
      <c r="I2691" s="65">
        <f>IFERROR(VLOOKUP(A2691,'3. Call duration'!$A:$C,3,0),"--")</f>
        <v>26.48948554</v>
      </c>
      <c r="J2691" s="65" t="str">
        <f t="array" ref="J2691">XLOOKUP(H2691,'2. Matching'!$A$2:$A$39,'2. Matching'!$B$2:$B$39,"--")</f>
        <v>Acquisition</v>
      </c>
      <c r="K2691" s="65" t="str">
        <f t="shared" si="1"/>
        <v>In</v>
      </c>
    </row>
    <row r="2692">
      <c r="A2692" s="62" t="s">
        <v>2830</v>
      </c>
      <c r="B2692" s="63">
        <v>44223.0</v>
      </c>
      <c r="C2692" s="62" t="s">
        <v>119</v>
      </c>
      <c r="D2692" s="64">
        <v>42.5</v>
      </c>
      <c r="E2692" s="62" t="s">
        <v>109</v>
      </c>
      <c r="F2692" s="62" t="s">
        <v>110</v>
      </c>
      <c r="G2692" s="64" t="s">
        <v>64</v>
      </c>
      <c r="H2692" s="3" t="s">
        <v>131</v>
      </c>
      <c r="I2692" s="65">
        <f>IFERROR(VLOOKUP(A2692,'3. Call duration'!$A:$C,3,0),"--")</f>
        <v>27.24392087</v>
      </c>
      <c r="J2692" s="65" t="str">
        <f t="array" ref="J2692">XLOOKUP(H2692,'2. Matching'!$A$2:$A$39,'2. Matching'!$B$2:$B$39,"--")</f>
        <v>Acquisition</v>
      </c>
      <c r="K2692" s="65" t="str">
        <f t="shared" si="1"/>
        <v>In</v>
      </c>
    </row>
    <row r="2693">
      <c r="A2693" s="62" t="s">
        <v>2831</v>
      </c>
      <c r="B2693" s="63">
        <v>44240.0</v>
      </c>
      <c r="C2693" s="62" t="s">
        <v>119</v>
      </c>
      <c r="D2693" s="64">
        <v>42.5</v>
      </c>
      <c r="E2693" s="62" t="s">
        <v>109</v>
      </c>
      <c r="F2693" s="62" t="s">
        <v>115</v>
      </c>
      <c r="G2693" s="64" t="s">
        <v>64</v>
      </c>
      <c r="H2693" s="3" t="s">
        <v>221</v>
      </c>
      <c r="I2693" s="65">
        <f>IFERROR(VLOOKUP(A2693,'3. Call duration'!$A:$C,3,0),"--")</f>
        <v>22.82993015</v>
      </c>
      <c r="J2693" s="65" t="str">
        <f t="array" ref="J2693">XLOOKUP(H2693,'2. Matching'!$A$2:$A$39,'2. Matching'!$B$2:$B$39,"--")</f>
        <v>Farming</v>
      </c>
      <c r="K2693" s="65" t="str">
        <f t="shared" si="1"/>
        <v>In</v>
      </c>
    </row>
    <row r="2694">
      <c r="A2694" s="62" t="s">
        <v>2832</v>
      </c>
      <c r="B2694" s="63">
        <v>44182.0</v>
      </c>
      <c r="C2694" s="62" t="s">
        <v>119</v>
      </c>
      <c r="D2694" s="64">
        <v>42.5</v>
      </c>
      <c r="E2694" s="62" t="s">
        <v>109</v>
      </c>
      <c r="F2694" s="62" t="s">
        <v>115</v>
      </c>
      <c r="G2694" s="64" t="s">
        <v>64</v>
      </c>
      <c r="H2694" s="3" t="s">
        <v>131</v>
      </c>
      <c r="I2694" s="65">
        <f>IFERROR(VLOOKUP(A2694,'3. Call duration'!$A:$C,3,0),"--")</f>
        <v>32.33355282</v>
      </c>
      <c r="J2694" s="65" t="str">
        <f t="array" ref="J2694">XLOOKUP(H2694,'2. Matching'!$A$2:$A$39,'2. Matching'!$B$2:$B$39,"--")</f>
        <v>Acquisition</v>
      </c>
      <c r="K2694" s="65" t="str">
        <f t="shared" si="1"/>
        <v>In</v>
      </c>
    </row>
    <row r="2695">
      <c r="A2695" s="62" t="s">
        <v>2833</v>
      </c>
      <c r="B2695" s="63">
        <v>44230.0</v>
      </c>
      <c r="C2695" s="62" t="s">
        <v>119</v>
      </c>
      <c r="D2695" s="64">
        <v>42.5</v>
      </c>
      <c r="E2695" s="62" t="s">
        <v>109</v>
      </c>
      <c r="F2695" s="62" t="s">
        <v>115</v>
      </c>
      <c r="G2695" s="64" t="s">
        <v>64</v>
      </c>
      <c r="H2695" s="3" t="s">
        <v>175</v>
      </c>
      <c r="I2695" s="65" t="str">
        <f>IFERROR(VLOOKUP(A2695,'3. Call duration'!$A:$C,3,0),"--")</f>
        <v>--</v>
      </c>
      <c r="J2695" s="65" t="str">
        <f t="array" ref="J2695">XLOOKUP(H2695,'2. Matching'!$A$2:$A$39,'2. Matching'!$B$2:$B$39,"--")</f>
        <v>SEO</v>
      </c>
      <c r="K2695" s="65" t="str">
        <f t="shared" si="1"/>
        <v>In</v>
      </c>
    </row>
    <row r="2696">
      <c r="A2696" s="62" t="s">
        <v>2834</v>
      </c>
      <c r="B2696" s="63">
        <v>44188.0</v>
      </c>
      <c r="C2696" s="62" t="s">
        <v>119</v>
      </c>
      <c r="D2696" s="64">
        <v>42.5</v>
      </c>
      <c r="E2696" s="62" t="s">
        <v>109</v>
      </c>
      <c r="F2696" s="62" t="s">
        <v>115</v>
      </c>
      <c r="G2696" s="64" t="s">
        <v>64</v>
      </c>
      <c r="H2696" s="3" t="s">
        <v>131</v>
      </c>
      <c r="I2696" s="65">
        <f>IFERROR(VLOOKUP(A2696,'3. Call duration'!$A:$C,3,0),"--")</f>
        <v>49.52687649</v>
      </c>
      <c r="J2696" s="65" t="str">
        <f t="array" ref="J2696">XLOOKUP(H2696,'2. Matching'!$A$2:$A$39,'2. Matching'!$B$2:$B$39,"--")</f>
        <v>Acquisition</v>
      </c>
      <c r="K2696" s="65" t="str">
        <f t="shared" si="1"/>
        <v>In</v>
      </c>
    </row>
    <row r="2697">
      <c r="A2697" s="62" t="s">
        <v>2835</v>
      </c>
      <c r="B2697" s="63">
        <v>44105.0</v>
      </c>
      <c r="C2697" s="62" t="s">
        <v>119</v>
      </c>
      <c r="D2697" s="64">
        <v>42.5</v>
      </c>
      <c r="E2697" s="62" t="s">
        <v>109</v>
      </c>
      <c r="F2697" s="62" t="s">
        <v>115</v>
      </c>
      <c r="G2697" s="64" t="s">
        <v>64</v>
      </c>
      <c r="H2697" s="3" t="s">
        <v>169</v>
      </c>
      <c r="I2697" s="65">
        <f>IFERROR(VLOOKUP(A2697,'3. Call duration'!$A:$C,3,0),"--")</f>
        <v>29.51562336</v>
      </c>
      <c r="J2697" s="65" t="str">
        <f t="array" ref="J2697">XLOOKUP(H2697,'2. Matching'!$A$2:$A$39,'2. Matching'!$B$2:$B$39,"--")</f>
        <v>SEO</v>
      </c>
      <c r="K2697" s="65" t="str">
        <f t="shared" si="1"/>
        <v>In</v>
      </c>
    </row>
    <row r="2698">
      <c r="A2698" s="62" t="s">
        <v>2836</v>
      </c>
      <c r="B2698" s="63">
        <v>44200.0</v>
      </c>
      <c r="C2698" s="62" t="s">
        <v>119</v>
      </c>
      <c r="D2698" s="64">
        <v>42.5</v>
      </c>
      <c r="E2698" s="62" t="s">
        <v>109</v>
      </c>
      <c r="F2698" s="62" t="s">
        <v>115</v>
      </c>
      <c r="G2698" s="64" t="s">
        <v>64</v>
      </c>
      <c r="H2698" s="3" t="s">
        <v>139</v>
      </c>
      <c r="I2698" s="65">
        <f>IFERROR(VLOOKUP(A2698,'3. Call duration'!$A:$C,3,0),"--")</f>
        <v>26.9819507</v>
      </c>
      <c r="J2698" s="65" t="str">
        <f t="array" ref="J2698">XLOOKUP(H2698,'2. Matching'!$A$2:$A$39,'2. Matching'!$B$2:$B$39,"--")</f>
        <v>Acquisition</v>
      </c>
      <c r="K2698" s="65" t="str">
        <f t="shared" si="1"/>
        <v>In</v>
      </c>
    </row>
    <row r="2699">
      <c r="A2699" s="62" t="s">
        <v>2837</v>
      </c>
      <c r="B2699" s="63">
        <v>44208.0</v>
      </c>
      <c r="C2699" s="62" t="s">
        <v>119</v>
      </c>
      <c r="D2699" s="64">
        <v>42.5</v>
      </c>
      <c r="E2699" s="62" t="s">
        <v>109</v>
      </c>
      <c r="F2699" s="62" t="s">
        <v>115</v>
      </c>
      <c r="G2699" s="64" t="s">
        <v>64</v>
      </c>
      <c r="H2699" s="3" t="s">
        <v>150</v>
      </c>
      <c r="I2699" s="65">
        <f>IFERROR(VLOOKUP(A2699,'3. Call duration'!$A:$C,3,0),"--")</f>
        <v>22.21313674</v>
      </c>
      <c r="J2699" s="65" t="str">
        <f t="array" ref="J2699">XLOOKUP(H2699,'2. Matching'!$A$2:$A$39,'2. Matching'!$B$2:$B$39,"--")</f>
        <v>SEO</v>
      </c>
      <c r="K2699" s="65" t="str">
        <f t="shared" si="1"/>
        <v>In</v>
      </c>
    </row>
    <row r="2700">
      <c r="A2700" s="62" t="s">
        <v>2838</v>
      </c>
      <c r="B2700" s="63">
        <v>44249.0</v>
      </c>
      <c r="C2700" s="62" t="s">
        <v>119</v>
      </c>
      <c r="D2700" s="64">
        <v>42.5</v>
      </c>
      <c r="E2700" s="62" t="s">
        <v>109</v>
      </c>
      <c r="F2700" s="62" t="s">
        <v>115</v>
      </c>
      <c r="G2700" s="64" t="s">
        <v>64</v>
      </c>
      <c r="H2700" s="3" t="s">
        <v>139</v>
      </c>
      <c r="I2700" s="65">
        <f>IFERROR(VLOOKUP(A2700,'3. Call duration'!$A:$C,3,0),"--")</f>
        <v>33.47037945</v>
      </c>
      <c r="J2700" s="65" t="str">
        <f t="array" ref="J2700">XLOOKUP(H2700,'2. Matching'!$A$2:$A$39,'2. Matching'!$B$2:$B$39,"--")</f>
        <v>Acquisition</v>
      </c>
      <c r="K2700" s="65" t="str">
        <f t="shared" si="1"/>
        <v>In</v>
      </c>
    </row>
    <row r="2701">
      <c r="A2701" s="62" t="s">
        <v>2839</v>
      </c>
      <c r="B2701" s="63">
        <v>44225.0</v>
      </c>
      <c r="C2701" s="62" t="s">
        <v>119</v>
      </c>
      <c r="D2701" s="64">
        <v>42.5</v>
      </c>
      <c r="E2701" s="62" t="s">
        <v>109</v>
      </c>
      <c r="F2701" s="62" t="s">
        <v>110</v>
      </c>
      <c r="G2701" s="64" t="s">
        <v>64</v>
      </c>
      <c r="H2701" s="3" t="s">
        <v>185</v>
      </c>
      <c r="I2701" s="65">
        <f>IFERROR(VLOOKUP(A2701,'3. Call duration'!$A:$C,3,0),"--")</f>
        <v>24.09460307</v>
      </c>
      <c r="J2701" s="65" t="str">
        <f t="array" ref="J2701">XLOOKUP(H2701,'2. Matching'!$A$2:$A$39,'2. Matching'!$B$2:$B$39,"--")</f>
        <v>SEO</v>
      </c>
      <c r="K2701" s="65" t="str">
        <f t="shared" si="1"/>
        <v>In</v>
      </c>
    </row>
    <row r="2702">
      <c r="A2702" s="62" t="s">
        <v>2840</v>
      </c>
      <c r="B2702" s="63">
        <v>44175.0</v>
      </c>
      <c r="C2702" s="62" t="s">
        <v>119</v>
      </c>
      <c r="D2702" s="64">
        <v>42.5</v>
      </c>
      <c r="E2702" s="62" t="s">
        <v>109</v>
      </c>
      <c r="F2702" s="62" t="s">
        <v>115</v>
      </c>
      <c r="G2702" s="64" t="s">
        <v>64</v>
      </c>
      <c r="H2702" s="3" t="s">
        <v>139</v>
      </c>
      <c r="I2702" s="65">
        <f>IFERROR(VLOOKUP(A2702,'3. Call duration'!$A:$C,3,0),"--")</f>
        <v>32.11284957</v>
      </c>
      <c r="J2702" s="65" t="str">
        <f t="array" ref="J2702">XLOOKUP(H2702,'2. Matching'!$A$2:$A$39,'2. Matching'!$B$2:$B$39,"--")</f>
        <v>Acquisition</v>
      </c>
      <c r="K2702" s="65" t="str">
        <f t="shared" si="1"/>
        <v>In</v>
      </c>
    </row>
    <row r="2703">
      <c r="A2703" s="62" t="s">
        <v>2841</v>
      </c>
      <c r="B2703" s="63">
        <v>44235.0</v>
      </c>
      <c r="C2703" s="62" t="s">
        <v>119</v>
      </c>
      <c r="D2703" s="64">
        <v>42.5</v>
      </c>
      <c r="E2703" s="62" t="s">
        <v>109</v>
      </c>
      <c r="F2703" s="62" t="s">
        <v>115</v>
      </c>
      <c r="G2703" s="64" t="s">
        <v>64</v>
      </c>
      <c r="H2703" s="3" t="s">
        <v>145</v>
      </c>
      <c r="I2703" s="65" t="str">
        <f>IFERROR(VLOOKUP(A2703,'3. Call duration'!$A:$C,3,0),"--")</f>
        <v>--</v>
      </c>
      <c r="J2703" s="65" t="str">
        <f t="array" ref="J2703">XLOOKUP(H2703,'2. Matching'!$A$2:$A$39,'2. Matching'!$B$2:$B$39,"--")</f>
        <v>SEO</v>
      </c>
      <c r="K2703" s="65" t="str">
        <f t="shared" si="1"/>
        <v>In</v>
      </c>
    </row>
    <row r="2704">
      <c r="A2704" s="62" t="s">
        <v>2842</v>
      </c>
      <c r="B2704" s="63">
        <v>44199.0</v>
      </c>
      <c r="C2704" s="62" t="s">
        <v>119</v>
      </c>
      <c r="D2704" s="64">
        <v>42.5</v>
      </c>
      <c r="E2704" s="62" t="s">
        <v>109</v>
      </c>
      <c r="F2704" s="62" t="s">
        <v>115</v>
      </c>
      <c r="G2704" s="64" t="s">
        <v>64</v>
      </c>
      <c r="H2704" s="3" t="s">
        <v>139</v>
      </c>
      <c r="I2704" s="65">
        <f>IFERROR(VLOOKUP(A2704,'3. Call duration'!$A:$C,3,0),"--")</f>
        <v>22.38731609</v>
      </c>
      <c r="J2704" s="65" t="str">
        <f t="array" ref="J2704">XLOOKUP(H2704,'2. Matching'!$A$2:$A$39,'2. Matching'!$B$2:$B$39,"--")</f>
        <v>Acquisition</v>
      </c>
      <c r="K2704" s="65" t="str">
        <f t="shared" si="1"/>
        <v>In</v>
      </c>
    </row>
    <row r="2705">
      <c r="A2705" s="62" t="s">
        <v>2843</v>
      </c>
      <c r="B2705" s="63">
        <v>44247.0</v>
      </c>
      <c r="C2705" s="62" t="s">
        <v>119</v>
      </c>
      <c r="D2705" s="64">
        <v>42.5</v>
      </c>
      <c r="E2705" s="62" t="s">
        <v>109</v>
      </c>
      <c r="F2705" s="62" t="s">
        <v>115</v>
      </c>
      <c r="G2705" s="64" t="s">
        <v>64</v>
      </c>
      <c r="H2705" s="3" t="s">
        <v>139</v>
      </c>
      <c r="I2705" s="65">
        <f>IFERROR(VLOOKUP(A2705,'3. Call duration'!$A:$C,3,0),"--")</f>
        <v>33.57372632</v>
      </c>
      <c r="J2705" s="65" t="str">
        <f t="array" ref="J2705">XLOOKUP(H2705,'2. Matching'!$A$2:$A$39,'2. Matching'!$B$2:$B$39,"--")</f>
        <v>Acquisition</v>
      </c>
      <c r="K2705" s="65" t="str">
        <f t="shared" si="1"/>
        <v>In</v>
      </c>
    </row>
    <row r="2706">
      <c r="A2706" s="62" t="s">
        <v>2844</v>
      </c>
      <c r="B2706" s="63">
        <v>44147.0</v>
      </c>
      <c r="C2706" s="62" t="s">
        <v>119</v>
      </c>
      <c r="D2706" s="64">
        <v>42.5</v>
      </c>
      <c r="E2706" s="62" t="s">
        <v>109</v>
      </c>
      <c r="F2706" s="62" t="s">
        <v>115</v>
      </c>
      <c r="G2706" s="64" t="s">
        <v>64</v>
      </c>
      <c r="H2706" s="3" t="s">
        <v>131</v>
      </c>
      <c r="I2706" s="65">
        <f>IFERROR(VLOOKUP(A2706,'3. Call duration'!$A:$C,3,0),"--")</f>
        <v>28.27293773</v>
      </c>
      <c r="J2706" s="65" t="str">
        <f t="array" ref="J2706">XLOOKUP(H2706,'2. Matching'!$A$2:$A$39,'2. Matching'!$B$2:$B$39,"--")</f>
        <v>Acquisition</v>
      </c>
      <c r="K2706" s="65" t="str">
        <f t="shared" si="1"/>
        <v>In</v>
      </c>
    </row>
    <row r="2707">
      <c r="A2707" s="62" t="s">
        <v>2845</v>
      </c>
      <c r="B2707" s="63">
        <v>44223.0</v>
      </c>
      <c r="C2707" s="62" t="s">
        <v>119</v>
      </c>
      <c r="D2707" s="64">
        <v>42.5</v>
      </c>
      <c r="E2707" s="62" t="s">
        <v>109</v>
      </c>
      <c r="F2707" s="62" t="s">
        <v>115</v>
      </c>
      <c r="G2707" s="64" t="s">
        <v>64</v>
      </c>
      <c r="H2707" s="3" t="s">
        <v>139</v>
      </c>
      <c r="I2707" s="65">
        <f>IFERROR(VLOOKUP(A2707,'3. Call duration'!$A:$C,3,0),"--")</f>
        <v>22.62229966</v>
      </c>
      <c r="J2707" s="65" t="str">
        <f t="array" ref="J2707">XLOOKUP(H2707,'2. Matching'!$A$2:$A$39,'2. Matching'!$B$2:$B$39,"--")</f>
        <v>Acquisition</v>
      </c>
      <c r="K2707" s="65" t="str">
        <f t="shared" si="1"/>
        <v>In</v>
      </c>
    </row>
    <row r="2708">
      <c r="A2708" s="62" t="s">
        <v>2846</v>
      </c>
      <c r="B2708" s="63">
        <v>44126.0</v>
      </c>
      <c r="C2708" s="62" t="s">
        <v>119</v>
      </c>
      <c r="D2708" s="64">
        <v>42.5</v>
      </c>
      <c r="E2708" s="62" t="s">
        <v>109</v>
      </c>
      <c r="F2708" s="62" t="s">
        <v>115</v>
      </c>
      <c r="G2708" s="64" t="s">
        <v>62</v>
      </c>
      <c r="H2708" s="3" t="s">
        <v>203</v>
      </c>
      <c r="I2708" s="65">
        <f>IFERROR(VLOOKUP(A2708,'3. Call duration'!$A:$C,3,0),"--")</f>
        <v>43.80962831</v>
      </c>
      <c r="J2708" s="65" t="str">
        <f t="array" ref="J2708">XLOOKUP(H2708,'2. Matching'!$A$2:$A$39,'2. Matching'!$B$2:$B$39,"--")</f>
        <v>Farming</v>
      </c>
      <c r="K2708" s="65" t="str">
        <f t="shared" si="1"/>
        <v>In</v>
      </c>
    </row>
    <row r="2709">
      <c r="A2709" s="62" t="s">
        <v>2847</v>
      </c>
      <c r="B2709" s="63">
        <v>44179.0</v>
      </c>
      <c r="C2709" s="62" t="s">
        <v>119</v>
      </c>
      <c r="D2709" s="64">
        <v>42.5</v>
      </c>
      <c r="E2709" s="62" t="s">
        <v>109</v>
      </c>
      <c r="F2709" s="62" t="s">
        <v>115</v>
      </c>
      <c r="G2709" s="64" t="s">
        <v>64</v>
      </c>
      <c r="H2709" s="3" t="s">
        <v>235</v>
      </c>
      <c r="I2709" s="65">
        <f>IFERROR(VLOOKUP(A2709,'3. Call duration'!$A:$C,3,0),"--")</f>
        <v>10.40415879</v>
      </c>
      <c r="J2709" s="65" t="str">
        <f t="array" ref="J2709">XLOOKUP(H2709,'2. Matching'!$A$2:$A$39,'2. Matching'!$B$2:$B$39,"--")</f>
        <v>Farming</v>
      </c>
      <c r="K2709" s="65" t="str">
        <f t="shared" si="1"/>
        <v>In</v>
      </c>
    </row>
    <row r="2710">
      <c r="A2710" s="62" t="s">
        <v>2848</v>
      </c>
      <c r="B2710" s="63">
        <v>44082.0</v>
      </c>
      <c r="C2710" s="62" t="s">
        <v>119</v>
      </c>
      <c r="D2710" s="64">
        <v>42.5</v>
      </c>
      <c r="E2710" s="62" t="s">
        <v>109</v>
      </c>
      <c r="F2710" s="62" t="s">
        <v>115</v>
      </c>
      <c r="G2710" s="64" t="s">
        <v>64</v>
      </c>
      <c r="H2710" s="3" t="s">
        <v>139</v>
      </c>
      <c r="I2710" s="65">
        <f>IFERROR(VLOOKUP(A2710,'3. Call duration'!$A:$C,3,0),"--")</f>
        <v>31.76440274</v>
      </c>
      <c r="J2710" s="65" t="str">
        <f t="array" ref="J2710">XLOOKUP(H2710,'2. Matching'!$A$2:$A$39,'2. Matching'!$B$2:$B$39,"--")</f>
        <v>Acquisition</v>
      </c>
      <c r="K2710" s="65" t="str">
        <f t="shared" si="1"/>
        <v>In</v>
      </c>
    </row>
    <row r="2711">
      <c r="A2711" s="62" t="s">
        <v>2849</v>
      </c>
      <c r="B2711" s="63">
        <v>44084.0</v>
      </c>
      <c r="C2711" s="62" t="s">
        <v>119</v>
      </c>
      <c r="D2711" s="64">
        <v>42.5</v>
      </c>
      <c r="E2711" s="62" t="s">
        <v>109</v>
      </c>
      <c r="F2711" s="62" t="s">
        <v>115</v>
      </c>
      <c r="G2711" s="64" t="s">
        <v>64</v>
      </c>
      <c r="H2711" s="3" t="s">
        <v>139</v>
      </c>
      <c r="I2711" s="65">
        <f>IFERROR(VLOOKUP(A2711,'3. Call duration'!$A:$C,3,0),"--")</f>
        <v>31.33964036</v>
      </c>
      <c r="J2711" s="65" t="str">
        <f t="array" ref="J2711">XLOOKUP(H2711,'2. Matching'!$A$2:$A$39,'2. Matching'!$B$2:$B$39,"--")</f>
        <v>Acquisition</v>
      </c>
      <c r="K2711" s="65" t="str">
        <f t="shared" si="1"/>
        <v>In</v>
      </c>
    </row>
    <row r="2712">
      <c r="A2712" s="62" t="s">
        <v>2850</v>
      </c>
      <c r="B2712" s="63">
        <v>44214.0</v>
      </c>
      <c r="C2712" s="62" t="s">
        <v>119</v>
      </c>
      <c r="D2712" s="64">
        <v>42.5</v>
      </c>
      <c r="E2712" s="62" t="s">
        <v>109</v>
      </c>
      <c r="F2712" s="62" t="s">
        <v>115</v>
      </c>
      <c r="G2712" s="64" t="s">
        <v>64</v>
      </c>
      <c r="H2712" s="3" t="s">
        <v>185</v>
      </c>
      <c r="I2712" s="65">
        <f>IFERROR(VLOOKUP(A2712,'3. Call duration'!$A:$C,3,0),"--")</f>
        <v>27.80108857</v>
      </c>
      <c r="J2712" s="65" t="str">
        <f t="array" ref="J2712">XLOOKUP(H2712,'2. Matching'!$A$2:$A$39,'2. Matching'!$B$2:$B$39,"--")</f>
        <v>SEO</v>
      </c>
      <c r="K2712" s="65" t="str">
        <f t="shared" si="1"/>
        <v>In</v>
      </c>
    </row>
    <row r="2713">
      <c r="A2713" s="62" t="s">
        <v>2851</v>
      </c>
      <c r="B2713" s="63">
        <v>44202.0</v>
      </c>
      <c r="C2713" s="62" t="s">
        <v>119</v>
      </c>
      <c r="D2713" s="64">
        <v>42.5</v>
      </c>
      <c r="E2713" s="62" t="s">
        <v>109</v>
      </c>
      <c r="F2713" s="62" t="s">
        <v>115</v>
      </c>
      <c r="G2713" s="64" t="s">
        <v>64</v>
      </c>
      <c r="H2713" s="3" t="s">
        <v>139</v>
      </c>
      <c r="I2713" s="65">
        <f>IFERROR(VLOOKUP(A2713,'3. Call duration'!$A:$C,3,0),"--")</f>
        <v>32.65405574</v>
      </c>
      <c r="J2713" s="65" t="str">
        <f t="array" ref="J2713">XLOOKUP(H2713,'2. Matching'!$A$2:$A$39,'2. Matching'!$B$2:$B$39,"--")</f>
        <v>Acquisition</v>
      </c>
      <c r="K2713" s="65" t="str">
        <f t="shared" si="1"/>
        <v>In</v>
      </c>
    </row>
    <row r="2714">
      <c r="A2714" s="62" t="s">
        <v>2852</v>
      </c>
      <c r="B2714" s="63">
        <v>44088.0</v>
      </c>
      <c r="C2714" s="62" t="s">
        <v>119</v>
      </c>
      <c r="D2714" s="64">
        <v>42.5</v>
      </c>
      <c r="E2714" s="62" t="s">
        <v>109</v>
      </c>
      <c r="F2714" s="62" t="s">
        <v>115</v>
      </c>
      <c r="G2714" s="64" t="s">
        <v>64</v>
      </c>
      <c r="H2714" s="3" t="s">
        <v>169</v>
      </c>
      <c r="I2714" s="65">
        <f>IFERROR(VLOOKUP(A2714,'3. Call duration'!$A:$C,3,0),"--")</f>
        <v>14.32168319</v>
      </c>
      <c r="J2714" s="65" t="str">
        <f t="array" ref="J2714">XLOOKUP(H2714,'2. Matching'!$A$2:$A$39,'2. Matching'!$B$2:$B$39,"--")</f>
        <v>SEO</v>
      </c>
      <c r="K2714" s="65" t="str">
        <f t="shared" si="1"/>
        <v>In</v>
      </c>
    </row>
    <row r="2715">
      <c r="A2715" s="62" t="s">
        <v>2853</v>
      </c>
      <c r="B2715" s="63">
        <v>44226.0</v>
      </c>
      <c r="C2715" s="62" t="s">
        <v>119</v>
      </c>
      <c r="D2715" s="64">
        <v>42.5</v>
      </c>
      <c r="E2715" s="62" t="s">
        <v>109</v>
      </c>
      <c r="F2715" s="62" t="s">
        <v>115</v>
      </c>
      <c r="G2715" s="64" t="s">
        <v>64</v>
      </c>
      <c r="H2715" s="3" t="s">
        <v>155</v>
      </c>
      <c r="I2715" s="65">
        <f>IFERROR(VLOOKUP(A2715,'3. Call duration'!$A:$C,3,0),"--")</f>
        <v>32.22570041</v>
      </c>
      <c r="J2715" s="65" t="str">
        <f t="array" ref="J2715">XLOOKUP(H2715,'2. Matching'!$A$2:$A$39,'2. Matching'!$B$2:$B$39,"--")</f>
        <v>SEO</v>
      </c>
      <c r="K2715" s="65" t="str">
        <f t="shared" si="1"/>
        <v>In</v>
      </c>
    </row>
    <row r="2716">
      <c r="A2716" s="62" t="s">
        <v>2854</v>
      </c>
      <c r="B2716" s="63">
        <v>44212.0</v>
      </c>
      <c r="C2716" s="62" t="s">
        <v>119</v>
      </c>
      <c r="D2716" s="64">
        <v>42.5</v>
      </c>
      <c r="E2716" s="62" t="s">
        <v>109</v>
      </c>
      <c r="F2716" s="62" t="s">
        <v>115</v>
      </c>
      <c r="G2716" s="64" t="s">
        <v>64</v>
      </c>
      <c r="H2716" s="3" t="s">
        <v>169</v>
      </c>
      <c r="I2716" s="65" t="str">
        <f>IFERROR(VLOOKUP(A2716,'3. Call duration'!$A:$C,3,0),"--")</f>
        <v>--</v>
      </c>
      <c r="J2716" s="65" t="str">
        <f t="array" ref="J2716">XLOOKUP(H2716,'2. Matching'!$A$2:$A$39,'2. Matching'!$B$2:$B$39,"--")</f>
        <v>SEO</v>
      </c>
      <c r="K2716" s="65" t="str">
        <f t="shared" si="1"/>
        <v>In</v>
      </c>
    </row>
    <row r="2717">
      <c r="A2717" s="62" t="s">
        <v>2855</v>
      </c>
      <c r="B2717" s="63">
        <v>44238.0</v>
      </c>
      <c r="C2717" s="62" t="s">
        <v>119</v>
      </c>
      <c r="D2717" s="64">
        <v>42.5</v>
      </c>
      <c r="E2717" s="62" t="s">
        <v>109</v>
      </c>
      <c r="F2717" s="62" t="s">
        <v>115</v>
      </c>
      <c r="G2717" s="64" t="s">
        <v>64</v>
      </c>
      <c r="H2717" s="3" t="s">
        <v>169</v>
      </c>
      <c r="I2717" s="65">
        <f>IFERROR(VLOOKUP(A2717,'3. Call duration'!$A:$C,3,0),"--")</f>
        <v>31.17624575</v>
      </c>
      <c r="J2717" s="65" t="str">
        <f t="array" ref="J2717">XLOOKUP(H2717,'2. Matching'!$A$2:$A$39,'2. Matching'!$B$2:$B$39,"--")</f>
        <v>SEO</v>
      </c>
      <c r="K2717" s="65" t="str">
        <f t="shared" si="1"/>
        <v>In</v>
      </c>
    </row>
    <row r="2718">
      <c r="A2718" s="62" t="s">
        <v>2856</v>
      </c>
      <c r="B2718" s="63">
        <v>44200.0</v>
      </c>
      <c r="C2718" s="62" t="s">
        <v>119</v>
      </c>
      <c r="D2718" s="64">
        <v>42.5</v>
      </c>
      <c r="E2718" s="62" t="s">
        <v>109</v>
      </c>
      <c r="F2718" s="62" t="s">
        <v>115</v>
      </c>
      <c r="G2718" s="64" t="s">
        <v>64</v>
      </c>
      <c r="H2718" s="3" t="s">
        <v>150</v>
      </c>
      <c r="I2718" s="65">
        <f>IFERROR(VLOOKUP(A2718,'3. Call duration'!$A:$C,3,0),"--")</f>
        <v>33.30749425</v>
      </c>
      <c r="J2718" s="65" t="str">
        <f t="array" ref="J2718">XLOOKUP(H2718,'2. Matching'!$A$2:$A$39,'2. Matching'!$B$2:$B$39,"--")</f>
        <v>SEO</v>
      </c>
      <c r="K2718" s="65" t="str">
        <f t="shared" si="1"/>
        <v>In</v>
      </c>
    </row>
    <row r="2719">
      <c r="A2719" s="62" t="s">
        <v>2857</v>
      </c>
      <c r="B2719" s="63">
        <v>44232.0</v>
      </c>
      <c r="C2719" s="62" t="s">
        <v>119</v>
      </c>
      <c r="D2719" s="64">
        <v>42.5</v>
      </c>
      <c r="E2719" s="62" t="s">
        <v>109</v>
      </c>
      <c r="F2719" s="62" t="s">
        <v>115</v>
      </c>
      <c r="G2719" s="64" t="s">
        <v>64</v>
      </c>
      <c r="H2719" s="3" t="s">
        <v>221</v>
      </c>
      <c r="I2719" s="65">
        <f>IFERROR(VLOOKUP(A2719,'3. Call duration'!$A:$C,3,0),"--")</f>
        <v>21.95211961</v>
      </c>
      <c r="J2719" s="65" t="str">
        <f t="array" ref="J2719">XLOOKUP(H2719,'2. Matching'!$A$2:$A$39,'2. Matching'!$B$2:$B$39,"--")</f>
        <v>Farming</v>
      </c>
      <c r="K2719" s="65" t="str">
        <f t="shared" si="1"/>
        <v>In</v>
      </c>
    </row>
    <row r="2720">
      <c r="A2720" s="62" t="s">
        <v>2858</v>
      </c>
      <c r="B2720" s="63">
        <v>44237.0</v>
      </c>
      <c r="C2720" s="62" t="s">
        <v>119</v>
      </c>
      <c r="D2720" s="64">
        <v>42.5</v>
      </c>
      <c r="E2720" s="62" t="s">
        <v>109</v>
      </c>
      <c r="F2720" s="62" t="s">
        <v>115</v>
      </c>
      <c r="G2720" s="64" t="s">
        <v>64</v>
      </c>
      <c r="H2720" s="3" t="s">
        <v>185</v>
      </c>
      <c r="I2720" s="65">
        <f>IFERROR(VLOOKUP(A2720,'3. Call duration'!$A:$C,3,0),"--")</f>
        <v>28.64799771</v>
      </c>
      <c r="J2720" s="65" t="str">
        <f t="array" ref="J2720">XLOOKUP(H2720,'2. Matching'!$A$2:$A$39,'2. Matching'!$B$2:$B$39,"--")</f>
        <v>SEO</v>
      </c>
      <c r="K2720" s="65" t="str">
        <f t="shared" si="1"/>
        <v>In</v>
      </c>
    </row>
    <row r="2721">
      <c r="A2721" s="62" t="s">
        <v>2859</v>
      </c>
      <c r="B2721" s="63">
        <v>44076.0</v>
      </c>
      <c r="C2721" s="62" t="s">
        <v>119</v>
      </c>
      <c r="D2721" s="64">
        <v>42.5</v>
      </c>
      <c r="E2721" s="62" t="s">
        <v>109</v>
      </c>
      <c r="F2721" s="62" t="s">
        <v>115</v>
      </c>
      <c r="G2721" s="64" t="s">
        <v>64</v>
      </c>
      <c r="H2721" s="3" t="s">
        <v>131</v>
      </c>
      <c r="I2721" s="65">
        <f>IFERROR(VLOOKUP(A2721,'3. Call duration'!$A:$C,3,0),"--")</f>
        <v>26.36259974</v>
      </c>
      <c r="J2721" s="65" t="str">
        <f t="array" ref="J2721">XLOOKUP(H2721,'2. Matching'!$A$2:$A$39,'2. Matching'!$B$2:$B$39,"--")</f>
        <v>Acquisition</v>
      </c>
      <c r="K2721" s="65" t="str">
        <f t="shared" si="1"/>
        <v>In</v>
      </c>
    </row>
    <row r="2722">
      <c r="A2722" s="62" t="s">
        <v>2860</v>
      </c>
      <c r="B2722" s="63">
        <v>44231.0</v>
      </c>
      <c r="C2722" s="62" t="s">
        <v>119</v>
      </c>
      <c r="D2722" s="64">
        <v>42.5</v>
      </c>
      <c r="E2722" s="62" t="s">
        <v>109</v>
      </c>
      <c r="F2722" s="62" t="s">
        <v>115</v>
      </c>
      <c r="G2722" s="64" t="s">
        <v>64</v>
      </c>
      <c r="H2722" s="3" t="s">
        <v>169</v>
      </c>
      <c r="I2722" s="65">
        <f>IFERROR(VLOOKUP(A2722,'3. Call duration'!$A:$C,3,0),"--")</f>
        <v>27.78086616</v>
      </c>
      <c r="J2722" s="65" t="str">
        <f t="array" ref="J2722">XLOOKUP(H2722,'2. Matching'!$A$2:$A$39,'2. Matching'!$B$2:$B$39,"--")</f>
        <v>SEO</v>
      </c>
      <c r="K2722" s="65" t="str">
        <f t="shared" si="1"/>
        <v>In</v>
      </c>
    </row>
    <row r="2723">
      <c r="A2723" s="62" t="s">
        <v>2861</v>
      </c>
      <c r="B2723" s="63">
        <v>44089.0</v>
      </c>
      <c r="C2723" s="62" t="s">
        <v>119</v>
      </c>
      <c r="D2723" s="64">
        <v>42.5</v>
      </c>
      <c r="E2723" s="62" t="s">
        <v>109</v>
      </c>
      <c r="F2723" s="62" t="s">
        <v>115</v>
      </c>
      <c r="G2723" s="64" t="s">
        <v>64</v>
      </c>
      <c r="H2723" s="3" t="s">
        <v>131</v>
      </c>
      <c r="I2723" s="65">
        <f>IFERROR(VLOOKUP(A2723,'3. Call duration'!$A:$C,3,0),"--")</f>
        <v>20.34001906</v>
      </c>
      <c r="J2723" s="65" t="str">
        <f t="array" ref="J2723">XLOOKUP(H2723,'2. Matching'!$A$2:$A$39,'2. Matching'!$B$2:$B$39,"--")</f>
        <v>Acquisition</v>
      </c>
      <c r="K2723" s="65" t="str">
        <f t="shared" si="1"/>
        <v>In</v>
      </c>
    </row>
    <row r="2724">
      <c r="A2724" s="62" t="s">
        <v>2862</v>
      </c>
      <c r="B2724" s="63">
        <v>44174.0</v>
      </c>
      <c r="C2724" s="62" t="s">
        <v>119</v>
      </c>
      <c r="D2724" s="64">
        <v>42.5</v>
      </c>
      <c r="E2724" s="62" t="s">
        <v>109</v>
      </c>
      <c r="F2724" s="62" t="s">
        <v>115</v>
      </c>
      <c r="G2724" s="64" t="s">
        <v>64</v>
      </c>
      <c r="H2724" s="3" t="s">
        <v>155</v>
      </c>
      <c r="I2724" s="65">
        <f>IFERROR(VLOOKUP(A2724,'3. Call duration'!$A:$C,3,0),"--")</f>
        <v>23.23560581</v>
      </c>
      <c r="J2724" s="65" t="str">
        <f t="array" ref="J2724">XLOOKUP(H2724,'2. Matching'!$A$2:$A$39,'2. Matching'!$B$2:$B$39,"--")</f>
        <v>SEO</v>
      </c>
      <c r="K2724" s="65" t="str">
        <f t="shared" si="1"/>
        <v>In</v>
      </c>
    </row>
    <row r="2725">
      <c r="A2725" s="62" t="s">
        <v>2863</v>
      </c>
      <c r="B2725" s="63">
        <v>44236.0</v>
      </c>
      <c r="C2725" s="62" t="s">
        <v>119</v>
      </c>
      <c r="D2725" s="64">
        <v>42.5</v>
      </c>
      <c r="E2725" s="62" t="s">
        <v>109</v>
      </c>
      <c r="F2725" s="62" t="s">
        <v>115</v>
      </c>
      <c r="G2725" s="64" t="s">
        <v>64</v>
      </c>
      <c r="H2725" s="3" t="s">
        <v>131</v>
      </c>
      <c r="I2725" s="65">
        <f>IFERROR(VLOOKUP(A2725,'3. Call duration'!$A:$C,3,0),"--")</f>
        <v>31.98668657</v>
      </c>
      <c r="J2725" s="65" t="str">
        <f t="array" ref="J2725">XLOOKUP(H2725,'2. Matching'!$A$2:$A$39,'2. Matching'!$B$2:$B$39,"--")</f>
        <v>Acquisition</v>
      </c>
      <c r="K2725" s="65" t="str">
        <f t="shared" si="1"/>
        <v>In</v>
      </c>
    </row>
    <row r="2726">
      <c r="A2726" s="62" t="s">
        <v>2864</v>
      </c>
      <c r="B2726" s="63">
        <v>44173.0</v>
      </c>
      <c r="C2726" s="62" t="s">
        <v>119</v>
      </c>
      <c r="D2726" s="64">
        <v>42.5</v>
      </c>
      <c r="E2726" s="62" t="s">
        <v>109</v>
      </c>
      <c r="F2726" s="62" t="s">
        <v>115</v>
      </c>
      <c r="G2726" s="64" t="s">
        <v>64</v>
      </c>
      <c r="H2726" s="3" t="s">
        <v>139</v>
      </c>
      <c r="I2726" s="65">
        <f>IFERROR(VLOOKUP(A2726,'3. Call duration'!$A:$C,3,0),"--")</f>
        <v>22.44063736</v>
      </c>
      <c r="J2726" s="65" t="str">
        <f t="array" ref="J2726">XLOOKUP(H2726,'2. Matching'!$A$2:$A$39,'2. Matching'!$B$2:$B$39,"--")</f>
        <v>Acquisition</v>
      </c>
      <c r="K2726" s="65" t="str">
        <f t="shared" si="1"/>
        <v>In</v>
      </c>
    </row>
    <row r="2727">
      <c r="A2727" s="62" t="s">
        <v>2865</v>
      </c>
      <c r="B2727" s="63">
        <v>44186.0</v>
      </c>
      <c r="C2727" s="62" t="s">
        <v>119</v>
      </c>
      <c r="D2727" s="64">
        <v>42.5</v>
      </c>
      <c r="E2727" s="62" t="s">
        <v>109</v>
      </c>
      <c r="F2727" s="62" t="s">
        <v>115</v>
      </c>
      <c r="G2727" s="64" t="s">
        <v>64</v>
      </c>
      <c r="H2727" s="3" t="s">
        <v>139</v>
      </c>
      <c r="I2727" s="65" t="str">
        <f>IFERROR(VLOOKUP(A2727,'3. Call duration'!$A:$C,3,0),"--")</f>
        <v>--</v>
      </c>
      <c r="J2727" s="65" t="str">
        <f t="array" ref="J2727">XLOOKUP(H2727,'2. Matching'!$A$2:$A$39,'2. Matching'!$B$2:$B$39,"--")</f>
        <v>Acquisition</v>
      </c>
      <c r="K2727" s="65" t="str">
        <f t="shared" si="1"/>
        <v>In</v>
      </c>
    </row>
    <row r="2728">
      <c r="A2728" s="62" t="s">
        <v>2866</v>
      </c>
      <c r="B2728" s="63">
        <v>44231.0</v>
      </c>
      <c r="C2728" s="62" t="s">
        <v>119</v>
      </c>
      <c r="D2728" s="64">
        <v>42.5</v>
      </c>
      <c r="E2728" s="62" t="s">
        <v>109</v>
      </c>
      <c r="F2728" s="62" t="s">
        <v>115</v>
      </c>
      <c r="G2728" s="64" t="s">
        <v>64</v>
      </c>
      <c r="H2728" s="3" t="s">
        <v>139</v>
      </c>
      <c r="I2728" s="65">
        <f>IFERROR(VLOOKUP(A2728,'3. Call duration'!$A:$C,3,0),"--")</f>
        <v>22.26873579</v>
      </c>
      <c r="J2728" s="65" t="str">
        <f t="array" ref="J2728">XLOOKUP(H2728,'2. Matching'!$A$2:$A$39,'2. Matching'!$B$2:$B$39,"--")</f>
        <v>Acquisition</v>
      </c>
      <c r="K2728" s="65" t="str">
        <f t="shared" si="1"/>
        <v>In</v>
      </c>
    </row>
    <row r="2729">
      <c r="A2729" s="62" t="s">
        <v>2867</v>
      </c>
      <c r="B2729" s="63">
        <v>44083.0</v>
      </c>
      <c r="C2729" s="62" t="s">
        <v>119</v>
      </c>
      <c r="D2729" s="64">
        <v>42.5</v>
      </c>
      <c r="E2729" s="62" t="s">
        <v>109</v>
      </c>
      <c r="F2729" s="62" t="s">
        <v>115</v>
      </c>
      <c r="G2729" s="64" t="s">
        <v>64</v>
      </c>
      <c r="H2729" s="3" t="s">
        <v>139</v>
      </c>
      <c r="I2729" s="65">
        <f>IFERROR(VLOOKUP(A2729,'3. Call duration'!$A:$C,3,0),"--")</f>
        <v>26.640246</v>
      </c>
      <c r="J2729" s="65" t="str">
        <f t="array" ref="J2729">XLOOKUP(H2729,'2. Matching'!$A$2:$A$39,'2. Matching'!$B$2:$B$39,"--")</f>
        <v>Acquisition</v>
      </c>
      <c r="K2729" s="65" t="str">
        <f t="shared" si="1"/>
        <v>In</v>
      </c>
    </row>
    <row r="2730">
      <c r="A2730" s="62" t="s">
        <v>2868</v>
      </c>
      <c r="B2730" s="63">
        <v>44237.0</v>
      </c>
      <c r="C2730" s="62" t="s">
        <v>119</v>
      </c>
      <c r="D2730" s="64">
        <v>42.5</v>
      </c>
      <c r="E2730" s="62" t="s">
        <v>109</v>
      </c>
      <c r="F2730" s="62" t="s">
        <v>115</v>
      </c>
      <c r="G2730" s="64" t="s">
        <v>64</v>
      </c>
      <c r="H2730" s="3" t="s">
        <v>164</v>
      </c>
      <c r="I2730" s="65">
        <f>IFERROR(VLOOKUP(A2730,'3. Call duration'!$A:$C,3,0),"--")</f>
        <v>23.41271802</v>
      </c>
      <c r="J2730" s="65" t="str">
        <f t="array" ref="J2730">XLOOKUP(H2730,'2. Matching'!$A$2:$A$39,'2. Matching'!$B$2:$B$39,"--")</f>
        <v>SEO</v>
      </c>
      <c r="K2730" s="65" t="str">
        <f t="shared" si="1"/>
        <v>In</v>
      </c>
    </row>
    <row r="2731">
      <c r="A2731" s="62" t="s">
        <v>2869</v>
      </c>
      <c r="B2731" s="63">
        <v>44098.0</v>
      </c>
      <c r="C2731" s="62" t="s">
        <v>119</v>
      </c>
      <c r="D2731" s="64">
        <v>42.5</v>
      </c>
      <c r="E2731" s="62" t="s">
        <v>109</v>
      </c>
      <c r="F2731" s="62" t="s">
        <v>115</v>
      </c>
      <c r="G2731" s="64" t="s">
        <v>64</v>
      </c>
      <c r="H2731" s="3" t="s">
        <v>164</v>
      </c>
      <c r="I2731" s="65">
        <f>IFERROR(VLOOKUP(A2731,'3. Call duration'!$A:$C,3,0),"--")</f>
        <v>23.25495643</v>
      </c>
      <c r="J2731" s="65" t="str">
        <f t="array" ref="J2731">XLOOKUP(H2731,'2. Matching'!$A$2:$A$39,'2. Matching'!$B$2:$B$39,"--")</f>
        <v>SEO</v>
      </c>
      <c r="K2731" s="65" t="str">
        <f t="shared" si="1"/>
        <v>In</v>
      </c>
    </row>
    <row r="2732">
      <c r="A2732" s="62" t="s">
        <v>2870</v>
      </c>
      <c r="B2732" s="63">
        <v>44221.0</v>
      </c>
      <c r="C2732" s="62" t="s">
        <v>119</v>
      </c>
      <c r="D2732" s="64">
        <v>42.5</v>
      </c>
      <c r="E2732" s="62" t="s">
        <v>109</v>
      </c>
      <c r="F2732" s="62" t="s">
        <v>115</v>
      </c>
      <c r="G2732" s="64" t="s">
        <v>62</v>
      </c>
      <c r="H2732" s="3" t="s">
        <v>294</v>
      </c>
      <c r="I2732" s="65">
        <f>IFERROR(VLOOKUP(A2732,'3. Call duration'!$A:$C,3,0),"--")</f>
        <v>10.30745521</v>
      </c>
      <c r="J2732" s="65" t="str">
        <f t="array" ref="J2732">XLOOKUP(H2732,'2. Matching'!$A$2:$A$39,'2. Matching'!$B$2:$B$39,"--")</f>
        <v>Farming</v>
      </c>
      <c r="K2732" s="65" t="str">
        <f t="shared" si="1"/>
        <v>In</v>
      </c>
    </row>
    <row r="2733">
      <c r="A2733" s="62" t="s">
        <v>2871</v>
      </c>
      <c r="B2733" s="63">
        <v>44099.0</v>
      </c>
      <c r="C2733" s="62" t="s">
        <v>119</v>
      </c>
      <c r="D2733" s="64">
        <v>42.5</v>
      </c>
      <c r="E2733" s="62" t="s">
        <v>109</v>
      </c>
      <c r="F2733" s="62" t="s">
        <v>115</v>
      </c>
      <c r="G2733" s="64" t="s">
        <v>64</v>
      </c>
      <c r="H2733" s="3" t="s">
        <v>131</v>
      </c>
      <c r="I2733" s="65">
        <f>IFERROR(VLOOKUP(A2733,'3. Call duration'!$A:$C,3,0),"--")</f>
        <v>33.58566502</v>
      </c>
      <c r="J2733" s="65" t="str">
        <f t="array" ref="J2733">XLOOKUP(H2733,'2. Matching'!$A$2:$A$39,'2. Matching'!$B$2:$B$39,"--")</f>
        <v>Acquisition</v>
      </c>
      <c r="K2733" s="65" t="str">
        <f t="shared" si="1"/>
        <v>In</v>
      </c>
    </row>
    <row r="2734">
      <c r="A2734" s="62" t="s">
        <v>2872</v>
      </c>
      <c r="B2734" s="63">
        <v>44236.0</v>
      </c>
      <c r="C2734" s="62" t="s">
        <v>119</v>
      </c>
      <c r="D2734" s="64">
        <v>42.5</v>
      </c>
      <c r="E2734" s="62" t="s">
        <v>109</v>
      </c>
      <c r="F2734" s="62" t="s">
        <v>115</v>
      </c>
      <c r="G2734" s="64" t="s">
        <v>64</v>
      </c>
      <c r="H2734" s="3" t="s">
        <v>169</v>
      </c>
      <c r="I2734" s="65">
        <f>IFERROR(VLOOKUP(A2734,'3. Call duration'!$A:$C,3,0),"--")</f>
        <v>32.51335416</v>
      </c>
      <c r="J2734" s="65" t="str">
        <f t="array" ref="J2734">XLOOKUP(H2734,'2. Matching'!$A$2:$A$39,'2. Matching'!$B$2:$B$39,"--")</f>
        <v>SEO</v>
      </c>
      <c r="K2734" s="65" t="str">
        <f t="shared" si="1"/>
        <v>In</v>
      </c>
    </row>
    <row r="2735">
      <c r="A2735" s="62" t="s">
        <v>2873</v>
      </c>
      <c r="B2735" s="63">
        <v>44180.0</v>
      </c>
      <c r="C2735" s="62" t="s">
        <v>119</v>
      </c>
      <c r="D2735" s="64">
        <v>42.5</v>
      </c>
      <c r="E2735" s="62" t="s">
        <v>109</v>
      </c>
      <c r="F2735" s="62" t="s">
        <v>115</v>
      </c>
      <c r="G2735" s="64" t="s">
        <v>64</v>
      </c>
      <c r="H2735" s="3" t="s">
        <v>164</v>
      </c>
      <c r="I2735" s="65">
        <f>IFERROR(VLOOKUP(A2735,'3. Call duration'!$A:$C,3,0),"--")</f>
        <v>22.87447195</v>
      </c>
      <c r="J2735" s="65" t="str">
        <f t="array" ref="J2735">XLOOKUP(H2735,'2. Matching'!$A$2:$A$39,'2. Matching'!$B$2:$B$39,"--")</f>
        <v>SEO</v>
      </c>
      <c r="K2735" s="65" t="str">
        <f t="shared" si="1"/>
        <v>In</v>
      </c>
    </row>
    <row r="2736">
      <c r="A2736" s="62" t="s">
        <v>2874</v>
      </c>
      <c r="B2736" s="63">
        <v>44124.0</v>
      </c>
      <c r="C2736" s="62" t="s">
        <v>119</v>
      </c>
      <c r="D2736" s="64">
        <v>42.5</v>
      </c>
      <c r="E2736" s="62" t="s">
        <v>109</v>
      </c>
      <c r="F2736" s="62" t="s">
        <v>115</v>
      </c>
      <c r="G2736" s="64" t="s">
        <v>64</v>
      </c>
      <c r="H2736" s="3" t="s">
        <v>139</v>
      </c>
      <c r="I2736" s="65">
        <f>IFERROR(VLOOKUP(A2736,'3. Call duration'!$A:$C,3,0),"--")</f>
        <v>23.0395815</v>
      </c>
      <c r="J2736" s="65" t="str">
        <f t="array" ref="J2736">XLOOKUP(H2736,'2. Matching'!$A$2:$A$39,'2. Matching'!$B$2:$B$39,"--")</f>
        <v>Acquisition</v>
      </c>
      <c r="K2736" s="65" t="str">
        <f t="shared" si="1"/>
        <v>In</v>
      </c>
    </row>
    <row r="2737">
      <c r="A2737" s="62" t="s">
        <v>2875</v>
      </c>
      <c r="B2737" s="63">
        <v>44079.0</v>
      </c>
      <c r="C2737" s="62" t="s">
        <v>119</v>
      </c>
      <c r="D2737" s="64">
        <v>42.5</v>
      </c>
      <c r="E2737" s="62" t="s">
        <v>109</v>
      </c>
      <c r="F2737" s="62" t="s">
        <v>115</v>
      </c>
      <c r="G2737" s="64" t="s">
        <v>64</v>
      </c>
      <c r="H2737" s="3" t="s">
        <v>139</v>
      </c>
      <c r="I2737" s="65">
        <f>IFERROR(VLOOKUP(A2737,'3. Call duration'!$A:$C,3,0),"--")</f>
        <v>28.64606472</v>
      </c>
      <c r="J2737" s="65" t="str">
        <f t="array" ref="J2737">XLOOKUP(H2737,'2. Matching'!$A$2:$A$39,'2. Matching'!$B$2:$B$39,"--")</f>
        <v>Acquisition</v>
      </c>
      <c r="K2737" s="65" t="str">
        <f t="shared" si="1"/>
        <v>In</v>
      </c>
    </row>
    <row r="2738">
      <c r="A2738" s="62" t="s">
        <v>2876</v>
      </c>
      <c r="B2738" s="63">
        <v>44078.0</v>
      </c>
      <c r="C2738" s="62" t="s">
        <v>119</v>
      </c>
      <c r="D2738" s="64">
        <v>42.5</v>
      </c>
      <c r="E2738" s="62" t="s">
        <v>109</v>
      </c>
      <c r="F2738" s="62" t="s">
        <v>115</v>
      </c>
      <c r="G2738" s="64" t="s">
        <v>64</v>
      </c>
      <c r="H2738" s="3" t="s">
        <v>155</v>
      </c>
      <c r="I2738" s="65">
        <f>IFERROR(VLOOKUP(A2738,'3. Call duration'!$A:$C,3,0),"--")</f>
        <v>20.49104579</v>
      </c>
      <c r="J2738" s="65" t="str">
        <f t="array" ref="J2738">XLOOKUP(H2738,'2. Matching'!$A$2:$A$39,'2. Matching'!$B$2:$B$39,"--")</f>
        <v>SEO</v>
      </c>
      <c r="K2738" s="65" t="str">
        <f t="shared" si="1"/>
        <v>In</v>
      </c>
    </row>
    <row r="2739">
      <c r="A2739" s="62" t="s">
        <v>2877</v>
      </c>
      <c r="B2739" s="63">
        <v>44125.0</v>
      </c>
      <c r="C2739" s="62" t="s">
        <v>119</v>
      </c>
      <c r="D2739" s="64">
        <v>42.5</v>
      </c>
      <c r="E2739" s="62" t="s">
        <v>109</v>
      </c>
      <c r="F2739" s="62" t="s">
        <v>115</v>
      </c>
      <c r="G2739" s="64" t="s">
        <v>64</v>
      </c>
      <c r="H2739" s="3" t="s">
        <v>150</v>
      </c>
      <c r="I2739" s="65">
        <f>IFERROR(VLOOKUP(A2739,'3. Call duration'!$A:$C,3,0),"--")</f>
        <v>32.62046274</v>
      </c>
      <c r="J2739" s="65" t="str">
        <f t="array" ref="J2739">XLOOKUP(H2739,'2. Matching'!$A$2:$A$39,'2. Matching'!$B$2:$B$39,"--")</f>
        <v>SEO</v>
      </c>
      <c r="K2739" s="65" t="str">
        <f t="shared" si="1"/>
        <v>In</v>
      </c>
    </row>
    <row r="2740">
      <c r="A2740" s="62" t="s">
        <v>2878</v>
      </c>
      <c r="B2740" s="63">
        <v>44210.0</v>
      </c>
      <c r="C2740" s="62" t="s">
        <v>119</v>
      </c>
      <c r="D2740" s="64">
        <v>42.5</v>
      </c>
      <c r="E2740" s="62" t="s">
        <v>109</v>
      </c>
      <c r="F2740" s="62" t="s">
        <v>115</v>
      </c>
      <c r="G2740" s="64" t="s">
        <v>64</v>
      </c>
      <c r="H2740" s="3" t="s">
        <v>169</v>
      </c>
      <c r="I2740" s="65">
        <f>IFERROR(VLOOKUP(A2740,'3. Call duration'!$A:$C,3,0),"--")</f>
        <v>24.58858299</v>
      </c>
      <c r="J2740" s="65" t="str">
        <f t="array" ref="J2740">XLOOKUP(H2740,'2. Matching'!$A$2:$A$39,'2. Matching'!$B$2:$B$39,"--")</f>
        <v>SEO</v>
      </c>
      <c r="K2740" s="65" t="str">
        <f t="shared" si="1"/>
        <v>In</v>
      </c>
    </row>
    <row r="2741">
      <c r="A2741" s="62" t="s">
        <v>2879</v>
      </c>
      <c r="B2741" s="63">
        <v>44134.0</v>
      </c>
      <c r="C2741" s="62" t="s">
        <v>119</v>
      </c>
      <c r="D2741" s="64">
        <v>42.5</v>
      </c>
      <c r="E2741" s="62" t="s">
        <v>109</v>
      </c>
      <c r="F2741" s="62" t="s">
        <v>115</v>
      </c>
      <c r="G2741" s="64" t="s">
        <v>64</v>
      </c>
      <c r="H2741" s="3" t="s">
        <v>139</v>
      </c>
      <c r="I2741" s="65">
        <f>IFERROR(VLOOKUP(A2741,'3. Call duration'!$A:$C,3,0),"--")</f>
        <v>33.10982541</v>
      </c>
      <c r="J2741" s="65" t="str">
        <f t="array" ref="J2741">XLOOKUP(H2741,'2. Matching'!$A$2:$A$39,'2. Matching'!$B$2:$B$39,"--")</f>
        <v>Acquisition</v>
      </c>
      <c r="K2741" s="65" t="str">
        <f t="shared" si="1"/>
        <v>In</v>
      </c>
    </row>
    <row r="2742">
      <c r="A2742" s="62" t="s">
        <v>2880</v>
      </c>
      <c r="B2742" s="63">
        <v>44204.0</v>
      </c>
      <c r="C2742" s="62" t="s">
        <v>119</v>
      </c>
      <c r="D2742" s="64">
        <v>42.5</v>
      </c>
      <c r="E2742" s="62" t="s">
        <v>109</v>
      </c>
      <c r="F2742" s="62" t="s">
        <v>110</v>
      </c>
      <c r="G2742" s="64" t="s">
        <v>64</v>
      </c>
      <c r="H2742" s="3" t="s">
        <v>131</v>
      </c>
      <c r="I2742" s="65">
        <f>IFERROR(VLOOKUP(A2742,'3. Call duration'!$A:$C,3,0),"--")</f>
        <v>30.70324106</v>
      </c>
      <c r="J2742" s="65" t="str">
        <f t="array" ref="J2742">XLOOKUP(H2742,'2. Matching'!$A$2:$A$39,'2. Matching'!$B$2:$B$39,"--")</f>
        <v>Acquisition</v>
      </c>
      <c r="K2742" s="65" t="str">
        <f t="shared" si="1"/>
        <v>In</v>
      </c>
    </row>
    <row r="2743">
      <c r="A2743" s="62" t="s">
        <v>2881</v>
      </c>
      <c r="B2743" s="63">
        <v>44145.0</v>
      </c>
      <c r="C2743" s="62" t="s">
        <v>119</v>
      </c>
      <c r="D2743" s="64">
        <v>42.5</v>
      </c>
      <c r="E2743" s="62" t="s">
        <v>109</v>
      </c>
      <c r="F2743" s="62" t="s">
        <v>115</v>
      </c>
      <c r="G2743" s="64" t="s">
        <v>62</v>
      </c>
      <c r="H2743" s="3" t="s">
        <v>286</v>
      </c>
      <c r="I2743" s="65">
        <f>IFERROR(VLOOKUP(A2743,'3. Call duration'!$A:$C,3,0),"--")</f>
        <v>49.90218113</v>
      </c>
      <c r="J2743" s="65" t="str">
        <f t="array" ref="J2743">XLOOKUP(H2743,'2. Matching'!$A$2:$A$39,'2. Matching'!$B$2:$B$39,"--")</f>
        <v>Farming</v>
      </c>
      <c r="K2743" s="65" t="str">
        <f t="shared" si="1"/>
        <v>In</v>
      </c>
    </row>
    <row r="2744">
      <c r="A2744" s="62" t="s">
        <v>2882</v>
      </c>
      <c r="B2744" s="63">
        <v>44200.0</v>
      </c>
      <c r="C2744" s="62" t="s">
        <v>119</v>
      </c>
      <c r="D2744" s="64">
        <v>42.5</v>
      </c>
      <c r="E2744" s="62" t="s">
        <v>109</v>
      </c>
      <c r="F2744" s="62" t="s">
        <v>115</v>
      </c>
      <c r="G2744" s="64" t="s">
        <v>64</v>
      </c>
      <c r="H2744" s="3" t="s">
        <v>175</v>
      </c>
      <c r="I2744" s="65">
        <f>IFERROR(VLOOKUP(A2744,'3. Call duration'!$A:$C,3,0),"--")</f>
        <v>28.79764636</v>
      </c>
      <c r="J2744" s="65" t="str">
        <f t="array" ref="J2744">XLOOKUP(H2744,'2. Matching'!$A$2:$A$39,'2. Matching'!$B$2:$B$39,"--")</f>
        <v>SEO</v>
      </c>
      <c r="K2744" s="65" t="str">
        <f t="shared" si="1"/>
        <v>In</v>
      </c>
    </row>
    <row r="2745">
      <c r="A2745" s="62" t="s">
        <v>2883</v>
      </c>
      <c r="B2745" s="63">
        <v>44104.0</v>
      </c>
      <c r="C2745" s="62" t="s">
        <v>119</v>
      </c>
      <c r="D2745" s="64">
        <v>42.5</v>
      </c>
      <c r="E2745" s="62" t="s">
        <v>109</v>
      </c>
      <c r="F2745" s="62" t="s">
        <v>115</v>
      </c>
      <c r="G2745" s="64" t="s">
        <v>112</v>
      </c>
      <c r="H2745" s="3"/>
      <c r="I2745" s="65">
        <f>IFERROR(VLOOKUP(A2745,'3. Call duration'!$A:$C,3,0),"--")</f>
        <v>30.93710758</v>
      </c>
      <c r="J2745" s="65" t="str">
        <f t="array" ref="J2745">XLOOKUP(H2745,'2. Matching'!$A$2:$A$39,'2. Matching'!$B$2:$B$39,"--")</f>
        <v>--</v>
      </c>
      <c r="K2745" s="65" t="str">
        <f t="shared" si="1"/>
        <v>In</v>
      </c>
    </row>
    <row r="2746">
      <c r="A2746" s="62" t="s">
        <v>2884</v>
      </c>
      <c r="B2746" s="63">
        <v>44110.0</v>
      </c>
      <c r="C2746" s="62" t="s">
        <v>119</v>
      </c>
      <c r="D2746" s="64">
        <v>42.5</v>
      </c>
      <c r="E2746" s="62" t="s">
        <v>109</v>
      </c>
      <c r="F2746" s="62" t="s">
        <v>115</v>
      </c>
      <c r="G2746" s="64" t="s">
        <v>64</v>
      </c>
      <c r="H2746" s="3" t="s">
        <v>131</v>
      </c>
      <c r="I2746" s="65">
        <f>IFERROR(VLOOKUP(A2746,'3. Call duration'!$A:$C,3,0),"--")</f>
        <v>32.36635371</v>
      </c>
      <c r="J2746" s="65" t="str">
        <f t="array" ref="J2746">XLOOKUP(H2746,'2. Matching'!$A$2:$A$39,'2. Matching'!$B$2:$B$39,"--")</f>
        <v>Acquisition</v>
      </c>
      <c r="K2746" s="65" t="str">
        <f t="shared" si="1"/>
        <v>In</v>
      </c>
    </row>
    <row r="2747">
      <c r="A2747" s="62" t="s">
        <v>2885</v>
      </c>
      <c r="B2747" s="63">
        <v>44206.0</v>
      </c>
      <c r="C2747" s="62" t="s">
        <v>119</v>
      </c>
      <c r="D2747" s="64">
        <v>42.5</v>
      </c>
      <c r="E2747" s="62" t="s">
        <v>109</v>
      </c>
      <c r="F2747" s="62" t="s">
        <v>110</v>
      </c>
      <c r="G2747" s="64" t="s">
        <v>64</v>
      </c>
      <c r="H2747" s="3" t="s">
        <v>139</v>
      </c>
      <c r="I2747" s="65">
        <f>IFERROR(VLOOKUP(A2747,'3. Call duration'!$A:$C,3,0),"--")</f>
        <v>33.49218727</v>
      </c>
      <c r="J2747" s="65" t="str">
        <f t="array" ref="J2747">XLOOKUP(H2747,'2. Matching'!$A$2:$A$39,'2. Matching'!$B$2:$B$39,"--")</f>
        <v>Acquisition</v>
      </c>
      <c r="K2747" s="65" t="str">
        <f t="shared" si="1"/>
        <v>In</v>
      </c>
    </row>
    <row r="2748">
      <c r="A2748" s="62" t="s">
        <v>2886</v>
      </c>
      <c r="B2748" s="63">
        <v>44221.0</v>
      </c>
      <c r="C2748" s="62" t="s">
        <v>119</v>
      </c>
      <c r="D2748" s="64">
        <v>42.5</v>
      </c>
      <c r="E2748" s="62" t="s">
        <v>109</v>
      </c>
      <c r="F2748" s="62" t="s">
        <v>115</v>
      </c>
      <c r="G2748" s="64" t="s">
        <v>64</v>
      </c>
      <c r="H2748" s="3" t="s">
        <v>155</v>
      </c>
      <c r="I2748" s="65">
        <f>IFERROR(VLOOKUP(A2748,'3. Call duration'!$A:$C,3,0),"--")</f>
        <v>23.03383172</v>
      </c>
      <c r="J2748" s="65" t="str">
        <f t="array" ref="J2748">XLOOKUP(H2748,'2. Matching'!$A$2:$A$39,'2. Matching'!$B$2:$B$39,"--")</f>
        <v>SEO</v>
      </c>
      <c r="K2748" s="65" t="str">
        <f t="shared" si="1"/>
        <v>In</v>
      </c>
    </row>
    <row r="2749">
      <c r="A2749" s="62" t="s">
        <v>2887</v>
      </c>
      <c r="B2749" s="63">
        <v>44107.0</v>
      </c>
      <c r="C2749" s="62" t="s">
        <v>119</v>
      </c>
      <c r="D2749" s="64">
        <v>42.5</v>
      </c>
      <c r="E2749" s="62" t="s">
        <v>109</v>
      </c>
      <c r="F2749" s="62" t="s">
        <v>115</v>
      </c>
      <c r="G2749" s="64" t="s">
        <v>64</v>
      </c>
      <c r="H2749" s="3" t="s">
        <v>169</v>
      </c>
      <c r="I2749" s="65" t="str">
        <f>IFERROR(VLOOKUP(A2749,'3. Call duration'!$A:$C,3,0),"--")</f>
        <v>--</v>
      </c>
      <c r="J2749" s="65" t="str">
        <f t="array" ref="J2749">XLOOKUP(H2749,'2. Matching'!$A$2:$A$39,'2. Matching'!$B$2:$B$39,"--")</f>
        <v>SEO</v>
      </c>
      <c r="K2749" s="65" t="str">
        <f t="shared" si="1"/>
        <v>In</v>
      </c>
    </row>
    <row r="2750">
      <c r="A2750" s="62" t="s">
        <v>2888</v>
      </c>
      <c r="B2750" s="63">
        <v>44127.0</v>
      </c>
      <c r="C2750" s="62" t="s">
        <v>119</v>
      </c>
      <c r="D2750" s="64">
        <v>42.5</v>
      </c>
      <c r="E2750" s="62" t="s">
        <v>109</v>
      </c>
      <c r="F2750" s="62" t="s">
        <v>110</v>
      </c>
      <c r="G2750" s="64" t="s">
        <v>64</v>
      </c>
      <c r="H2750" s="3" t="s">
        <v>139</v>
      </c>
      <c r="I2750" s="65">
        <f>IFERROR(VLOOKUP(A2750,'3. Call duration'!$A:$C,3,0),"--")</f>
        <v>28.67872063</v>
      </c>
      <c r="J2750" s="65" t="str">
        <f t="array" ref="J2750">XLOOKUP(H2750,'2. Matching'!$A$2:$A$39,'2. Matching'!$B$2:$B$39,"--")</f>
        <v>Acquisition</v>
      </c>
      <c r="K2750" s="65" t="str">
        <f t="shared" si="1"/>
        <v>In</v>
      </c>
    </row>
    <row r="2751">
      <c r="A2751" s="62" t="s">
        <v>2889</v>
      </c>
      <c r="B2751" s="63">
        <v>44239.0</v>
      </c>
      <c r="C2751" s="62" t="s">
        <v>119</v>
      </c>
      <c r="D2751" s="64">
        <v>42.5</v>
      </c>
      <c r="E2751" s="62" t="s">
        <v>109</v>
      </c>
      <c r="F2751" s="62" t="s">
        <v>115</v>
      </c>
      <c r="G2751" s="64" t="s">
        <v>64</v>
      </c>
      <c r="H2751" s="3" t="s">
        <v>164</v>
      </c>
      <c r="I2751" s="65">
        <f>IFERROR(VLOOKUP(A2751,'3. Call duration'!$A:$C,3,0),"--")</f>
        <v>26.80799808</v>
      </c>
      <c r="J2751" s="65" t="str">
        <f t="array" ref="J2751">XLOOKUP(H2751,'2. Matching'!$A$2:$A$39,'2. Matching'!$B$2:$B$39,"--")</f>
        <v>SEO</v>
      </c>
      <c r="K2751" s="65" t="str">
        <f t="shared" si="1"/>
        <v>In</v>
      </c>
    </row>
    <row r="2752">
      <c r="A2752" s="62" t="s">
        <v>2890</v>
      </c>
      <c r="B2752" s="63">
        <v>44200.0</v>
      </c>
      <c r="C2752" s="62" t="s">
        <v>119</v>
      </c>
      <c r="D2752" s="64">
        <v>42.5</v>
      </c>
      <c r="E2752" s="62" t="s">
        <v>109</v>
      </c>
      <c r="F2752" s="62" t="s">
        <v>110</v>
      </c>
      <c r="G2752" s="64" t="s">
        <v>64</v>
      </c>
      <c r="H2752" s="3" t="s">
        <v>116</v>
      </c>
      <c r="I2752" s="65">
        <f>IFERROR(VLOOKUP(A2752,'3. Call duration'!$A:$C,3,0),"--")</f>
        <v>31.70466977</v>
      </c>
      <c r="J2752" s="65" t="str">
        <f t="array" ref="J2752">XLOOKUP(H2752,'2. Matching'!$A$2:$A$39,'2. Matching'!$B$2:$B$39,"--")</f>
        <v>Acquisition</v>
      </c>
      <c r="K2752" s="65" t="str">
        <f t="shared" si="1"/>
        <v>In</v>
      </c>
    </row>
    <row r="2753">
      <c r="A2753" s="62" t="s">
        <v>2891</v>
      </c>
      <c r="B2753" s="63">
        <v>44238.0</v>
      </c>
      <c r="C2753" s="62" t="s">
        <v>119</v>
      </c>
      <c r="D2753" s="64">
        <v>42.5</v>
      </c>
      <c r="E2753" s="62" t="s">
        <v>109</v>
      </c>
      <c r="F2753" s="62" t="s">
        <v>115</v>
      </c>
      <c r="G2753" s="64" t="s">
        <v>64</v>
      </c>
      <c r="H2753" s="3" t="s">
        <v>164</v>
      </c>
      <c r="I2753" s="65" t="str">
        <f>IFERROR(VLOOKUP(A2753,'3. Call duration'!$A:$C,3,0),"--")</f>
        <v>--</v>
      </c>
      <c r="J2753" s="65" t="str">
        <f t="array" ref="J2753">XLOOKUP(H2753,'2. Matching'!$A$2:$A$39,'2. Matching'!$B$2:$B$39,"--")</f>
        <v>SEO</v>
      </c>
      <c r="K2753" s="65" t="str">
        <f t="shared" si="1"/>
        <v>In</v>
      </c>
    </row>
    <row r="2754">
      <c r="A2754" s="62" t="s">
        <v>2892</v>
      </c>
      <c r="B2754" s="63">
        <v>44155.0</v>
      </c>
      <c r="C2754" s="62" t="s">
        <v>119</v>
      </c>
      <c r="D2754" s="64">
        <v>42.5</v>
      </c>
      <c r="E2754" s="62" t="s">
        <v>109</v>
      </c>
      <c r="F2754" s="62" t="s">
        <v>115</v>
      </c>
      <c r="G2754" s="64" t="s">
        <v>64</v>
      </c>
      <c r="H2754" s="3" t="s">
        <v>131</v>
      </c>
      <c r="I2754" s="65" t="str">
        <f>IFERROR(VLOOKUP(A2754,'3. Call duration'!$A:$C,3,0),"--")</f>
        <v>--</v>
      </c>
      <c r="J2754" s="65" t="str">
        <f t="array" ref="J2754">XLOOKUP(H2754,'2. Matching'!$A$2:$A$39,'2. Matching'!$B$2:$B$39,"--")</f>
        <v>Acquisition</v>
      </c>
      <c r="K2754" s="65" t="str">
        <f t="shared" si="1"/>
        <v>In</v>
      </c>
    </row>
    <row r="2755">
      <c r="A2755" s="62" t="s">
        <v>2893</v>
      </c>
      <c r="B2755" s="63">
        <v>44165.0</v>
      </c>
      <c r="C2755" s="62" t="s">
        <v>119</v>
      </c>
      <c r="D2755" s="64">
        <v>42.5</v>
      </c>
      <c r="E2755" s="62" t="s">
        <v>109</v>
      </c>
      <c r="F2755" s="62" t="s">
        <v>115</v>
      </c>
      <c r="G2755" s="64" t="s">
        <v>64</v>
      </c>
      <c r="H2755" s="3" t="s">
        <v>131</v>
      </c>
      <c r="I2755" s="65">
        <f>IFERROR(VLOOKUP(A2755,'3. Call duration'!$A:$C,3,0),"--")</f>
        <v>24.95190064</v>
      </c>
      <c r="J2755" s="65" t="str">
        <f t="array" ref="J2755">XLOOKUP(H2755,'2. Matching'!$A$2:$A$39,'2. Matching'!$B$2:$B$39,"--")</f>
        <v>Acquisition</v>
      </c>
      <c r="K2755" s="65" t="str">
        <f t="shared" si="1"/>
        <v>In</v>
      </c>
    </row>
    <row r="2756">
      <c r="A2756" s="62" t="s">
        <v>2894</v>
      </c>
      <c r="B2756" s="63">
        <v>44216.0</v>
      </c>
      <c r="C2756" s="62" t="s">
        <v>119</v>
      </c>
      <c r="D2756" s="64">
        <v>42.5</v>
      </c>
      <c r="E2756" s="62" t="s">
        <v>109</v>
      </c>
      <c r="F2756" s="62" t="s">
        <v>115</v>
      </c>
      <c r="G2756" s="64" t="s">
        <v>64</v>
      </c>
      <c r="H2756" s="3" t="s">
        <v>164</v>
      </c>
      <c r="I2756" s="65">
        <f>IFERROR(VLOOKUP(A2756,'3. Call duration'!$A:$C,3,0),"--")</f>
        <v>31.9599683</v>
      </c>
      <c r="J2756" s="65" t="str">
        <f t="array" ref="J2756">XLOOKUP(H2756,'2. Matching'!$A$2:$A$39,'2. Matching'!$B$2:$B$39,"--")</f>
        <v>SEO</v>
      </c>
      <c r="K2756" s="65" t="str">
        <f t="shared" si="1"/>
        <v>In</v>
      </c>
    </row>
    <row r="2757">
      <c r="A2757" s="62" t="s">
        <v>2895</v>
      </c>
      <c r="B2757" s="63">
        <v>44235.0</v>
      </c>
      <c r="C2757" s="62" t="s">
        <v>119</v>
      </c>
      <c r="D2757" s="64">
        <v>42.5</v>
      </c>
      <c r="E2757" s="62" t="s">
        <v>109</v>
      </c>
      <c r="F2757" s="62" t="s">
        <v>115</v>
      </c>
      <c r="G2757" s="64" t="s">
        <v>112</v>
      </c>
      <c r="H2757" s="3"/>
      <c r="I2757" s="65">
        <f>IFERROR(VLOOKUP(A2757,'3. Call duration'!$A:$C,3,0),"--")</f>
        <v>34.66645455</v>
      </c>
      <c r="J2757" s="65" t="str">
        <f t="array" ref="J2757">XLOOKUP(H2757,'2. Matching'!$A$2:$A$39,'2. Matching'!$B$2:$B$39,"--")</f>
        <v>--</v>
      </c>
      <c r="K2757" s="65" t="str">
        <f t="shared" si="1"/>
        <v>In</v>
      </c>
    </row>
    <row r="2758">
      <c r="A2758" s="62" t="s">
        <v>2896</v>
      </c>
      <c r="B2758" s="63">
        <v>44173.0</v>
      </c>
      <c r="C2758" s="62" t="s">
        <v>119</v>
      </c>
      <c r="D2758" s="64">
        <v>42.5</v>
      </c>
      <c r="E2758" s="62" t="s">
        <v>109</v>
      </c>
      <c r="F2758" s="62" t="s">
        <v>115</v>
      </c>
      <c r="G2758" s="64" t="s">
        <v>64</v>
      </c>
      <c r="H2758" s="3" t="s">
        <v>139</v>
      </c>
      <c r="I2758" s="65">
        <f>IFERROR(VLOOKUP(A2758,'3. Call duration'!$A:$C,3,0),"--")</f>
        <v>25.75433622</v>
      </c>
      <c r="J2758" s="65" t="str">
        <f t="array" ref="J2758">XLOOKUP(H2758,'2. Matching'!$A$2:$A$39,'2. Matching'!$B$2:$B$39,"--")</f>
        <v>Acquisition</v>
      </c>
      <c r="K2758" s="65" t="str">
        <f t="shared" si="1"/>
        <v>In</v>
      </c>
    </row>
    <row r="2759">
      <c r="A2759" s="62" t="s">
        <v>2897</v>
      </c>
      <c r="B2759" s="63">
        <v>44180.0</v>
      </c>
      <c r="C2759" s="62" t="s">
        <v>119</v>
      </c>
      <c r="D2759" s="64">
        <v>42.5</v>
      </c>
      <c r="E2759" s="62" t="s">
        <v>109</v>
      </c>
      <c r="F2759" s="62" t="s">
        <v>110</v>
      </c>
      <c r="G2759" s="64" t="s">
        <v>64</v>
      </c>
      <c r="H2759" s="3" t="s">
        <v>175</v>
      </c>
      <c r="I2759" s="65">
        <f>IFERROR(VLOOKUP(A2759,'3. Call duration'!$A:$C,3,0),"--")</f>
        <v>22.79891646</v>
      </c>
      <c r="J2759" s="65" t="str">
        <f t="array" ref="J2759">XLOOKUP(H2759,'2. Matching'!$A$2:$A$39,'2. Matching'!$B$2:$B$39,"--")</f>
        <v>SEO</v>
      </c>
      <c r="K2759" s="65" t="str">
        <f t="shared" si="1"/>
        <v>In</v>
      </c>
    </row>
    <row r="2760">
      <c r="A2760" s="62" t="s">
        <v>2898</v>
      </c>
      <c r="B2760" s="63">
        <v>44116.0</v>
      </c>
      <c r="C2760" s="62" t="s">
        <v>119</v>
      </c>
      <c r="D2760" s="64">
        <v>42.5</v>
      </c>
      <c r="E2760" s="62" t="s">
        <v>109</v>
      </c>
      <c r="F2760" s="62" t="s">
        <v>115</v>
      </c>
      <c r="G2760" s="64" t="s">
        <v>64</v>
      </c>
      <c r="H2760" s="3" t="s">
        <v>155</v>
      </c>
      <c r="I2760" s="65">
        <f>IFERROR(VLOOKUP(A2760,'3. Call duration'!$A:$C,3,0),"--")</f>
        <v>23.10236168</v>
      </c>
      <c r="J2760" s="65" t="str">
        <f t="array" ref="J2760">XLOOKUP(H2760,'2. Matching'!$A$2:$A$39,'2. Matching'!$B$2:$B$39,"--")</f>
        <v>SEO</v>
      </c>
      <c r="K2760" s="65" t="str">
        <f t="shared" si="1"/>
        <v>In</v>
      </c>
    </row>
    <row r="2761">
      <c r="A2761" s="62" t="s">
        <v>2899</v>
      </c>
      <c r="B2761" s="63">
        <v>44228.0</v>
      </c>
      <c r="C2761" s="62" t="s">
        <v>119</v>
      </c>
      <c r="D2761" s="64">
        <v>42.5</v>
      </c>
      <c r="E2761" s="62" t="s">
        <v>109</v>
      </c>
      <c r="F2761" s="62" t="s">
        <v>115</v>
      </c>
      <c r="G2761" s="64" t="s">
        <v>112</v>
      </c>
      <c r="H2761" s="3"/>
      <c r="I2761" s="65">
        <f>IFERROR(VLOOKUP(A2761,'3. Call duration'!$A:$C,3,0),"--")</f>
        <v>23.64387802</v>
      </c>
      <c r="J2761" s="65" t="str">
        <f t="array" ref="J2761">XLOOKUP(H2761,'2. Matching'!$A$2:$A$39,'2. Matching'!$B$2:$B$39,"--")</f>
        <v>--</v>
      </c>
      <c r="K2761" s="65" t="str">
        <f t="shared" si="1"/>
        <v>In</v>
      </c>
    </row>
    <row r="2762">
      <c r="A2762" s="62" t="s">
        <v>2900</v>
      </c>
      <c r="B2762" s="63">
        <v>44157.0</v>
      </c>
      <c r="C2762" s="62" t="s">
        <v>119</v>
      </c>
      <c r="D2762" s="64">
        <v>42.5</v>
      </c>
      <c r="E2762" s="62" t="s">
        <v>109</v>
      </c>
      <c r="F2762" s="62" t="s">
        <v>115</v>
      </c>
      <c r="G2762" s="64" t="s">
        <v>64</v>
      </c>
      <c r="H2762" s="3" t="s">
        <v>139</v>
      </c>
      <c r="I2762" s="65">
        <f>IFERROR(VLOOKUP(A2762,'3. Call duration'!$A:$C,3,0),"--")</f>
        <v>28.15709679</v>
      </c>
      <c r="J2762" s="65" t="str">
        <f t="array" ref="J2762">XLOOKUP(H2762,'2. Matching'!$A$2:$A$39,'2. Matching'!$B$2:$B$39,"--")</f>
        <v>Acquisition</v>
      </c>
      <c r="K2762" s="65" t="str">
        <f t="shared" si="1"/>
        <v>In</v>
      </c>
    </row>
    <row r="2763">
      <c r="A2763" s="62" t="s">
        <v>2901</v>
      </c>
      <c r="B2763" s="63">
        <v>44124.0</v>
      </c>
      <c r="C2763" s="62" t="s">
        <v>119</v>
      </c>
      <c r="D2763" s="64">
        <v>42.5</v>
      </c>
      <c r="E2763" s="62" t="s">
        <v>109</v>
      </c>
      <c r="F2763" s="62" t="s">
        <v>115</v>
      </c>
      <c r="G2763" s="64" t="s">
        <v>64</v>
      </c>
      <c r="H2763" s="3" t="s">
        <v>164</v>
      </c>
      <c r="I2763" s="65">
        <f>IFERROR(VLOOKUP(A2763,'3. Call duration'!$A:$C,3,0),"--")</f>
        <v>13.17352743</v>
      </c>
      <c r="J2763" s="65" t="str">
        <f t="array" ref="J2763">XLOOKUP(H2763,'2. Matching'!$A$2:$A$39,'2. Matching'!$B$2:$B$39,"--")</f>
        <v>SEO</v>
      </c>
      <c r="K2763" s="65" t="str">
        <f t="shared" si="1"/>
        <v>In</v>
      </c>
    </row>
    <row r="2764">
      <c r="A2764" s="62" t="s">
        <v>2902</v>
      </c>
      <c r="B2764" s="63">
        <v>44228.0</v>
      </c>
      <c r="C2764" s="62" t="s">
        <v>119</v>
      </c>
      <c r="D2764" s="64">
        <v>42.5</v>
      </c>
      <c r="E2764" s="62" t="s">
        <v>109</v>
      </c>
      <c r="F2764" s="62" t="s">
        <v>115</v>
      </c>
      <c r="G2764" s="64" t="s">
        <v>64</v>
      </c>
      <c r="H2764" s="3" t="s">
        <v>185</v>
      </c>
      <c r="I2764" s="65">
        <f>IFERROR(VLOOKUP(A2764,'3. Call duration'!$A:$C,3,0),"--")</f>
        <v>20.24577488</v>
      </c>
      <c r="J2764" s="65" t="str">
        <f t="array" ref="J2764">XLOOKUP(H2764,'2. Matching'!$A$2:$A$39,'2. Matching'!$B$2:$B$39,"--")</f>
        <v>SEO</v>
      </c>
      <c r="K2764" s="65" t="str">
        <f t="shared" si="1"/>
        <v>In</v>
      </c>
    </row>
    <row r="2765">
      <c r="A2765" s="62" t="s">
        <v>2903</v>
      </c>
      <c r="B2765" s="63">
        <v>44237.0</v>
      </c>
      <c r="C2765" s="62" t="s">
        <v>119</v>
      </c>
      <c r="D2765" s="64">
        <v>42.5</v>
      </c>
      <c r="E2765" s="62" t="s">
        <v>109</v>
      </c>
      <c r="F2765" s="62" t="s">
        <v>110</v>
      </c>
      <c r="G2765" s="64" t="s">
        <v>64</v>
      </c>
      <c r="H2765" s="3" t="s">
        <v>175</v>
      </c>
      <c r="I2765" s="65">
        <f>IFERROR(VLOOKUP(A2765,'3. Call duration'!$A:$C,3,0),"--")</f>
        <v>27.98121152</v>
      </c>
      <c r="J2765" s="65" t="str">
        <f t="array" ref="J2765">XLOOKUP(H2765,'2. Matching'!$A$2:$A$39,'2. Matching'!$B$2:$B$39,"--")</f>
        <v>SEO</v>
      </c>
      <c r="K2765" s="65" t="str">
        <f t="shared" si="1"/>
        <v>In</v>
      </c>
    </row>
    <row r="2766">
      <c r="A2766" s="62" t="s">
        <v>2904</v>
      </c>
      <c r="B2766" s="63">
        <v>44223.0</v>
      </c>
      <c r="C2766" s="62" t="s">
        <v>119</v>
      </c>
      <c r="D2766" s="64">
        <v>42.5</v>
      </c>
      <c r="E2766" s="62" t="s">
        <v>109</v>
      </c>
      <c r="F2766" s="62" t="s">
        <v>110</v>
      </c>
      <c r="G2766" s="64" t="s">
        <v>62</v>
      </c>
      <c r="H2766" s="3" t="s">
        <v>294</v>
      </c>
      <c r="I2766" s="65" t="str">
        <f>IFERROR(VLOOKUP(A2766,'3. Call duration'!$A:$C,3,0),"--")</f>
        <v>--</v>
      </c>
      <c r="J2766" s="65" t="str">
        <f t="array" ref="J2766">XLOOKUP(H2766,'2. Matching'!$A$2:$A$39,'2. Matching'!$B$2:$B$39,"--")</f>
        <v>Farming</v>
      </c>
      <c r="K2766" s="65" t="str">
        <f t="shared" si="1"/>
        <v>In</v>
      </c>
    </row>
    <row r="2767">
      <c r="A2767" s="62" t="s">
        <v>2905</v>
      </c>
      <c r="B2767" s="63">
        <v>44137.0</v>
      </c>
      <c r="C2767" s="62" t="s">
        <v>119</v>
      </c>
      <c r="D2767" s="64">
        <v>42.5</v>
      </c>
      <c r="E2767" s="62" t="s">
        <v>109</v>
      </c>
      <c r="F2767" s="62" t="s">
        <v>115</v>
      </c>
      <c r="G2767" s="64" t="s">
        <v>62</v>
      </c>
      <c r="H2767" s="3" t="s">
        <v>294</v>
      </c>
      <c r="I2767" s="65">
        <f>IFERROR(VLOOKUP(A2767,'3. Call duration'!$A:$C,3,0),"--")</f>
        <v>29.07950548</v>
      </c>
      <c r="J2767" s="65" t="str">
        <f t="array" ref="J2767">XLOOKUP(H2767,'2. Matching'!$A$2:$A$39,'2. Matching'!$B$2:$B$39,"--")</f>
        <v>Farming</v>
      </c>
      <c r="K2767" s="65" t="str">
        <f t="shared" si="1"/>
        <v>In</v>
      </c>
    </row>
    <row r="2768">
      <c r="A2768" s="62" t="s">
        <v>2906</v>
      </c>
      <c r="B2768" s="63">
        <v>44084.0</v>
      </c>
      <c r="C2768" s="62" t="s">
        <v>119</v>
      </c>
      <c r="D2768" s="64">
        <v>42.5</v>
      </c>
      <c r="E2768" s="62" t="s">
        <v>109</v>
      </c>
      <c r="F2768" s="62" t="s">
        <v>115</v>
      </c>
      <c r="G2768" s="64" t="s">
        <v>64</v>
      </c>
      <c r="H2768" s="3" t="s">
        <v>139</v>
      </c>
      <c r="I2768" s="65">
        <f>IFERROR(VLOOKUP(A2768,'3. Call duration'!$A:$C,3,0),"--")</f>
        <v>10.87339723</v>
      </c>
      <c r="J2768" s="65" t="str">
        <f t="array" ref="J2768">XLOOKUP(H2768,'2. Matching'!$A$2:$A$39,'2. Matching'!$B$2:$B$39,"--")</f>
        <v>Acquisition</v>
      </c>
      <c r="K2768" s="65" t="str">
        <f t="shared" si="1"/>
        <v>In</v>
      </c>
    </row>
    <row r="2769">
      <c r="A2769" s="62" t="s">
        <v>2907</v>
      </c>
      <c r="B2769" s="63">
        <v>44235.0</v>
      </c>
      <c r="C2769" s="62" t="s">
        <v>119</v>
      </c>
      <c r="D2769" s="64">
        <v>42.5</v>
      </c>
      <c r="E2769" s="62" t="s">
        <v>109</v>
      </c>
      <c r="F2769" s="62" t="s">
        <v>115</v>
      </c>
      <c r="G2769" s="64" t="s">
        <v>64</v>
      </c>
      <c r="H2769" s="3" t="s">
        <v>139</v>
      </c>
      <c r="I2769" s="65">
        <f>IFERROR(VLOOKUP(A2769,'3. Call duration'!$A:$C,3,0),"--")</f>
        <v>32.27723075</v>
      </c>
      <c r="J2769" s="65" t="str">
        <f t="array" ref="J2769">XLOOKUP(H2769,'2. Matching'!$A$2:$A$39,'2. Matching'!$B$2:$B$39,"--")</f>
        <v>Acquisition</v>
      </c>
      <c r="K2769" s="65" t="str">
        <f t="shared" si="1"/>
        <v>In</v>
      </c>
    </row>
    <row r="2770">
      <c r="A2770" s="62" t="s">
        <v>2908</v>
      </c>
      <c r="B2770" s="63">
        <v>44126.0</v>
      </c>
      <c r="C2770" s="62" t="s">
        <v>119</v>
      </c>
      <c r="D2770" s="64">
        <v>42.5</v>
      </c>
      <c r="E2770" s="62" t="s">
        <v>109</v>
      </c>
      <c r="F2770" s="62" t="s">
        <v>115</v>
      </c>
      <c r="G2770" s="64" t="s">
        <v>64</v>
      </c>
      <c r="H2770" s="3" t="s">
        <v>131</v>
      </c>
      <c r="I2770" s="65">
        <f>IFERROR(VLOOKUP(A2770,'3. Call duration'!$A:$C,3,0),"--")</f>
        <v>28.99833343</v>
      </c>
      <c r="J2770" s="65" t="str">
        <f t="array" ref="J2770">XLOOKUP(H2770,'2. Matching'!$A$2:$A$39,'2. Matching'!$B$2:$B$39,"--")</f>
        <v>Acquisition</v>
      </c>
      <c r="K2770" s="65" t="str">
        <f t="shared" si="1"/>
        <v>In</v>
      </c>
    </row>
    <row r="2771">
      <c r="A2771" s="62" t="s">
        <v>2909</v>
      </c>
      <c r="B2771" s="63">
        <v>44106.0</v>
      </c>
      <c r="C2771" s="62" t="s">
        <v>119</v>
      </c>
      <c r="D2771" s="64">
        <v>42.5</v>
      </c>
      <c r="E2771" s="62" t="s">
        <v>109</v>
      </c>
      <c r="F2771" s="62" t="s">
        <v>115</v>
      </c>
      <c r="G2771" s="64" t="s">
        <v>64</v>
      </c>
      <c r="H2771" s="3" t="s">
        <v>139</v>
      </c>
      <c r="I2771" s="65">
        <f>IFERROR(VLOOKUP(A2771,'3. Call duration'!$A:$C,3,0),"--")</f>
        <v>27.79536902</v>
      </c>
      <c r="J2771" s="65" t="str">
        <f t="array" ref="J2771">XLOOKUP(H2771,'2. Matching'!$A$2:$A$39,'2. Matching'!$B$2:$B$39,"--")</f>
        <v>Acquisition</v>
      </c>
      <c r="K2771" s="65" t="str">
        <f t="shared" si="1"/>
        <v>In</v>
      </c>
    </row>
    <row r="2772">
      <c r="A2772" s="62" t="s">
        <v>2910</v>
      </c>
      <c r="B2772" s="63">
        <v>44212.0</v>
      </c>
      <c r="C2772" s="62" t="s">
        <v>119</v>
      </c>
      <c r="D2772" s="64">
        <v>42.5</v>
      </c>
      <c r="E2772" s="62" t="s">
        <v>109</v>
      </c>
      <c r="F2772" s="62" t="s">
        <v>115</v>
      </c>
      <c r="G2772" s="64" t="s">
        <v>64</v>
      </c>
      <c r="H2772" s="3" t="s">
        <v>131</v>
      </c>
      <c r="I2772" s="65">
        <f>IFERROR(VLOOKUP(A2772,'3. Call duration'!$A:$C,3,0),"--")</f>
        <v>32.76735438</v>
      </c>
      <c r="J2772" s="65" t="str">
        <f t="array" ref="J2772">XLOOKUP(H2772,'2. Matching'!$A$2:$A$39,'2. Matching'!$B$2:$B$39,"--")</f>
        <v>Acquisition</v>
      </c>
      <c r="K2772" s="65" t="str">
        <f t="shared" si="1"/>
        <v>In</v>
      </c>
    </row>
    <row r="2773">
      <c r="A2773" s="62" t="s">
        <v>2911</v>
      </c>
      <c r="B2773" s="63">
        <v>44249.0</v>
      </c>
      <c r="C2773" s="62" t="s">
        <v>119</v>
      </c>
      <c r="D2773" s="64">
        <v>42.5</v>
      </c>
      <c r="E2773" s="62" t="s">
        <v>109</v>
      </c>
      <c r="F2773" s="62" t="s">
        <v>110</v>
      </c>
      <c r="G2773" s="64" t="s">
        <v>64</v>
      </c>
      <c r="H2773" s="3" t="s">
        <v>297</v>
      </c>
      <c r="I2773" s="65">
        <f>IFERROR(VLOOKUP(A2773,'3. Call duration'!$A:$C,3,0),"--")</f>
        <v>27.1410231</v>
      </c>
      <c r="J2773" s="65" t="str">
        <f t="array" ref="J2773">XLOOKUP(H2773,'2. Matching'!$A$2:$A$39,'2. Matching'!$B$2:$B$39,"--")</f>
        <v>Farming</v>
      </c>
      <c r="K2773" s="65" t="str">
        <f t="shared" si="1"/>
        <v>In</v>
      </c>
    </row>
    <row r="2774">
      <c r="A2774" s="62" t="s">
        <v>2912</v>
      </c>
      <c r="B2774" s="63">
        <v>44121.0</v>
      </c>
      <c r="C2774" s="62" t="s">
        <v>119</v>
      </c>
      <c r="D2774" s="64">
        <v>42.5</v>
      </c>
      <c r="E2774" s="62" t="s">
        <v>109</v>
      </c>
      <c r="F2774" s="62" t="s">
        <v>115</v>
      </c>
      <c r="G2774" s="64" t="s">
        <v>64</v>
      </c>
      <c r="H2774" s="3" t="s">
        <v>139</v>
      </c>
      <c r="I2774" s="65">
        <f>IFERROR(VLOOKUP(A2774,'3. Call duration'!$A:$C,3,0),"--")</f>
        <v>29.43562087</v>
      </c>
      <c r="J2774" s="65" t="str">
        <f t="array" ref="J2774">XLOOKUP(H2774,'2. Matching'!$A$2:$A$39,'2. Matching'!$B$2:$B$39,"--")</f>
        <v>Acquisition</v>
      </c>
      <c r="K2774" s="65" t="str">
        <f t="shared" si="1"/>
        <v>In</v>
      </c>
    </row>
    <row r="2775">
      <c r="A2775" s="62" t="s">
        <v>2913</v>
      </c>
      <c r="B2775" s="63">
        <v>44237.0</v>
      </c>
      <c r="C2775" s="62" t="s">
        <v>119</v>
      </c>
      <c r="D2775" s="64">
        <v>42.5</v>
      </c>
      <c r="E2775" s="62" t="s">
        <v>109</v>
      </c>
      <c r="F2775" s="62" t="s">
        <v>115</v>
      </c>
      <c r="G2775" s="64" t="s">
        <v>64</v>
      </c>
      <c r="H2775" s="3" t="s">
        <v>175</v>
      </c>
      <c r="I2775" s="65">
        <f>IFERROR(VLOOKUP(A2775,'3. Call duration'!$A:$C,3,0),"--")</f>
        <v>28.25848163</v>
      </c>
      <c r="J2775" s="65" t="str">
        <f t="array" ref="J2775">XLOOKUP(H2775,'2. Matching'!$A$2:$A$39,'2. Matching'!$B$2:$B$39,"--")</f>
        <v>SEO</v>
      </c>
      <c r="K2775" s="65" t="str">
        <f t="shared" si="1"/>
        <v>In</v>
      </c>
    </row>
    <row r="2776">
      <c r="A2776" s="62" t="s">
        <v>2914</v>
      </c>
      <c r="B2776" s="63">
        <v>44151.0</v>
      </c>
      <c r="C2776" s="62" t="s">
        <v>119</v>
      </c>
      <c r="D2776" s="64">
        <v>42.5</v>
      </c>
      <c r="E2776" s="62" t="s">
        <v>109</v>
      </c>
      <c r="F2776" s="62" t="s">
        <v>115</v>
      </c>
      <c r="G2776" s="64" t="s">
        <v>64</v>
      </c>
      <c r="H2776" s="3" t="s">
        <v>131</v>
      </c>
      <c r="I2776" s="65">
        <f>IFERROR(VLOOKUP(A2776,'3. Call duration'!$A:$C,3,0),"--")</f>
        <v>25.21371595</v>
      </c>
      <c r="J2776" s="65" t="str">
        <f t="array" ref="J2776">XLOOKUP(H2776,'2. Matching'!$A$2:$A$39,'2. Matching'!$B$2:$B$39,"--")</f>
        <v>Acquisition</v>
      </c>
      <c r="K2776" s="65" t="str">
        <f t="shared" si="1"/>
        <v>In</v>
      </c>
    </row>
    <row r="2777">
      <c r="A2777" s="62" t="s">
        <v>2915</v>
      </c>
      <c r="B2777" s="63">
        <v>44179.0</v>
      </c>
      <c r="C2777" s="62" t="s">
        <v>119</v>
      </c>
      <c r="D2777" s="64">
        <v>42.5</v>
      </c>
      <c r="E2777" s="62" t="s">
        <v>109</v>
      </c>
      <c r="F2777" s="62" t="s">
        <v>115</v>
      </c>
      <c r="G2777" s="64" t="s">
        <v>64</v>
      </c>
      <c r="H2777" s="3" t="s">
        <v>175</v>
      </c>
      <c r="I2777" s="65">
        <f>IFERROR(VLOOKUP(A2777,'3. Call duration'!$A:$C,3,0),"--")</f>
        <v>28.81585492</v>
      </c>
      <c r="J2777" s="65" t="str">
        <f t="array" ref="J2777">XLOOKUP(H2777,'2. Matching'!$A$2:$A$39,'2. Matching'!$B$2:$B$39,"--")</f>
        <v>SEO</v>
      </c>
      <c r="K2777" s="65" t="str">
        <f t="shared" si="1"/>
        <v>In</v>
      </c>
    </row>
    <row r="2778">
      <c r="A2778" s="62" t="s">
        <v>2916</v>
      </c>
      <c r="B2778" s="63">
        <v>44239.0</v>
      </c>
      <c r="C2778" s="62" t="s">
        <v>119</v>
      </c>
      <c r="D2778" s="64">
        <v>42.5</v>
      </c>
      <c r="E2778" s="62" t="s">
        <v>109</v>
      </c>
      <c r="F2778" s="62" t="s">
        <v>115</v>
      </c>
      <c r="G2778" s="64" t="s">
        <v>64</v>
      </c>
      <c r="H2778" s="3" t="s">
        <v>221</v>
      </c>
      <c r="I2778" s="65">
        <f>IFERROR(VLOOKUP(A2778,'3. Call duration'!$A:$C,3,0),"--")</f>
        <v>35.4422315</v>
      </c>
      <c r="J2778" s="65" t="str">
        <f t="array" ref="J2778">XLOOKUP(H2778,'2. Matching'!$A$2:$A$39,'2. Matching'!$B$2:$B$39,"--")</f>
        <v>Farming</v>
      </c>
      <c r="K2778" s="65" t="str">
        <f t="shared" si="1"/>
        <v>In</v>
      </c>
    </row>
    <row r="2779">
      <c r="A2779" s="62" t="s">
        <v>2917</v>
      </c>
      <c r="B2779" s="63">
        <v>44243.0</v>
      </c>
      <c r="C2779" s="62" t="s">
        <v>119</v>
      </c>
      <c r="D2779" s="64">
        <v>42.5</v>
      </c>
      <c r="E2779" s="62" t="s">
        <v>109</v>
      </c>
      <c r="F2779" s="62" t="s">
        <v>110</v>
      </c>
      <c r="G2779" s="64" t="s">
        <v>63</v>
      </c>
      <c r="H2779" s="3" t="s">
        <v>189</v>
      </c>
      <c r="I2779" s="65">
        <f>IFERROR(VLOOKUP(A2779,'3. Call duration'!$A:$C,3,0),"--")</f>
        <v>28.66030072</v>
      </c>
      <c r="J2779" s="65" t="str">
        <f t="array" ref="J2779">XLOOKUP(H2779,'2. Matching'!$A$2:$A$39,'2. Matching'!$B$2:$B$39,"--")</f>
        <v>SEO</v>
      </c>
      <c r="K2779" s="65" t="str">
        <f t="shared" si="1"/>
        <v>Out</v>
      </c>
    </row>
    <row r="2780">
      <c r="A2780" s="62" t="s">
        <v>2918</v>
      </c>
      <c r="B2780" s="63">
        <v>44237.0</v>
      </c>
      <c r="C2780" s="62" t="s">
        <v>119</v>
      </c>
      <c r="D2780" s="64">
        <v>42.5</v>
      </c>
      <c r="E2780" s="62" t="s">
        <v>109</v>
      </c>
      <c r="F2780" s="62" t="s">
        <v>115</v>
      </c>
      <c r="G2780" s="64" t="s">
        <v>64</v>
      </c>
      <c r="H2780" s="3" t="s">
        <v>150</v>
      </c>
      <c r="I2780" s="65">
        <f>IFERROR(VLOOKUP(A2780,'3. Call duration'!$A:$C,3,0),"--")</f>
        <v>37.27629886</v>
      </c>
      <c r="J2780" s="65" t="str">
        <f t="array" ref="J2780">XLOOKUP(H2780,'2. Matching'!$A$2:$A$39,'2. Matching'!$B$2:$B$39,"--")</f>
        <v>SEO</v>
      </c>
      <c r="K2780" s="65" t="str">
        <f t="shared" si="1"/>
        <v>In</v>
      </c>
    </row>
    <row r="2781">
      <c r="A2781" s="62" t="s">
        <v>2919</v>
      </c>
      <c r="B2781" s="63">
        <v>44114.0</v>
      </c>
      <c r="C2781" s="62" t="s">
        <v>119</v>
      </c>
      <c r="D2781" s="64">
        <v>42.5</v>
      </c>
      <c r="E2781" s="62" t="s">
        <v>109</v>
      </c>
      <c r="F2781" s="62" t="s">
        <v>115</v>
      </c>
      <c r="G2781" s="64" t="s">
        <v>64</v>
      </c>
      <c r="H2781" s="3" t="s">
        <v>139</v>
      </c>
      <c r="I2781" s="65">
        <f>IFERROR(VLOOKUP(A2781,'3. Call duration'!$A:$C,3,0),"--")</f>
        <v>26.58403634</v>
      </c>
      <c r="J2781" s="65" t="str">
        <f t="array" ref="J2781">XLOOKUP(H2781,'2. Matching'!$A$2:$A$39,'2. Matching'!$B$2:$B$39,"--")</f>
        <v>Acquisition</v>
      </c>
      <c r="K2781" s="65" t="str">
        <f t="shared" si="1"/>
        <v>In</v>
      </c>
    </row>
    <row r="2782">
      <c r="A2782" s="62" t="s">
        <v>2920</v>
      </c>
      <c r="B2782" s="63">
        <v>44237.0</v>
      </c>
      <c r="C2782" s="62" t="s">
        <v>119</v>
      </c>
      <c r="D2782" s="64">
        <v>42.5</v>
      </c>
      <c r="E2782" s="62" t="s">
        <v>109</v>
      </c>
      <c r="F2782" s="62" t="s">
        <v>115</v>
      </c>
      <c r="G2782" s="64" t="s">
        <v>64</v>
      </c>
      <c r="H2782" s="3" t="s">
        <v>139</v>
      </c>
      <c r="I2782" s="65">
        <f>IFERROR(VLOOKUP(A2782,'3. Call duration'!$A:$C,3,0),"--")</f>
        <v>23.90687102</v>
      </c>
      <c r="J2782" s="65" t="str">
        <f t="array" ref="J2782">XLOOKUP(H2782,'2. Matching'!$A$2:$A$39,'2. Matching'!$B$2:$B$39,"--")</f>
        <v>Acquisition</v>
      </c>
      <c r="K2782" s="65" t="str">
        <f t="shared" si="1"/>
        <v>In</v>
      </c>
    </row>
    <row r="2783">
      <c r="A2783" s="62" t="s">
        <v>2921</v>
      </c>
      <c r="B2783" s="63">
        <v>44237.0</v>
      </c>
      <c r="C2783" s="62" t="s">
        <v>119</v>
      </c>
      <c r="D2783" s="64">
        <v>42.5</v>
      </c>
      <c r="E2783" s="62" t="s">
        <v>109</v>
      </c>
      <c r="F2783" s="62" t="s">
        <v>115</v>
      </c>
      <c r="G2783" s="64" t="s">
        <v>64</v>
      </c>
      <c r="H2783" s="3" t="s">
        <v>164</v>
      </c>
      <c r="I2783" s="65">
        <f>IFERROR(VLOOKUP(A2783,'3. Call duration'!$A:$C,3,0),"--")</f>
        <v>28.87865528</v>
      </c>
      <c r="J2783" s="65" t="str">
        <f t="array" ref="J2783">XLOOKUP(H2783,'2. Matching'!$A$2:$A$39,'2. Matching'!$B$2:$B$39,"--")</f>
        <v>SEO</v>
      </c>
      <c r="K2783" s="65" t="str">
        <f t="shared" si="1"/>
        <v>In</v>
      </c>
    </row>
    <row r="2784">
      <c r="A2784" s="62" t="s">
        <v>2922</v>
      </c>
      <c r="B2784" s="63">
        <v>44173.0</v>
      </c>
      <c r="C2784" s="62" t="s">
        <v>119</v>
      </c>
      <c r="D2784" s="64">
        <v>42.5</v>
      </c>
      <c r="E2784" s="62" t="s">
        <v>109</v>
      </c>
      <c r="F2784" s="62" t="s">
        <v>110</v>
      </c>
      <c r="G2784" s="64" t="s">
        <v>62</v>
      </c>
      <c r="H2784" s="3" t="s">
        <v>294</v>
      </c>
      <c r="I2784" s="65">
        <f>IFERROR(VLOOKUP(A2784,'3. Call duration'!$A:$C,3,0),"--")</f>
        <v>28.25807993</v>
      </c>
      <c r="J2784" s="65" t="str">
        <f t="array" ref="J2784">XLOOKUP(H2784,'2. Matching'!$A$2:$A$39,'2. Matching'!$B$2:$B$39,"--")</f>
        <v>Farming</v>
      </c>
      <c r="K2784" s="65" t="str">
        <f t="shared" si="1"/>
        <v>In</v>
      </c>
    </row>
    <row r="2785">
      <c r="A2785" s="62" t="s">
        <v>2923</v>
      </c>
      <c r="B2785" s="63">
        <v>44217.0</v>
      </c>
      <c r="C2785" s="62" t="s">
        <v>119</v>
      </c>
      <c r="D2785" s="64">
        <v>42.5</v>
      </c>
      <c r="E2785" s="62" t="s">
        <v>109</v>
      </c>
      <c r="F2785" s="62" t="s">
        <v>115</v>
      </c>
      <c r="G2785" s="64" t="s">
        <v>64</v>
      </c>
      <c r="H2785" s="3" t="s">
        <v>139</v>
      </c>
      <c r="I2785" s="65">
        <f>IFERROR(VLOOKUP(A2785,'3. Call duration'!$A:$C,3,0),"--")</f>
        <v>28.95625889</v>
      </c>
      <c r="J2785" s="65" t="str">
        <f t="array" ref="J2785">XLOOKUP(H2785,'2. Matching'!$A$2:$A$39,'2. Matching'!$B$2:$B$39,"--")</f>
        <v>Acquisition</v>
      </c>
      <c r="K2785" s="65" t="str">
        <f t="shared" si="1"/>
        <v>In</v>
      </c>
    </row>
    <row r="2786">
      <c r="A2786" s="62" t="s">
        <v>2924</v>
      </c>
      <c r="B2786" s="63">
        <v>44134.0</v>
      </c>
      <c r="C2786" s="62" t="s">
        <v>119</v>
      </c>
      <c r="D2786" s="64">
        <v>42.5</v>
      </c>
      <c r="E2786" s="62" t="s">
        <v>109</v>
      </c>
      <c r="F2786" s="62" t="s">
        <v>115</v>
      </c>
      <c r="G2786" s="64" t="s">
        <v>64</v>
      </c>
      <c r="H2786" s="3" t="s">
        <v>139</v>
      </c>
      <c r="I2786" s="65">
        <f>IFERROR(VLOOKUP(A2786,'3. Call duration'!$A:$C,3,0),"--")</f>
        <v>29.49522722</v>
      </c>
      <c r="J2786" s="65" t="str">
        <f t="array" ref="J2786">XLOOKUP(H2786,'2. Matching'!$A$2:$A$39,'2. Matching'!$B$2:$B$39,"--")</f>
        <v>Acquisition</v>
      </c>
      <c r="K2786" s="65" t="str">
        <f t="shared" si="1"/>
        <v>In</v>
      </c>
    </row>
    <row r="2787">
      <c r="A2787" s="62" t="s">
        <v>2925</v>
      </c>
      <c r="B2787" s="63">
        <v>44160.0</v>
      </c>
      <c r="C2787" s="62" t="s">
        <v>119</v>
      </c>
      <c r="D2787" s="64">
        <v>42.5</v>
      </c>
      <c r="E2787" s="62" t="s">
        <v>109</v>
      </c>
      <c r="F2787" s="62" t="s">
        <v>110</v>
      </c>
      <c r="G2787" s="64" t="s">
        <v>62</v>
      </c>
      <c r="H2787" s="3" t="s">
        <v>286</v>
      </c>
      <c r="I2787" s="65">
        <f>IFERROR(VLOOKUP(A2787,'3. Call duration'!$A:$C,3,0),"--")</f>
        <v>32.74100016</v>
      </c>
      <c r="J2787" s="65" t="str">
        <f t="array" ref="J2787">XLOOKUP(H2787,'2. Matching'!$A$2:$A$39,'2. Matching'!$B$2:$B$39,"--")</f>
        <v>Farming</v>
      </c>
      <c r="K2787" s="65" t="str">
        <f t="shared" si="1"/>
        <v>In</v>
      </c>
    </row>
    <row r="2788">
      <c r="A2788" s="62" t="s">
        <v>2926</v>
      </c>
      <c r="B2788" s="63">
        <v>44184.0</v>
      </c>
      <c r="C2788" s="62" t="s">
        <v>119</v>
      </c>
      <c r="D2788" s="64">
        <v>42.5</v>
      </c>
      <c r="E2788" s="62" t="s">
        <v>109</v>
      </c>
      <c r="F2788" s="62" t="s">
        <v>115</v>
      </c>
      <c r="G2788" s="64" t="s">
        <v>64</v>
      </c>
      <c r="H2788" s="3" t="s">
        <v>139</v>
      </c>
      <c r="I2788" s="65">
        <f>IFERROR(VLOOKUP(A2788,'3. Call duration'!$A:$C,3,0),"--")</f>
        <v>20.42004104</v>
      </c>
      <c r="J2788" s="65" t="str">
        <f t="array" ref="J2788">XLOOKUP(H2788,'2. Matching'!$A$2:$A$39,'2. Matching'!$B$2:$B$39,"--")</f>
        <v>Acquisition</v>
      </c>
      <c r="K2788" s="65" t="str">
        <f t="shared" si="1"/>
        <v>In</v>
      </c>
    </row>
    <row r="2789">
      <c r="A2789" s="62" t="s">
        <v>2927</v>
      </c>
      <c r="B2789" s="63">
        <v>44160.0</v>
      </c>
      <c r="C2789" s="62" t="s">
        <v>119</v>
      </c>
      <c r="D2789" s="64">
        <v>42.5</v>
      </c>
      <c r="E2789" s="62" t="s">
        <v>109</v>
      </c>
      <c r="F2789" s="62" t="s">
        <v>115</v>
      </c>
      <c r="G2789" s="64" t="s">
        <v>64</v>
      </c>
      <c r="H2789" s="3" t="s">
        <v>139</v>
      </c>
      <c r="I2789" s="65">
        <f>IFERROR(VLOOKUP(A2789,'3. Call duration'!$A:$C,3,0),"--")</f>
        <v>22.2148505</v>
      </c>
      <c r="J2789" s="65" t="str">
        <f t="array" ref="J2789">XLOOKUP(H2789,'2. Matching'!$A$2:$A$39,'2. Matching'!$B$2:$B$39,"--")</f>
        <v>Acquisition</v>
      </c>
      <c r="K2789" s="65" t="str">
        <f t="shared" si="1"/>
        <v>In</v>
      </c>
    </row>
    <row r="2790">
      <c r="A2790" s="62" t="s">
        <v>2928</v>
      </c>
      <c r="B2790" s="63">
        <v>44139.0</v>
      </c>
      <c r="C2790" s="62" t="s">
        <v>119</v>
      </c>
      <c r="D2790" s="64">
        <v>42.5</v>
      </c>
      <c r="E2790" s="62" t="s">
        <v>109</v>
      </c>
      <c r="F2790" s="62" t="s">
        <v>115</v>
      </c>
      <c r="G2790" s="64" t="s">
        <v>64</v>
      </c>
      <c r="H2790" s="3" t="s">
        <v>139</v>
      </c>
      <c r="I2790" s="65">
        <f>IFERROR(VLOOKUP(A2790,'3. Call duration'!$A:$C,3,0),"--")</f>
        <v>21.23098161</v>
      </c>
      <c r="J2790" s="65" t="str">
        <f t="array" ref="J2790">XLOOKUP(H2790,'2. Matching'!$A$2:$A$39,'2. Matching'!$B$2:$B$39,"--")</f>
        <v>Acquisition</v>
      </c>
      <c r="K2790" s="65" t="str">
        <f t="shared" si="1"/>
        <v>In</v>
      </c>
    </row>
    <row r="2791">
      <c r="A2791" s="62" t="s">
        <v>2929</v>
      </c>
      <c r="B2791" s="63">
        <v>44187.0</v>
      </c>
      <c r="C2791" s="62" t="s">
        <v>119</v>
      </c>
      <c r="D2791" s="64">
        <v>42.5</v>
      </c>
      <c r="E2791" s="62" t="s">
        <v>109</v>
      </c>
      <c r="F2791" s="62" t="s">
        <v>115</v>
      </c>
      <c r="G2791" s="64" t="s">
        <v>64</v>
      </c>
      <c r="H2791" s="3" t="s">
        <v>164</v>
      </c>
      <c r="I2791" s="65">
        <f>IFERROR(VLOOKUP(A2791,'3. Call duration'!$A:$C,3,0),"--")</f>
        <v>15.61657262</v>
      </c>
      <c r="J2791" s="65" t="str">
        <f t="array" ref="J2791">XLOOKUP(H2791,'2. Matching'!$A$2:$A$39,'2. Matching'!$B$2:$B$39,"--")</f>
        <v>SEO</v>
      </c>
      <c r="K2791" s="65" t="str">
        <f t="shared" si="1"/>
        <v>In</v>
      </c>
    </row>
    <row r="2792">
      <c r="A2792" s="62" t="s">
        <v>2930</v>
      </c>
      <c r="B2792" s="63">
        <v>44104.0</v>
      </c>
      <c r="C2792" s="62" t="s">
        <v>119</v>
      </c>
      <c r="D2792" s="64">
        <v>42.5</v>
      </c>
      <c r="E2792" s="62" t="s">
        <v>109</v>
      </c>
      <c r="F2792" s="62" t="s">
        <v>115</v>
      </c>
      <c r="G2792" s="64" t="s">
        <v>64</v>
      </c>
      <c r="H2792" s="3" t="s">
        <v>155</v>
      </c>
      <c r="I2792" s="65">
        <f>IFERROR(VLOOKUP(A2792,'3. Call duration'!$A:$C,3,0),"--")</f>
        <v>27.22442821</v>
      </c>
      <c r="J2792" s="65" t="str">
        <f t="array" ref="J2792">XLOOKUP(H2792,'2. Matching'!$A$2:$A$39,'2. Matching'!$B$2:$B$39,"--")</f>
        <v>SEO</v>
      </c>
      <c r="K2792" s="65" t="str">
        <f t="shared" si="1"/>
        <v>In</v>
      </c>
    </row>
    <row r="2793">
      <c r="A2793" s="62" t="s">
        <v>2931</v>
      </c>
      <c r="B2793" s="63">
        <v>44251.0</v>
      </c>
      <c r="C2793" s="62" t="s">
        <v>119</v>
      </c>
      <c r="D2793" s="64">
        <v>42.5</v>
      </c>
      <c r="E2793" s="62" t="s">
        <v>109</v>
      </c>
      <c r="F2793" s="62" t="s">
        <v>115</v>
      </c>
      <c r="G2793" s="64" t="s">
        <v>64</v>
      </c>
      <c r="H2793" s="3" t="s">
        <v>139</v>
      </c>
      <c r="I2793" s="65">
        <f>IFERROR(VLOOKUP(A2793,'3. Call duration'!$A:$C,3,0),"--")</f>
        <v>23.04199113</v>
      </c>
      <c r="J2793" s="65" t="str">
        <f t="array" ref="J2793">XLOOKUP(H2793,'2. Matching'!$A$2:$A$39,'2. Matching'!$B$2:$B$39,"--")</f>
        <v>Acquisition</v>
      </c>
      <c r="K2793" s="65" t="str">
        <f t="shared" si="1"/>
        <v>In</v>
      </c>
    </row>
    <row r="2794">
      <c r="A2794" s="62" t="s">
        <v>2932</v>
      </c>
      <c r="B2794" s="63">
        <v>44104.0</v>
      </c>
      <c r="C2794" s="62" t="s">
        <v>119</v>
      </c>
      <c r="D2794" s="64">
        <v>42.5</v>
      </c>
      <c r="E2794" s="62" t="s">
        <v>109</v>
      </c>
      <c r="F2794" s="62" t="s">
        <v>115</v>
      </c>
      <c r="G2794" s="64" t="s">
        <v>64</v>
      </c>
      <c r="H2794" s="3" t="s">
        <v>139</v>
      </c>
      <c r="I2794" s="65">
        <f>IFERROR(VLOOKUP(A2794,'3. Call duration'!$A:$C,3,0),"--")</f>
        <v>29.82072504</v>
      </c>
      <c r="J2794" s="65" t="str">
        <f t="array" ref="J2794">XLOOKUP(H2794,'2. Matching'!$A$2:$A$39,'2. Matching'!$B$2:$B$39,"--")</f>
        <v>Acquisition</v>
      </c>
      <c r="K2794" s="65" t="str">
        <f t="shared" si="1"/>
        <v>In</v>
      </c>
    </row>
    <row r="2795">
      <c r="A2795" s="62" t="s">
        <v>2933</v>
      </c>
      <c r="B2795" s="63">
        <v>44230.0</v>
      </c>
      <c r="C2795" s="62" t="s">
        <v>119</v>
      </c>
      <c r="D2795" s="64">
        <v>42.5</v>
      </c>
      <c r="E2795" s="62" t="s">
        <v>109</v>
      </c>
      <c r="F2795" s="62" t="s">
        <v>115</v>
      </c>
      <c r="G2795" s="64" t="s">
        <v>64</v>
      </c>
      <c r="H2795" s="3" t="s">
        <v>139</v>
      </c>
      <c r="I2795" s="65">
        <f>IFERROR(VLOOKUP(A2795,'3. Call duration'!$A:$C,3,0),"--")</f>
        <v>28.15668207</v>
      </c>
      <c r="J2795" s="65" t="str">
        <f t="array" ref="J2795">XLOOKUP(H2795,'2. Matching'!$A$2:$A$39,'2. Matching'!$B$2:$B$39,"--")</f>
        <v>Acquisition</v>
      </c>
      <c r="K2795" s="65" t="str">
        <f t="shared" si="1"/>
        <v>In</v>
      </c>
    </row>
    <row r="2796">
      <c r="A2796" s="62" t="s">
        <v>2934</v>
      </c>
      <c r="B2796" s="63">
        <v>44172.0</v>
      </c>
      <c r="C2796" s="62" t="s">
        <v>119</v>
      </c>
      <c r="D2796" s="64">
        <v>42.5</v>
      </c>
      <c r="E2796" s="62" t="s">
        <v>109</v>
      </c>
      <c r="F2796" s="62" t="s">
        <v>110</v>
      </c>
      <c r="G2796" s="64" t="s">
        <v>64</v>
      </c>
      <c r="H2796" s="3" t="s">
        <v>131</v>
      </c>
      <c r="I2796" s="65">
        <f>IFERROR(VLOOKUP(A2796,'3. Call duration'!$A:$C,3,0),"--")</f>
        <v>15.10785778</v>
      </c>
      <c r="J2796" s="65" t="str">
        <f t="array" ref="J2796">XLOOKUP(H2796,'2. Matching'!$A$2:$A$39,'2. Matching'!$B$2:$B$39,"--")</f>
        <v>Acquisition</v>
      </c>
      <c r="K2796" s="65" t="str">
        <f t="shared" si="1"/>
        <v>In</v>
      </c>
    </row>
    <row r="2797">
      <c r="A2797" s="62" t="s">
        <v>2935</v>
      </c>
      <c r="B2797" s="63">
        <v>44148.0</v>
      </c>
      <c r="C2797" s="62" t="s">
        <v>119</v>
      </c>
      <c r="D2797" s="64">
        <v>42.5</v>
      </c>
      <c r="E2797" s="62" t="s">
        <v>109</v>
      </c>
      <c r="F2797" s="62" t="s">
        <v>115</v>
      </c>
      <c r="G2797" s="64" t="s">
        <v>62</v>
      </c>
      <c r="H2797" s="3" t="s">
        <v>286</v>
      </c>
      <c r="I2797" s="65">
        <f>IFERROR(VLOOKUP(A2797,'3. Call duration'!$A:$C,3,0),"--")</f>
        <v>21.87207662</v>
      </c>
      <c r="J2797" s="65" t="str">
        <f t="array" ref="J2797">XLOOKUP(H2797,'2. Matching'!$A$2:$A$39,'2. Matching'!$B$2:$B$39,"--")</f>
        <v>Farming</v>
      </c>
      <c r="K2797" s="65" t="str">
        <f t="shared" si="1"/>
        <v>In</v>
      </c>
    </row>
    <row r="2798">
      <c r="A2798" s="62" t="s">
        <v>2936</v>
      </c>
      <c r="B2798" s="63">
        <v>44180.0</v>
      </c>
      <c r="C2798" s="62" t="s">
        <v>119</v>
      </c>
      <c r="D2798" s="64">
        <v>42.5</v>
      </c>
      <c r="E2798" s="62" t="s">
        <v>109</v>
      </c>
      <c r="F2798" s="62" t="s">
        <v>115</v>
      </c>
      <c r="G2798" s="64" t="s">
        <v>64</v>
      </c>
      <c r="H2798" s="3" t="s">
        <v>139</v>
      </c>
      <c r="I2798" s="65">
        <f>IFERROR(VLOOKUP(A2798,'3. Call duration'!$A:$C,3,0),"--")</f>
        <v>30.08744381</v>
      </c>
      <c r="J2798" s="65" t="str">
        <f t="array" ref="J2798">XLOOKUP(H2798,'2. Matching'!$A$2:$A$39,'2. Matching'!$B$2:$B$39,"--")</f>
        <v>Acquisition</v>
      </c>
      <c r="K2798" s="65" t="str">
        <f t="shared" si="1"/>
        <v>In</v>
      </c>
    </row>
    <row r="2799">
      <c r="A2799" s="62" t="s">
        <v>2937</v>
      </c>
      <c r="B2799" s="63">
        <v>44228.0</v>
      </c>
      <c r="C2799" s="62" t="s">
        <v>119</v>
      </c>
      <c r="D2799" s="64">
        <v>42.5</v>
      </c>
      <c r="E2799" s="62" t="s">
        <v>109</v>
      </c>
      <c r="F2799" s="62" t="s">
        <v>115</v>
      </c>
      <c r="G2799" s="64" t="s">
        <v>64</v>
      </c>
      <c r="H2799" s="3" t="s">
        <v>155</v>
      </c>
      <c r="I2799" s="65">
        <f>IFERROR(VLOOKUP(A2799,'3. Call duration'!$A:$C,3,0),"--")</f>
        <v>22.60981947</v>
      </c>
      <c r="J2799" s="65" t="str">
        <f t="array" ref="J2799">XLOOKUP(H2799,'2. Matching'!$A$2:$A$39,'2. Matching'!$B$2:$B$39,"--")</f>
        <v>SEO</v>
      </c>
      <c r="K2799" s="65" t="str">
        <f t="shared" si="1"/>
        <v>In</v>
      </c>
    </row>
    <row r="2800">
      <c r="A2800" s="62" t="s">
        <v>2938</v>
      </c>
      <c r="B2800" s="63">
        <v>44207.0</v>
      </c>
      <c r="C2800" s="62" t="s">
        <v>119</v>
      </c>
      <c r="D2800" s="64">
        <v>42.5</v>
      </c>
      <c r="E2800" s="62" t="s">
        <v>109</v>
      </c>
      <c r="F2800" s="62" t="s">
        <v>110</v>
      </c>
      <c r="G2800" s="64" t="s">
        <v>62</v>
      </c>
      <c r="H2800" s="3" t="s">
        <v>203</v>
      </c>
      <c r="I2800" s="65">
        <f>IFERROR(VLOOKUP(A2800,'3. Call duration'!$A:$C,3,0),"--")</f>
        <v>25.44270136</v>
      </c>
      <c r="J2800" s="65" t="str">
        <f t="array" ref="J2800">XLOOKUP(H2800,'2. Matching'!$A$2:$A$39,'2. Matching'!$B$2:$B$39,"--")</f>
        <v>Farming</v>
      </c>
      <c r="K2800" s="65" t="str">
        <f t="shared" si="1"/>
        <v>In</v>
      </c>
    </row>
    <row r="2801">
      <c r="A2801" s="62" t="s">
        <v>2939</v>
      </c>
      <c r="B2801" s="63">
        <v>44147.0</v>
      </c>
      <c r="C2801" s="62" t="s">
        <v>119</v>
      </c>
      <c r="D2801" s="64">
        <v>42.5</v>
      </c>
      <c r="E2801" s="62" t="s">
        <v>109</v>
      </c>
      <c r="F2801" s="62" t="s">
        <v>115</v>
      </c>
      <c r="G2801" s="64" t="s">
        <v>62</v>
      </c>
      <c r="H2801" s="3" t="s">
        <v>294</v>
      </c>
      <c r="I2801" s="65">
        <f>IFERROR(VLOOKUP(A2801,'3. Call duration'!$A:$C,3,0),"--")</f>
        <v>27.82977855</v>
      </c>
      <c r="J2801" s="65" t="str">
        <f t="array" ref="J2801">XLOOKUP(H2801,'2. Matching'!$A$2:$A$39,'2. Matching'!$B$2:$B$39,"--")</f>
        <v>Farming</v>
      </c>
      <c r="K2801" s="65" t="str">
        <f t="shared" si="1"/>
        <v>In</v>
      </c>
    </row>
    <row r="2802">
      <c r="A2802" s="62" t="s">
        <v>2940</v>
      </c>
      <c r="B2802" s="63">
        <v>44148.0</v>
      </c>
      <c r="C2802" s="62" t="s">
        <v>119</v>
      </c>
      <c r="D2802" s="64">
        <v>42.5</v>
      </c>
      <c r="E2802" s="62" t="s">
        <v>109</v>
      </c>
      <c r="F2802" s="62" t="s">
        <v>110</v>
      </c>
      <c r="G2802" s="64" t="s">
        <v>64</v>
      </c>
      <c r="H2802" s="3" t="s">
        <v>171</v>
      </c>
      <c r="I2802" s="65">
        <f>IFERROR(VLOOKUP(A2802,'3. Call duration'!$A:$C,3,0),"--")</f>
        <v>21.5894877</v>
      </c>
      <c r="J2802" s="65" t="str">
        <f t="array" ref="J2802">XLOOKUP(H2802,'2. Matching'!$A$2:$A$39,'2. Matching'!$B$2:$B$39,"--")</f>
        <v>SEO</v>
      </c>
      <c r="K2802" s="65" t="str">
        <f t="shared" si="1"/>
        <v>In</v>
      </c>
    </row>
    <row r="2803">
      <c r="A2803" s="62" t="s">
        <v>2941</v>
      </c>
      <c r="B2803" s="63">
        <v>44233.0</v>
      </c>
      <c r="C2803" s="62" t="s">
        <v>119</v>
      </c>
      <c r="D2803" s="64">
        <v>42.5</v>
      </c>
      <c r="E2803" s="62" t="s">
        <v>109</v>
      </c>
      <c r="F2803" s="62" t="s">
        <v>110</v>
      </c>
      <c r="G2803" s="64" t="s">
        <v>62</v>
      </c>
      <c r="H2803" s="3" t="s">
        <v>286</v>
      </c>
      <c r="I2803" s="65">
        <f>IFERROR(VLOOKUP(A2803,'3. Call duration'!$A:$C,3,0),"--")</f>
        <v>27.26131733</v>
      </c>
      <c r="J2803" s="65" t="str">
        <f t="array" ref="J2803">XLOOKUP(H2803,'2. Matching'!$A$2:$A$39,'2. Matching'!$B$2:$B$39,"--")</f>
        <v>Farming</v>
      </c>
      <c r="K2803" s="65" t="str">
        <f t="shared" si="1"/>
        <v>In</v>
      </c>
    </row>
    <row r="2804">
      <c r="A2804" s="62" t="s">
        <v>2942</v>
      </c>
      <c r="B2804" s="63">
        <v>44250.0</v>
      </c>
      <c r="C2804" s="62" t="s">
        <v>119</v>
      </c>
      <c r="D2804" s="64">
        <v>42.5</v>
      </c>
      <c r="E2804" s="62" t="s">
        <v>109</v>
      </c>
      <c r="F2804" s="62" t="s">
        <v>115</v>
      </c>
      <c r="G2804" s="64" t="s">
        <v>64</v>
      </c>
      <c r="H2804" s="3" t="s">
        <v>139</v>
      </c>
      <c r="I2804" s="65">
        <f>IFERROR(VLOOKUP(A2804,'3. Call duration'!$A:$C,3,0),"--")</f>
        <v>21.86178492</v>
      </c>
      <c r="J2804" s="65" t="str">
        <f t="array" ref="J2804">XLOOKUP(H2804,'2. Matching'!$A$2:$A$39,'2. Matching'!$B$2:$B$39,"--")</f>
        <v>Acquisition</v>
      </c>
      <c r="K2804" s="65" t="str">
        <f t="shared" si="1"/>
        <v>In</v>
      </c>
    </row>
    <row r="2805">
      <c r="A2805" s="62" t="s">
        <v>2943</v>
      </c>
      <c r="B2805" s="63">
        <v>44110.0</v>
      </c>
      <c r="C2805" s="62" t="s">
        <v>119</v>
      </c>
      <c r="D2805" s="64">
        <v>42.5</v>
      </c>
      <c r="E2805" s="62" t="s">
        <v>109</v>
      </c>
      <c r="F2805" s="62" t="s">
        <v>110</v>
      </c>
      <c r="G2805" s="64" t="s">
        <v>64</v>
      </c>
      <c r="H2805" s="3" t="s">
        <v>139</v>
      </c>
      <c r="I2805" s="65">
        <f>IFERROR(VLOOKUP(A2805,'3. Call duration'!$A:$C,3,0),"--")</f>
        <v>41.89166803</v>
      </c>
      <c r="J2805" s="65" t="str">
        <f t="array" ref="J2805">XLOOKUP(H2805,'2. Matching'!$A$2:$A$39,'2. Matching'!$B$2:$B$39,"--")</f>
        <v>Acquisition</v>
      </c>
      <c r="K2805" s="65" t="str">
        <f t="shared" si="1"/>
        <v>In</v>
      </c>
    </row>
    <row r="2806">
      <c r="A2806" s="62" t="s">
        <v>2944</v>
      </c>
      <c r="B2806" s="63">
        <v>44235.0</v>
      </c>
      <c r="C2806" s="62" t="s">
        <v>119</v>
      </c>
      <c r="D2806" s="64">
        <v>42.5</v>
      </c>
      <c r="E2806" s="62" t="s">
        <v>109</v>
      </c>
      <c r="F2806" s="62" t="s">
        <v>115</v>
      </c>
      <c r="G2806" s="64" t="s">
        <v>64</v>
      </c>
      <c r="H2806" s="3" t="s">
        <v>155</v>
      </c>
      <c r="I2806" s="65">
        <f>IFERROR(VLOOKUP(A2806,'3. Call duration'!$A:$C,3,0),"--")</f>
        <v>27.26440737</v>
      </c>
      <c r="J2806" s="65" t="str">
        <f t="array" ref="J2806">XLOOKUP(H2806,'2. Matching'!$A$2:$A$39,'2. Matching'!$B$2:$B$39,"--")</f>
        <v>SEO</v>
      </c>
      <c r="K2806" s="65" t="str">
        <f t="shared" si="1"/>
        <v>In</v>
      </c>
    </row>
    <row r="2807">
      <c r="A2807" s="62" t="s">
        <v>2945</v>
      </c>
      <c r="B2807" s="63">
        <v>44235.0</v>
      </c>
      <c r="C2807" s="62" t="s">
        <v>119</v>
      </c>
      <c r="D2807" s="64">
        <v>42.5</v>
      </c>
      <c r="E2807" s="62" t="s">
        <v>109</v>
      </c>
      <c r="F2807" s="62" t="s">
        <v>115</v>
      </c>
      <c r="G2807" s="64" t="s">
        <v>64</v>
      </c>
      <c r="H2807" s="3" t="s">
        <v>164</v>
      </c>
      <c r="I2807" s="65">
        <f>IFERROR(VLOOKUP(A2807,'3. Call duration'!$A:$C,3,0),"--")</f>
        <v>35.93957113</v>
      </c>
      <c r="J2807" s="65" t="str">
        <f t="array" ref="J2807">XLOOKUP(H2807,'2. Matching'!$A$2:$A$39,'2. Matching'!$B$2:$B$39,"--")</f>
        <v>SEO</v>
      </c>
      <c r="K2807" s="65" t="str">
        <f t="shared" si="1"/>
        <v>In</v>
      </c>
    </row>
    <row r="2808">
      <c r="A2808" s="62" t="s">
        <v>2946</v>
      </c>
      <c r="B2808" s="63">
        <v>44187.0</v>
      </c>
      <c r="C2808" s="62" t="s">
        <v>119</v>
      </c>
      <c r="D2808" s="64">
        <v>42.5</v>
      </c>
      <c r="E2808" s="62" t="s">
        <v>109</v>
      </c>
      <c r="F2808" s="62" t="s">
        <v>115</v>
      </c>
      <c r="G2808" s="64" t="s">
        <v>64</v>
      </c>
      <c r="H2808" s="3" t="s">
        <v>185</v>
      </c>
      <c r="I2808" s="65">
        <f>IFERROR(VLOOKUP(A2808,'3. Call duration'!$A:$C,3,0),"--")</f>
        <v>43.81124747</v>
      </c>
      <c r="J2808" s="65" t="str">
        <f t="array" ref="J2808">XLOOKUP(H2808,'2. Matching'!$A$2:$A$39,'2. Matching'!$B$2:$B$39,"--")</f>
        <v>SEO</v>
      </c>
      <c r="K2808" s="65" t="str">
        <f t="shared" si="1"/>
        <v>In</v>
      </c>
    </row>
    <row r="2809">
      <c r="A2809" s="62" t="s">
        <v>2947</v>
      </c>
      <c r="B2809" s="63">
        <v>44223.0</v>
      </c>
      <c r="C2809" s="62" t="s">
        <v>119</v>
      </c>
      <c r="D2809" s="64">
        <v>42.5</v>
      </c>
      <c r="E2809" s="62" t="s">
        <v>109</v>
      </c>
      <c r="F2809" s="62" t="s">
        <v>115</v>
      </c>
      <c r="G2809" s="64" t="s">
        <v>64</v>
      </c>
      <c r="H2809" s="3" t="s">
        <v>175</v>
      </c>
      <c r="I2809" s="65">
        <f>IFERROR(VLOOKUP(A2809,'3. Call duration'!$A:$C,3,0),"--")</f>
        <v>30.54250963</v>
      </c>
      <c r="J2809" s="65" t="str">
        <f t="array" ref="J2809">XLOOKUP(H2809,'2. Matching'!$A$2:$A$39,'2. Matching'!$B$2:$B$39,"--")</f>
        <v>SEO</v>
      </c>
      <c r="K2809" s="65" t="str">
        <f t="shared" si="1"/>
        <v>In</v>
      </c>
    </row>
    <row r="2810">
      <c r="A2810" s="62" t="s">
        <v>2948</v>
      </c>
      <c r="B2810" s="63">
        <v>44245.0</v>
      </c>
      <c r="C2810" s="62" t="s">
        <v>119</v>
      </c>
      <c r="D2810" s="64">
        <v>42.5</v>
      </c>
      <c r="E2810" s="62" t="s">
        <v>109</v>
      </c>
      <c r="F2810" s="62" t="s">
        <v>110</v>
      </c>
      <c r="G2810" s="64" t="s">
        <v>64</v>
      </c>
      <c r="H2810" s="3" t="s">
        <v>131</v>
      </c>
      <c r="I2810" s="65">
        <f>IFERROR(VLOOKUP(A2810,'3. Call duration'!$A:$C,3,0),"--")</f>
        <v>26.49346711</v>
      </c>
      <c r="J2810" s="65" t="str">
        <f t="array" ref="J2810">XLOOKUP(H2810,'2. Matching'!$A$2:$A$39,'2. Matching'!$B$2:$B$39,"--")</f>
        <v>Acquisition</v>
      </c>
      <c r="K2810" s="65" t="str">
        <f t="shared" si="1"/>
        <v>In</v>
      </c>
    </row>
    <row r="2811">
      <c r="A2811" s="62" t="s">
        <v>2949</v>
      </c>
      <c r="B2811" s="63">
        <v>44172.0</v>
      </c>
      <c r="C2811" s="62" t="s">
        <v>119</v>
      </c>
      <c r="D2811" s="64">
        <v>42.5</v>
      </c>
      <c r="E2811" s="62" t="s">
        <v>109</v>
      </c>
      <c r="F2811" s="62" t="s">
        <v>115</v>
      </c>
      <c r="G2811" s="64" t="s">
        <v>64</v>
      </c>
      <c r="H2811" s="3" t="s">
        <v>131</v>
      </c>
      <c r="I2811" s="65">
        <f>IFERROR(VLOOKUP(A2811,'3. Call duration'!$A:$C,3,0),"--")</f>
        <v>28.16061029</v>
      </c>
      <c r="J2811" s="65" t="str">
        <f t="array" ref="J2811">XLOOKUP(H2811,'2. Matching'!$A$2:$A$39,'2. Matching'!$B$2:$B$39,"--")</f>
        <v>Acquisition</v>
      </c>
      <c r="K2811" s="65" t="str">
        <f t="shared" si="1"/>
        <v>In</v>
      </c>
    </row>
    <row r="2812">
      <c r="A2812" s="62" t="s">
        <v>2950</v>
      </c>
      <c r="B2812" s="63">
        <v>44117.0</v>
      </c>
      <c r="C2812" s="62" t="s">
        <v>119</v>
      </c>
      <c r="D2812" s="64">
        <v>42.5</v>
      </c>
      <c r="E2812" s="62" t="s">
        <v>109</v>
      </c>
      <c r="F2812" s="62" t="s">
        <v>115</v>
      </c>
      <c r="G2812" s="64" t="s">
        <v>64</v>
      </c>
      <c r="H2812" s="3" t="s">
        <v>164</v>
      </c>
      <c r="I2812" s="65">
        <f>IFERROR(VLOOKUP(A2812,'3. Call duration'!$A:$C,3,0),"--")</f>
        <v>32.05867181</v>
      </c>
      <c r="J2812" s="65" t="str">
        <f t="array" ref="J2812">XLOOKUP(H2812,'2. Matching'!$A$2:$A$39,'2. Matching'!$B$2:$B$39,"--")</f>
        <v>SEO</v>
      </c>
      <c r="K2812" s="65" t="str">
        <f t="shared" si="1"/>
        <v>In</v>
      </c>
    </row>
    <row r="2813">
      <c r="A2813" s="62" t="s">
        <v>2951</v>
      </c>
      <c r="B2813" s="63">
        <v>44151.0</v>
      </c>
      <c r="C2813" s="62" t="s">
        <v>119</v>
      </c>
      <c r="D2813" s="64">
        <v>42.5</v>
      </c>
      <c r="E2813" s="62" t="s">
        <v>109</v>
      </c>
      <c r="F2813" s="62" t="s">
        <v>110</v>
      </c>
      <c r="G2813" s="64" t="s">
        <v>64</v>
      </c>
      <c r="H2813" s="3" t="s">
        <v>221</v>
      </c>
      <c r="I2813" s="65" t="str">
        <f>IFERROR(VLOOKUP(A2813,'3. Call duration'!$A:$C,3,0),"--")</f>
        <v>--</v>
      </c>
      <c r="J2813" s="65" t="str">
        <f t="array" ref="J2813">XLOOKUP(H2813,'2. Matching'!$A$2:$A$39,'2. Matching'!$B$2:$B$39,"--")</f>
        <v>Farming</v>
      </c>
      <c r="K2813" s="65" t="str">
        <f t="shared" si="1"/>
        <v>In</v>
      </c>
    </row>
    <row r="2814">
      <c r="A2814" s="62" t="s">
        <v>2952</v>
      </c>
      <c r="B2814" s="63">
        <v>44183.0</v>
      </c>
      <c r="C2814" s="62" t="s">
        <v>119</v>
      </c>
      <c r="D2814" s="64">
        <v>42.5</v>
      </c>
      <c r="E2814" s="62" t="s">
        <v>109</v>
      </c>
      <c r="F2814" s="62" t="s">
        <v>115</v>
      </c>
      <c r="G2814" s="64" t="s">
        <v>64</v>
      </c>
      <c r="H2814" s="3" t="s">
        <v>139</v>
      </c>
      <c r="I2814" s="65">
        <f>IFERROR(VLOOKUP(A2814,'3. Call duration'!$A:$C,3,0),"--")</f>
        <v>47.4168351</v>
      </c>
      <c r="J2814" s="65" t="str">
        <f t="array" ref="J2814">XLOOKUP(H2814,'2. Matching'!$A$2:$A$39,'2. Matching'!$B$2:$B$39,"--")</f>
        <v>Acquisition</v>
      </c>
      <c r="K2814" s="65" t="str">
        <f t="shared" si="1"/>
        <v>In</v>
      </c>
    </row>
    <row r="2815">
      <c r="A2815" s="62" t="s">
        <v>2953</v>
      </c>
      <c r="B2815" s="63">
        <v>44180.0</v>
      </c>
      <c r="C2815" s="62" t="s">
        <v>119</v>
      </c>
      <c r="D2815" s="64">
        <v>42.5</v>
      </c>
      <c r="E2815" s="62" t="s">
        <v>109</v>
      </c>
      <c r="F2815" s="62" t="s">
        <v>115</v>
      </c>
      <c r="G2815" s="64" t="s">
        <v>64</v>
      </c>
      <c r="H2815" s="3" t="s">
        <v>139</v>
      </c>
      <c r="I2815" s="65">
        <f>IFERROR(VLOOKUP(A2815,'3. Call duration'!$A:$C,3,0),"--")</f>
        <v>25.09957086</v>
      </c>
      <c r="J2815" s="65" t="str">
        <f t="array" ref="J2815">XLOOKUP(H2815,'2. Matching'!$A$2:$A$39,'2. Matching'!$B$2:$B$39,"--")</f>
        <v>Acquisition</v>
      </c>
      <c r="K2815" s="65" t="str">
        <f t="shared" si="1"/>
        <v>In</v>
      </c>
    </row>
    <row r="2816">
      <c r="A2816" s="62" t="s">
        <v>2954</v>
      </c>
      <c r="B2816" s="63">
        <v>44075.0</v>
      </c>
      <c r="C2816" s="62" t="s">
        <v>119</v>
      </c>
      <c r="D2816" s="64">
        <v>42.5</v>
      </c>
      <c r="E2816" s="62" t="s">
        <v>109</v>
      </c>
      <c r="F2816" s="62" t="s">
        <v>115</v>
      </c>
      <c r="G2816" s="64" t="s">
        <v>64</v>
      </c>
      <c r="H2816" s="3" t="s">
        <v>169</v>
      </c>
      <c r="I2816" s="65">
        <f>IFERROR(VLOOKUP(A2816,'3. Call duration'!$A:$C,3,0),"--")</f>
        <v>20.00846421</v>
      </c>
      <c r="J2816" s="65" t="str">
        <f t="array" ref="J2816">XLOOKUP(H2816,'2. Matching'!$A$2:$A$39,'2. Matching'!$B$2:$B$39,"--")</f>
        <v>SEO</v>
      </c>
      <c r="K2816" s="65" t="str">
        <f t="shared" si="1"/>
        <v>In</v>
      </c>
    </row>
    <row r="2817">
      <c r="A2817" s="62" t="s">
        <v>2955</v>
      </c>
      <c r="B2817" s="63">
        <v>44104.0</v>
      </c>
      <c r="C2817" s="62" t="s">
        <v>119</v>
      </c>
      <c r="D2817" s="64">
        <v>42.5</v>
      </c>
      <c r="E2817" s="62" t="s">
        <v>109</v>
      </c>
      <c r="F2817" s="62" t="s">
        <v>115</v>
      </c>
      <c r="G2817" s="64" t="s">
        <v>64</v>
      </c>
      <c r="H2817" s="3" t="s">
        <v>139</v>
      </c>
      <c r="I2817" s="65">
        <f>IFERROR(VLOOKUP(A2817,'3. Call duration'!$A:$C,3,0),"--")</f>
        <v>20.95216263</v>
      </c>
      <c r="J2817" s="65" t="str">
        <f t="array" ref="J2817">XLOOKUP(H2817,'2. Matching'!$A$2:$A$39,'2. Matching'!$B$2:$B$39,"--")</f>
        <v>Acquisition</v>
      </c>
      <c r="K2817" s="65" t="str">
        <f t="shared" si="1"/>
        <v>In</v>
      </c>
    </row>
    <row r="2818">
      <c r="A2818" s="62" t="s">
        <v>2956</v>
      </c>
      <c r="B2818" s="63">
        <v>44216.0</v>
      </c>
      <c r="C2818" s="62" t="s">
        <v>119</v>
      </c>
      <c r="D2818" s="64">
        <v>42.5</v>
      </c>
      <c r="E2818" s="62" t="s">
        <v>109</v>
      </c>
      <c r="F2818" s="62" t="s">
        <v>110</v>
      </c>
      <c r="G2818" s="64" t="s">
        <v>64</v>
      </c>
      <c r="H2818" s="3" t="s">
        <v>131</v>
      </c>
      <c r="I2818" s="65">
        <f>IFERROR(VLOOKUP(A2818,'3. Call duration'!$A:$C,3,0),"--")</f>
        <v>32.36215109</v>
      </c>
      <c r="J2818" s="65" t="str">
        <f t="array" ref="J2818">XLOOKUP(H2818,'2. Matching'!$A$2:$A$39,'2. Matching'!$B$2:$B$39,"--")</f>
        <v>Acquisition</v>
      </c>
      <c r="K2818" s="65" t="str">
        <f t="shared" si="1"/>
        <v>In</v>
      </c>
    </row>
    <row r="2819">
      <c r="A2819" s="62" t="s">
        <v>2957</v>
      </c>
      <c r="B2819" s="63">
        <v>44110.0</v>
      </c>
      <c r="C2819" s="62" t="s">
        <v>119</v>
      </c>
      <c r="D2819" s="64">
        <v>42.5</v>
      </c>
      <c r="E2819" s="62" t="s">
        <v>109</v>
      </c>
      <c r="F2819" s="62" t="s">
        <v>110</v>
      </c>
      <c r="G2819" s="64" t="s">
        <v>64</v>
      </c>
      <c r="H2819" s="3" t="s">
        <v>139</v>
      </c>
      <c r="I2819" s="65">
        <f>IFERROR(VLOOKUP(A2819,'3. Call duration'!$A:$C,3,0),"--")</f>
        <v>12.96572268</v>
      </c>
      <c r="J2819" s="65" t="str">
        <f t="array" ref="J2819">XLOOKUP(H2819,'2. Matching'!$A$2:$A$39,'2. Matching'!$B$2:$B$39,"--")</f>
        <v>Acquisition</v>
      </c>
      <c r="K2819" s="65" t="str">
        <f t="shared" si="1"/>
        <v>In</v>
      </c>
    </row>
    <row r="2820">
      <c r="A2820" s="62" t="s">
        <v>2958</v>
      </c>
      <c r="B2820" s="63">
        <v>44202.0</v>
      </c>
      <c r="C2820" s="62" t="s">
        <v>119</v>
      </c>
      <c r="D2820" s="64">
        <v>42.5</v>
      </c>
      <c r="E2820" s="62" t="s">
        <v>109</v>
      </c>
      <c r="F2820" s="62" t="s">
        <v>115</v>
      </c>
      <c r="G2820" s="64" t="s">
        <v>64</v>
      </c>
      <c r="H2820" s="3" t="s">
        <v>139</v>
      </c>
      <c r="I2820" s="65">
        <f>IFERROR(VLOOKUP(A2820,'3. Call duration'!$A:$C,3,0),"--")</f>
        <v>29.95908215</v>
      </c>
      <c r="J2820" s="65" t="str">
        <f t="array" ref="J2820">XLOOKUP(H2820,'2. Matching'!$A$2:$A$39,'2. Matching'!$B$2:$B$39,"--")</f>
        <v>Acquisition</v>
      </c>
      <c r="K2820" s="65" t="str">
        <f t="shared" si="1"/>
        <v>In</v>
      </c>
    </row>
    <row r="2821">
      <c r="A2821" s="62" t="s">
        <v>2959</v>
      </c>
      <c r="B2821" s="63">
        <v>44105.0</v>
      </c>
      <c r="C2821" s="62" t="s">
        <v>119</v>
      </c>
      <c r="D2821" s="64">
        <v>42.5</v>
      </c>
      <c r="E2821" s="62" t="s">
        <v>109</v>
      </c>
      <c r="F2821" s="62" t="s">
        <v>115</v>
      </c>
      <c r="G2821" s="64" t="s">
        <v>64</v>
      </c>
      <c r="H2821" s="3" t="s">
        <v>139</v>
      </c>
      <c r="I2821" s="65">
        <f>IFERROR(VLOOKUP(A2821,'3. Call duration'!$A:$C,3,0),"--")</f>
        <v>40.89771335</v>
      </c>
      <c r="J2821" s="65" t="str">
        <f t="array" ref="J2821">XLOOKUP(H2821,'2. Matching'!$A$2:$A$39,'2. Matching'!$B$2:$B$39,"--")</f>
        <v>Acquisition</v>
      </c>
      <c r="K2821" s="65" t="str">
        <f t="shared" si="1"/>
        <v>In</v>
      </c>
    </row>
    <row r="2822">
      <c r="A2822" s="62" t="s">
        <v>2960</v>
      </c>
      <c r="B2822" s="63">
        <v>44076.0</v>
      </c>
      <c r="C2822" s="62" t="s">
        <v>119</v>
      </c>
      <c r="D2822" s="64">
        <v>42.5</v>
      </c>
      <c r="E2822" s="62" t="s">
        <v>109</v>
      </c>
      <c r="F2822" s="62" t="s">
        <v>115</v>
      </c>
      <c r="G2822" s="64" t="s">
        <v>64</v>
      </c>
      <c r="H2822" s="3" t="s">
        <v>139</v>
      </c>
      <c r="I2822" s="65" t="str">
        <f>IFERROR(VLOOKUP(A2822,'3. Call duration'!$A:$C,3,0),"--")</f>
        <v>--</v>
      </c>
      <c r="J2822" s="65" t="str">
        <f t="array" ref="J2822">XLOOKUP(H2822,'2. Matching'!$A$2:$A$39,'2. Matching'!$B$2:$B$39,"--")</f>
        <v>Acquisition</v>
      </c>
      <c r="K2822" s="65" t="str">
        <f t="shared" si="1"/>
        <v>In</v>
      </c>
    </row>
    <row r="2823">
      <c r="A2823" s="62" t="s">
        <v>2961</v>
      </c>
      <c r="B2823" s="63">
        <v>44214.0</v>
      </c>
      <c r="C2823" s="62" t="s">
        <v>119</v>
      </c>
      <c r="D2823" s="64">
        <v>42.5</v>
      </c>
      <c r="E2823" s="62" t="s">
        <v>109</v>
      </c>
      <c r="F2823" s="62" t="s">
        <v>115</v>
      </c>
      <c r="G2823" s="64" t="s">
        <v>64</v>
      </c>
      <c r="H2823" s="3" t="s">
        <v>175</v>
      </c>
      <c r="I2823" s="65" t="str">
        <f>IFERROR(VLOOKUP(A2823,'3. Call duration'!$A:$C,3,0),"--")</f>
        <v>--</v>
      </c>
      <c r="J2823" s="65" t="str">
        <f t="array" ref="J2823">XLOOKUP(H2823,'2. Matching'!$A$2:$A$39,'2. Matching'!$B$2:$B$39,"--")</f>
        <v>SEO</v>
      </c>
      <c r="K2823" s="65" t="str">
        <f t="shared" si="1"/>
        <v>In</v>
      </c>
    </row>
    <row r="2824">
      <c r="A2824" s="62" t="s">
        <v>2962</v>
      </c>
      <c r="B2824" s="63">
        <v>44086.0</v>
      </c>
      <c r="C2824" s="62" t="s">
        <v>119</v>
      </c>
      <c r="D2824" s="64">
        <v>42.5</v>
      </c>
      <c r="E2824" s="62" t="s">
        <v>109</v>
      </c>
      <c r="F2824" s="62" t="s">
        <v>110</v>
      </c>
      <c r="G2824" s="64" t="s">
        <v>64</v>
      </c>
      <c r="H2824" s="3" t="s">
        <v>131</v>
      </c>
      <c r="I2824" s="65">
        <f>IFERROR(VLOOKUP(A2824,'3. Call duration'!$A:$C,3,0),"--")</f>
        <v>27.41084223</v>
      </c>
      <c r="J2824" s="65" t="str">
        <f t="array" ref="J2824">XLOOKUP(H2824,'2. Matching'!$A$2:$A$39,'2. Matching'!$B$2:$B$39,"--")</f>
        <v>Acquisition</v>
      </c>
      <c r="K2824" s="65" t="str">
        <f t="shared" si="1"/>
        <v>In</v>
      </c>
    </row>
    <row r="2825">
      <c r="A2825" s="62" t="s">
        <v>2963</v>
      </c>
      <c r="B2825" s="63">
        <v>44209.0</v>
      </c>
      <c r="C2825" s="62" t="s">
        <v>119</v>
      </c>
      <c r="D2825" s="64">
        <v>42.5</v>
      </c>
      <c r="E2825" s="62" t="s">
        <v>109</v>
      </c>
      <c r="F2825" s="62" t="s">
        <v>115</v>
      </c>
      <c r="G2825" s="64" t="s">
        <v>64</v>
      </c>
      <c r="H2825" s="3" t="s">
        <v>139</v>
      </c>
      <c r="I2825" s="65">
        <f>IFERROR(VLOOKUP(A2825,'3. Call duration'!$A:$C,3,0),"--")</f>
        <v>28.04625697</v>
      </c>
      <c r="J2825" s="65" t="str">
        <f t="array" ref="J2825">XLOOKUP(H2825,'2. Matching'!$A$2:$A$39,'2. Matching'!$B$2:$B$39,"--")</f>
        <v>Acquisition</v>
      </c>
      <c r="K2825" s="65" t="str">
        <f t="shared" si="1"/>
        <v>In</v>
      </c>
    </row>
    <row r="2826">
      <c r="A2826" s="62" t="s">
        <v>2964</v>
      </c>
      <c r="B2826" s="63">
        <v>44127.0</v>
      </c>
      <c r="C2826" s="62" t="s">
        <v>119</v>
      </c>
      <c r="D2826" s="64">
        <v>42.5</v>
      </c>
      <c r="E2826" s="62" t="s">
        <v>109</v>
      </c>
      <c r="F2826" s="62" t="s">
        <v>115</v>
      </c>
      <c r="G2826" s="64" t="s">
        <v>64</v>
      </c>
      <c r="H2826" s="3" t="s">
        <v>139</v>
      </c>
      <c r="I2826" s="65">
        <f>IFERROR(VLOOKUP(A2826,'3. Call duration'!$A:$C,3,0),"--")</f>
        <v>12.1499187</v>
      </c>
      <c r="J2826" s="65" t="str">
        <f t="array" ref="J2826">XLOOKUP(H2826,'2. Matching'!$A$2:$A$39,'2. Matching'!$B$2:$B$39,"--")</f>
        <v>Acquisition</v>
      </c>
      <c r="K2826" s="65" t="str">
        <f t="shared" si="1"/>
        <v>In</v>
      </c>
    </row>
    <row r="2827">
      <c r="A2827" s="62" t="s">
        <v>2965</v>
      </c>
      <c r="B2827" s="63">
        <v>44154.0</v>
      </c>
      <c r="C2827" s="62" t="s">
        <v>119</v>
      </c>
      <c r="D2827" s="64">
        <v>42.5</v>
      </c>
      <c r="E2827" s="62" t="s">
        <v>109</v>
      </c>
      <c r="F2827" s="62" t="s">
        <v>115</v>
      </c>
      <c r="G2827" s="64" t="s">
        <v>64</v>
      </c>
      <c r="H2827" s="3" t="s">
        <v>175</v>
      </c>
      <c r="I2827" s="65">
        <f>IFERROR(VLOOKUP(A2827,'3. Call duration'!$A:$C,3,0),"--")</f>
        <v>31.5959492</v>
      </c>
      <c r="J2827" s="65" t="str">
        <f t="array" ref="J2827">XLOOKUP(H2827,'2. Matching'!$A$2:$A$39,'2. Matching'!$B$2:$B$39,"--")</f>
        <v>SEO</v>
      </c>
      <c r="K2827" s="65" t="str">
        <f t="shared" si="1"/>
        <v>In</v>
      </c>
    </row>
    <row r="2828">
      <c r="A2828" s="62" t="s">
        <v>2966</v>
      </c>
      <c r="B2828" s="63">
        <v>44179.0</v>
      </c>
      <c r="C2828" s="62" t="s">
        <v>119</v>
      </c>
      <c r="D2828" s="64">
        <v>42.5</v>
      </c>
      <c r="E2828" s="62" t="s">
        <v>109</v>
      </c>
      <c r="F2828" s="62" t="s">
        <v>115</v>
      </c>
      <c r="G2828" s="64" t="s">
        <v>64</v>
      </c>
      <c r="H2828" s="3" t="s">
        <v>139</v>
      </c>
      <c r="I2828" s="65">
        <f>IFERROR(VLOOKUP(A2828,'3. Call duration'!$A:$C,3,0),"--")</f>
        <v>22.49366056</v>
      </c>
      <c r="J2828" s="65" t="str">
        <f t="array" ref="J2828">XLOOKUP(H2828,'2. Matching'!$A$2:$A$39,'2. Matching'!$B$2:$B$39,"--")</f>
        <v>Acquisition</v>
      </c>
      <c r="K2828" s="65" t="str">
        <f t="shared" si="1"/>
        <v>In</v>
      </c>
    </row>
    <row r="2829">
      <c r="A2829" s="62" t="s">
        <v>2967</v>
      </c>
      <c r="B2829" s="63">
        <v>44110.0</v>
      </c>
      <c r="C2829" s="62" t="s">
        <v>119</v>
      </c>
      <c r="D2829" s="64">
        <v>42.5</v>
      </c>
      <c r="E2829" s="62" t="s">
        <v>109</v>
      </c>
      <c r="F2829" s="62" t="s">
        <v>110</v>
      </c>
      <c r="G2829" s="64" t="s">
        <v>62</v>
      </c>
      <c r="H2829" s="3" t="s">
        <v>294</v>
      </c>
      <c r="I2829" s="65">
        <f>IFERROR(VLOOKUP(A2829,'3. Call duration'!$A:$C,3,0),"--")</f>
        <v>28.54701207</v>
      </c>
      <c r="J2829" s="65" t="str">
        <f t="array" ref="J2829">XLOOKUP(H2829,'2. Matching'!$A$2:$A$39,'2. Matching'!$B$2:$B$39,"--")</f>
        <v>Farming</v>
      </c>
      <c r="K2829" s="65" t="str">
        <f t="shared" si="1"/>
        <v>In</v>
      </c>
    </row>
    <row r="2830">
      <c r="A2830" s="62" t="s">
        <v>2968</v>
      </c>
      <c r="B2830" s="63">
        <v>44232.0</v>
      </c>
      <c r="C2830" s="62" t="s">
        <v>119</v>
      </c>
      <c r="D2830" s="64">
        <v>42.5</v>
      </c>
      <c r="E2830" s="62" t="s">
        <v>109</v>
      </c>
      <c r="F2830" s="62" t="s">
        <v>115</v>
      </c>
      <c r="G2830" s="64" t="s">
        <v>64</v>
      </c>
      <c r="H2830" s="3" t="s">
        <v>131</v>
      </c>
      <c r="I2830" s="65">
        <f>IFERROR(VLOOKUP(A2830,'3. Call duration'!$A:$C,3,0),"--")</f>
        <v>23.69494503</v>
      </c>
      <c r="J2830" s="65" t="str">
        <f t="array" ref="J2830">XLOOKUP(H2830,'2. Matching'!$A$2:$A$39,'2. Matching'!$B$2:$B$39,"--")</f>
        <v>Acquisition</v>
      </c>
      <c r="K2830" s="65" t="str">
        <f t="shared" si="1"/>
        <v>In</v>
      </c>
    </row>
    <row r="2831">
      <c r="A2831" s="62" t="s">
        <v>2969</v>
      </c>
      <c r="B2831" s="63">
        <v>44199.0</v>
      </c>
      <c r="C2831" s="62" t="s">
        <v>119</v>
      </c>
      <c r="D2831" s="64">
        <v>42.5</v>
      </c>
      <c r="E2831" s="62" t="s">
        <v>109</v>
      </c>
      <c r="F2831" s="62" t="s">
        <v>115</v>
      </c>
      <c r="G2831" s="64" t="s">
        <v>64</v>
      </c>
      <c r="H2831" s="3" t="s">
        <v>139</v>
      </c>
      <c r="I2831" s="65">
        <f>IFERROR(VLOOKUP(A2831,'3. Call duration'!$A:$C,3,0),"--")</f>
        <v>32.69000953</v>
      </c>
      <c r="J2831" s="65" t="str">
        <f t="array" ref="J2831">XLOOKUP(H2831,'2. Matching'!$A$2:$A$39,'2. Matching'!$B$2:$B$39,"--")</f>
        <v>Acquisition</v>
      </c>
      <c r="K2831" s="65" t="str">
        <f t="shared" si="1"/>
        <v>In</v>
      </c>
    </row>
    <row r="2832">
      <c r="A2832" s="62" t="s">
        <v>2970</v>
      </c>
      <c r="B2832" s="63">
        <v>44236.0</v>
      </c>
      <c r="C2832" s="62" t="s">
        <v>119</v>
      </c>
      <c r="D2832" s="64">
        <v>42.5</v>
      </c>
      <c r="E2832" s="62" t="s">
        <v>109</v>
      </c>
      <c r="F2832" s="62" t="s">
        <v>115</v>
      </c>
      <c r="G2832" s="64" t="s">
        <v>64</v>
      </c>
      <c r="H2832" s="3" t="s">
        <v>169</v>
      </c>
      <c r="I2832" s="65">
        <f>IFERROR(VLOOKUP(A2832,'3. Call duration'!$A:$C,3,0),"--")</f>
        <v>30.57562026</v>
      </c>
      <c r="J2832" s="65" t="str">
        <f t="array" ref="J2832">XLOOKUP(H2832,'2. Matching'!$A$2:$A$39,'2. Matching'!$B$2:$B$39,"--")</f>
        <v>SEO</v>
      </c>
      <c r="K2832" s="65" t="str">
        <f t="shared" si="1"/>
        <v>In</v>
      </c>
    </row>
    <row r="2833">
      <c r="A2833" s="62" t="s">
        <v>2971</v>
      </c>
      <c r="B2833" s="63">
        <v>44247.0</v>
      </c>
      <c r="C2833" s="62" t="s">
        <v>119</v>
      </c>
      <c r="D2833" s="64">
        <v>42.5</v>
      </c>
      <c r="E2833" s="62" t="s">
        <v>109</v>
      </c>
      <c r="F2833" s="62" t="s">
        <v>115</v>
      </c>
      <c r="G2833" s="64" t="s">
        <v>64</v>
      </c>
      <c r="H2833" s="3" t="s">
        <v>139</v>
      </c>
      <c r="I2833" s="65">
        <f>IFERROR(VLOOKUP(A2833,'3. Call duration'!$A:$C,3,0),"--")</f>
        <v>20.70331483</v>
      </c>
      <c r="J2833" s="65" t="str">
        <f t="array" ref="J2833">XLOOKUP(H2833,'2. Matching'!$A$2:$A$39,'2. Matching'!$B$2:$B$39,"--")</f>
        <v>Acquisition</v>
      </c>
      <c r="K2833" s="65" t="str">
        <f t="shared" si="1"/>
        <v>In</v>
      </c>
    </row>
    <row r="2834">
      <c r="A2834" s="62" t="s">
        <v>2972</v>
      </c>
      <c r="B2834" s="63">
        <v>44225.0</v>
      </c>
      <c r="C2834" s="62" t="s">
        <v>119</v>
      </c>
      <c r="D2834" s="64">
        <v>42.5</v>
      </c>
      <c r="E2834" s="62" t="s">
        <v>109</v>
      </c>
      <c r="F2834" s="62" t="s">
        <v>115</v>
      </c>
      <c r="G2834" s="64" t="s">
        <v>64</v>
      </c>
      <c r="H2834" s="3" t="s">
        <v>131</v>
      </c>
      <c r="I2834" s="65">
        <f>IFERROR(VLOOKUP(A2834,'3. Call duration'!$A:$C,3,0),"--")</f>
        <v>32.14537107</v>
      </c>
      <c r="J2834" s="65" t="str">
        <f t="array" ref="J2834">XLOOKUP(H2834,'2. Matching'!$A$2:$A$39,'2. Matching'!$B$2:$B$39,"--")</f>
        <v>Acquisition</v>
      </c>
      <c r="K2834" s="65" t="str">
        <f t="shared" si="1"/>
        <v>In</v>
      </c>
    </row>
    <row r="2835">
      <c r="A2835" s="62" t="s">
        <v>2973</v>
      </c>
      <c r="B2835" s="63">
        <v>44181.0</v>
      </c>
      <c r="C2835" s="62" t="s">
        <v>119</v>
      </c>
      <c r="D2835" s="64">
        <v>42.5</v>
      </c>
      <c r="E2835" s="62" t="s">
        <v>109</v>
      </c>
      <c r="F2835" s="62" t="s">
        <v>115</v>
      </c>
      <c r="G2835" s="64" t="s">
        <v>62</v>
      </c>
      <c r="H2835" s="3" t="s">
        <v>294</v>
      </c>
      <c r="I2835" s="65">
        <f>IFERROR(VLOOKUP(A2835,'3. Call duration'!$A:$C,3,0),"--")</f>
        <v>29.17692322</v>
      </c>
      <c r="J2835" s="65" t="str">
        <f t="array" ref="J2835">XLOOKUP(H2835,'2. Matching'!$A$2:$A$39,'2. Matching'!$B$2:$B$39,"--")</f>
        <v>Farming</v>
      </c>
      <c r="K2835" s="65" t="str">
        <f t="shared" si="1"/>
        <v>In</v>
      </c>
    </row>
    <row r="2836">
      <c r="A2836" s="62" t="s">
        <v>2974</v>
      </c>
      <c r="B2836" s="63">
        <v>44231.0</v>
      </c>
      <c r="C2836" s="62" t="s">
        <v>119</v>
      </c>
      <c r="D2836" s="64">
        <v>42.5</v>
      </c>
      <c r="E2836" s="62" t="s">
        <v>109</v>
      </c>
      <c r="F2836" s="62" t="s">
        <v>115</v>
      </c>
      <c r="G2836" s="64" t="s">
        <v>64</v>
      </c>
      <c r="H2836" s="3" t="s">
        <v>150</v>
      </c>
      <c r="I2836" s="65">
        <f>IFERROR(VLOOKUP(A2836,'3. Call duration'!$A:$C,3,0),"--")</f>
        <v>27.62235016</v>
      </c>
      <c r="J2836" s="65" t="str">
        <f t="array" ref="J2836">XLOOKUP(H2836,'2. Matching'!$A$2:$A$39,'2. Matching'!$B$2:$B$39,"--")</f>
        <v>SEO</v>
      </c>
      <c r="K2836" s="65" t="str">
        <f t="shared" si="1"/>
        <v>In</v>
      </c>
    </row>
    <row r="2837">
      <c r="A2837" s="62" t="s">
        <v>2975</v>
      </c>
      <c r="B2837" s="63">
        <v>44134.0</v>
      </c>
      <c r="C2837" s="62" t="s">
        <v>119</v>
      </c>
      <c r="D2837" s="64">
        <v>42.5</v>
      </c>
      <c r="E2837" s="62" t="s">
        <v>109</v>
      </c>
      <c r="F2837" s="62" t="s">
        <v>115</v>
      </c>
      <c r="G2837" s="64" t="s">
        <v>64</v>
      </c>
      <c r="H2837" s="3" t="s">
        <v>169</v>
      </c>
      <c r="I2837" s="65">
        <f>IFERROR(VLOOKUP(A2837,'3. Call duration'!$A:$C,3,0),"--")</f>
        <v>29.01942408</v>
      </c>
      <c r="J2837" s="65" t="str">
        <f t="array" ref="J2837">XLOOKUP(H2837,'2. Matching'!$A$2:$A$39,'2. Matching'!$B$2:$B$39,"--")</f>
        <v>SEO</v>
      </c>
      <c r="K2837" s="65" t="str">
        <f t="shared" si="1"/>
        <v>In</v>
      </c>
    </row>
    <row r="2838">
      <c r="A2838" s="62" t="s">
        <v>2976</v>
      </c>
      <c r="B2838" s="63">
        <v>44135.0</v>
      </c>
      <c r="C2838" s="62" t="s">
        <v>119</v>
      </c>
      <c r="D2838" s="64">
        <v>42.5</v>
      </c>
      <c r="E2838" s="62" t="s">
        <v>109</v>
      </c>
      <c r="F2838" s="62" t="s">
        <v>115</v>
      </c>
      <c r="G2838" s="64" t="s">
        <v>64</v>
      </c>
      <c r="H2838" s="3" t="s">
        <v>169</v>
      </c>
      <c r="I2838" s="65">
        <f>IFERROR(VLOOKUP(A2838,'3. Call duration'!$A:$C,3,0),"--")</f>
        <v>10.94396157</v>
      </c>
      <c r="J2838" s="65" t="str">
        <f t="array" ref="J2838">XLOOKUP(H2838,'2. Matching'!$A$2:$A$39,'2. Matching'!$B$2:$B$39,"--")</f>
        <v>SEO</v>
      </c>
      <c r="K2838" s="65" t="str">
        <f t="shared" si="1"/>
        <v>In</v>
      </c>
    </row>
    <row r="2839">
      <c r="A2839" s="62" t="s">
        <v>2977</v>
      </c>
      <c r="B2839" s="63">
        <v>44123.0</v>
      </c>
      <c r="C2839" s="62" t="s">
        <v>119</v>
      </c>
      <c r="D2839" s="64">
        <v>42.5</v>
      </c>
      <c r="E2839" s="62" t="s">
        <v>109</v>
      </c>
      <c r="F2839" s="62" t="s">
        <v>115</v>
      </c>
      <c r="G2839" s="64" t="s">
        <v>64</v>
      </c>
      <c r="H2839" s="3" t="s">
        <v>155</v>
      </c>
      <c r="I2839" s="65">
        <f>IFERROR(VLOOKUP(A2839,'3. Call duration'!$A:$C,3,0),"--")</f>
        <v>25.46148814</v>
      </c>
      <c r="J2839" s="65" t="str">
        <f t="array" ref="J2839">XLOOKUP(H2839,'2. Matching'!$A$2:$A$39,'2. Matching'!$B$2:$B$39,"--")</f>
        <v>SEO</v>
      </c>
      <c r="K2839" s="65" t="str">
        <f t="shared" si="1"/>
        <v>In</v>
      </c>
    </row>
    <row r="2840">
      <c r="A2840" s="62" t="s">
        <v>2978</v>
      </c>
      <c r="B2840" s="63">
        <v>44202.0</v>
      </c>
      <c r="C2840" s="62" t="s">
        <v>119</v>
      </c>
      <c r="D2840" s="64">
        <v>42.5</v>
      </c>
      <c r="E2840" s="62" t="s">
        <v>109</v>
      </c>
      <c r="F2840" s="62" t="s">
        <v>115</v>
      </c>
      <c r="G2840" s="64" t="s">
        <v>64</v>
      </c>
      <c r="H2840" s="3" t="s">
        <v>185</v>
      </c>
      <c r="I2840" s="65">
        <f>IFERROR(VLOOKUP(A2840,'3. Call duration'!$A:$C,3,0),"--")</f>
        <v>33.17542717</v>
      </c>
      <c r="J2840" s="65" t="str">
        <f t="array" ref="J2840">XLOOKUP(H2840,'2. Matching'!$A$2:$A$39,'2. Matching'!$B$2:$B$39,"--")</f>
        <v>SEO</v>
      </c>
      <c r="K2840" s="65" t="str">
        <f t="shared" si="1"/>
        <v>In</v>
      </c>
    </row>
    <row r="2841">
      <c r="A2841" s="62" t="s">
        <v>2979</v>
      </c>
      <c r="B2841" s="63">
        <v>44091.0</v>
      </c>
      <c r="C2841" s="62" t="s">
        <v>119</v>
      </c>
      <c r="D2841" s="64">
        <v>42.5</v>
      </c>
      <c r="E2841" s="62" t="s">
        <v>109</v>
      </c>
      <c r="F2841" s="62" t="s">
        <v>115</v>
      </c>
      <c r="G2841" s="64" t="s">
        <v>64</v>
      </c>
      <c r="H2841" s="3" t="s">
        <v>155</v>
      </c>
      <c r="I2841" s="65">
        <f>IFERROR(VLOOKUP(A2841,'3. Call duration'!$A:$C,3,0),"--")</f>
        <v>13.16507122</v>
      </c>
      <c r="J2841" s="65" t="str">
        <f t="array" ref="J2841">XLOOKUP(H2841,'2. Matching'!$A$2:$A$39,'2. Matching'!$B$2:$B$39,"--")</f>
        <v>SEO</v>
      </c>
      <c r="K2841" s="65" t="str">
        <f t="shared" si="1"/>
        <v>In</v>
      </c>
    </row>
    <row r="2842">
      <c r="A2842" s="62" t="s">
        <v>2980</v>
      </c>
      <c r="B2842" s="63">
        <v>44104.0</v>
      </c>
      <c r="C2842" s="62" t="s">
        <v>119</v>
      </c>
      <c r="D2842" s="64">
        <v>42.5</v>
      </c>
      <c r="E2842" s="62" t="s">
        <v>109</v>
      </c>
      <c r="F2842" s="62" t="s">
        <v>115</v>
      </c>
      <c r="G2842" s="64" t="s">
        <v>64</v>
      </c>
      <c r="H2842" s="3" t="s">
        <v>139</v>
      </c>
      <c r="I2842" s="65">
        <f>IFERROR(VLOOKUP(A2842,'3. Call duration'!$A:$C,3,0),"--")</f>
        <v>20.70785134</v>
      </c>
      <c r="J2842" s="65" t="str">
        <f t="array" ref="J2842">XLOOKUP(H2842,'2. Matching'!$A$2:$A$39,'2. Matching'!$B$2:$B$39,"--")</f>
        <v>Acquisition</v>
      </c>
      <c r="K2842" s="65" t="str">
        <f t="shared" si="1"/>
        <v>In</v>
      </c>
    </row>
    <row r="2843">
      <c r="A2843" s="62" t="s">
        <v>2981</v>
      </c>
      <c r="B2843" s="63">
        <v>44102.0</v>
      </c>
      <c r="C2843" s="62" t="s">
        <v>119</v>
      </c>
      <c r="D2843" s="64">
        <v>42.5</v>
      </c>
      <c r="E2843" s="62" t="s">
        <v>109</v>
      </c>
      <c r="F2843" s="62" t="s">
        <v>115</v>
      </c>
      <c r="G2843" s="64" t="s">
        <v>64</v>
      </c>
      <c r="H2843" s="3" t="s">
        <v>139</v>
      </c>
      <c r="I2843" s="65">
        <f>IFERROR(VLOOKUP(A2843,'3. Call duration'!$A:$C,3,0),"--")</f>
        <v>41.61756919</v>
      </c>
      <c r="J2843" s="65" t="str">
        <f t="array" ref="J2843">XLOOKUP(H2843,'2. Matching'!$A$2:$A$39,'2. Matching'!$B$2:$B$39,"--")</f>
        <v>Acquisition</v>
      </c>
      <c r="K2843" s="65" t="str">
        <f t="shared" si="1"/>
        <v>In</v>
      </c>
    </row>
    <row r="2844">
      <c r="A2844" s="62" t="s">
        <v>2982</v>
      </c>
      <c r="B2844" s="63">
        <v>44130.0</v>
      </c>
      <c r="C2844" s="62" t="s">
        <v>119</v>
      </c>
      <c r="D2844" s="64">
        <v>42.5</v>
      </c>
      <c r="E2844" s="62" t="s">
        <v>109</v>
      </c>
      <c r="F2844" s="62" t="s">
        <v>115</v>
      </c>
      <c r="G2844" s="64" t="s">
        <v>64</v>
      </c>
      <c r="H2844" s="3" t="s">
        <v>139</v>
      </c>
      <c r="I2844" s="65">
        <f>IFERROR(VLOOKUP(A2844,'3. Call duration'!$A:$C,3,0),"--")</f>
        <v>23.68299517</v>
      </c>
      <c r="J2844" s="65" t="str">
        <f t="array" ref="J2844">XLOOKUP(H2844,'2. Matching'!$A$2:$A$39,'2. Matching'!$B$2:$B$39,"--")</f>
        <v>Acquisition</v>
      </c>
      <c r="K2844" s="65" t="str">
        <f t="shared" si="1"/>
        <v>In</v>
      </c>
    </row>
    <row r="2845">
      <c r="A2845" s="62" t="s">
        <v>2983</v>
      </c>
      <c r="B2845" s="63">
        <v>44225.0</v>
      </c>
      <c r="C2845" s="62" t="s">
        <v>119</v>
      </c>
      <c r="D2845" s="64">
        <v>42.5</v>
      </c>
      <c r="E2845" s="62" t="s">
        <v>109</v>
      </c>
      <c r="F2845" s="62" t="s">
        <v>115</v>
      </c>
      <c r="G2845" s="64" t="s">
        <v>62</v>
      </c>
      <c r="H2845" s="3" t="s">
        <v>286</v>
      </c>
      <c r="I2845" s="65">
        <f>IFERROR(VLOOKUP(A2845,'3. Call duration'!$A:$C,3,0),"--")</f>
        <v>30.1909855</v>
      </c>
      <c r="J2845" s="65" t="str">
        <f t="array" ref="J2845">XLOOKUP(H2845,'2. Matching'!$A$2:$A$39,'2. Matching'!$B$2:$B$39,"--")</f>
        <v>Farming</v>
      </c>
      <c r="K2845" s="65" t="str">
        <f t="shared" si="1"/>
        <v>In</v>
      </c>
    </row>
    <row r="2846">
      <c r="A2846" s="62" t="s">
        <v>2984</v>
      </c>
      <c r="B2846" s="63">
        <v>44159.0</v>
      </c>
      <c r="C2846" s="62" t="s">
        <v>119</v>
      </c>
      <c r="D2846" s="64">
        <v>42.5</v>
      </c>
      <c r="E2846" s="62" t="s">
        <v>109</v>
      </c>
      <c r="F2846" s="62" t="s">
        <v>115</v>
      </c>
      <c r="G2846" s="64" t="s">
        <v>64</v>
      </c>
      <c r="H2846" s="3" t="s">
        <v>175</v>
      </c>
      <c r="I2846" s="65">
        <f>IFERROR(VLOOKUP(A2846,'3. Call duration'!$A:$C,3,0),"--")</f>
        <v>32.43682362</v>
      </c>
      <c r="J2846" s="65" t="str">
        <f t="array" ref="J2846">XLOOKUP(H2846,'2. Matching'!$A$2:$A$39,'2. Matching'!$B$2:$B$39,"--")</f>
        <v>SEO</v>
      </c>
      <c r="K2846" s="65" t="str">
        <f t="shared" si="1"/>
        <v>In</v>
      </c>
    </row>
    <row r="2847">
      <c r="A2847" s="62" t="s">
        <v>2985</v>
      </c>
      <c r="B2847" s="63">
        <v>44216.0</v>
      </c>
      <c r="C2847" s="62" t="s">
        <v>119</v>
      </c>
      <c r="D2847" s="64">
        <v>42.5</v>
      </c>
      <c r="E2847" s="62" t="s">
        <v>109</v>
      </c>
      <c r="F2847" s="62" t="s">
        <v>115</v>
      </c>
      <c r="G2847" s="64" t="s">
        <v>64</v>
      </c>
      <c r="H2847" s="3" t="s">
        <v>131</v>
      </c>
      <c r="I2847" s="65">
        <f>IFERROR(VLOOKUP(A2847,'3. Call duration'!$A:$C,3,0),"--")</f>
        <v>32.92022182</v>
      </c>
      <c r="J2847" s="65" t="str">
        <f t="array" ref="J2847">XLOOKUP(H2847,'2. Matching'!$A$2:$A$39,'2. Matching'!$B$2:$B$39,"--")</f>
        <v>Acquisition</v>
      </c>
      <c r="K2847" s="65" t="str">
        <f t="shared" si="1"/>
        <v>In</v>
      </c>
    </row>
    <row r="2848">
      <c r="A2848" s="62" t="s">
        <v>2986</v>
      </c>
      <c r="B2848" s="63">
        <v>44199.0</v>
      </c>
      <c r="C2848" s="62" t="s">
        <v>119</v>
      </c>
      <c r="D2848" s="64">
        <v>42.5</v>
      </c>
      <c r="E2848" s="62" t="s">
        <v>109</v>
      </c>
      <c r="F2848" s="62" t="s">
        <v>115</v>
      </c>
      <c r="G2848" s="64" t="s">
        <v>64</v>
      </c>
      <c r="H2848" s="3" t="s">
        <v>139</v>
      </c>
      <c r="I2848" s="65">
        <f>IFERROR(VLOOKUP(A2848,'3. Call duration'!$A:$C,3,0),"--")</f>
        <v>27.52764593</v>
      </c>
      <c r="J2848" s="65" t="str">
        <f t="array" ref="J2848">XLOOKUP(H2848,'2. Matching'!$A$2:$A$39,'2. Matching'!$B$2:$B$39,"--")</f>
        <v>Acquisition</v>
      </c>
      <c r="K2848" s="65" t="str">
        <f t="shared" si="1"/>
        <v>In</v>
      </c>
    </row>
    <row r="2849">
      <c r="A2849" s="62" t="s">
        <v>2987</v>
      </c>
      <c r="B2849" s="63">
        <v>44124.0</v>
      </c>
      <c r="C2849" s="62" t="s">
        <v>119</v>
      </c>
      <c r="D2849" s="64">
        <v>42.5</v>
      </c>
      <c r="E2849" s="62" t="s">
        <v>109</v>
      </c>
      <c r="F2849" s="62" t="s">
        <v>110</v>
      </c>
      <c r="G2849" s="64" t="s">
        <v>64</v>
      </c>
      <c r="H2849" s="3" t="s">
        <v>49</v>
      </c>
      <c r="I2849" s="65">
        <f>IFERROR(VLOOKUP(A2849,'3. Call duration'!$A:$C,3,0),"--")</f>
        <v>18.82578712</v>
      </c>
      <c r="J2849" s="65" t="str">
        <f t="array" ref="J2849">XLOOKUP(H2849,'2. Matching'!$A$2:$A$39,'2. Matching'!$B$2:$B$39,"--")</f>
        <v>Partnerships</v>
      </c>
      <c r="K2849" s="65" t="str">
        <f t="shared" si="1"/>
        <v>In</v>
      </c>
    </row>
    <row r="2850">
      <c r="A2850" s="62" t="s">
        <v>2988</v>
      </c>
      <c r="B2850" s="63">
        <v>44193.0</v>
      </c>
      <c r="C2850" s="62" t="s">
        <v>119</v>
      </c>
      <c r="D2850" s="64">
        <v>42.5</v>
      </c>
      <c r="E2850" s="62" t="s">
        <v>109</v>
      </c>
      <c r="F2850" s="62" t="s">
        <v>115</v>
      </c>
      <c r="G2850" s="64" t="s">
        <v>64</v>
      </c>
      <c r="H2850" s="3" t="s">
        <v>175</v>
      </c>
      <c r="I2850" s="65">
        <f>IFERROR(VLOOKUP(A2850,'3. Call duration'!$A:$C,3,0),"--")</f>
        <v>20.82996432</v>
      </c>
      <c r="J2850" s="65" t="str">
        <f t="array" ref="J2850">XLOOKUP(H2850,'2. Matching'!$A$2:$A$39,'2. Matching'!$B$2:$B$39,"--")</f>
        <v>SEO</v>
      </c>
      <c r="K2850" s="65" t="str">
        <f t="shared" si="1"/>
        <v>In</v>
      </c>
    </row>
    <row r="2851">
      <c r="A2851" s="62" t="s">
        <v>2989</v>
      </c>
      <c r="B2851" s="63">
        <v>44091.0</v>
      </c>
      <c r="C2851" s="62" t="s">
        <v>119</v>
      </c>
      <c r="D2851" s="64">
        <v>42.5</v>
      </c>
      <c r="E2851" s="62" t="s">
        <v>109</v>
      </c>
      <c r="F2851" s="62" t="s">
        <v>110</v>
      </c>
      <c r="G2851" s="64" t="s">
        <v>64</v>
      </c>
      <c r="H2851" s="3" t="s">
        <v>131</v>
      </c>
      <c r="I2851" s="65">
        <f>IFERROR(VLOOKUP(A2851,'3. Call duration'!$A:$C,3,0),"--")</f>
        <v>32.1560743</v>
      </c>
      <c r="J2851" s="65" t="str">
        <f t="array" ref="J2851">XLOOKUP(H2851,'2. Matching'!$A$2:$A$39,'2. Matching'!$B$2:$B$39,"--")</f>
        <v>Acquisition</v>
      </c>
      <c r="K2851" s="65" t="str">
        <f t="shared" si="1"/>
        <v>In</v>
      </c>
    </row>
    <row r="2852">
      <c r="A2852" s="62" t="s">
        <v>2990</v>
      </c>
      <c r="B2852" s="63">
        <v>44230.0</v>
      </c>
      <c r="C2852" s="62" t="s">
        <v>119</v>
      </c>
      <c r="D2852" s="64">
        <v>42.5</v>
      </c>
      <c r="E2852" s="62" t="s">
        <v>109</v>
      </c>
      <c r="F2852" s="62" t="s">
        <v>110</v>
      </c>
      <c r="G2852" s="64" t="s">
        <v>64</v>
      </c>
      <c r="H2852" s="3" t="s">
        <v>139</v>
      </c>
      <c r="I2852" s="65">
        <f>IFERROR(VLOOKUP(A2852,'3. Call duration'!$A:$C,3,0),"--")</f>
        <v>29.54839481</v>
      </c>
      <c r="J2852" s="65" t="str">
        <f t="array" ref="J2852">XLOOKUP(H2852,'2. Matching'!$A$2:$A$39,'2. Matching'!$B$2:$B$39,"--")</f>
        <v>Acquisition</v>
      </c>
      <c r="K2852" s="65" t="str">
        <f t="shared" si="1"/>
        <v>In</v>
      </c>
    </row>
    <row r="2853">
      <c r="A2853" s="62" t="s">
        <v>2991</v>
      </c>
      <c r="B2853" s="63">
        <v>44206.0</v>
      </c>
      <c r="C2853" s="62" t="s">
        <v>119</v>
      </c>
      <c r="D2853" s="64">
        <v>42.5</v>
      </c>
      <c r="E2853" s="62" t="s">
        <v>109</v>
      </c>
      <c r="F2853" s="62" t="s">
        <v>110</v>
      </c>
      <c r="G2853" s="64" t="s">
        <v>64</v>
      </c>
      <c r="H2853" s="3" t="s">
        <v>139</v>
      </c>
      <c r="I2853" s="65">
        <f>IFERROR(VLOOKUP(A2853,'3. Call duration'!$A:$C,3,0),"--")</f>
        <v>28.60099131</v>
      </c>
      <c r="J2853" s="65" t="str">
        <f t="array" ref="J2853">XLOOKUP(H2853,'2. Matching'!$A$2:$A$39,'2. Matching'!$B$2:$B$39,"--")</f>
        <v>Acquisition</v>
      </c>
      <c r="K2853" s="65" t="str">
        <f t="shared" si="1"/>
        <v>In</v>
      </c>
    </row>
    <row r="2854">
      <c r="A2854" s="62" t="s">
        <v>2992</v>
      </c>
      <c r="B2854" s="63">
        <v>44174.0</v>
      </c>
      <c r="C2854" s="62" t="s">
        <v>119</v>
      </c>
      <c r="D2854" s="64">
        <v>42.5</v>
      </c>
      <c r="E2854" s="62" t="s">
        <v>109</v>
      </c>
      <c r="F2854" s="62" t="s">
        <v>115</v>
      </c>
      <c r="G2854" s="64" t="s">
        <v>64</v>
      </c>
      <c r="H2854" s="3" t="s">
        <v>155</v>
      </c>
      <c r="I2854" s="65">
        <f>IFERROR(VLOOKUP(A2854,'3. Call duration'!$A:$C,3,0),"--")</f>
        <v>22.72434589</v>
      </c>
      <c r="J2854" s="65" t="str">
        <f t="array" ref="J2854">XLOOKUP(H2854,'2. Matching'!$A$2:$A$39,'2. Matching'!$B$2:$B$39,"--")</f>
        <v>SEO</v>
      </c>
      <c r="K2854" s="65" t="str">
        <f t="shared" si="1"/>
        <v>In</v>
      </c>
    </row>
    <row r="2855">
      <c r="A2855" s="62" t="s">
        <v>2993</v>
      </c>
      <c r="B2855" s="63">
        <v>44231.0</v>
      </c>
      <c r="C2855" s="62" t="s">
        <v>119</v>
      </c>
      <c r="D2855" s="64">
        <v>42.5</v>
      </c>
      <c r="E2855" s="62" t="s">
        <v>109</v>
      </c>
      <c r="F2855" s="62" t="s">
        <v>115</v>
      </c>
      <c r="G2855" s="64" t="s">
        <v>62</v>
      </c>
      <c r="H2855" s="3" t="s">
        <v>50</v>
      </c>
      <c r="I2855" s="65">
        <f>IFERROR(VLOOKUP(A2855,'3. Call duration'!$A:$C,3,0),"--")</f>
        <v>20.57178703</v>
      </c>
      <c r="J2855" s="65" t="str">
        <f t="array" ref="J2855">XLOOKUP(H2855,'2. Matching'!$A$2:$A$39,'2. Matching'!$B$2:$B$39,"--")</f>
        <v>Partnerships</v>
      </c>
      <c r="K2855" s="65" t="str">
        <f t="shared" si="1"/>
        <v>In</v>
      </c>
    </row>
    <row r="2856">
      <c r="A2856" s="62" t="s">
        <v>2994</v>
      </c>
      <c r="B2856" s="63">
        <v>44150.0</v>
      </c>
      <c r="C2856" s="62" t="s">
        <v>119</v>
      </c>
      <c r="D2856" s="64">
        <v>42.5</v>
      </c>
      <c r="E2856" s="62" t="s">
        <v>109</v>
      </c>
      <c r="F2856" s="62" t="s">
        <v>115</v>
      </c>
      <c r="G2856" s="64" t="s">
        <v>64</v>
      </c>
      <c r="H2856" s="3" t="s">
        <v>139</v>
      </c>
      <c r="I2856" s="65">
        <f>IFERROR(VLOOKUP(A2856,'3. Call duration'!$A:$C,3,0),"--")</f>
        <v>24.25730737</v>
      </c>
      <c r="J2856" s="65" t="str">
        <f t="array" ref="J2856">XLOOKUP(H2856,'2. Matching'!$A$2:$A$39,'2. Matching'!$B$2:$B$39,"--")</f>
        <v>Acquisition</v>
      </c>
      <c r="K2856" s="65" t="str">
        <f t="shared" si="1"/>
        <v>In</v>
      </c>
    </row>
    <row r="2857">
      <c r="A2857" s="62" t="s">
        <v>2995</v>
      </c>
      <c r="B2857" s="63">
        <v>44128.0</v>
      </c>
      <c r="C2857" s="62" t="s">
        <v>119</v>
      </c>
      <c r="D2857" s="64">
        <v>42.5</v>
      </c>
      <c r="E2857" s="62" t="s">
        <v>109</v>
      </c>
      <c r="F2857" s="62" t="s">
        <v>115</v>
      </c>
      <c r="G2857" s="64" t="s">
        <v>64</v>
      </c>
      <c r="H2857" s="3" t="s">
        <v>139</v>
      </c>
      <c r="I2857" s="65">
        <f>IFERROR(VLOOKUP(A2857,'3. Call duration'!$A:$C,3,0),"--")</f>
        <v>21.33927045</v>
      </c>
      <c r="J2857" s="65" t="str">
        <f t="array" ref="J2857">XLOOKUP(H2857,'2. Matching'!$A$2:$A$39,'2. Matching'!$B$2:$B$39,"--")</f>
        <v>Acquisition</v>
      </c>
      <c r="K2857" s="65" t="str">
        <f t="shared" si="1"/>
        <v>In</v>
      </c>
    </row>
    <row r="2858">
      <c r="A2858" s="62" t="s">
        <v>2996</v>
      </c>
      <c r="B2858" s="63">
        <v>44224.0</v>
      </c>
      <c r="C2858" s="62" t="s">
        <v>119</v>
      </c>
      <c r="D2858" s="64">
        <v>42.5</v>
      </c>
      <c r="E2858" s="62" t="s">
        <v>109</v>
      </c>
      <c r="F2858" s="62" t="s">
        <v>110</v>
      </c>
      <c r="G2858" s="64" t="s">
        <v>64</v>
      </c>
      <c r="H2858" s="3" t="s">
        <v>164</v>
      </c>
      <c r="I2858" s="65">
        <f>IFERROR(VLOOKUP(A2858,'3. Call duration'!$A:$C,3,0),"--")</f>
        <v>14.29210707</v>
      </c>
      <c r="J2858" s="65" t="str">
        <f t="array" ref="J2858">XLOOKUP(H2858,'2. Matching'!$A$2:$A$39,'2. Matching'!$B$2:$B$39,"--")</f>
        <v>SEO</v>
      </c>
      <c r="K2858" s="65" t="str">
        <f t="shared" si="1"/>
        <v>In</v>
      </c>
    </row>
    <row r="2859">
      <c r="A2859" s="62" t="s">
        <v>2997</v>
      </c>
      <c r="B2859" s="63">
        <v>44150.0</v>
      </c>
      <c r="C2859" s="62" t="s">
        <v>119</v>
      </c>
      <c r="D2859" s="64">
        <v>42.5</v>
      </c>
      <c r="E2859" s="62" t="s">
        <v>109</v>
      </c>
      <c r="F2859" s="62" t="s">
        <v>115</v>
      </c>
      <c r="G2859" s="64" t="s">
        <v>64</v>
      </c>
      <c r="H2859" s="3" t="s">
        <v>139</v>
      </c>
      <c r="I2859" s="65" t="str">
        <f>IFERROR(VLOOKUP(A2859,'3. Call duration'!$A:$C,3,0),"--")</f>
        <v>--</v>
      </c>
      <c r="J2859" s="65" t="str">
        <f t="array" ref="J2859">XLOOKUP(H2859,'2. Matching'!$A$2:$A$39,'2. Matching'!$B$2:$B$39,"--")</f>
        <v>Acquisition</v>
      </c>
      <c r="K2859" s="65" t="str">
        <f t="shared" si="1"/>
        <v>In</v>
      </c>
    </row>
    <row r="2860">
      <c r="A2860" s="62" t="s">
        <v>2998</v>
      </c>
      <c r="B2860" s="63">
        <v>44151.0</v>
      </c>
      <c r="C2860" s="62" t="s">
        <v>119</v>
      </c>
      <c r="D2860" s="64">
        <v>42.5</v>
      </c>
      <c r="E2860" s="62" t="s">
        <v>109</v>
      </c>
      <c r="F2860" s="62" t="s">
        <v>115</v>
      </c>
      <c r="G2860" s="64" t="s">
        <v>64</v>
      </c>
      <c r="H2860" s="3" t="s">
        <v>155</v>
      </c>
      <c r="I2860" s="65">
        <f>IFERROR(VLOOKUP(A2860,'3. Call duration'!$A:$C,3,0),"--")</f>
        <v>31.97963151</v>
      </c>
      <c r="J2860" s="65" t="str">
        <f t="array" ref="J2860">XLOOKUP(H2860,'2. Matching'!$A$2:$A$39,'2. Matching'!$B$2:$B$39,"--")</f>
        <v>SEO</v>
      </c>
      <c r="K2860" s="65" t="str">
        <f t="shared" si="1"/>
        <v>In</v>
      </c>
    </row>
    <row r="2861">
      <c r="A2861" s="62" t="s">
        <v>2999</v>
      </c>
      <c r="B2861" s="63">
        <v>44236.0</v>
      </c>
      <c r="C2861" s="62" t="s">
        <v>119</v>
      </c>
      <c r="D2861" s="64">
        <v>42.5</v>
      </c>
      <c r="E2861" s="62" t="s">
        <v>109</v>
      </c>
      <c r="F2861" s="62" t="s">
        <v>115</v>
      </c>
      <c r="G2861" s="64" t="s">
        <v>64</v>
      </c>
      <c r="H2861" s="3" t="s">
        <v>145</v>
      </c>
      <c r="I2861" s="65">
        <f>IFERROR(VLOOKUP(A2861,'3. Call duration'!$A:$C,3,0),"--")</f>
        <v>29.60319825</v>
      </c>
      <c r="J2861" s="65" t="str">
        <f t="array" ref="J2861">XLOOKUP(H2861,'2. Matching'!$A$2:$A$39,'2. Matching'!$B$2:$B$39,"--")</f>
        <v>SEO</v>
      </c>
      <c r="K2861" s="65" t="str">
        <f t="shared" si="1"/>
        <v>In</v>
      </c>
    </row>
    <row r="2862">
      <c r="A2862" s="62" t="s">
        <v>3000</v>
      </c>
      <c r="B2862" s="63">
        <v>44224.0</v>
      </c>
      <c r="C2862" s="62" t="s">
        <v>119</v>
      </c>
      <c r="D2862" s="64">
        <v>42.5</v>
      </c>
      <c r="E2862" s="62" t="s">
        <v>109</v>
      </c>
      <c r="F2862" s="62" t="s">
        <v>115</v>
      </c>
      <c r="G2862" s="64" t="s">
        <v>64</v>
      </c>
      <c r="H2862" s="3" t="s">
        <v>150</v>
      </c>
      <c r="I2862" s="65">
        <f>IFERROR(VLOOKUP(A2862,'3. Call duration'!$A:$C,3,0),"--")</f>
        <v>45.99847457</v>
      </c>
      <c r="J2862" s="65" t="str">
        <f t="array" ref="J2862">XLOOKUP(H2862,'2. Matching'!$A$2:$A$39,'2. Matching'!$B$2:$B$39,"--")</f>
        <v>SEO</v>
      </c>
      <c r="K2862" s="65" t="str">
        <f t="shared" si="1"/>
        <v>In</v>
      </c>
    </row>
    <row r="2863">
      <c r="A2863" s="62" t="s">
        <v>3001</v>
      </c>
      <c r="B2863" s="63">
        <v>44121.0</v>
      </c>
      <c r="C2863" s="62" t="s">
        <v>119</v>
      </c>
      <c r="D2863" s="64">
        <v>42.5</v>
      </c>
      <c r="E2863" s="62" t="s">
        <v>109</v>
      </c>
      <c r="F2863" s="62" t="s">
        <v>115</v>
      </c>
      <c r="G2863" s="64" t="s">
        <v>62</v>
      </c>
      <c r="H2863" s="3" t="s">
        <v>286</v>
      </c>
      <c r="I2863" s="65">
        <f>IFERROR(VLOOKUP(A2863,'3. Call duration'!$A:$C,3,0),"--")</f>
        <v>23.07559025</v>
      </c>
      <c r="J2863" s="65" t="str">
        <f t="array" ref="J2863">XLOOKUP(H2863,'2. Matching'!$A$2:$A$39,'2. Matching'!$B$2:$B$39,"--")</f>
        <v>Farming</v>
      </c>
      <c r="K2863" s="65" t="str">
        <f t="shared" si="1"/>
        <v>In</v>
      </c>
    </row>
    <row r="2864">
      <c r="A2864" s="62" t="s">
        <v>3002</v>
      </c>
      <c r="B2864" s="63">
        <v>44215.0</v>
      </c>
      <c r="C2864" s="62" t="s">
        <v>119</v>
      </c>
      <c r="D2864" s="64">
        <v>42.5</v>
      </c>
      <c r="E2864" s="62" t="s">
        <v>109</v>
      </c>
      <c r="F2864" s="62" t="s">
        <v>110</v>
      </c>
      <c r="G2864" s="64" t="s">
        <v>64</v>
      </c>
      <c r="H2864" s="3" t="s">
        <v>175</v>
      </c>
      <c r="I2864" s="65">
        <f>IFERROR(VLOOKUP(A2864,'3. Call duration'!$A:$C,3,0),"--")</f>
        <v>10.76611397</v>
      </c>
      <c r="J2864" s="65" t="str">
        <f t="array" ref="J2864">XLOOKUP(H2864,'2. Matching'!$A$2:$A$39,'2. Matching'!$B$2:$B$39,"--")</f>
        <v>SEO</v>
      </c>
      <c r="K2864" s="65" t="str">
        <f t="shared" si="1"/>
        <v>In</v>
      </c>
    </row>
    <row r="2865">
      <c r="A2865" s="62" t="s">
        <v>3003</v>
      </c>
      <c r="B2865" s="63">
        <v>44203.0</v>
      </c>
      <c r="C2865" s="62" t="s">
        <v>119</v>
      </c>
      <c r="D2865" s="64">
        <v>42.5</v>
      </c>
      <c r="E2865" s="62" t="s">
        <v>109</v>
      </c>
      <c r="F2865" s="62" t="s">
        <v>115</v>
      </c>
      <c r="G2865" s="64" t="s">
        <v>64</v>
      </c>
      <c r="H2865" s="3" t="s">
        <v>150</v>
      </c>
      <c r="I2865" s="65">
        <f>IFERROR(VLOOKUP(A2865,'3. Call duration'!$A:$C,3,0),"--")</f>
        <v>24.39918271</v>
      </c>
      <c r="J2865" s="65" t="str">
        <f t="array" ref="J2865">XLOOKUP(H2865,'2. Matching'!$A$2:$A$39,'2. Matching'!$B$2:$B$39,"--")</f>
        <v>SEO</v>
      </c>
      <c r="K2865" s="65" t="str">
        <f t="shared" si="1"/>
        <v>In</v>
      </c>
    </row>
    <row r="2866">
      <c r="A2866" s="62" t="s">
        <v>3004</v>
      </c>
      <c r="B2866" s="63">
        <v>44240.0</v>
      </c>
      <c r="C2866" s="62" t="s">
        <v>119</v>
      </c>
      <c r="D2866" s="64">
        <v>42.5</v>
      </c>
      <c r="E2866" s="62" t="s">
        <v>109</v>
      </c>
      <c r="F2866" s="62" t="s">
        <v>110</v>
      </c>
      <c r="G2866" s="64" t="s">
        <v>64</v>
      </c>
      <c r="H2866" s="3" t="s">
        <v>139</v>
      </c>
      <c r="I2866" s="65">
        <f>IFERROR(VLOOKUP(A2866,'3. Call duration'!$A:$C,3,0),"--")</f>
        <v>10.23892081</v>
      </c>
      <c r="J2866" s="65" t="str">
        <f t="array" ref="J2866">XLOOKUP(H2866,'2. Matching'!$A$2:$A$39,'2. Matching'!$B$2:$B$39,"--")</f>
        <v>Acquisition</v>
      </c>
      <c r="K2866" s="65" t="str">
        <f t="shared" si="1"/>
        <v>In</v>
      </c>
    </row>
    <row r="2867">
      <c r="A2867" s="62" t="s">
        <v>3005</v>
      </c>
      <c r="B2867" s="63">
        <v>44253.0</v>
      </c>
      <c r="C2867" s="62" t="s">
        <v>119</v>
      </c>
      <c r="D2867" s="64">
        <v>42.5</v>
      </c>
      <c r="E2867" s="62" t="s">
        <v>109</v>
      </c>
      <c r="F2867" s="62" t="s">
        <v>115</v>
      </c>
      <c r="G2867" s="64" t="s">
        <v>64</v>
      </c>
      <c r="H2867" s="3" t="s">
        <v>139</v>
      </c>
      <c r="I2867" s="65">
        <f>IFERROR(VLOOKUP(A2867,'3. Call duration'!$A:$C,3,0),"--")</f>
        <v>24.92962738</v>
      </c>
      <c r="J2867" s="65" t="str">
        <f t="array" ref="J2867">XLOOKUP(H2867,'2. Matching'!$A$2:$A$39,'2. Matching'!$B$2:$B$39,"--")</f>
        <v>Acquisition</v>
      </c>
      <c r="K2867" s="65" t="str">
        <f t="shared" si="1"/>
        <v>In</v>
      </c>
    </row>
    <row r="2868">
      <c r="A2868" s="62" t="s">
        <v>3006</v>
      </c>
      <c r="B2868" s="63">
        <v>44236.0</v>
      </c>
      <c r="C2868" s="62" t="s">
        <v>119</v>
      </c>
      <c r="D2868" s="64">
        <v>42.5</v>
      </c>
      <c r="E2868" s="62" t="s">
        <v>109</v>
      </c>
      <c r="F2868" s="62" t="s">
        <v>115</v>
      </c>
      <c r="G2868" s="64" t="s">
        <v>64</v>
      </c>
      <c r="H2868" s="3" t="s">
        <v>139</v>
      </c>
      <c r="I2868" s="65">
        <f>IFERROR(VLOOKUP(A2868,'3. Call duration'!$A:$C,3,0),"--")</f>
        <v>33.01848094</v>
      </c>
      <c r="J2868" s="65" t="str">
        <f t="array" ref="J2868">XLOOKUP(H2868,'2. Matching'!$A$2:$A$39,'2. Matching'!$B$2:$B$39,"--")</f>
        <v>Acquisition</v>
      </c>
      <c r="K2868" s="65" t="str">
        <f t="shared" si="1"/>
        <v>In</v>
      </c>
    </row>
    <row r="2869">
      <c r="A2869" s="62" t="s">
        <v>3007</v>
      </c>
      <c r="B2869" s="63">
        <v>44086.0</v>
      </c>
      <c r="C2869" s="62" t="s">
        <v>119</v>
      </c>
      <c r="D2869" s="64">
        <v>42.5</v>
      </c>
      <c r="E2869" s="62" t="s">
        <v>109</v>
      </c>
      <c r="F2869" s="62" t="s">
        <v>115</v>
      </c>
      <c r="G2869" s="64" t="s">
        <v>64</v>
      </c>
      <c r="H2869" s="3" t="s">
        <v>131</v>
      </c>
      <c r="I2869" s="65">
        <f>IFERROR(VLOOKUP(A2869,'3. Call duration'!$A:$C,3,0),"--")</f>
        <v>10.99558498</v>
      </c>
      <c r="J2869" s="65" t="str">
        <f t="array" ref="J2869">XLOOKUP(H2869,'2. Matching'!$A$2:$A$39,'2. Matching'!$B$2:$B$39,"--")</f>
        <v>Acquisition</v>
      </c>
      <c r="K2869" s="65" t="str">
        <f t="shared" si="1"/>
        <v>In</v>
      </c>
    </row>
    <row r="2870">
      <c r="A2870" s="62" t="s">
        <v>3008</v>
      </c>
      <c r="B2870" s="63">
        <v>44224.0</v>
      </c>
      <c r="C2870" s="62" t="s">
        <v>119</v>
      </c>
      <c r="D2870" s="64">
        <v>42.5</v>
      </c>
      <c r="E2870" s="62" t="s">
        <v>109</v>
      </c>
      <c r="F2870" s="62" t="s">
        <v>115</v>
      </c>
      <c r="G2870" s="64" t="s">
        <v>64</v>
      </c>
      <c r="H2870" s="3" t="s">
        <v>155</v>
      </c>
      <c r="I2870" s="65">
        <f>IFERROR(VLOOKUP(A2870,'3. Call duration'!$A:$C,3,0),"--")</f>
        <v>32.51271854</v>
      </c>
      <c r="J2870" s="65" t="str">
        <f t="array" ref="J2870">XLOOKUP(H2870,'2. Matching'!$A$2:$A$39,'2. Matching'!$B$2:$B$39,"--")</f>
        <v>SEO</v>
      </c>
      <c r="K2870" s="65" t="str">
        <f t="shared" si="1"/>
        <v>In</v>
      </c>
    </row>
    <row r="2871">
      <c r="A2871" s="62" t="s">
        <v>3009</v>
      </c>
      <c r="B2871" s="63">
        <v>44180.0</v>
      </c>
      <c r="C2871" s="62" t="s">
        <v>119</v>
      </c>
      <c r="D2871" s="64">
        <v>42.5</v>
      </c>
      <c r="E2871" s="62" t="s">
        <v>109</v>
      </c>
      <c r="F2871" s="62" t="s">
        <v>110</v>
      </c>
      <c r="G2871" s="64" t="s">
        <v>64</v>
      </c>
      <c r="H2871" s="3" t="s">
        <v>139</v>
      </c>
      <c r="I2871" s="65">
        <f>IFERROR(VLOOKUP(A2871,'3. Call duration'!$A:$C,3,0),"--")</f>
        <v>36.22749079</v>
      </c>
      <c r="J2871" s="65" t="str">
        <f t="array" ref="J2871">XLOOKUP(H2871,'2. Matching'!$A$2:$A$39,'2. Matching'!$B$2:$B$39,"--")</f>
        <v>Acquisition</v>
      </c>
      <c r="K2871" s="65" t="str">
        <f t="shared" si="1"/>
        <v>In</v>
      </c>
    </row>
    <row r="2872">
      <c r="A2872" s="62" t="s">
        <v>3010</v>
      </c>
      <c r="B2872" s="63">
        <v>44119.0</v>
      </c>
      <c r="C2872" s="62" t="s">
        <v>119</v>
      </c>
      <c r="D2872" s="64">
        <v>42.5</v>
      </c>
      <c r="E2872" s="62" t="s">
        <v>109</v>
      </c>
      <c r="F2872" s="62" t="s">
        <v>115</v>
      </c>
      <c r="G2872" s="64" t="s">
        <v>64</v>
      </c>
      <c r="H2872" s="3" t="s">
        <v>169</v>
      </c>
      <c r="I2872" s="65">
        <f>IFERROR(VLOOKUP(A2872,'3. Call duration'!$A:$C,3,0),"--")</f>
        <v>28.30426319</v>
      </c>
      <c r="J2872" s="65" t="str">
        <f t="array" ref="J2872">XLOOKUP(H2872,'2. Matching'!$A$2:$A$39,'2. Matching'!$B$2:$B$39,"--")</f>
        <v>SEO</v>
      </c>
      <c r="K2872" s="65" t="str">
        <f t="shared" si="1"/>
        <v>In</v>
      </c>
    </row>
    <row r="2873">
      <c r="A2873" s="62" t="s">
        <v>3011</v>
      </c>
      <c r="B2873" s="63">
        <v>44102.0</v>
      </c>
      <c r="C2873" s="62" t="s">
        <v>119</v>
      </c>
      <c r="D2873" s="64">
        <v>42.5</v>
      </c>
      <c r="E2873" s="62" t="s">
        <v>109</v>
      </c>
      <c r="F2873" s="62" t="s">
        <v>115</v>
      </c>
      <c r="G2873" s="64" t="s">
        <v>62</v>
      </c>
      <c r="H2873" s="3" t="s">
        <v>294</v>
      </c>
      <c r="I2873" s="65">
        <f>IFERROR(VLOOKUP(A2873,'3. Call duration'!$A:$C,3,0),"--")</f>
        <v>20.69583666</v>
      </c>
      <c r="J2873" s="65" t="str">
        <f t="array" ref="J2873">XLOOKUP(H2873,'2. Matching'!$A$2:$A$39,'2. Matching'!$B$2:$B$39,"--")</f>
        <v>Farming</v>
      </c>
      <c r="K2873" s="65" t="str">
        <f t="shared" si="1"/>
        <v>In</v>
      </c>
    </row>
    <row r="2874">
      <c r="A2874" s="62" t="s">
        <v>3012</v>
      </c>
      <c r="B2874" s="63">
        <v>44127.0</v>
      </c>
      <c r="C2874" s="62" t="s">
        <v>119</v>
      </c>
      <c r="D2874" s="64">
        <v>42.5</v>
      </c>
      <c r="E2874" s="62" t="s">
        <v>109</v>
      </c>
      <c r="F2874" s="62" t="s">
        <v>115</v>
      </c>
      <c r="G2874" s="64" t="s">
        <v>64</v>
      </c>
      <c r="H2874" s="3" t="s">
        <v>139</v>
      </c>
      <c r="I2874" s="65">
        <f>IFERROR(VLOOKUP(A2874,'3. Call duration'!$A:$C,3,0),"--")</f>
        <v>23.55066767</v>
      </c>
      <c r="J2874" s="65" t="str">
        <f t="array" ref="J2874">XLOOKUP(H2874,'2. Matching'!$A$2:$A$39,'2. Matching'!$B$2:$B$39,"--")</f>
        <v>Acquisition</v>
      </c>
      <c r="K2874" s="65" t="str">
        <f t="shared" si="1"/>
        <v>In</v>
      </c>
    </row>
    <row r="2875">
      <c r="A2875" s="62" t="s">
        <v>3013</v>
      </c>
      <c r="B2875" s="63">
        <v>44223.0</v>
      </c>
      <c r="C2875" s="62" t="s">
        <v>119</v>
      </c>
      <c r="D2875" s="64">
        <v>42.5</v>
      </c>
      <c r="E2875" s="62" t="s">
        <v>109</v>
      </c>
      <c r="F2875" s="62" t="s">
        <v>110</v>
      </c>
      <c r="G2875" s="64" t="s">
        <v>64</v>
      </c>
      <c r="H2875" s="3" t="s">
        <v>169</v>
      </c>
      <c r="I2875" s="65">
        <f>IFERROR(VLOOKUP(A2875,'3. Call duration'!$A:$C,3,0),"--")</f>
        <v>32.21705131</v>
      </c>
      <c r="J2875" s="65" t="str">
        <f t="array" ref="J2875">XLOOKUP(H2875,'2. Matching'!$A$2:$A$39,'2. Matching'!$B$2:$B$39,"--")</f>
        <v>SEO</v>
      </c>
      <c r="K2875" s="65" t="str">
        <f t="shared" si="1"/>
        <v>In</v>
      </c>
    </row>
    <row r="2876">
      <c r="A2876" s="62" t="s">
        <v>3014</v>
      </c>
      <c r="B2876" s="63">
        <v>44218.0</v>
      </c>
      <c r="C2876" s="62" t="s">
        <v>119</v>
      </c>
      <c r="D2876" s="64">
        <v>42.5</v>
      </c>
      <c r="E2876" s="62" t="s">
        <v>109</v>
      </c>
      <c r="F2876" s="62" t="s">
        <v>110</v>
      </c>
      <c r="G2876" s="64" t="s">
        <v>64</v>
      </c>
      <c r="H2876" s="3" t="s">
        <v>169</v>
      </c>
      <c r="I2876" s="65">
        <f>IFERROR(VLOOKUP(A2876,'3. Call duration'!$A:$C,3,0),"--")</f>
        <v>30.51635492</v>
      </c>
      <c r="J2876" s="65" t="str">
        <f t="array" ref="J2876">XLOOKUP(H2876,'2. Matching'!$A$2:$A$39,'2. Matching'!$B$2:$B$39,"--")</f>
        <v>SEO</v>
      </c>
      <c r="K2876" s="65" t="str">
        <f t="shared" si="1"/>
        <v>In</v>
      </c>
    </row>
    <row r="2877">
      <c r="A2877" s="62" t="s">
        <v>3015</v>
      </c>
      <c r="B2877" s="63">
        <v>44203.0</v>
      </c>
      <c r="C2877" s="62" t="s">
        <v>119</v>
      </c>
      <c r="D2877" s="64">
        <v>42.5</v>
      </c>
      <c r="E2877" s="62" t="s">
        <v>109</v>
      </c>
      <c r="F2877" s="62" t="s">
        <v>115</v>
      </c>
      <c r="G2877" s="64" t="s">
        <v>64</v>
      </c>
      <c r="H2877" s="3" t="s">
        <v>139</v>
      </c>
      <c r="I2877" s="65">
        <f>IFERROR(VLOOKUP(A2877,'3. Call duration'!$A:$C,3,0),"--")</f>
        <v>20.76054327</v>
      </c>
      <c r="J2877" s="65" t="str">
        <f t="array" ref="J2877">XLOOKUP(H2877,'2. Matching'!$A$2:$A$39,'2. Matching'!$B$2:$B$39,"--")</f>
        <v>Acquisition</v>
      </c>
      <c r="K2877" s="65" t="str">
        <f t="shared" si="1"/>
        <v>In</v>
      </c>
    </row>
    <row r="2878">
      <c r="A2878" s="62" t="s">
        <v>3016</v>
      </c>
      <c r="B2878" s="63">
        <v>44151.0</v>
      </c>
      <c r="C2878" s="62" t="s">
        <v>119</v>
      </c>
      <c r="D2878" s="64">
        <v>42.5</v>
      </c>
      <c r="E2878" s="62" t="s">
        <v>109</v>
      </c>
      <c r="F2878" s="62" t="s">
        <v>110</v>
      </c>
      <c r="G2878" s="64" t="s">
        <v>64</v>
      </c>
      <c r="H2878" s="3" t="s">
        <v>155</v>
      </c>
      <c r="I2878" s="65">
        <f>IFERROR(VLOOKUP(A2878,'3. Call duration'!$A:$C,3,0),"--")</f>
        <v>31.02817253</v>
      </c>
      <c r="J2878" s="65" t="str">
        <f t="array" ref="J2878">XLOOKUP(H2878,'2. Matching'!$A$2:$A$39,'2. Matching'!$B$2:$B$39,"--")</f>
        <v>SEO</v>
      </c>
      <c r="K2878" s="65" t="str">
        <f t="shared" si="1"/>
        <v>In</v>
      </c>
    </row>
    <row r="2879">
      <c r="A2879" s="62" t="s">
        <v>3017</v>
      </c>
      <c r="B2879" s="63">
        <v>44162.0</v>
      </c>
      <c r="C2879" s="62" t="s">
        <v>119</v>
      </c>
      <c r="D2879" s="64">
        <v>42.5</v>
      </c>
      <c r="E2879" s="62" t="s">
        <v>109</v>
      </c>
      <c r="F2879" s="62" t="s">
        <v>115</v>
      </c>
      <c r="G2879" s="64" t="s">
        <v>64</v>
      </c>
      <c r="H2879" s="3" t="s">
        <v>164</v>
      </c>
      <c r="I2879" s="65">
        <f>IFERROR(VLOOKUP(A2879,'3. Call duration'!$A:$C,3,0),"--")</f>
        <v>29.2459238</v>
      </c>
      <c r="J2879" s="65" t="str">
        <f t="array" ref="J2879">XLOOKUP(H2879,'2. Matching'!$A$2:$A$39,'2. Matching'!$B$2:$B$39,"--")</f>
        <v>SEO</v>
      </c>
      <c r="K2879" s="65" t="str">
        <f t="shared" si="1"/>
        <v>In</v>
      </c>
    </row>
    <row r="2880">
      <c r="A2880" s="62" t="s">
        <v>3018</v>
      </c>
      <c r="B2880" s="63">
        <v>44236.0</v>
      </c>
      <c r="C2880" s="62" t="s">
        <v>119</v>
      </c>
      <c r="D2880" s="64">
        <v>42.5</v>
      </c>
      <c r="E2880" s="62" t="s">
        <v>109</v>
      </c>
      <c r="F2880" s="62" t="s">
        <v>115</v>
      </c>
      <c r="G2880" s="64" t="s">
        <v>64</v>
      </c>
      <c r="H2880" s="3" t="s">
        <v>131</v>
      </c>
      <c r="I2880" s="65">
        <f>IFERROR(VLOOKUP(A2880,'3. Call duration'!$A:$C,3,0),"--")</f>
        <v>30.09930229</v>
      </c>
      <c r="J2880" s="65" t="str">
        <f t="array" ref="J2880">XLOOKUP(H2880,'2. Matching'!$A$2:$A$39,'2. Matching'!$B$2:$B$39,"--")</f>
        <v>Acquisition</v>
      </c>
      <c r="K2880" s="65" t="str">
        <f t="shared" si="1"/>
        <v>In</v>
      </c>
    </row>
    <row r="2881">
      <c r="A2881" s="62" t="s">
        <v>3019</v>
      </c>
      <c r="B2881" s="63">
        <v>44181.0</v>
      </c>
      <c r="C2881" s="62" t="s">
        <v>119</v>
      </c>
      <c r="D2881" s="64">
        <v>42.5</v>
      </c>
      <c r="E2881" s="62" t="s">
        <v>109</v>
      </c>
      <c r="F2881" s="62" t="s">
        <v>110</v>
      </c>
      <c r="G2881" s="64" t="s">
        <v>62</v>
      </c>
      <c r="H2881" s="3" t="s">
        <v>286</v>
      </c>
      <c r="I2881" s="65">
        <f>IFERROR(VLOOKUP(A2881,'3. Call duration'!$A:$C,3,0),"--")</f>
        <v>33.60668622</v>
      </c>
      <c r="J2881" s="65" t="str">
        <f t="array" ref="J2881">XLOOKUP(H2881,'2. Matching'!$A$2:$A$39,'2. Matching'!$B$2:$B$39,"--")</f>
        <v>Farming</v>
      </c>
      <c r="K2881" s="65" t="str">
        <f t="shared" si="1"/>
        <v>In</v>
      </c>
    </row>
    <row r="2882">
      <c r="A2882" s="62" t="s">
        <v>3020</v>
      </c>
      <c r="B2882" s="63">
        <v>44237.0</v>
      </c>
      <c r="C2882" s="62" t="s">
        <v>119</v>
      </c>
      <c r="D2882" s="64">
        <v>42.5</v>
      </c>
      <c r="E2882" s="62" t="s">
        <v>109</v>
      </c>
      <c r="F2882" s="62" t="s">
        <v>115</v>
      </c>
      <c r="G2882" s="64" t="s">
        <v>62</v>
      </c>
      <c r="H2882" s="3" t="s">
        <v>203</v>
      </c>
      <c r="I2882" s="65">
        <f>IFERROR(VLOOKUP(A2882,'3. Call duration'!$A:$C,3,0),"--")</f>
        <v>22.72846035</v>
      </c>
      <c r="J2882" s="65" t="str">
        <f t="array" ref="J2882">XLOOKUP(H2882,'2. Matching'!$A$2:$A$39,'2. Matching'!$B$2:$B$39,"--")</f>
        <v>Farming</v>
      </c>
      <c r="K2882" s="65" t="str">
        <f t="shared" si="1"/>
        <v>In</v>
      </c>
    </row>
    <row r="2883">
      <c r="A2883" s="62" t="s">
        <v>3021</v>
      </c>
      <c r="B2883" s="63">
        <v>44202.0</v>
      </c>
      <c r="C2883" s="62" t="s">
        <v>119</v>
      </c>
      <c r="D2883" s="64">
        <v>42.5</v>
      </c>
      <c r="E2883" s="62" t="s">
        <v>109</v>
      </c>
      <c r="F2883" s="62" t="s">
        <v>115</v>
      </c>
      <c r="G2883" s="64" t="s">
        <v>64</v>
      </c>
      <c r="H2883" s="3" t="s">
        <v>150</v>
      </c>
      <c r="I2883" s="65">
        <f>IFERROR(VLOOKUP(A2883,'3. Call duration'!$A:$C,3,0),"--")</f>
        <v>32.04650955</v>
      </c>
      <c r="J2883" s="65" t="str">
        <f t="array" ref="J2883">XLOOKUP(H2883,'2. Matching'!$A$2:$A$39,'2. Matching'!$B$2:$B$39,"--")</f>
        <v>SEO</v>
      </c>
      <c r="K2883" s="65" t="str">
        <f t="shared" si="1"/>
        <v>In</v>
      </c>
    </row>
    <row r="2884">
      <c r="A2884" s="62" t="s">
        <v>3022</v>
      </c>
      <c r="B2884" s="63">
        <v>44237.0</v>
      </c>
      <c r="C2884" s="62" t="s">
        <v>119</v>
      </c>
      <c r="D2884" s="64">
        <v>42.5</v>
      </c>
      <c r="E2884" s="62" t="s">
        <v>109</v>
      </c>
      <c r="F2884" s="62" t="s">
        <v>115</v>
      </c>
      <c r="G2884" s="64" t="s">
        <v>64</v>
      </c>
      <c r="H2884" s="3" t="s">
        <v>164</v>
      </c>
      <c r="I2884" s="65">
        <f>IFERROR(VLOOKUP(A2884,'3. Call duration'!$A:$C,3,0),"--")</f>
        <v>30.65680419</v>
      </c>
      <c r="J2884" s="65" t="str">
        <f t="array" ref="J2884">XLOOKUP(H2884,'2. Matching'!$A$2:$A$39,'2. Matching'!$B$2:$B$39,"--")</f>
        <v>SEO</v>
      </c>
      <c r="K2884" s="65" t="str">
        <f t="shared" si="1"/>
        <v>In</v>
      </c>
    </row>
    <row r="2885">
      <c r="A2885" s="62" t="s">
        <v>3023</v>
      </c>
      <c r="B2885" s="63">
        <v>44075.0</v>
      </c>
      <c r="C2885" s="62" t="s">
        <v>119</v>
      </c>
      <c r="D2885" s="64">
        <v>42.5</v>
      </c>
      <c r="E2885" s="62" t="s">
        <v>109</v>
      </c>
      <c r="F2885" s="62" t="s">
        <v>115</v>
      </c>
      <c r="G2885" s="64" t="s">
        <v>64</v>
      </c>
      <c r="H2885" s="3" t="s">
        <v>169</v>
      </c>
      <c r="I2885" s="65">
        <f>IFERROR(VLOOKUP(A2885,'3. Call duration'!$A:$C,3,0),"--")</f>
        <v>24.42635051</v>
      </c>
      <c r="J2885" s="65" t="str">
        <f t="array" ref="J2885">XLOOKUP(H2885,'2. Matching'!$A$2:$A$39,'2. Matching'!$B$2:$B$39,"--")</f>
        <v>SEO</v>
      </c>
      <c r="K2885" s="65" t="str">
        <f t="shared" si="1"/>
        <v>In</v>
      </c>
    </row>
    <row r="2886">
      <c r="A2886" s="62" t="s">
        <v>3024</v>
      </c>
      <c r="B2886" s="63">
        <v>44204.0</v>
      </c>
      <c r="C2886" s="62" t="s">
        <v>119</v>
      </c>
      <c r="D2886" s="64">
        <v>42.5</v>
      </c>
      <c r="E2886" s="62" t="s">
        <v>109</v>
      </c>
      <c r="F2886" s="62" t="s">
        <v>115</v>
      </c>
      <c r="G2886" s="64" t="s">
        <v>64</v>
      </c>
      <c r="H2886" s="3" t="s">
        <v>164</v>
      </c>
      <c r="I2886" s="65">
        <f>IFERROR(VLOOKUP(A2886,'3. Call duration'!$A:$C,3,0),"--")</f>
        <v>29.59413173</v>
      </c>
      <c r="J2886" s="65" t="str">
        <f t="array" ref="J2886">XLOOKUP(H2886,'2. Matching'!$A$2:$A$39,'2. Matching'!$B$2:$B$39,"--")</f>
        <v>SEO</v>
      </c>
      <c r="K2886" s="65" t="str">
        <f t="shared" si="1"/>
        <v>In</v>
      </c>
    </row>
    <row r="2887">
      <c r="A2887" s="62" t="s">
        <v>3025</v>
      </c>
      <c r="B2887" s="63">
        <v>44254.0</v>
      </c>
      <c r="C2887" s="62" t="s">
        <v>119</v>
      </c>
      <c r="D2887" s="64">
        <v>42.5</v>
      </c>
      <c r="E2887" s="62" t="s">
        <v>109</v>
      </c>
      <c r="F2887" s="62" t="s">
        <v>115</v>
      </c>
      <c r="G2887" s="64" t="s">
        <v>64</v>
      </c>
      <c r="H2887" s="3" t="s">
        <v>139</v>
      </c>
      <c r="I2887" s="65">
        <f>IFERROR(VLOOKUP(A2887,'3. Call duration'!$A:$C,3,0),"--")</f>
        <v>33.11631216</v>
      </c>
      <c r="J2887" s="65" t="str">
        <f t="array" ref="J2887">XLOOKUP(H2887,'2. Matching'!$A$2:$A$39,'2. Matching'!$B$2:$B$39,"--")</f>
        <v>Acquisition</v>
      </c>
      <c r="K2887" s="65" t="str">
        <f t="shared" si="1"/>
        <v>In</v>
      </c>
    </row>
    <row r="2888">
      <c r="A2888" s="62" t="s">
        <v>3026</v>
      </c>
      <c r="B2888" s="63">
        <v>44102.0</v>
      </c>
      <c r="C2888" s="62" t="s">
        <v>119</v>
      </c>
      <c r="D2888" s="64">
        <v>42.5</v>
      </c>
      <c r="E2888" s="62" t="s">
        <v>109</v>
      </c>
      <c r="F2888" s="62" t="s">
        <v>115</v>
      </c>
      <c r="G2888" s="64" t="s">
        <v>64</v>
      </c>
      <c r="H2888" s="3" t="s">
        <v>169</v>
      </c>
      <c r="I2888" s="65">
        <f>IFERROR(VLOOKUP(A2888,'3. Call duration'!$A:$C,3,0),"--")</f>
        <v>20.09254112</v>
      </c>
      <c r="J2888" s="65" t="str">
        <f t="array" ref="J2888">XLOOKUP(H2888,'2. Matching'!$A$2:$A$39,'2. Matching'!$B$2:$B$39,"--")</f>
        <v>SEO</v>
      </c>
      <c r="K2888" s="65" t="str">
        <f t="shared" si="1"/>
        <v>In</v>
      </c>
    </row>
    <row r="2889">
      <c r="A2889" s="62" t="s">
        <v>3027</v>
      </c>
      <c r="B2889" s="63">
        <v>44221.0</v>
      </c>
      <c r="C2889" s="62" t="s">
        <v>119</v>
      </c>
      <c r="D2889" s="64">
        <v>42.5</v>
      </c>
      <c r="E2889" s="62" t="s">
        <v>109</v>
      </c>
      <c r="F2889" s="62" t="s">
        <v>115</v>
      </c>
      <c r="G2889" s="64" t="s">
        <v>64</v>
      </c>
      <c r="H2889" s="3" t="s">
        <v>185</v>
      </c>
      <c r="I2889" s="65">
        <f>IFERROR(VLOOKUP(A2889,'3. Call duration'!$A:$C,3,0),"--")</f>
        <v>33.70168025</v>
      </c>
      <c r="J2889" s="65" t="str">
        <f t="array" ref="J2889">XLOOKUP(H2889,'2. Matching'!$A$2:$A$39,'2. Matching'!$B$2:$B$39,"--")</f>
        <v>SEO</v>
      </c>
      <c r="K2889" s="65" t="str">
        <f t="shared" si="1"/>
        <v>In</v>
      </c>
    </row>
    <row r="2890">
      <c r="A2890" s="62" t="s">
        <v>3028</v>
      </c>
      <c r="B2890" s="63">
        <v>44202.0</v>
      </c>
      <c r="C2890" s="62" t="s">
        <v>119</v>
      </c>
      <c r="D2890" s="64">
        <v>42.5</v>
      </c>
      <c r="E2890" s="62" t="s">
        <v>109</v>
      </c>
      <c r="F2890" s="62" t="s">
        <v>115</v>
      </c>
      <c r="G2890" s="64" t="s">
        <v>62</v>
      </c>
      <c r="H2890" s="3" t="s">
        <v>286</v>
      </c>
      <c r="I2890" s="65">
        <f>IFERROR(VLOOKUP(A2890,'3. Call duration'!$A:$C,3,0),"--")</f>
        <v>28.66773045</v>
      </c>
      <c r="J2890" s="65" t="str">
        <f t="array" ref="J2890">XLOOKUP(H2890,'2. Matching'!$A$2:$A$39,'2. Matching'!$B$2:$B$39,"--")</f>
        <v>Farming</v>
      </c>
      <c r="K2890" s="65" t="str">
        <f t="shared" si="1"/>
        <v>In</v>
      </c>
    </row>
    <row r="2891">
      <c r="A2891" s="62" t="s">
        <v>3029</v>
      </c>
      <c r="B2891" s="63">
        <v>44239.0</v>
      </c>
      <c r="C2891" s="62" t="s">
        <v>119</v>
      </c>
      <c r="D2891" s="64">
        <v>42.5</v>
      </c>
      <c r="E2891" s="62" t="s">
        <v>109</v>
      </c>
      <c r="F2891" s="62" t="s">
        <v>115</v>
      </c>
      <c r="G2891" s="64" t="s">
        <v>64</v>
      </c>
      <c r="H2891" s="3" t="s">
        <v>139</v>
      </c>
      <c r="I2891" s="65">
        <f>IFERROR(VLOOKUP(A2891,'3. Call duration'!$A:$C,3,0),"--")</f>
        <v>26.95077793</v>
      </c>
      <c r="J2891" s="65" t="str">
        <f t="array" ref="J2891">XLOOKUP(H2891,'2. Matching'!$A$2:$A$39,'2. Matching'!$B$2:$B$39,"--")</f>
        <v>Acquisition</v>
      </c>
      <c r="K2891" s="65" t="str">
        <f t="shared" si="1"/>
        <v>In</v>
      </c>
    </row>
    <row r="2892">
      <c r="A2892" s="62" t="s">
        <v>3030</v>
      </c>
      <c r="B2892" s="63">
        <v>44137.0</v>
      </c>
      <c r="C2892" s="62" t="s">
        <v>119</v>
      </c>
      <c r="D2892" s="64">
        <v>42.5</v>
      </c>
      <c r="E2892" s="62" t="s">
        <v>109</v>
      </c>
      <c r="F2892" s="62" t="s">
        <v>115</v>
      </c>
      <c r="G2892" s="64" t="s">
        <v>64</v>
      </c>
      <c r="H2892" s="3" t="s">
        <v>139</v>
      </c>
      <c r="I2892" s="65">
        <f>IFERROR(VLOOKUP(A2892,'3. Call duration'!$A:$C,3,0),"--")</f>
        <v>31.35535835</v>
      </c>
      <c r="J2892" s="65" t="str">
        <f t="array" ref="J2892">XLOOKUP(H2892,'2. Matching'!$A$2:$A$39,'2. Matching'!$B$2:$B$39,"--")</f>
        <v>Acquisition</v>
      </c>
      <c r="K2892" s="65" t="str">
        <f t="shared" si="1"/>
        <v>In</v>
      </c>
    </row>
    <row r="2893">
      <c r="A2893" s="62" t="s">
        <v>3031</v>
      </c>
      <c r="B2893" s="63">
        <v>44118.0</v>
      </c>
      <c r="C2893" s="62" t="s">
        <v>119</v>
      </c>
      <c r="D2893" s="64">
        <v>42.5</v>
      </c>
      <c r="E2893" s="62" t="s">
        <v>109</v>
      </c>
      <c r="F2893" s="62" t="s">
        <v>115</v>
      </c>
      <c r="G2893" s="64" t="s">
        <v>64</v>
      </c>
      <c r="H2893" s="3" t="s">
        <v>139</v>
      </c>
      <c r="I2893" s="65">
        <f>IFERROR(VLOOKUP(A2893,'3. Call duration'!$A:$C,3,0),"--")</f>
        <v>16.06697385</v>
      </c>
      <c r="J2893" s="65" t="str">
        <f t="array" ref="J2893">XLOOKUP(H2893,'2. Matching'!$A$2:$A$39,'2. Matching'!$B$2:$B$39,"--")</f>
        <v>Acquisition</v>
      </c>
      <c r="K2893" s="65" t="str">
        <f t="shared" si="1"/>
        <v>In</v>
      </c>
    </row>
    <row r="2894">
      <c r="A2894" s="62" t="s">
        <v>3032</v>
      </c>
      <c r="B2894" s="63">
        <v>44221.0</v>
      </c>
      <c r="C2894" s="62" t="s">
        <v>119</v>
      </c>
      <c r="D2894" s="64">
        <v>42.5</v>
      </c>
      <c r="E2894" s="62" t="s">
        <v>109</v>
      </c>
      <c r="F2894" s="62" t="s">
        <v>115</v>
      </c>
      <c r="G2894" s="64" t="s">
        <v>62</v>
      </c>
      <c r="H2894" s="3" t="s">
        <v>286</v>
      </c>
      <c r="I2894" s="65">
        <f>IFERROR(VLOOKUP(A2894,'3. Call duration'!$A:$C,3,0),"--")</f>
        <v>29.29755702</v>
      </c>
      <c r="J2894" s="65" t="str">
        <f t="array" ref="J2894">XLOOKUP(H2894,'2. Matching'!$A$2:$A$39,'2. Matching'!$B$2:$B$39,"--")</f>
        <v>Farming</v>
      </c>
      <c r="K2894" s="65" t="str">
        <f t="shared" si="1"/>
        <v>In</v>
      </c>
    </row>
    <row r="2895">
      <c r="A2895" s="62" t="s">
        <v>3033</v>
      </c>
      <c r="B2895" s="63">
        <v>44222.0</v>
      </c>
      <c r="C2895" s="62" t="s">
        <v>119</v>
      </c>
      <c r="D2895" s="64">
        <v>42.5</v>
      </c>
      <c r="E2895" s="62" t="s">
        <v>109</v>
      </c>
      <c r="F2895" s="62" t="s">
        <v>115</v>
      </c>
      <c r="G2895" s="64" t="s">
        <v>62</v>
      </c>
      <c r="H2895" s="3" t="s">
        <v>286</v>
      </c>
      <c r="I2895" s="65">
        <f>IFERROR(VLOOKUP(A2895,'3. Call duration'!$A:$C,3,0),"--")</f>
        <v>31.26174419</v>
      </c>
      <c r="J2895" s="65" t="str">
        <f t="array" ref="J2895">XLOOKUP(H2895,'2. Matching'!$A$2:$A$39,'2. Matching'!$B$2:$B$39,"--")</f>
        <v>Farming</v>
      </c>
      <c r="K2895" s="65" t="str">
        <f t="shared" si="1"/>
        <v>In</v>
      </c>
    </row>
    <row r="2896">
      <c r="A2896" s="62" t="s">
        <v>3034</v>
      </c>
      <c r="B2896" s="63">
        <v>44245.0</v>
      </c>
      <c r="C2896" s="62" t="s">
        <v>119</v>
      </c>
      <c r="D2896" s="64">
        <v>42.5</v>
      </c>
      <c r="E2896" s="62" t="s">
        <v>109</v>
      </c>
      <c r="F2896" s="62" t="s">
        <v>115</v>
      </c>
      <c r="G2896" s="64" t="s">
        <v>64</v>
      </c>
      <c r="H2896" s="3" t="s">
        <v>221</v>
      </c>
      <c r="I2896" s="65">
        <f>IFERROR(VLOOKUP(A2896,'3. Call duration'!$A:$C,3,0),"--")</f>
        <v>25.22224572</v>
      </c>
      <c r="J2896" s="65" t="str">
        <f t="array" ref="J2896">XLOOKUP(H2896,'2. Matching'!$A$2:$A$39,'2. Matching'!$B$2:$B$39,"--")</f>
        <v>Farming</v>
      </c>
      <c r="K2896" s="65" t="str">
        <f t="shared" si="1"/>
        <v>In</v>
      </c>
    </row>
    <row r="2897">
      <c r="A2897" s="62" t="s">
        <v>3035</v>
      </c>
      <c r="B2897" s="63">
        <v>44235.0</v>
      </c>
      <c r="C2897" s="62" t="s">
        <v>119</v>
      </c>
      <c r="D2897" s="64">
        <v>42.5</v>
      </c>
      <c r="E2897" s="62" t="s">
        <v>109</v>
      </c>
      <c r="F2897" s="62" t="s">
        <v>110</v>
      </c>
      <c r="G2897" s="64" t="s">
        <v>62</v>
      </c>
      <c r="H2897" s="3" t="s">
        <v>203</v>
      </c>
      <c r="I2897" s="65">
        <f>IFERROR(VLOOKUP(A2897,'3. Call duration'!$A:$C,3,0),"--")</f>
        <v>33.11264816</v>
      </c>
      <c r="J2897" s="65" t="str">
        <f t="array" ref="J2897">XLOOKUP(H2897,'2. Matching'!$A$2:$A$39,'2. Matching'!$B$2:$B$39,"--")</f>
        <v>Farming</v>
      </c>
      <c r="K2897" s="65" t="str">
        <f t="shared" si="1"/>
        <v>In</v>
      </c>
    </row>
    <row r="2898">
      <c r="A2898" s="62" t="s">
        <v>3036</v>
      </c>
      <c r="B2898" s="63">
        <v>44084.0</v>
      </c>
      <c r="C2898" s="62" t="s">
        <v>119</v>
      </c>
      <c r="D2898" s="64">
        <v>42.5</v>
      </c>
      <c r="E2898" s="62" t="s">
        <v>109</v>
      </c>
      <c r="F2898" s="62" t="s">
        <v>115</v>
      </c>
      <c r="G2898" s="64" t="s">
        <v>64</v>
      </c>
      <c r="H2898" s="3" t="s">
        <v>139</v>
      </c>
      <c r="I2898" s="65">
        <f>IFERROR(VLOOKUP(A2898,'3. Call duration'!$A:$C,3,0),"--")</f>
        <v>24.42597978</v>
      </c>
      <c r="J2898" s="65" t="str">
        <f t="array" ref="J2898">XLOOKUP(H2898,'2. Matching'!$A$2:$A$39,'2. Matching'!$B$2:$B$39,"--")</f>
        <v>Acquisition</v>
      </c>
      <c r="K2898" s="65" t="str">
        <f t="shared" si="1"/>
        <v>In</v>
      </c>
    </row>
    <row r="2899">
      <c r="A2899" s="62" t="s">
        <v>3037</v>
      </c>
      <c r="B2899" s="63">
        <v>44075.0</v>
      </c>
      <c r="C2899" s="62" t="s">
        <v>119</v>
      </c>
      <c r="D2899" s="64">
        <v>42.5</v>
      </c>
      <c r="E2899" s="62" t="s">
        <v>109</v>
      </c>
      <c r="F2899" s="62" t="s">
        <v>115</v>
      </c>
      <c r="G2899" s="64" t="s">
        <v>64</v>
      </c>
      <c r="H2899" s="3" t="s">
        <v>164</v>
      </c>
      <c r="I2899" s="65">
        <f>IFERROR(VLOOKUP(A2899,'3. Call duration'!$A:$C,3,0),"--")</f>
        <v>33.52623182</v>
      </c>
      <c r="J2899" s="65" t="str">
        <f t="array" ref="J2899">XLOOKUP(H2899,'2. Matching'!$A$2:$A$39,'2. Matching'!$B$2:$B$39,"--")</f>
        <v>SEO</v>
      </c>
      <c r="K2899" s="65" t="str">
        <f t="shared" si="1"/>
        <v>In</v>
      </c>
    </row>
    <row r="2900">
      <c r="A2900" s="62" t="s">
        <v>3038</v>
      </c>
      <c r="B2900" s="63">
        <v>44235.0</v>
      </c>
      <c r="C2900" s="62" t="s">
        <v>119</v>
      </c>
      <c r="D2900" s="64">
        <v>42.5</v>
      </c>
      <c r="E2900" s="62" t="s">
        <v>109</v>
      </c>
      <c r="F2900" s="62" t="s">
        <v>115</v>
      </c>
      <c r="G2900" s="64" t="s">
        <v>64</v>
      </c>
      <c r="H2900" s="3" t="s">
        <v>169</v>
      </c>
      <c r="I2900" s="65">
        <f>IFERROR(VLOOKUP(A2900,'3. Call duration'!$A:$C,3,0),"--")</f>
        <v>23.1403623</v>
      </c>
      <c r="J2900" s="65" t="str">
        <f t="array" ref="J2900">XLOOKUP(H2900,'2. Matching'!$A$2:$A$39,'2. Matching'!$B$2:$B$39,"--")</f>
        <v>SEO</v>
      </c>
      <c r="K2900" s="65" t="str">
        <f t="shared" si="1"/>
        <v>In</v>
      </c>
    </row>
    <row r="2901">
      <c r="A2901" s="62" t="s">
        <v>3039</v>
      </c>
      <c r="B2901" s="63">
        <v>44161.0</v>
      </c>
      <c r="C2901" s="62" t="s">
        <v>119</v>
      </c>
      <c r="D2901" s="64">
        <v>42.5</v>
      </c>
      <c r="E2901" s="62" t="s">
        <v>109</v>
      </c>
      <c r="F2901" s="62" t="s">
        <v>115</v>
      </c>
      <c r="G2901" s="64" t="s">
        <v>64</v>
      </c>
      <c r="H2901" s="3" t="s">
        <v>155</v>
      </c>
      <c r="I2901" s="65">
        <f>IFERROR(VLOOKUP(A2901,'3. Call duration'!$A:$C,3,0),"--")</f>
        <v>22.76308608</v>
      </c>
      <c r="J2901" s="65" t="str">
        <f t="array" ref="J2901">XLOOKUP(H2901,'2. Matching'!$A$2:$A$39,'2. Matching'!$B$2:$B$39,"--")</f>
        <v>SEO</v>
      </c>
      <c r="K2901" s="65" t="str">
        <f t="shared" si="1"/>
        <v>In</v>
      </c>
    </row>
    <row r="2902">
      <c r="A2902" s="62" t="s">
        <v>3040</v>
      </c>
      <c r="B2902" s="63">
        <v>44237.0</v>
      </c>
      <c r="C2902" s="62" t="s">
        <v>119</v>
      </c>
      <c r="D2902" s="64">
        <v>42.5</v>
      </c>
      <c r="E2902" s="62" t="s">
        <v>109</v>
      </c>
      <c r="F2902" s="62" t="s">
        <v>115</v>
      </c>
      <c r="G2902" s="64" t="s">
        <v>64</v>
      </c>
      <c r="H2902" s="3" t="s">
        <v>155</v>
      </c>
      <c r="I2902" s="65">
        <f>IFERROR(VLOOKUP(A2902,'3. Call duration'!$A:$C,3,0),"--")</f>
        <v>25.45917279</v>
      </c>
      <c r="J2902" s="65" t="str">
        <f t="array" ref="J2902">XLOOKUP(H2902,'2. Matching'!$A$2:$A$39,'2. Matching'!$B$2:$B$39,"--")</f>
        <v>SEO</v>
      </c>
      <c r="K2902" s="65" t="str">
        <f t="shared" si="1"/>
        <v>In</v>
      </c>
    </row>
    <row r="2903">
      <c r="A2903" s="62" t="s">
        <v>3041</v>
      </c>
      <c r="B2903" s="63">
        <v>44196.0</v>
      </c>
      <c r="C2903" s="62" t="s">
        <v>119</v>
      </c>
      <c r="D2903" s="64">
        <v>42.5</v>
      </c>
      <c r="E2903" s="62" t="s">
        <v>109</v>
      </c>
      <c r="F2903" s="62" t="s">
        <v>115</v>
      </c>
      <c r="G2903" s="64" t="s">
        <v>64</v>
      </c>
      <c r="H2903" s="3" t="s">
        <v>139</v>
      </c>
      <c r="I2903" s="65">
        <f>IFERROR(VLOOKUP(A2903,'3. Call duration'!$A:$C,3,0),"--")</f>
        <v>26.81400451</v>
      </c>
      <c r="J2903" s="65" t="str">
        <f t="array" ref="J2903">XLOOKUP(H2903,'2. Matching'!$A$2:$A$39,'2. Matching'!$B$2:$B$39,"--")</f>
        <v>Acquisition</v>
      </c>
      <c r="K2903" s="65" t="str">
        <f t="shared" si="1"/>
        <v>In</v>
      </c>
    </row>
    <row r="2904">
      <c r="A2904" s="62" t="s">
        <v>3042</v>
      </c>
      <c r="B2904" s="63">
        <v>44172.0</v>
      </c>
      <c r="C2904" s="62" t="s">
        <v>119</v>
      </c>
      <c r="D2904" s="64">
        <v>42.5</v>
      </c>
      <c r="E2904" s="62" t="s">
        <v>109</v>
      </c>
      <c r="F2904" s="62" t="s">
        <v>115</v>
      </c>
      <c r="G2904" s="64" t="s">
        <v>62</v>
      </c>
      <c r="H2904" s="3" t="s">
        <v>286</v>
      </c>
      <c r="I2904" s="65">
        <f>IFERROR(VLOOKUP(A2904,'3. Call duration'!$A:$C,3,0),"--")</f>
        <v>13.92996432</v>
      </c>
      <c r="J2904" s="65" t="str">
        <f t="array" ref="J2904">XLOOKUP(H2904,'2. Matching'!$A$2:$A$39,'2. Matching'!$B$2:$B$39,"--")</f>
        <v>Farming</v>
      </c>
      <c r="K2904" s="65" t="str">
        <f t="shared" si="1"/>
        <v>In</v>
      </c>
    </row>
    <row r="2905">
      <c r="A2905" s="62" t="s">
        <v>3043</v>
      </c>
      <c r="B2905" s="63">
        <v>44224.0</v>
      </c>
      <c r="C2905" s="62" t="s">
        <v>119</v>
      </c>
      <c r="D2905" s="64">
        <v>42.5</v>
      </c>
      <c r="E2905" s="62" t="s">
        <v>109</v>
      </c>
      <c r="F2905" s="62" t="s">
        <v>115</v>
      </c>
      <c r="G2905" s="64" t="s">
        <v>64</v>
      </c>
      <c r="H2905" s="3" t="s">
        <v>139</v>
      </c>
      <c r="I2905" s="65">
        <f>IFERROR(VLOOKUP(A2905,'3. Call duration'!$A:$C,3,0),"--")</f>
        <v>28.91826825</v>
      </c>
      <c r="J2905" s="65" t="str">
        <f t="array" ref="J2905">XLOOKUP(H2905,'2. Matching'!$A$2:$A$39,'2. Matching'!$B$2:$B$39,"--")</f>
        <v>Acquisition</v>
      </c>
      <c r="K2905" s="65" t="str">
        <f t="shared" si="1"/>
        <v>In</v>
      </c>
    </row>
    <row r="2906">
      <c r="A2906" s="62" t="s">
        <v>3044</v>
      </c>
      <c r="B2906" s="63">
        <v>44093.0</v>
      </c>
      <c r="C2906" s="62" t="s">
        <v>119</v>
      </c>
      <c r="D2906" s="64">
        <v>42.5</v>
      </c>
      <c r="E2906" s="62" t="s">
        <v>109</v>
      </c>
      <c r="F2906" s="62" t="s">
        <v>115</v>
      </c>
      <c r="G2906" s="64" t="s">
        <v>64</v>
      </c>
      <c r="H2906" s="3" t="s">
        <v>150</v>
      </c>
      <c r="I2906" s="65">
        <f>IFERROR(VLOOKUP(A2906,'3. Call duration'!$A:$C,3,0),"--")</f>
        <v>28.28281837</v>
      </c>
      <c r="J2906" s="65" t="str">
        <f t="array" ref="J2906">XLOOKUP(H2906,'2. Matching'!$A$2:$A$39,'2. Matching'!$B$2:$B$39,"--")</f>
        <v>SEO</v>
      </c>
      <c r="K2906" s="65" t="str">
        <f t="shared" si="1"/>
        <v>In</v>
      </c>
    </row>
    <row r="2907">
      <c r="A2907" s="62" t="s">
        <v>3045</v>
      </c>
      <c r="B2907" s="63">
        <v>44164.0</v>
      </c>
      <c r="C2907" s="62" t="s">
        <v>119</v>
      </c>
      <c r="D2907" s="64">
        <v>42.5</v>
      </c>
      <c r="E2907" s="62" t="s">
        <v>109</v>
      </c>
      <c r="F2907" s="62" t="s">
        <v>115</v>
      </c>
      <c r="G2907" s="64" t="s">
        <v>64</v>
      </c>
      <c r="H2907" s="3" t="s">
        <v>139</v>
      </c>
      <c r="I2907" s="65">
        <f>IFERROR(VLOOKUP(A2907,'3. Call duration'!$A:$C,3,0),"--")</f>
        <v>33.61084674</v>
      </c>
      <c r="J2907" s="65" t="str">
        <f t="array" ref="J2907">XLOOKUP(H2907,'2. Matching'!$A$2:$A$39,'2. Matching'!$B$2:$B$39,"--")</f>
        <v>Acquisition</v>
      </c>
      <c r="K2907" s="65" t="str">
        <f t="shared" si="1"/>
        <v>In</v>
      </c>
    </row>
    <row r="2908">
      <c r="A2908" s="62" t="s">
        <v>3046</v>
      </c>
      <c r="B2908" s="63">
        <v>44237.0</v>
      </c>
      <c r="C2908" s="62" t="s">
        <v>119</v>
      </c>
      <c r="D2908" s="64">
        <v>42.5</v>
      </c>
      <c r="E2908" s="62" t="s">
        <v>109</v>
      </c>
      <c r="F2908" s="62" t="s">
        <v>115</v>
      </c>
      <c r="G2908" s="64" t="s">
        <v>64</v>
      </c>
      <c r="H2908" s="3" t="s">
        <v>49</v>
      </c>
      <c r="I2908" s="65">
        <f>IFERROR(VLOOKUP(A2908,'3. Call duration'!$A:$C,3,0),"--")</f>
        <v>16.96688952</v>
      </c>
      <c r="J2908" s="65" t="str">
        <f t="array" ref="J2908">XLOOKUP(H2908,'2. Matching'!$A$2:$A$39,'2. Matching'!$B$2:$B$39,"--")</f>
        <v>Partnerships</v>
      </c>
      <c r="K2908" s="65" t="str">
        <f t="shared" si="1"/>
        <v>In</v>
      </c>
    </row>
    <row r="2909">
      <c r="A2909" s="62" t="s">
        <v>3047</v>
      </c>
      <c r="B2909" s="63">
        <v>44214.0</v>
      </c>
      <c r="C2909" s="62" t="s">
        <v>119</v>
      </c>
      <c r="D2909" s="64">
        <v>42.5</v>
      </c>
      <c r="E2909" s="62" t="s">
        <v>109</v>
      </c>
      <c r="F2909" s="62" t="s">
        <v>110</v>
      </c>
      <c r="G2909" s="64" t="s">
        <v>64</v>
      </c>
      <c r="H2909" s="3" t="s">
        <v>131</v>
      </c>
      <c r="I2909" s="65">
        <f>IFERROR(VLOOKUP(A2909,'3. Call duration'!$A:$C,3,0),"--")</f>
        <v>33.47205836</v>
      </c>
      <c r="J2909" s="65" t="str">
        <f t="array" ref="J2909">XLOOKUP(H2909,'2. Matching'!$A$2:$A$39,'2. Matching'!$B$2:$B$39,"--")</f>
        <v>Acquisition</v>
      </c>
      <c r="K2909" s="65" t="str">
        <f t="shared" si="1"/>
        <v>In</v>
      </c>
    </row>
    <row r="2910">
      <c r="A2910" s="62" t="s">
        <v>3048</v>
      </c>
      <c r="B2910" s="63">
        <v>44233.0</v>
      </c>
      <c r="C2910" s="62" t="s">
        <v>119</v>
      </c>
      <c r="D2910" s="64">
        <v>42.5</v>
      </c>
      <c r="E2910" s="62" t="s">
        <v>109</v>
      </c>
      <c r="F2910" s="62" t="s">
        <v>110</v>
      </c>
      <c r="G2910" s="64" t="s">
        <v>62</v>
      </c>
      <c r="H2910" s="3" t="s">
        <v>286</v>
      </c>
      <c r="I2910" s="65">
        <f>IFERROR(VLOOKUP(A2910,'3. Call duration'!$A:$C,3,0),"--")</f>
        <v>27.56706982</v>
      </c>
      <c r="J2910" s="65" t="str">
        <f t="array" ref="J2910">XLOOKUP(H2910,'2. Matching'!$A$2:$A$39,'2. Matching'!$B$2:$B$39,"--")</f>
        <v>Farming</v>
      </c>
      <c r="K2910" s="65" t="str">
        <f t="shared" si="1"/>
        <v>In</v>
      </c>
    </row>
    <row r="2911">
      <c r="A2911" s="62" t="s">
        <v>3049</v>
      </c>
      <c r="B2911" s="63">
        <v>44253.0</v>
      </c>
      <c r="C2911" s="62" t="s">
        <v>119</v>
      </c>
      <c r="D2911" s="64">
        <v>42.5</v>
      </c>
      <c r="E2911" s="62" t="s">
        <v>109</v>
      </c>
      <c r="F2911" s="62" t="s">
        <v>110</v>
      </c>
      <c r="G2911" s="64" t="s">
        <v>64</v>
      </c>
      <c r="H2911" s="3" t="s">
        <v>221</v>
      </c>
      <c r="I2911" s="65">
        <f>IFERROR(VLOOKUP(A2911,'3. Call duration'!$A:$C,3,0),"--")</f>
        <v>23.77034251</v>
      </c>
      <c r="J2911" s="65" t="str">
        <f t="array" ref="J2911">XLOOKUP(H2911,'2. Matching'!$A$2:$A$39,'2. Matching'!$B$2:$B$39,"--")</f>
        <v>Farming</v>
      </c>
      <c r="K2911" s="65" t="str">
        <f t="shared" si="1"/>
        <v>In</v>
      </c>
    </row>
    <row r="2912">
      <c r="A2912" s="62" t="s">
        <v>3050</v>
      </c>
      <c r="B2912" s="63">
        <v>44225.0</v>
      </c>
      <c r="C2912" s="62" t="s">
        <v>119</v>
      </c>
      <c r="D2912" s="64">
        <v>42.5</v>
      </c>
      <c r="E2912" s="62" t="s">
        <v>109</v>
      </c>
      <c r="F2912" s="62" t="s">
        <v>115</v>
      </c>
      <c r="G2912" s="64" t="s">
        <v>62</v>
      </c>
      <c r="H2912" s="3" t="s">
        <v>203</v>
      </c>
      <c r="I2912" s="65">
        <f>IFERROR(VLOOKUP(A2912,'3. Call duration'!$A:$C,3,0),"--")</f>
        <v>22.69163526</v>
      </c>
      <c r="J2912" s="65" t="str">
        <f t="array" ref="J2912">XLOOKUP(H2912,'2. Matching'!$A$2:$A$39,'2. Matching'!$B$2:$B$39,"--")</f>
        <v>Farming</v>
      </c>
      <c r="K2912" s="65" t="str">
        <f t="shared" si="1"/>
        <v>In</v>
      </c>
    </row>
    <row r="2913">
      <c r="A2913" s="62" t="s">
        <v>3051</v>
      </c>
      <c r="B2913" s="63">
        <v>44126.0</v>
      </c>
      <c r="C2913" s="62" t="s">
        <v>119</v>
      </c>
      <c r="D2913" s="64">
        <v>42.5</v>
      </c>
      <c r="E2913" s="62" t="s">
        <v>109</v>
      </c>
      <c r="F2913" s="62" t="s">
        <v>115</v>
      </c>
      <c r="G2913" s="64" t="s">
        <v>64</v>
      </c>
      <c r="H2913" s="3" t="s">
        <v>169</v>
      </c>
      <c r="I2913" s="65">
        <f>IFERROR(VLOOKUP(A2913,'3. Call duration'!$A:$C,3,0),"--")</f>
        <v>26.08427765</v>
      </c>
      <c r="J2913" s="65" t="str">
        <f t="array" ref="J2913">XLOOKUP(H2913,'2. Matching'!$A$2:$A$39,'2. Matching'!$B$2:$B$39,"--")</f>
        <v>SEO</v>
      </c>
      <c r="K2913" s="65" t="str">
        <f t="shared" si="1"/>
        <v>In</v>
      </c>
    </row>
    <row r="2914">
      <c r="A2914" s="62" t="s">
        <v>3052</v>
      </c>
      <c r="B2914" s="63">
        <v>44225.0</v>
      </c>
      <c r="C2914" s="62" t="s">
        <v>119</v>
      </c>
      <c r="D2914" s="64">
        <v>42.5</v>
      </c>
      <c r="E2914" s="62" t="s">
        <v>109</v>
      </c>
      <c r="F2914" s="62" t="s">
        <v>110</v>
      </c>
      <c r="G2914" s="64" t="s">
        <v>64</v>
      </c>
      <c r="H2914" s="3" t="s">
        <v>169</v>
      </c>
      <c r="I2914" s="65">
        <f>IFERROR(VLOOKUP(A2914,'3. Call duration'!$A:$C,3,0),"--")</f>
        <v>20.20529697</v>
      </c>
      <c r="J2914" s="65" t="str">
        <f t="array" ref="J2914">XLOOKUP(H2914,'2. Matching'!$A$2:$A$39,'2. Matching'!$B$2:$B$39,"--")</f>
        <v>SEO</v>
      </c>
      <c r="K2914" s="65" t="str">
        <f t="shared" si="1"/>
        <v>In</v>
      </c>
    </row>
    <row r="2915">
      <c r="A2915" s="62" t="s">
        <v>3053</v>
      </c>
      <c r="B2915" s="63">
        <v>44106.0</v>
      </c>
      <c r="C2915" s="62" t="s">
        <v>119</v>
      </c>
      <c r="D2915" s="64">
        <v>42.5</v>
      </c>
      <c r="E2915" s="62" t="s">
        <v>109</v>
      </c>
      <c r="F2915" s="62" t="s">
        <v>115</v>
      </c>
      <c r="G2915" s="64" t="s">
        <v>64</v>
      </c>
      <c r="H2915" s="3" t="s">
        <v>171</v>
      </c>
      <c r="I2915" s="65">
        <f>IFERROR(VLOOKUP(A2915,'3. Call duration'!$A:$C,3,0),"--")</f>
        <v>25.15927471</v>
      </c>
      <c r="J2915" s="65" t="str">
        <f t="array" ref="J2915">XLOOKUP(H2915,'2. Matching'!$A$2:$A$39,'2. Matching'!$B$2:$B$39,"--")</f>
        <v>SEO</v>
      </c>
      <c r="K2915" s="65" t="str">
        <f t="shared" si="1"/>
        <v>In</v>
      </c>
    </row>
    <row r="2916">
      <c r="A2916" s="62" t="s">
        <v>3054</v>
      </c>
      <c r="B2916" s="63">
        <v>44230.0</v>
      </c>
      <c r="C2916" s="62" t="s">
        <v>119</v>
      </c>
      <c r="D2916" s="64">
        <v>42.5</v>
      </c>
      <c r="E2916" s="62" t="s">
        <v>109</v>
      </c>
      <c r="F2916" s="62" t="s">
        <v>115</v>
      </c>
      <c r="G2916" s="64" t="s">
        <v>64</v>
      </c>
      <c r="H2916" s="3" t="s">
        <v>150</v>
      </c>
      <c r="I2916" s="65">
        <f>IFERROR(VLOOKUP(A2916,'3. Call duration'!$A:$C,3,0),"--")</f>
        <v>48.58209527</v>
      </c>
      <c r="J2916" s="65" t="str">
        <f t="array" ref="J2916">XLOOKUP(H2916,'2. Matching'!$A$2:$A$39,'2. Matching'!$B$2:$B$39,"--")</f>
        <v>SEO</v>
      </c>
      <c r="K2916" s="65" t="str">
        <f t="shared" si="1"/>
        <v>In</v>
      </c>
    </row>
    <row r="2917">
      <c r="A2917" s="62" t="s">
        <v>3055</v>
      </c>
      <c r="B2917" s="63">
        <v>44237.0</v>
      </c>
      <c r="C2917" s="62" t="s">
        <v>119</v>
      </c>
      <c r="D2917" s="64">
        <v>42.5</v>
      </c>
      <c r="E2917" s="62" t="s">
        <v>109</v>
      </c>
      <c r="F2917" s="62" t="s">
        <v>115</v>
      </c>
      <c r="G2917" s="64" t="s">
        <v>64</v>
      </c>
      <c r="H2917" s="3" t="s">
        <v>145</v>
      </c>
      <c r="I2917" s="65">
        <f>IFERROR(VLOOKUP(A2917,'3. Call duration'!$A:$C,3,0),"--")</f>
        <v>21.71421832</v>
      </c>
      <c r="J2917" s="65" t="str">
        <f t="array" ref="J2917">XLOOKUP(H2917,'2. Matching'!$A$2:$A$39,'2. Matching'!$B$2:$B$39,"--")</f>
        <v>SEO</v>
      </c>
      <c r="K2917" s="65" t="str">
        <f t="shared" si="1"/>
        <v>In</v>
      </c>
    </row>
    <row r="2918">
      <c r="A2918" s="62" t="s">
        <v>3056</v>
      </c>
      <c r="B2918" s="63">
        <v>44120.0</v>
      </c>
      <c r="C2918" s="62" t="s">
        <v>119</v>
      </c>
      <c r="D2918" s="64">
        <v>42.5</v>
      </c>
      <c r="E2918" s="62" t="s">
        <v>109</v>
      </c>
      <c r="F2918" s="62" t="s">
        <v>115</v>
      </c>
      <c r="G2918" s="64" t="s">
        <v>64</v>
      </c>
      <c r="H2918" s="3" t="s">
        <v>235</v>
      </c>
      <c r="I2918" s="65">
        <f>IFERROR(VLOOKUP(A2918,'3. Call duration'!$A:$C,3,0),"--")</f>
        <v>25.71453908</v>
      </c>
      <c r="J2918" s="65" t="str">
        <f t="array" ref="J2918">XLOOKUP(H2918,'2. Matching'!$A$2:$A$39,'2. Matching'!$B$2:$B$39,"--")</f>
        <v>Farming</v>
      </c>
      <c r="K2918" s="65" t="str">
        <f t="shared" si="1"/>
        <v>In</v>
      </c>
    </row>
    <row r="2919">
      <c r="A2919" s="62" t="s">
        <v>3057</v>
      </c>
      <c r="B2919" s="63">
        <v>44204.0</v>
      </c>
      <c r="C2919" s="62" t="s">
        <v>119</v>
      </c>
      <c r="D2919" s="64">
        <v>42.5</v>
      </c>
      <c r="E2919" s="62" t="s">
        <v>109</v>
      </c>
      <c r="F2919" s="62" t="s">
        <v>115</v>
      </c>
      <c r="G2919" s="64" t="s">
        <v>64</v>
      </c>
      <c r="H2919" s="3" t="s">
        <v>155</v>
      </c>
      <c r="I2919" s="65">
        <f>IFERROR(VLOOKUP(A2919,'3. Call duration'!$A:$C,3,0),"--")</f>
        <v>34.79060394</v>
      </c>
      <c r="J2919" s="65" t="str">
        <f t="array" ref="J2919">XLOOKUP(H2919,'2. Matching'!$A$2:$A$39,'2. Matching'!$B$2:$B$39,"--")</f>
        <v>SEO</v>
      </c>
      <c r="K2919" s="65" t="str">
        <f t="shared" si="1"/>
        <v>In</v>
      </c>
    </row>
    <row r="2920">
      <c r="A2920" s="62" t="s">
        <v>3058</v>
      </c>
      <c r="B2920" s="63">
        <v>44210.0</v>
      </c>
      <c r="C2920" s="62" t="s">
        <v>119</v>
      </c>
      <c r="D2920" s="64">
        <v>42.5</v>
      </c>
      <c r="E2920" s="62" t="s">
        <v>109</v>
      </c>
      <c r="F2920" s="62" t="s">
        <v>115</v>
      </c>
      <c r="G2920" s="64" t="s">
        <v>64</v>
      </c>
      <c r="H2920" s="3" t="s">
        <v>131</v>
      </c>
      <c r="I2920" s="65">
        <f>IFERROR(VLOOKUP(A2920,'3. Call duration'!$A:$C,3,0),"--")</f>
        <v>32.36035606</v>
      </c>
      <c r="J2920" s="65" t="str">
        <f t="array" ref="J2920">XLOOKUP(H2920,'2. Matching'!$A$2:$A$39,'2. Matching'!$B$2:$B$39,"--")</f>
        <v>Acquisition</v>
      </c>
      <c r="K2920" s="65" t="str">
        <f t="shared" si="1"/>
        <v>In</v>
      </c>
    </row>
    <row r="2921">
      <c r="A2921" s="62" t="s">
        <v>3059</v>
      </c>
      <c r="B2921" s="63">
        <v>44226.0</v>
      </c>
      <c r="C2921" s="62" t="s">
        <v>119</v>
      </c>
      <c r="D2921" s="64">
        <v>42.5</v>
      </c>
      <c r="E2921" s="62" t="s">
        <v>109</v>
      </c>
      <c r="F2921" s="62" t="s">
        <v>115</v>
      </c>
      <c r="G2921" s="64" t="s">
        <v>64</v>
      </c>
      <c r="H2921" s="3" t="s">
        <v>185</v>
      </c>
      <c r="I2921" s="65">
        <f>IFERROR(VLOOKUP(A2921,'3. Call duration'!$A:$C,3,0),"--")</f>
        <v>28.38294906</v>
      </c>
      <c r="J2921" s="65" t="str">
        <f t="array" ref="J2921">XLOOKUP(H2921,'2. Matching'!$A$2:$A$39,'2. Matching'!$B$2:$B$39,"--")</f>
        <v>SEO</v>
      </c>
      <c r="K2921" s="65" t="str">
        <f t="shared" si="1"/>
        <v>In</v>
      </c>
    </row>
    <row r="2922">
      <c r="A2922" s="62" t="s">
        <v>3060</v>
      </c>
      <c r="B2922" s="63">
        <v>44158.0</v>
      </c>
      <c r="C2922" s="62" t="s">
        <v>119</v>
      </c>
      <c r="D2922" s="64">
        <v>42.5</v>
      </c>
      <c r="E2922" s="62" t="s">
        <v>109</v>
      </c>
      <c r="F2922" s="62" t="s">
        <v>110</v>
      </c>
      <c r="G2922" s="64" t="s">
        <v>62</v>
      </c>
      <c r="H2922" s="3" t="s">
        <v>294</v>
      </c>
      <c r="I2922" s="65">
        <f>IFERROR(VLOOKUP(A2922,'3. Call duration'!$A:$C,3,0),"--")</f>
        <v>30.72865543</v>
      </c>
      <c r="J2922" s="65" t="str">
        <f t="array" ref="J2922">XLOOKUP(H2922,'2. Matching'!$A$2:$A$39,'2. Matching'!$B$2:$B$39,"--")</f>
        <v>Farming</v>
      </c>
      <c r="K2922" s="65" t="str">
        <f t="shared" si="1"/>
        <v>In</v>
      </c>
    </row>
    <row r="2923">
      <c r="A2923" s="62" t="s">
        <v>3061</v>
      </c>
      <c r="B2923" s="63">
        <v>44182.0</v>
      </c>
      <c r="C2923" s="62" t="s">
        <v>119</v>
      </c>
      <c r="D2923" s="64">
        <v>42.5</v>
      </c>
      <c r="E2923" s="62" t="s">
        <v>109</v>
      </c>
      <c r="F2923" s="62" t="s">
        <v>115</v>
      </c>
      <c r="G2923" s="64" t="s">
        <v>64</v>
      </c>
      <c r="H2923" s="3" t="s">
        <v>150</v>
      </c>
      <c r="I2923" s="65">
        <f>IFERROR(VLOOKUP(A2923,'3. Call duration'!$A:$C,3,0),"--")</f>
        <v>23.84764677</v>
      </c>
      <c r="J2923" s="65" t="str">
        <f t="array" ref="J2923">XLOOKUP(H2923,'2. Matching'!$A$2:$A$39,'2. Matching'!$B$2:$B$39,"--")</f>
        <v>SEO</v>
      </c>
      <c r="K2923" s="65" t="str">
        <f t="shared" si="1"/>
        <v>In</v>
      </c>
    </row>
    <row r="2924">
      <c r="A2924" s="62" t="s">
        <v>3062</v>
      </c>
      <c r="B2924" s="63">
        <v>44203.0</v>
      </c>
      <c r="C2924" s="62" t="s">
        <v>119</v>
      </c>
      <c r="D2924" s="64">
        <v>42.5</v>
      </c>
      <c r="E2924" s="62" t="s">
        <v>109</v>
      </c>
      <c r="F2924" s="62" t="s">
        <v>115</v>
      </c>
      <c r="G2924" s="64" t="s">
        <v>64</v>
      </c>
      <c r="H2924" s="3" t="s">
        <v>175</v>
      </c>
      <c r="I2924" s="65">
        <f>IFERROR(VLOOKUP(A2924,'3. Call duration'!$A:$C,3,0),"--")</f>
        <v>22.91758333</v>
      </c>
      <c r="J2924" s="65" t="str">
        <f t="array" ref="J2924">XLOOKUP(H2924,'2. Matching'!$A$2:$A$39,'2. Matching'!$B$2:$B$39,"--")</f>
        <v>SEO</v>
      </c>
      <c r="K2924" s="65" t="str">
        <f t="shared" si="1"/>
        <v>In</v>
      </c>
    </row>
    <row r="2925">
      <c r="A2925" s="62" t="s">
        <v>3063</v>
      </c>
      <c r="B2925" s="63">
        <v>44254.0</v>
      </c>
      <c r="C2925" s="62" t="s">
        <v>119</v>
      </c>
      <c r="D2925" s="64">
        <v>42.5</v>
      </c>
      <c r="E2925" s="62" t="s">
        <v>109</v>
      </c>
      <c r="F2925" s="62" t="s">
        <v>110</v>
      </c>
      <c r="G2925" s="64" t="s">
        <v>64</v>
      </c>
      <c r="H2925" s="3" t="s">
        <v>139</v>
      </c>
      <c r="I2925" s="65">
        <f>IFERROR(VLOOKUP(A2925,'3. Call duration'!$A:$C,3,0),"--")</f>
        <v>25.95956195</v>
      </c>
      <c r="J2925" s="65" t="str">
        <f t="array" ref="J2925">XLOOKUP(H2925,'2. Matching'!$A$2:$A$39,'2. Matching'!$B$2:$B$39,"--")</f>
        <v>Acquisition</v>
      </c>
      <c r="K2925" s="65" t="str">
        <f t="shared" si="1"/>
        <v>In</v>
      </c>
    </row>
    <row r="2926">
      <c r="A2926" s="62" t="s">
        <v>3064</v>
      </c>
      <c r="B2926" s="63">
        <v>44161.0</v>
      </c>
      <c r="C2926" s="62" t="s">
        <v>119</v>
      </c>
      <c r="D2926" s="64">
        <v>42.5</v>
      </c>
      <c r="E2926" s="62" t="s">
        <v>109</v>
      </c>
      <c r="F2926" s="62" t="s">
        <v>110</v>
      </c>
      <c r="G2926" s="64" t="s">
        <v>64</v>
      </c>
      <c r="H2926" s="3" t="s">
        <v>145</v>
      </c>
      <c r="I2926" s="65">
        <f>IFERROR(VLOOKUP(A2926,'3. Call duration'!$A:$C,3,0),"--")</f>
        <v>29.77656162</v>
      </c>
      <c r="J2926" s="65" t="str">
        <f t="array" ref="J2926">XLOOKUP(H2926,'2. Matching'!$A$2:$A$39,'2. Matching'!$B$2:$B$39,"--")</f>
        <v>SEO</v>
      </c>
      <c r="K2926" s="65" t="str">
        <f t="shared" si="1"/>
        <v>In</v>
      </c>
    </row>
    <row r="2927">
      <c r="A2927" s="62" t="s">
        <v>3065</v>
      </c>
      <c r="B2927" s="63">
        <v>44090.0</v>
      </c>
      <c r="C2927" s="62" t="s">
        <v>119</v>
      </c>
      <c r="D2927" s="64">
        <v>42.5</v>
      </c>
      <c r="E2927" s="62" t="s">
        <v>109</v>
      </c>
      <c r="F2927" s="62" t="s">
        <v>115</v>
      </c>
      <c r="G2927" s="64" t="s">
        <v>64</v>
      </c>
      <c r="H2927" s="3" t="s">
        <v>139</v>
      </c>
      <c r="I2927" s="65">
        <f>IFERROR(VLOOKUP(A2927,'3. Call duration'!$A:$C,3,0),"--")</f>
        <v>10.64625572</v>
      </c>
      <c r="J2927" s="65" t="str">
        <f t="array" ref="J2927">XLOOKUP(H2927,'2. Matching'!$A$2:$A$39,'2. Matching'!$B$2:$B$39,"--")</f>
        <v>Acquisition</v>
      </c>
      <c r="K2927" s="65" t="str">
        <f t="shared" si="1"/>
        <v>In</v>
      </c>
    </row>
    <row r="2928">
      <c r="A2928" s="62" t="s">
        <v>3066</v>
      </c>
      <c r="B2928" s="63">
        <v>44097.0</v>
      </c>
      <c r="C2928" s="62" t="s">
        <v>119</v>
      </c>
      <c r="D2928" s="64">
        <v>42.5</v>
      </c>
      <c r="E2928" s="62" t="s">
        <v>109</v>
      </c>
      <c r="F2928" s="62" t="s">
        <v>115</v>
      </c>
      <c r="G2928" s="64" t="s">
        <v>64</v>
      </c>
      <c r="H2928" s="3" t="s">
        <v>169</v>
      </c>
      <c r="I2928" s="65" t="str">
        <f>IFERROR(VLOOKUP(A2928,'3. Call duration'!$A:$C,3,0),"--")</f>
        <v>--</v>
      </c>
      <c r="J2928" s="65" t="str">
        <f t="array" ref="J2928">XLOOKUP(H2928,'2. Matching'!$A$2:$A$39,'2. Matching'!$B$2:$B$39,"--")</f>
        <v>SEO</v>
      </c>
      <c r="K2928" s="65" t="str">
        <f t="shared" si="1"/>
        <v>In</v>
      </c>
    </row>
    <row r="2929">
      <c r="A2929" s="62" t="s">
        <v>3067</v>
      </c>
      <c r="B2929" s="63">
        <v>44236.0</v>
      </c>
      <c r="C2929" s="62" t="s">
        <v>119</v>
      </c>
      <c r="D2929" s="64">
        <v>42.5</v>
      </c>
      <c r="E2929" s="62" t="s">
        <v>109</v>
      </c>
      <c r="F2929" s="62" t="s">
        <v>115</v>
      </c>
      <c r="G2929" s="64" t="s">
        <v>64</v>
      </c>
      <c r="H2929" s="3" t="s">
        <v>139</v>
      </c>
      <c r="I2929" s="65">
        <f>IFERROR(VLOOKUP(A2929,'3. Call duration'!$A:$C,3,0),"--")</f>
        <v>42.7683469</v>
      </c>
      <c r="J2929" s="65" t="str">
        <f t="array" ref="J2929">XLOOKUP(H2929,'2. Matching'!$A$2:$A$39,'2. Matching'!$B$2:$B$39,"--")</f>
        <v>Acquisition</v>
      </c>
      <c r="K2929" s="65" t="str">
        <f t="shared" si="1"/>
        <v>In</v>
      </c>
    </row>
    <row r="2930">
      <c r="A2930" s="62" t="s">
        <v>3068</v>
      </c>
      <c r="B2930" s="63">
        <v>44211.0</v>
      </c>
      <c r="C2930" s="62" t="s">
        <v>119</v>
      </c>
      <c r="D2930" s="64">
        <v>42.5</v>
      </c>
      <c r="E2930" s="62" t="s">
        <v>109</v>
      </c>
      <c r="F2930" s="62" t="s">
        <v>115</v>
      </c>
      <c r="G2930" s="64" t="s">
        <v>64</v>
      </c>
      <c r="H2930" s="3" t="s">
        <v>169</v>
      </c>
      <c r="I2930" s="65">
        <f>IFERROR(VLOOKUP(A2930,'3. Call duration'!$A:$C,3,0),"--")</f>
        <v>29.54080307</v>
      </c>
      <c r="J2930" s="65" t="str">
        <f t="array" ref="J2930">XLOOKUP(H2930,'2. Matching'!$A$2:$A$39,'2. Matching'!$B$2:$B$39,"--")</f>
        <v>SEO</v>
      </c>
      <c r="K2930" s="65" t="str">
        <f t="shared" si="1"/>
        <v>In</v>
      </c>
    </row>
    <row r="2931">
      <c r="A2931" s="62" t="s">
        <v>3069</v>
      </c>
      <c r="B2931" s="63">
        <v>44236.0</v>
      </c>
      <c r="C2931" s="62" t="s">
        <v>119</v>
      </c>
      <c r="D2931" s="64">
        <v>42.5</v>
      </c>
      <c r="E2931" s="62" t="s">
        <v>109</v>
      </c>
      <c r="F2931" s="62" t="s">
        <v>110</v>
      </c>
      <c r="G2931" s="64" t="s">
        <v>64</v>
      </c>
      <c r="H2931" s="3" t="s">
        <v>175</v>
      </c>
      <c r="I2931" s="65">
        <f>IFERROR(VLOOKUP(A2931,'3. Call duration'!$A:$C,3,0),"--")</f>
        <v>31.09066653</v>
      </c>
      <c r="J2931" s="65" t="str">
        <f t="array" ref="J2931">XLOOKUP(H2931,'2. Matching'!$A$2:$A$39,'2. Matching'!$B$2:$B$39,"--")</f>
        <v>SEO</v>
      </c>
      <c r="K2931" s="65" t="str">
        <f t="shared" si="1"/>
        <v>In</v>
      </c>
    </row>
    <row r="2932">
      <c r="A2932" s="62" t="s">
        <v>3070</v>
      </c>
      <c r="B2932" s="63">
        <v>44096.0</v>
      </c>
      <c r="C2932" s="62" t="s">
        <v>119</v>
      </c>
      <c r="D2932" s="64">
        <v>42.5</v>
      </c>
      <c r="E2932" s="62" t="s">
        <v>109</v>
      </c>
      <c r="F2932" s="62" t="s">
        <v>110</v>
      </c>
      <c r="G2932" s="64" t="s">
        <v>64</v>
      </c>
      <c r="H2932" s="3" t="s">
        <v>155</v>
      </c>
      <c r="I2932" s="65">
        <f>IFERROR(VLOOKUP(A2932,'3. Call duration'!$A:$C,3,0),"--")</f>
        <v>31.16592551</v>
      </c>
      <c r="J2932" s="65" t="str">
        <f t="array" ref="J2932">XLOOKUP(H2932,'2. Matching'!$A$2:$A$39,'2. Matching'!$B$2:$B$39,"--")</f>
        <v>SEO</v>
      </c>
      <c r="K2932" s="65" t="str">
        <f t="shared" si="1"/>
        <v>In</v>
      </c>
    </row>
    <row r="2933">
      <c r="A2933" s="62" t="s">
        <v>3071</v>
      </c>
      <c r="B2933" s="63">
        <v>44207.0</v>
      </c>
      <c r="C2933" s="62" t="s">
        <v>119</v>
      </c>
      <c r="D2933" s="64">
        <v>42.5</v>
      </c>
      <c r="E2933" s="62" t="s">
        <v>109</v>
      </c>
      <c r="F2933" s="62" t="s">
        <v>115</v>
      </c>
      <c r="G2933" s="64" t="s">
        <v>64</v>
      </c>
      <c r="H2933" s="3" t="s">
        <v>139</v>
      </c>
      <c r="I2933" s="65">
        <f>IFERROR(VLOOKUP(A2933,'3. Call duration'!$A:$C,3,0),"--")</f>
        <v>12.08905347</v>
      </c>
      <c r="J2933" s="65" t="str">
        <f t="array" ref="J2933">XLOOKUP(H2933,'2. Matching'!$A$2:$A$39,'2. Matching'!$B$2:$B$39,"--")</f>
        <v>Acquisition</v>
      </c>
      <c r="K2933" s="65" t="str">
        <f t="shared" si="1"/>
        <v>In</v>
      </c>
    </row>
    <row r="2934">
      <c r="A2934" s="62" t="s">
        <v>3072</v>
      </c>
      <c r="B2934" s="63">
        <v>44173.0</v>
      </c>
      <c r="C2934" s="62" t="s">
        <v>119</v>
      </c>
      <c r="D2934" s="64">
        <v>42.5</v>
      </c>
      <c r="E2934" s="62" t="s">
        <v>109</v>
      </c>
      <c r="F2934" s="62" t="s">
        <v>115</v>
      </c>
      <c r="G2934" s="64" t="s">
        <v>64</v>
      </c>
      <c r="H2934" s="3" t="s">
        <v>235</v>
      </c>
      <c r="I2934" s="65">
        <f>IFERROR(VLOOKUP(A2934,'3. Call duration'!$A:$C,3,0),"--")</f>
        <v>25.64593002</v>
      </c>
      <c r="J2934" s="65" t="str">
        <f t="array" ref="J2934">XLOOKUP(H2934,'2. Matching'!$A$2:$A$39,'2. Matching'!$B$2:$B$39,"--")</f>
        <v>Farming</v>
      </c>
      <c r="K2934" s="65" t="str">
        <f t="shared" si="1"/>
        <v>In</v>
      </c>
    </row>
    <row r="2935">
      <c r="A2935" s="62" t="s">
        <v>3073</v>
      </c>
      <c r="B2935" s="63">
        <v>44223.0</v>
      </c>
      <c r="C2935" s="62" t="s">
        <v>119</v>
      </c>
      <c r="D2935" s="64">
        <v>42.5</v>
      </c>
      <c r="E2935" s="62" t="s">
        <v>109</v>
      </c>
      <c r="F2935" s="62" t="s">
        <v>110</v>
      </c>
      <c r="G2935" s="64" t="s">
        <v>64</v>
      </c>
      <c r="H2935" s="3" t="s">
        <v>175</v>
      </c>
      <c r="I2935" s="65">
        <f>IFERROR(VLOOKUP(A2935,'3. Call duration'!$A:$C,3,0),"--")</f>
        <v>27.21115375</v>
      </c>
      <c r="J2935" s="65" t="str">
        <f t="array" ref="J2935">XLOOKUP(H2935,'2. Matching'!$A$2:$A$39,'2. Matching'!$B$2:$B$39,"--")</f>
        <v>SEO</v>
      </c>
      <c r="K2935" s="65" t="str">
        <f t="shared" si="1"/>
        <v>In</v>
      </c>
    </row>
    <row r="2936">
      <c r="A2936" s="62" t="s">
        <v>3074</v>
      </c>
      <c r="B2936" s="63">
        <v>44174.0</v>
      </c>
      <c r="C2936" s="62" t="s">
        <v>119</v>
      </c>
      <c r="D2936" s="64">
        <v>42.5</v>
      </c>
      <c r="E2936" s="62" t="s">
        <v>109</v>
      </c>
      <c r="F2936" s="62" t="s">
        <v>115</v>
      </c>
      <c r="G2936" s="64" t="s">
        <v>64</v>
      </c>
      <c r="H2936" s="3" t="s">
        <v>164</v>
      </c>
      <c r="I2936" s="65">
        <f>IFERROR(VLOOKUP(A2936,'3. Call duration'!$A:$C,3,0),"--")</f>
        <v>26.04044944</v>
      </c>
      <c r="J2936" s="65" t="str">
        <f t="array" ref="J2936">XLOOKUP(H2936,'2. Matching'!$A$2:$A$39,'2. Matching'!$B$2:$B$39,"--")</f>
        <v>SEO</v>
      </c>
      <c r="K2936" s="65" t="str">
        <f t="shared" si="1"/>
        <v>In</v>
      </c>
    </row>
    <row r="2937">
      <c r="A2937" s="62" t="s">
        <v>3075</v>
      </c>
      <c r="B2937" s="63">
        <v>44183.0</v>
      </c>
      <c r="C2937" s="62" t="s">
        <v>119</v>
      </c>
      <c r="D2937" s="64">
        <v>42.5</v>
      </c>
      <c r="E2937" s="62" t="s">
        <v>109</v>
      </c>
      <c r="F2937" s="62" t="s">
        <v>115</v>
      </c>
      <c r="G2937" s="64" t="s">
        <v>64</v>
      </c>
      <c r="H2937" s="3" t="s">
        <v>139</v>
      </c>
      <c r="I2937" s="65">
        <f>IFERROR(VLOOKUP(A2937,'3. Call duration'!$A:$C,3,0),"--")</f>
        <v>12.25440472</v>
      </c>
      <c r="J2937" s="65" t="str">
        <f t="array" ref="J2937">XLOOKUP(H2937,'2. Matching'!$A$2:$A$39,'2. Matching'!$B$2:$B$39,"--")</f>
        <v>Acquisition</v>
      </c>
      <c r="K2937" s="65" t="str">
        <f t="shared" si="1"/>
        <v>In</v>
      </c>
    </row>
    <row r="2938">
      <c r="A2938" s="62" t="s">
        <v>3076</v>
      </c>
      <c r="B2938" s="63">
        <v>44245.0</v>
      </c>
      <c r="C2938" s="62" t="s">
        <v>119</v>
      </c>
      <c r="D2938" s="64">
        <v>42.5</v>
      </c>
      <c r="E2938" s="62" t="s">
        <v>109</v>
      </c>
      <c r="F2938" s="62" t="s">
        <v>110</v>
      </c>
      <c r="G2938" s="64" t="s">
        <v>64</v>
      </c>
      <c r="H2938" s="3" t="s">
        <v>297</v>
      </c>
      <c r="I2938" s="65">
        <f>IFERROR(VLOOKUP(A2938,'3. Call duration'!$A:$C,3,0),"--")</f>
        <v>24.09546891</v>
      </c>
      <c r="J2938" s="65" t="str">
        <f t="array" ref="J2938">XLOOKUP(H2938,'2. Matching'!$A$2:$A$39,'2. Matching'!$B$2:$B$39,"--")</f>
        <v>Farming</v>
      </c>
      <c r="K2938" s="65" t="str">
        <f t="shared" si="1"/>
        <v>In</v>
      </c>
    </row>
    <row r="2939">
      <c r="A2939" s="62" t="s">
        <v>3077</v>
      </c>
      <c r="B2939" s="63">
        <v>44222.0</v>
      </c>
      <c r="C2939" s="62" t="s">
        <v>119</v>
      </c>
      <c r="D2939" s="64">
        <v>42.5</v>
      </c>
      <c r="E2939" s="62" t="s">
        <v>109</v>
      </c>
      <c r="F2939" s="62" t="s">
        <v>115</v>
      </c>
      <c r="G2939" s="64" t="s">
        <v>64</v>
      </c>
      <c r="H2939" s="3" t="s">
        <v>139</v>
      </c>
      <c r="I2939" s="65">
        <f>IFERROR(VLOOKUP(A2939,'3. Call duration'!$A:$C,3,0),"--")</f>
        <v>31.99143148</v>
      </c>
      <c r="J2939" s="65" t="str">
        <f t="array" ref="J2939">XLOOKUP(H2939,'2. Matching'!$A$2:$A$39,'2. Matching'!$B$2:$B$39,"--")</f>
        <v>Acquisition</v>
      </c>
      <c r="K2939" s="65" t="str">
        <f t="shared" si="1"/>
        <v>In</v>
      </c>
    </row>
    <row r="2940">
      <c r="A2940" s="62" t="s">
        <v>3078</v>
      </c>
      <c r="B2940" s="63">
        <v>44181.0</v>
      </c>
      <c r="C2940" s="62" t="s">
        <v>119</v>
      </c>
      <c r="D2940" s="64">
        <v>42.5</v>
      </c>
      <c r="E2940" s="62" t="s">
        <v>109</v>
      </c>
      <c r="F2940" s="62" t="s">
        <v>115</v>
      </c>
      <c r="G2940" s="64" t="s">
        <v>64</v>
      </c>
      <c r="H2940" s="3" t="s">
        <v>185</v>
      </c>
      <c r="I2940" s="65">
        <f>IFERROR(VLOOKUP(A2940,'3. Call duration'!$A:$C,3,0),"--")</f>
        <v>30.85953086</v>
      </c>
      <c r="J2940" s="65" t="str">
        <f t="array" ref="J2940">XLOOKUP(H2940,'2. Matching'!$A$2:$A$39,'2. Matching'!$B$2:$B$39,"--")</f>
        <v>SEO</v>
      </c>
      <c r="K2940" s="65" t="str">
        <f t="shared" si="1"/>
        <v>In</v>
      </c>
    </row>
    <row r="2941">
      <c r="A2941" s="62" t="s">
        <v>3079</v>
      </c>
      <c r="B2941" s="63">
        <v>44120.0</v>
      </c>
      <c r="C2941" s="62" t="s">
        <v>119</v>
      </c>
      <c r="D2941" s="64">
        <v>42.5</v>
      </c>
      <c r="E2941" s="62" t="s">
        <v>109</v>
      </c>
      <c r="F2941" s="62" t="s">
        <v>115</v>
      </c>
      <c r="G2941" s="64" t="s">
        <v>64</v>
      </c>
      <c r="H2941" s="3" t="s">
        <v>150</v>
      </c>
      <c r="I2941" s="65">
        <f>IFERROR(VLOOKUP(A2941,'3. Call duration'!$A:$C,3,0),"--")</f>
        <v>20.47929976</v>
      </c>
      <c r="J2941" s="65" t="str">
        <f t="array" ref="J2941">XLOOKUP(H2941,'2. Matching'!$A$2:$A$39,'2. Matching'!$B$2:$B$39,"--")</f>
        <v>SEO</v>
      </c>
      <c r="K2941" s="65" t="str">
        <f t="shared" si="1"/>
        <v>In</v>
      </c>
    </row>
    <row r="2942">
      <c r="A2942" s="62" t="s">
        <v>3080</v>
      </c>
      <c r="B2942" s="63">
        <v>44236.0</v>
      </c>
      <c r="C2942" s="62" t="s">
        <v>119</v>
      </c>
      <c r="D2942" s="64">
        <v>42.5</v>
      </c>
      <c r="E2942" s="62" t="s">
        <v>109</v>
      </c>
      <c r="F2942" s="62" t="s">
        <v>110</v>
      </c>
      <c r="G2942" s="64" t="s">
        <v>64</v>
      </c>
      <c r="H2942" s="3" t="s">
        <v>49</v>
      </c>
      <c r="I2942" s="65">
        <f>IFERROR(VLOOKUP(A2942,'3. Call duration'!$A:$C,3,0),"--")</f>
        <v>16.97618396</v>
      </c>
      <c r="J2942" s="65" t="str">
        <f t="array" ref="J2942">XLOOKUP(H2942,'2. Matching'!$A$2:$A$39,'2. Matching'!$B$2:$B$39,"--")</f>
        <v>Partnerships</v>
      </c>
      <c r="K2942" s="65" t="str">
        <f t="shared" si="1"/>
        <v>In</v>
      </c>
    </row>
    <row r="2943">
      <c r="A2943" s="62" t="s">
        <v>3081</v>
      </c>
      <c r="B2943" s="63">
        <v>44160.0</v>
      </c>
      <c r="C2943" s="62" t="s">
        <v>119</v>
      </c>
      <c r="D2943" s="64">
        <v>42.5</v>
      </c>
      <c r="E2943" s="62" t="s">
        <v>109</v>
      </c>
      <c r="F2943" s="62" t="s">
        <v>110</v>
      </c>
      <c r="G2943" s="64" t="s">
        <v>64</v>
      </c>
      <c r="H2943" s="3" t="s">
        <v>235</v>
      </c>
      <c r="I2943" s="65">
        <f>IFERROR(VLOOKUP(A2943,'3. Call duration'!$A:$C,3,0),"--")</f>
        <v>22.98046635</v>
      </c>
      <c r="J2943" s="65" t="str">
        <f t="array" ref="J2943">XLOOKUP(H2943,'2. Matching'!$A$2:$A$39,'2. Matching'!$B$2:$B$39,"--")</f>
        <v>Farming</v>
      </c>
      <c r="K2943" s="65" t="str">
        <f t="shared" si="1"/>
        <v>In</v>
      </c>
    </row>
    <row r="2944">
      <c r="A2944" s="62" t="s">
        <v>3082</v>
      </c>
      <c r="B2944" s="63">
        <v>44235.0</v>
      </c>
      <c r="C2944" s="62" t="s">
        <v>119</v>
      </c>
      <c r="D2944" s="64">
        <v>42.5</v>
      </c>
      <c r="E2944" s="62" t="s">
        <v>109</v>
      </c>
      <c r="F2944" s="62" t="s">
        <v>115</v>
      </c>
      <c r="G2944" s="64" t="s">
        <v>64</v>
      </c>
      <c r="H2944" s="3" t="s">
        <v>150</v>
      </c>
      <c r="I2944" s="65">
        <f>IFERROR(VLOOKUP(A2944,'3. Call duration'!$A:$C,3,0),"--")</f>
        <v>24.4325616</v>
      </c>
      <c r="J2944" s="65" t="str">
        <f t="array" ref="J2944">XLOOKUP(H2944,'2. Matching'!$A$2:$A$39,'2. Matching'!$B$2:$B$39,"--")</f>
        <v>SEO</v>
      </c>
      <c r="K2944" s="65" t="str">
        <f t="shared" si="1"/>
        <v>In</v>
      </c>
    </row>
    <row r="2945">
      <c r="A2945" s="62" t="s">
        <v>3083</v>
      </c>
      <c r="B2945" s="63">
        <v>44223.0</v>
      </c>
      <c r="C2945" s="62" t="s">
        <v>119</v>
      </c>
      <c r="D2945" s="64">
        <v>42.5</v>
      </c>
      <c r="E2945" s="62" t="s">
        <v>109</v>
      </c>
      <c r="F2945" s="62" t="s">
        <v>115</v>
      </c>
      <c r="G2945" s="64" t="s">
        <v>64</v>
      </c>
      <c r="H2945" s="3" t="s">
        <v>221</v>
      </c>
      <c r="I2945" s="65">
        <f>IFERROR(VLOOKUP(A2945,'3. Call duration'!$A:$C,3,0),"--")</f>
        <v>24.23491932</v>
      </c>
      <c r="J2945" s="65" t="str">
        <f t="array" ref="J2945">XLOOKUP(H2945,'2. Matching'!$A$2:$A$39,'2. Matching'!$B$2:$B$39,"--")</f>
        <v>Farming</v>
      </c>
      <c r="K2945" s="65" t="str">
        <f t="shared" si="1"/>
        <v>In</v>
      </c>
    </row>
    <row r="2946">
      <c r="A2946" s="62" t="s">
        <v>3084</v>
      </c>
      <c r="B2946" s="63">
        <v>44225.0</v>
      </c>
      <c r="C2946" s="62" t="s">
        <v>119</v>
      </c>
      <c r="D2946" s="64">
        <v>42.5</v>
      </c>
      <c r="E2946" s="62" t="s">
        <v>109</v>
      </c>
      <c r="F2946" s="62" t="s">
        <v>115</v>
      </c>
      <c r="G2946" s="64" t="s">
        <v>64</v>
      </c>
      <c r="H2946" s="3" t="s">
        <v>145</v>
      </c>
      <c r="I2946" s="65">
        <f>IFERROR(VLOOKUP(A2946,'3. Call duration'!$A:$C,3,0),"--")</f>
        <v>29.58709854</v>
      </c>
      <c r="J2946" s="65" t="str">
        <f t="array" ref="J2946">XLOOKUP(H2946,'2. Matching'!$A$2:$A$39,'2. Matching'!$B$2:$B$39,"--")</f>
        <v>SEO</v>
      </c>
      <c r="K2946" s="65" t="str">
        <f t="shared" si="1"/>
        <v>In</v>
      </c>
    </row>
    <row r="2947">
      <c r="A2947" s="62" t="s">
        <v>3085</v>
      </c>
      <c r="B2947" s="63">
        <v>44181.0</v>
      </c>
      <c r="C2947" s="62" t="s">
        <v>119</v>
      </c>
      <c r="D2947" s="64">
        <v>42.5</v>
      </c>
      <c r="E2947" s="62" t="s">
        <v>109</v>
      </c>
      <c r="F2947" s="62" t="s">
        <v>115</v>
      </c>
      <c r="G2947" s="64" t="s">
        <v>64</v>
      </c>
      <c r="H2947" s="3" t="s">
        <v>150</v>
      </c>
      <c r="I2947" s="65">
        <f>IFERROR(VLOOKUP(A2947,'3. Call duration'!$A:$C,3,0),"--")</f>
        <v>21.33351448</v>
      </c>
      <c r="J2947" s="65" t="str">
        <f t="array" ref="J2947">XLOOKUP(H2947,'2. Matching'!$A$2:$A$39,'2. Matching'!$B$2:$B$39,"--")</f>
        <v>SEO</v>
      </c>
      <c r="K2947" s="65" t="str">
        <f t="shared" si="1"/>
        <v>In</v>
      </c>
    </row>
    <row r="2948">
      <c r="A2948" s="62" t="s">
        <v>3086</v>
      </c>
      <c r="B2948" s="63">
        <v>44183.0</v>
      </c>
      <c r="C2948" s="62" t="s">
        <v>119</v>
      </c>
      <c r="D2948" s="64">
        <v>42.5</v>
      </c>
      <c r="E2948" s="62" t="s">
        <v>109</v>
      </c>
      <c r="F2948" s="62" t="s">
        <v>110</v>
      </c>
      <c r="G2948" s="64" t="s">
        <v>64</v>
      </c>
      <c r="H2948" s="3" t="s">
        <v>169</v>
      </c>
      <c r="I2948" s="65">
        <f>IFERROR(VLOOKUP(A2948,'3. Call duration'!$A:$C,3,0),"--")</f>
        <v>29.58787338</v>
      </c>
      <c r="J2948" s="65" t="str">
        <f t="array" ref="J2948">XLOOKUP(H2948,'2. Matching'!$A$2:$A$39,'2. Matching'!$B$2:$B$39,"--")</f>
        <v>SEO</v>
      </c>
      <c r="K2948" s="65" t="str">
        <f t="shared" si="1"/>
        <v>In</v>
      </c>
    </row>
    <row r="2949">
      <c r="A2949" s="62" t="s">
        <v>3087</v>
      </c>
      <c r="B2949" s="63">
        <v>44221.0</v>
      </c>
      <c r="C2949" s="62" t="s">
        <v>119</v>
      </c>
      <c r="D2949" s="64">
        <v>42.5</v>
      </c>
      <c r="E2949" s="62" t="s">
        <v>109</v>
      </c>
      <c r="F2949" s="62" t="s">
        <v>115</v>
      </c>
      <c r="G2949" s="64" t="s">
        <v>64</v>
      </c>
      <c r="H2949" s="3" t="s">
        <v>150</v>
      </c>
      <c r="I2949" s="65">
        <f>IFERROR(VLOOKUP(A2949,'3. Call duration'!$A:$C,3,0),"--")</f>
        <v>29.00479975</v>
      </c>
      <c r="J2949" s="65" t="str">
        <f t="array" ref="J2949">XLOOKUP(H2949,'2. Matching'!$A$2:$A$39,'2. Matching'!$B$2:$B$39,"--")</f>
        <v>SEO</v>
      </c>
      <c r="K2949" s="65" t="str">
        <f t="shared" si="1"/>
        <v>In</v>
      </c>
    </row>
    <row r="2950">
      <c r="A2950" s="62" t="s">
        <v>3088</v>
      </c>
      <c r="B2950" s="63">
        <v>44084.0</v>
      </c>
      <c r="C2950" s="62" t="s">
        <v>119</v>
      </c>
      <c r="D2950" s="64">
        <v>42.5</v>
      </c>
      <c r="E2950" s="62" t="s">
        <v>109</v>
      </c>
      <c r="F2950" s="62" t="s">
        <v>115</v>
      </c>
      <c r="G2950" s="64" t="s">
        <v>64</v>
      </c>
      <c r="H2950" s="3" t="s">
        <v>135</v>
      </c>
      <c r="I2950" s="65">
        <f>IFERROR(VLOOKUP(A2950,'3. Call duration'!$A:$C,3,0),"--")</f>
        <v>29.43459998</v>
      </c>
      <c r="J2950" s="65" t="str">
        <f t="array" ref="J2950">XLOOKUP(H2950,'2. Matching'!$A$2:$A$39,'2. Matching'!$B$2:$B$39,"--")</f>
        <v>Acquisition</v>
      </c>
      <c r="K2950" s="65" t="str">
        <f t="shared" si="1"/>
        <v>In</v>
      </c>
    </row>
    <row r="2951">
      <c r="A2951" s="62" t="s">
        <v>3089</v>
      </c>
      <c r="B2951" s="63">
        <v>44147.0</v>
      </c>
      <c r="C2951" s="62" t="s">
        <v>119</v>
      </c>
      <c r="D2951" s="64">
        <v>42.5</v>
      </c>
      <c r="E2951" s="62" t="s">
        <v>109</v>
      </c>
      <c r="F2951" s="62" t="s">
        <v>115</v>
      </c>
      <c r="G2951" s="64" t="s">
        <v>64</v>
      </c>
      <c r="H2951" s="3" t="s">
        <v>145</v>
      </c>
      <c r="I2951" s="65">
        <f>IFERROR(VLOOKUP(A2951,'3. Call duration'!$A:$C,3,0),"--")</f>
        <v>25.58333474</v>
      </c>
      <c r="J2951" s="65" t="str">
        <f t="array" ref="J2951">XLOOKUP(H2951,'2. Matching'!$A$2:$A$39,'2. Matching'!$B$2:$B$39,"--")</f>
        <v>SEO</v>
      </c>
      <c r="K2951" s="65" t="str">
        <f t="shared" si="1"/>
        <v>In</v>
      </c>
    </row>
    <row r="2952">
      <c r="A2952" s="62" t="s">
        <v>3090</v>
      </c>
      <c r="B2952" s="63">
        <v>44167.0</v>
      </c>
      <c r="C2952" s="62" t="s">
        <v>119</v>
      </c>
      <c r="D2952" s="64">
        <v>42.5</v>
      </c>
      <c r="E2952" s="62" t="s">
        <v>109</v>
      </c>
      <c r="F2952" s="62" t="s">
        <v>115</v>
      </c>
      <c r="G2952" s="64" t="s">
        <v>64</v>
      </c>
      <c r="H2952" s="3" t="s">
        <v>131</v>
      </c>
      <c r="I2952" s="65">
        <f>IFERROR(VLOOKUP(A2952,'3. Call duration'!$A:$C,3,0),"--")</f>
        <v>23.05483976</v>
      </c>
      <c r="J2952" s="65" t="str">
        <f t="array" ref="J2952">XLOOKUP(H2952,'2. Matching'!$A$2:$A$39,'2. Matching'!$B$2:$B$39,"--")</f>
        <v>Acquisition</v>
      </c>
      <c r="K2952" s="65" t="str">
        <f t="shared" si="1"/>
        <v>In</v>
      </c>
    </row>
    <row r="2953">
      <c r="A2953" s="62" t="s">
        <v>3091</v>
      </c>
      <c r="B2953" s="63">
        <v>44211.0</v>
      </c>
      <c r="C2953" s="62" t="s">
        <v>119</v>
      </c>
      <c r="D2953" s="64">
        <v>42.5</v>
      </c>
      <c r="E2953" s="62" t="s">
        <v>109</v>
      </c>
      <c r="F2953" s="62" t="s">
        <v>115</v>
      </c>
      <c r="G2953" s="64" t="s">
        <v>64</v>
      </c>
      <c r="H2953" s="3" t="s">
        <v>235</v>
      </c>
      <c r="I2953" s="65">
        <f>IFERROR(VLOOKUP(A2953,'3. Call duration'!$A:$C,3,0),"--")</f>
        <v>16.41805905</v>
      </c>
      <c r="J2953" s="65" t="str">
        <f t="array" ref="J2953">XLOOKUP(H2953,'2. Matching'!$A$2:$A$39,'2. Matching'!$B$2:$B$39,"--")</f>
        <v>Farming</v>
      </c>
      <c r="K2953" s="65" t="str">
        <f t="shared" si="1"/>
        <v>In</v>
      </c>
    </row>
    <row r="2954">
      <c r="A2954" s="62" t="s">
        <v>3092</v>
      </c>
      <c r="B2954" s="63">
        <v>44079.0</v>
      </c>
      <c r="C2954" s="62" t="s">
        <v>119</v>
      </c>
      <c r="D2954" s="64">
        <v>42.5</v>
      </c>
      <c r="E2954" s="62" t="s">
        <v>109</v>
      </c>
      <c r="F2954" s="62" t="s">
        <v>115</v>
      </c>
      <c r="G2954" s="64" t="s">
        <v>64</v>
      </c>
      <c r="H2954" s="3" t="s">
        <v>139</v>
      </c>
      <c r="I2954" s="65">
        <f>IFERROR(VLOOKUP(A2954,'3. Call duration'!$A:$C,3,0),"--")</f>
        <v>30.63115937</v>
      </c>
      <c r="J2954" s="65" t="str">
        <f t="array" ref="J2954">XLOOKUP(H2954,'2. Matching'!$A$2:$A$39,'2. Matching'!$B$2:$B$39,"--")</f>
        <v>Acquisition</v>
      </c>
      <c r="K2954" s="65" t="str">
        <f t="shared" si="1"/>
        <v>In</v>
      </c>
    </row>
    <row r="2955">
      <c r="A2955" s="62" t="s">
        <v>3093</v>
      </c>
      <c r="B2955" s="63">
        <v>44245.0</v>
      </c>
      <c r="C2955" s="62" t="s">
        <v>119</v>
      </c>
      <c r="D2955" s="64">
        <v>42.5</v>
      </c>
      <c r="E2955" s="62" t="s">
        <v>109</v>
      </c>
      <c r="F2955" s="62" t="s">
        <v>115</v>
      </c>
      <c r="G2955" s="64" t="s">
        <v>64</v>
      </c>
      <c r="H2955" s="3" t="s">
        <v>145</v>
      </c>
      <c r="I2955" s="65">
        <f>IFERROR(VLOOKUP(A2955,'3. Call duration'!$A:$C,3,0),"--")</f>
        <v>20.95197537</v>
      </c>
      <c r="J2955" s="65" t="str">
        <f t="array" ref="J2955">XLOOKUP(H2955,'2. Matching'!$A$2:$A$39,'2. Matching'!$B$2:$B$39,"--")</f>
        <v>SEO</v>
      </c>
      <c r="K2955" s="65" t="str">
        <f t="shared" si="1"/>
        <v>In</v>
      </c>
    </row>
    <row r="2956">
      <c r="A2956" s="62" t="s">
        <v>3094</v>
      </c>
      <c r="B2956" s="63">
        <v>44233.0</v>
      </c>
      <c r="C2956" s="62" t="s">
        <v>119</v>
      </c>
      <c r="D2956" s="64">
        <v>42.5</v>
      </c>
      <c r="E2956" s="62" t="s">
        <v>109</v>
      </c>
      <c r="F2956" s="62" t="s">
        <v>110</v>
      </c>
      <c r="G2956" s="64" t="s">
        <v>62</v>
      </c>
      <c r="H2956" s="3" t="s">
        <v>286</v>
      </c>
      <c r="I2956" s="65">
        <f>IFERROR(VLOOKUP(A2956,'3. Call duration'!$A:$C,3,0),"--")</f>
        <v>22.36754009</v>
      </c>
      <c r="J2956" s="65" t="str">
        <f t="array" ref="J2956">XLOOKUP(H2956,'2. Matching'!$A$2:$A$39,'2. Matching'!$B$2:$B$39,"--")</f>
        <v>Farming</v>
      </c>
      <c r="K2956" s="65" t="str">
        <f t="shared" si="1"/>
        <v>In</v>
      </c>
    </row>
    <row r="2957">
      <c r="A2957" s="62" t="s">
        <v>3095</v>
      </c>
      <c r="B2957" s="63">
        <v>44130.0</v>
      </c>
      <c r="C2957" s="62" t="s">
        <v>119</v>
      </c>
      <c r="D2957" s="64">
        <v>42.5</v>
      </c>
      <c r="E2957" s="62" t="s">
        <v>109</v>
      </c>
      <c r="F2957" s="62" t="s">
        <v>110</v>
      </c>
      <c r="G2957" s="64" t="s">
        <v>64</v>
      </c>
      <c r="H2957" s="3" t="s">
        <v>169</v>
      </c>
      <c r="I2957" s="65">
        <f>IFERROR(VLOOKUP(A2957,'3. Call duration'!$A:$C,3,0),"--")</f>
        <v>25.21575522</v>
      </c>
      <c r="J2957" s="65" t="str">
        <f t="array" ref="J2957">XLOOKUP(H2957,'2. Matching'!$A$2:$A$39,'2. Matching'!$B$2:$B$39,"--")</f>
        <v>SEO</v>
      </c>
      <c r="K2957" s="65" t="str">
        <f t="shared" si="1"/>
        <v>In</v>
      </c>
    </row>
    <row r="2958">
      <c r="A2958" s="62" t="s">
        <v>3096</v>
      </c>
      <c r="B2958" s="63">
        <v>44225.0</v>
      </c>
      <c r="C2958" s="62" t="s">
        <v>119</v>
      </c>
      <c r="D2958" s="64">
        <v>42.5</v>
      </c>
      <c r="E2958" s="62" t="s">
        <v>109</v>
      </c>
      <c r="F2958" s="62" t="s">
        <v>115</v>
      </c>
      <c r="G2958" s="64" t="s">
        <v>64</v>
      </c>
      <c r="H2958" s="3" t="s">
        <v>221</v>
      </c>
      <c r="I2958" s="65">
        <f>IFERROR(VLOOKUP(A2958,'3. Call duration'!$A:$C,3,0),"--")</f>
        <v>16.07928649</v>
      </c>
      <c r="J2958" s="65" t="str">
        <f t="array" ref="J2958">XLOOKUP(H2958,'2. Matching'!$A$2:$A$39,'2. Matching'!$B$2:$B$39,"--")</f>
        <v>Farming</v>
      </c>
      <c r="K2958" s="65" t="str">
        <f t="shared" si="1"/>
        <v>In</v>
      </c>
    </row>
    <row r="2959">
      <c r="A2959" s="62" t="s">
        <v>3097</v>
      </c>
      <c r="B2959" s="63">
        <v>44216.0</v>
      </c>
      <c r="C2959" s="62" t="s">
        <v>119</v>
      </c>
      <c r="D2959" s="64">
        <v>42.5</v>
      </c>
      <c r="E2959" s="62" t="s">
        <v>109</v>
      </c>
      <c r="F2959" s="62" t="s">
        <v>115</v>
      </c>
      <c r="G2959" s="64" t="s">
        <v>62</v>
      </c>
      <c r="H2959" s="3" t="s">
        <v>286</v>
      </c>
      <c r="I2959" s="65">
        <f>IFERROR(VLOOKUP(A2959,'3. Call duration'!$A:$C,3,0),"--")</f>
        <v>31.0793612</v>
      </c>
      <c r="J2959" s="65" t="str">
        <f t="array" ref="J2959">XLOOKUP(H2959,'2. Matching'!$A$2:$A$39,'2. Matching'!$B$2:$B$39,"--")</f>
        <v>Farming</v>
      </c>
      <c r="K2959" s="65" t="str">
        <f t="shared" si="1"/>
        <v>In</v>
      </c>
    </row>
    <row r="2960">
      <c r="A2960" s="62" t="s">
        <v>3098</v>
      </c>
      <c r="B2960" s="63">
        <v>44201.0</v>
      </c>
      <c r="C2960" s="62" t="s">
        <v>119</v>
      </c>
      <c r="D2960" s="64">
        <v>42.5</v>
      </c>
      <c r="E2960" s="62" t="s">
        <v>109</v>
      </c>
      <c r="F2960" s="62" t="s">
        <v>115</v>
      </c>
      <c r="G2960" s="64" t="s">
        <v>64</v>
      </c>
      <c r="H2960" s="3" t="s">
        <v>175</v>
      </c>
      <c r="I2960" s="65">
        <f>IFERROR(VLOOKUP(A2960,'3. Call duration'!$A:$C,3,0),"--")</f>
        <v>22.07267817</v>
      </c>
      <c r="J2960" s="65" t="str">
        <f t="array" ref="J2960">XLOOKUP(H2960,'2. Matching'!$A$2:$A$39,'2. Matching'!$B$2:$B$39,"--")</f>
        <v>SEO</v>
      </c>
      <c r="K2960" s="65" t="str">
        <f t="shared" si="1"/>
        <v>In</v>
      </c>
    </row>
    <row r="2961">
      <c r="A2961" s="62" t="s">
        <v>3099</v>
      </c>
      <c r="B2961" s="63">
        <v>44126.0</v>
      </c>
      <c r="C2961" s="62" t="s">
        <v>119</v>
      </c>
      <c r="D2961" s="64">
        <v>42.5</v>
      </c>
      <c r="E2961" s="62" t="s">
        <v>109</v>
      </c>
      <c r="F2961" s="62" t="s">
        <v>110</v>
      </c>
      <c r="G2961" s="64" t="s">
        <v>64</v>
      </c>
      <c r="H2961" s="3" t="s">
        <v>139</v>
      </c>
      <c r="I2961" s="65">
        <f>IFERROR(VLOOKUP(A2961,'3. Call duration'!$A:$C,3,0),"--")</f>
        <v>28.58020702</v>
      </c>
      <c r="J2961" s="65" t="str">
        <f t="array" ref="J2961">XLOOKUP(H2961,'2. Matching'!$A$2:$A$39,'2. Matching'!$B$2:$B$39,"--")</f>
        <v>Acquisition</v>
      </c>
      <c r="K2961" s="65" t="str">
        <f t="shared" si="1"/>
        <v>In</v>
      </c>
    </row>
    <row r="2962">
      <c r="A2962" s="62" t="s">
        <v>3100</v>
      </c>
      <c r="B2962" s="63">
        <v>44231.0</v>
      </c>
      <c r="C2962" s="62" t="s">
        <v>119</v>
      </c>
      <c r="D2962" s="64">
        <v>42.5</v>
      </c>
      <c r="E2962" s="62" t="s">
        <v>109</v>
      </c>
      <c r="F2962" s="62" t="s">
        <v>115</v>
      </c>
      <c r="G2962" s="64" t="s">
        <v>62</v>
      </c>
      <c r="H2962" s="3" t="s">
        <v>50</v>
      </c>
      <c r="I2962" s="65">
        <f>IFERROR(VLOOKUP(A2962,'3. Call duration'!$A:$C,3,0),"--")</f>
        <v>10.37842509</v>
      </c>
      <c r="J2962" s="65" t="str">
        <f t="array" ref="J2962">XLOOKUP(H2962,'2. Matching'!$A$2:$A$39,'2. Matching'!$B$2:$B$39,"--")</f>
        <v>Partnerships</v>
      </c>
      <c r="K2962" s="65" t="str">
        <f t="shared" si="1"/>
        <v>In</v>
      </c>
    </row>
    <row r="2963">
      <c r="A2963" s="62" t="s">
        <v>3101</v>
      </c>
      <c r="B2963" s="63">
        <v>44174.0</v>
      </c>
      <c r="C2963" s="62" t="s">
        <v>119</v>
      </c>
      <c r="D2963" s="64">
        <v>42.5</v>
      </c>
      <c r="E2963" s="62" t="s">
        <v>109</v>
      </c>
      <c r="F2963" s="62" t="s">
        <v>115</v>
      </c>
      <c r="G2963" s="64" t="s">
        <v>64</v>
      </c>
      <c r="H2963" s="3" t="s">
        <v>169</v>
      </c>
      <c r="I2963" s="65">
        <f>IFERROR(VLOOKUP(A2963,'3. Call duration'!$A:$C,3,0),"--")</f>
        <v>13.54907186</v>
      </c>
      <c r="J2963" s="65" t="str">
        <f t="array" ref="J2963">XLOOKUP(H2963,'2. Matching'!$A$2:$A$39,'2. Matching'!$B$2:$B$39,"--")</f>
        <v>SEO</v>
      </c>
      <c r="K2963" s="65" t="str">
        <f t="shared" si="1"/>
        <v>In</v>
      </c>
    </row>
    <row r="2964">
      <c r="A2964" s="62" t="s">
        <v>3102</v>
      </c>
      <c r="B2964" s="63">
        <v>44170.0</v>
      </c>
      <c r="C2964" s="62" t="s">
        <v>119</v>
      </c>
      <c r="D2964" s="64">
        <v>42.5</v>
      </c>
      <c r="E2964" s="62" t="s">
        <v>109</v>
      </c>
      <c r="F2964" s="62" t="s">
        <v>110</v>
      </c>
      <c r="G2964" s="64" t="s">
        <v>64</v>
      </c>
      <c r="H2964" s="3" t="s">
        <v>135</v>
      </c>
      <c r="I2964" s="65">
        <f>IFERROR(VLOOKUP(A2964,'3. Call duration'!$A:$C,3,0),"--")</f>
        <v>33.15982151</v>
      </c>
      <c r="J2964" s="65" t="str">
        <f t="array" ref="J2964">XLOOKUP(H2964,'2. Matching'!$A$2:$A$39,'2. Matching'!$B$2:$B$39,"--")</f>
        <v>Acquisition</v>
      </c>
      <c r="K2964" s="65" t="str">
        <f t="shared" si="1"/>
        <v>In</v>
      </c>
    </row>
    <row r="2965">
      <c r="A2965" s="62" t="s">
        <v>3103</v>
      </c>
      <c r="B2965" s="63">
        <v>44229.0</v>
      </c>
      <c r="C2965" s="62" t="s">
        <v>119</v>
      </c>
      <c r="D2965" s="64">
        <v>42.5</v>
      </c>
      <c r="E2965" s="62" t="s">
        <v>109</v>
      </c>
      <c r="F2965" s="62" t="s">
        <v>115</v>
      </c>
      <c r="G2965" s="64" t="s">
        <v>64</v>
      </c>
      <c r="H2965" s="3" t="s">
        <v>49</v>
      </c>
      <c r="I2965" s="65">
        <f>IFERROR(VLOOKUP(A2965,'3. Call duration'!$A:$C,3,0),"--")</f>
        <v>27.44253515</v>
      </c>
      <c r="J2965" s="65" t="str">
        <f t="array" ref="J2965">XLOOKUP(H2965,'2. Matching'!$A$2:$A$39,'2. Matching'!$B$2:$B$39,"--")</f>
        <v>Partnerships</v>
      </c>
      <c r="K2965" s="65" t="str">
        <f t="shared" si="1"/>
        <v>In</v>
      </c>
    </row>
    <row r="2966">
      <c r="A2966" s="62" t="s">
        <v>3104</v>
      </c>
      <c r="B2966" s="63">
        <v>44179.0</v>
      </c>
      <c r="C2966" s="62" t="s">
        <v>119</v>
      </c>
      <c r="D2966" s="64">
        <v>42.5</v>
      </c>
      <c r="E2966" s="62" t="s">
        <v>109</v>
      </c>
      <c r="F2966" s="62" t="s">
        <v>110</v>
      </c>
      <c r="G2966" s="64" t="s">
        <v>64</v>
      </c>
      <c r="H2966" s="3" t="s">
        <v>131</v>
      </c>
      <c r="I2966" s="65">
        <f>IFERROR(VLOOKUP(A2966,'3. Call duration'!$A:$C,3,0),"--")</f>
        <v>25.82476293</v>
      </c>
      <c r="J2966" s="65" t="str">
        <f t="array" ref="J2966">XLOOKUP(H2966,'2. Matching'!$A$2:$A$39,'2. Matching'!$B$2:$B$39,"--")</f>
        <v>Acquisition</v>
      </c>
      <c r="K2966" s="65" t="str">
        <f t="shared" si="1"/>
        <v>In</v>
      </c>
    </row>
    <row r="2967">
      <c r="A2967" s="62" t="s">
        <v>3105</v>
      </c>
      <c r="B2967" s="63">
        <v>44152.0</v>
      </c>
      <c r="C2967" s="62" t="s">
        <v>119</v>
      </c>
      <c r="D2967" s="64">
        <v>42.5</v>
      </c>
      <c r="E2967" s="62" t="s">
        <v>109</v>
      </c>
      <c r="F2967" s="62" t="s">
        <v>115</v>
      </c>
      <c r="G2967" s="64" t="s">
        <v>62</v>
      </c>
      <c r="H2967" s="3" t="s">
        <v>294</v>
      </c>
      <c r="I2967" s="65">
        <f>IFERROR(VLOOKUP(A2967,'3. Call duration'!$A:$C,3,0),"--")</f>
        <v>26.71762982</v>
      </c>
      <c r="J2967" s="65" t="str">
        <f t="array" ref="J2967">XLOOKUP(H2967,'2. Matching'!$A$2:$A$39,'2. Matching'!$B$2:$B$39,"--")</f>
        <v>Farming</v>
      </c>
      <c r="K2967" s="65" t="str">
        <f t="shared" si="1"/>
        <v>In</v>
      </c>
    </row>
    <row r="2968">
      <c r="A2968" s="62" t="s">
        <v>3106</v>
      </c>
      <c r="B2968" s="63">
        <v>44109.0</v>
      </c>
      <c r="C2968" s="62" t="s">
        <v>119</v>
      </c>
      <c r="D2968" s="64">
        <v>42.5</v>
      </c>
      <c r="E2968" s="62" t="s">
        <v>109</v>
      </c>
      <c r="F2968" s="62" t="s">
        <v>115</v>
      </c>
      <c r="G2968" s="64" t="s">
        <v>64</v>
      </c>
      <c r="H2968" s="3" t="s">
        <v>139</v>
      </c>
      <c r="I2968" s="65">
        <f>IFERROR(VLOOKUP(A2968,'3. Call duration'!$A:$C,3,0),"--")</f>
        <v>32.23192243</v>
      </c>
      <c r="J2968" s="65" t="str">
        <f t="array" ref="J2968">XLOOKUP(H2968,'2. Matching'!$A$2:$A$39,'2. Matching'!$B$2:$B$39,"--")</f>
        <v>Acquisition</v>
      </c>
      <c r="K2968" s="65" t="str">
        <f t="shared" si="1"/>
        <v>In</v>
      </c>
    </row>
    <row r="2969">
      <c r="A2969" s="62" t="s">
        <v>3107</v>
      </c>
      <c r="B2969" s="63">
        <v>44229.0</v>
      </c>
      <c r="C2969" s="62" t="s">
        <v>119</v>
      </c>
      <c r="D2969" s="64">
        <v>42.5</v>
      </c>
      <c r="E2969" s="62" t="s">
        <v>109</v>
      </c>
      <c r="F2969" s="62" t="s">
        <v>110</v>
      </c>
      <c r="G2969" s="64" t="s">
        <v>64</v>
      </c>
      <c r="H2969" s="3" t="s">
        <v>131</v>
      </c>
      <c r="I2969" s="65">
        <f>IFERROR(VLOOKUP(A2969,'3. Call duration'!$A:$C,3,0),"--")</f>
        <v>28.67358721</v>
      </c>
      <c r="J2969" s="65" t="str">
        <f t="array" ref="J2969">XLOOKUP(H2969,'2. Matching'!$A$2:$A$39,'2. Matching'!$B$2:$B$39,"--")</f>
        <v>Acquisition</v>
      </c>
      <c r="K2969" s="65" t="str">
        <f t="shared" si="1"/>
        <v>In</v>
      </c>
    </row>
    <row r="2970">
      <c r="A2970" s="62" t="s">
        <v>3108</v>
      </c>
      <c r="B2970" s="63">
        <v>44208.0</v>
      </c>
      <c r="C2970" s="62" t="s">
        <v>119</v>
      </c>
      <c r="D2970" s="64">
        <v>42.5</v>
      </c>
      <c r="E2970" s="62" t="s">
        <v>109</v>
      </c>
      <c r="F2970" s="62" t="s">
        <v>115</v>
      </c>
      <c r="G2970" s="64" t="s">
        <v>64</v>
      </c>
      <c r="H2970" s="3" t="s">
        <v>155</v>
      </c>
      <c r="I2970" s="65">
        <f>IFERROR(VLOOKUP(A2970,'3. Call duration'!$A:$C,3,0),"--")</f>
        <v>30.81522024</v>
      </c>
      <c r="J2970" s="65" t="str">
        <f t="array" ref="J2970">XLOOKUP(H2970,'2. Matching'!$A$2:$A$39,'2. Matching'!$B$2:$B$39,"--")</f>
        <v>SEO</v>
      </c>
      <c r="K2970" s="65" t="str">
        <f t="shared" si="1"/>
        <v>In</v>
      </c>
    </row>
    <row r="2971">
      <c r="A2971" s="62" t="s">
        <v>3109</v>
      </c>
      <c r="B2971" s="63">
        <v>44247.0</v>
      </c>
      <c r="C2971" s="62" t="s">
        <v>119</v>
      </c>
      <c r="D2971" s="64">
        <v>42.5</v>
      </c>
      <c r="E2971" s="62" t="s">
        <v>109</v>
      </c>
      <c r="F2971" s="62" t="s">
        <v>115</v>
      </c>
      <c r="G2971" s="64" t="s">
        <v>64</v>
      </c>
      <c r="H2971" s="3" t="s">
        <v>139</v>
      </c>
      <c r="I2971" s="65">
        <f>IFERROR(VLOOKUP(A2971,'3. Call duration'!$A:$C,3,0),"--")</f>
        <v>14.75166794</v>
      </c>
      <c r="J2971" s="65" t="str">
        <f t="array" ref="J2971">XLOOKUP(H2971,'2. Matching'!$A$2:$A$39,'2. Matching'!$B$2:$B$39,"--")</f>
        <v>Acquisition</v>
      </c>
      <c r="K2971" s="65" t="str">
        <f t="shared" si="1"/>
        <v>In</v>
      </c>
    </row>
    <row r="2972">
      <c r="A2972" s="62" t="s">
        <v>3110</v>
      </c>
      <c r="B2972" s="63">
        <v>44211.0</v>
      </c>
      <c r="C2972" s="62" t="s">
        <v>119</v>
      </c>
      <c r="D2972" s="64">
        <v>42.5</v>
      </c>
      <c r="E2972" s="62" t="s">
        <v>109</v>
      </c>
      <c r="F2972" s="62" t="s">
        <v>115</v>
      </c>
      <c r="G2972" s="64" t="s">
        <v>64</v>
      </c>
      <c r="H2972" s="3" t="s">
        <v>150</v>
      </c>
      <c r="I2972" s="65">
        <f>IFERROR(VLOOKUP(A2972,'3. Call duration'!$A:$C,3,0),"--")</f>
        <v>24.30912968</v>
      </c>
      <c r="J2972" s="65" t="str">
        <f t="array" ref="J2972">XLOOKUP(H2972,'2. Matching'!$A$2:$A$39,'2. Matching'!$B$2:$B$39,"--")</f>
        <v>SEO</v>
      </c>
      <c r="K2972" s="65" t="str">
        <f t="shared" si="1"/>
        <v>In</v>
      </c>
    </row>
    <row r="2973">
      <c r="A2973" s="62" t="s">
        <v>3111</v>
      </c>
      <c r="B2973" s="63">
        <v>44173.0</v>
      </c>
      <c r="C2973" s="62" t="s">
        <v>119</v>
      </c>
      <c r="D2973" s="64">
        <v>42.5</v>
      </c>
      <c r="E2973" s="62" t="s">
        <v>109</v>
      </c>
      <c r="F2973" s="62" t="s">
        <v>110</v>
      </c>
      <c r="G2973" s="64" t="s">
        <v>64</v>
      </c>
      <c r="H2973" s="3" t="s">
        <v>139</v>
      </c>
      <c r="I2973" s="65">
        <f>IFERROR(VLOOKUP(A2973,'3. Call duration'!$A:$C,3,0),"--")</f>
        <v>27.34186084</v>
      </c>
      <c r="J2973" s="65" t="str">
        <f t="array" ref="J2973">XLOOKUP(H2973,'2. Matching'!$A$2:$A$39,'2. Matching'!$B$2:$B$39,"--")</f>
        <v>Acquisition</v>
      </c>
      <c r="K2973" s="65" t="str">
        <f t="shared" si="1"/>
        <v>In</v>
      </c>
    </row>
    <row r="2974">
      <c r="A2974" s="62" t="s">
        <v>3112</v>
      </c>
      <c r="B2974" s="63">
        <v>44235.0</v>
      </c>
      <c r="C2974" s="62" t="s">
        <v>119</v>
      </c>
      <c r="D2974" s="64">
        <v>42.5</v>
      </c>
      <c r="E2974" s="62" t="s">
        <v>109</v>
      </c>
      <c r="F2974" s="62" t="s">
        <v>115</v>
      </c>
      <c r="G2974" s="64" t="s">
        <v>64</v>
      </c>
      <c r="H2974" s="3" t="s">
        <v>131</v>
      </c>
      <c r="I2974" s="65">
        <f>IFERROR(VLOOKUP(A2974,'3. Call duration'!$A:$C,3,0),"--")</f>
        <v>33.63622153</v>
      </c>
      <c r="J2974" s="65" t="str">
        <f t="array" ref="J2974">XLOOKUP(H2974,'2. Matching'!$A$2:$A$39,'2. Matching'!$B$2:$B$39,"--")</f>
        <v>Acquisition</v>
      </c>
      <c r="K2974" s="65" t="str">
        <f t="shared" si="1"/>
        <v>In</v>
      </c>
    </row>
    <row r="2975">
      <c r="A2975" s="62" t="s">
        <v>3113</v>
      </c>
      <c r="B2975" s="63">
        <v>44117.0</v>
      </c>
      <c r="C2975" s="62" t="s">
        <v>119</v>
      </c>
      <c r="D2975" s="64">
        <v>42.5</v>
      </c>
      <c r="E2975" s="62" t="s">
        <v>109</v>
      </c>
      <c r="F2975" s="62" t="s">
        <v>115</v>
      </c>
      <c r="G2975" s="64" t="s">
        <v>64</v>
      </c>
      <c r="H2975" s="3" t="s">
        <v>139</v>
      </c>
      <c r="I2975" s="65">
        <f>IFERROR(VLOOKUP(A2975,'3. Call duration'!$A:$C,3,0),"--")</f>
        <v>14.41241612</v>
      </c>
      <c r="J2975" s="65" t="str">
        <f t="array" ref="J2975">XLOOKUP(H2975,'2. Matching'!$A$2:$A$39,'2. Matching'!$B$2:$B$39,"--")</f>
        <v>Acquisition</v>
      </c>
      <c r="K2975" s="65" t="str">
        <f t="shared" si="1"/>
        <v>In</v>
      </c>
    </row>
    <row r="2976">
      <c r="A2976" s="62" t="s">
        <v>3114</v>
      </c>
      <c r="B2976" s="63">
        <v>44173.0</v>
      </c>
      <c r="C2976" s="62" t="s">
        <v>119</v>
      </c>
      <c r="D2976" s="64">
        <v>42.5</v>
      </c>
      <c r="E2976" s="62" t="s">
        <v>109</v>
      </c>
      <c r="F2976" s="62" t="s">
        <v>115</v>
      </c>
      <c r="G2976" s="64" t="s">
        <v>64</v>
      </c>
      <c r="H2976" s="3" t="s">
        <v>131</v>
      </c>
      <c r="I2976" s="65">
        <f>IFERROR(VLOOKUP(A2976,'3. Call duration'!$A:$C,3,0),"--")</f>
        <v>22.25959955</v>
      </c>
      <c r="J2976" s="65" t="str">
        <f t="array" ref="J2976">XLOOKUP(H2976,'2. Matching'!$A$2:$A$39,'2. Matching'!$B$2:$B$39,"--")</f>
        <v>Acquisition</v>
      </c>
      <c r="K2976" s="65" t="str">
        <f t="shared" si="1"/>
        <v>In</v>
      </c>
    </row>
    <row r="2977">
      <c r="A2977" s="62" t="s">
        <v>3115</v>
      </c>
      <c r="B2977" s="63">
        <v>44112.0</v>
      </c>
      <c r="C2977" s="62" t="s">
        <v>119</v>
      </c>
      <c r="D2977" s="64">
        <v>42.5</v>
      </c>
      <c r="E2977" s="62" t="s">
        <v>109</v>
      </c>
      <c r="F2977" s="62" t="s">
        <v>110</v>
      </c>
      <c r="G2977" s="64" t="s">
        <v>64</v>
      </c>
      <c r="H2977" s="3" t="s">
        <v>131</v>
      </c>
      <c r="I2977" s="65">
        <f>IFERROR(VLOOKUP(A2977,'3. Call duration'!$A:$C,3,0),"--")</f>
        <v>33.32640332</v>
      </c>
      <c r="J2977" s="65" t="str">
        <f t="array" ref="J2977">XLOOKUP(H2977,'2. Matching'!$A$2:$A$39,'2. Matching'!$B$2:$B$39,"--")</f>
        <v>Acquisition</v>
      </c>
      <c r="K2977" s="65" t="str">
        <f t="shared" si="1"/>
        <v>In</v>
      </c>
    </row>
    <row r="2978">
      <c r="A2978" s="62" t="s">
        <v>3116</v>
      </c>
      <c r="B2978" s="63">
        <v>44083.0</v>
      </c>
      <c r="C2978" s="62" t="s">
        <v>119</v>
      </c>
      <c r="D2978" s="64">
        <v>42.5</v>
      </c>
      <c r="E2978" s="62" t="s">
        <v>109</v>
      </c>
      <c r="F2978" s="62" t="s">
        <v>115</v>
      </c>
      <c r="G2978" s="64" t="s">
        <v>64</v>
      </c>
      <c r="H2978" s="3" t="s">
        <v>175</v>
      </c>
      <c r="I2978" s="65">
        <f>IFERROR(VLOOKUP(A2978,'3. Call duration'!$A:$C,3,0),"--")</f>
        <v>11.41488997</v>
      </c>
      <c r="J2978" s="65" t="str">
        <f t="array" ref="J2978">XLOOKUP(H2978,'2. Matching'!$A$2:$A$39,'2. Matching'!$B$2:$B$39,"--")</f>
        <v>SEO</v>
      </c>
      <c r="K2978" s="65" t="str">
        <f t="shared" si="1"/>
        <v>In</v>
      </c>
    </row>
    <row r="2979">
      <c r="A2979" s="62" t="s">
        <v>3117</v>
      </c>
      <c r="B2979" s="63">
        <v>44176.0</v>
      </c>
      <c r="C2979" s="62" t="s">
        <v>119</v>
      </c>
      <c r="D2979" s="64">
        <v>42.5</v>
      </c>
      <c r="E2979" s="62" t="s">
        <v>109</v>
      </c>
      <c r="F2979" s="62" t="s">
        <v>115</v>
      </c>
      <c r="G2979" s="64" t="s">
        <v>64</v>
      </c>
      <c r="H2979" s="3" t="s">
        <v>155</v>
      </c>
      <c r="I2979" s="65">
        <f>IFERROR(VLOOKUP(A2979,'3. Call duration'!$A:$C,3,0),"--")</f>
        <v>24.25760076</v>
      </c>
      <c r="J2979" s="65" t="str">
        <f t="array" ref="J2979">XLOOKUP(H2979,'2. Matching'!$A$2:$A$39,'2. Matching'!$B$2:$B$39,"--")</f>
        <v>SEO</v>
      </c>
      <c r="K2979" s="65" t="str">
        <f t="shared" si="1"/>
        <v>In</v>
      </c>
    </row>
    <row r="2980">
      <c r="A2980" s="62" t="s">
        <v>3118</v>
      </c>
      <c r="B2980" s="63">
        <v>44149.0</v>
      </c>
      <c r="C2980" s="62" t="s">
        <v>119</v>
      </c>
      <c r="D2980" s="64">
        <v>42.5</v>
      </c>
      <c r="E2980" s="62" t="s">
        <v>109</v>
      </c>
      <c r="F2980" s="62" t="s">
        <v>115</v>
      </c>
      <c r="G2980" s="64" t="s">
        <v>64</v>
      </c>
      <c r="H2980" s="3" t="s">
        <v>139</v>
      </c>
      <c r="I2980" s="65">
        <f>IFERROR(VLOOKUP(A2980,'3. Call duration'!$A:$C,3,0),"--")</f>
        <v>32.69485427</v>
      </c>
      <c r="J2980" s="65" t="str">
        <f t="array" ref="J2980">XLOOKUP(H2980,'2. Matching'!$A$2:$A$39,'2. Matching'!$B$2:$B$39,"--")</f>
        <v>Acquisition</v>
      </c>
      <c r="K2980" s="65" t="str">
        <f t="shared" si="1"/>
        <v>In</v>
      </c>
    </row>
    <row r="2981">
      <c r="A2981" s="62" t="s">
        <v>3119</v>
      </c>
      <c r="B2981" s="63">
        <v>44225.0</v>
      </c>
      <c r="C2981" s="62" t="s">
        <v>119</v>
      </c>
      <c r="D2981" s="64">
        <v>42.5</v>
      </c>
      <c r="E2981" s="62" t="s">
        <v>109</v>
      </c>
      <c r="F2981" s="62" t="s">
        <v>115</v>
      </c>
      <c r="G2981" s="64" t="s">
        <v>64</v>
      </c>
      <c r="H2981" s="3" t="s">
        <v>164</v>
      </c>
      <c r="I2981" s="65">
        <f>IFERROR(VLOOKUP(A2981,'3. Call duration'!$A:$C,3,0),"--")</f>
        <v>20.27812377</v>
      </c>
      <c r="J2981" s="65" t="str">
        <f t="array" ref="J2981">XLOOKUP(H2981,'2. Matching'!$A$2:$A$39,'2. Matching'!$B$2:$B$39,"--")</f>
        <v>SEO</v>
      </c>
      <c r="K2981" s="65" t="str">
        <f t="shared" si="1"/>
        <v>In</v>
      </c>
    </row>
    <row r="2982">
      <c r="A2982" s="62" t="s">
        <v>3120</v>
      </c>
      <c r="B2982" s="63">
        <v>44195.0</v>
      </c>
      <c r="C2982" s="62" t="s">
        <v>119</v>
      </c>
      <c r="D2982" s="64">
        <v>42.5</v>
      </c>
      <c r="E2982" s="62" t="s">
        <v>109</v>
      </c>
      <c r="F2982" s="62" t="s">
        <v>115</v>
      </c>
      <c r="G2982" s="64" t="s">
        <v>64</v>
      </c>
      <c r="H2982" s="3" t="s">
        <v>139</v>
      </c>
      <c r="I2982" s="65">
        <f>IFERROR(VLOOKUP(A2982,'3. Call duration'!$A:$C,3,0),"--")</f>
        <v>26.63638218</v>
      </c>
      <c r="J2982" s="65" t="str">
        <f t="array" ref="J2982">XLOOKUP(H2982,'2. Matching'!$A$2:$A$39,'2. Matching'!$B$2:$B$39,"--")</f>
        <v>Acquisition</v>
      </c>
      <c r="K2982" s="65" t="str">
        <f t="shared" si="1"/>
        <v>In</v>
      </c>
    </row>
    <row r="2983">
      <c r="A2983" s="62" t="s">
        <v>3121</v>
      </c>
      <c r="B2983" s="63">
        <v>44137.0</v>
      </c>
      <c r="C2983" s="62" t="s">
        <v>119</v>
      </c>
      <c r="D2983" s="64">
        <v>42.5</v>
      </c>
      <c r="E2983" s="62" t="s">
        <v>109</v>
      </c>
      <c r="F2983" s="62" t="s">
        <v>115</v>
      </c>
      <c r="G2983" s="64" t="s">
        <v>64</v>
      </c>
      <c r="H2983" s="3" t="s">
        <v>155</v>
      </c>
      <c r="I2983" s="65">
        <f>IFERROR(VLOOKUP(A2983,'3. Call duration'!$A:$C,3,0),"--")</f>
        <v>24.41100839</v>
      </c>
      <c r="J2983" s="65" t="str">
        <f t="array" ref="J2983">XLOOKUP(H2983,'2. Matching'!$A$2:$A$39,'2. Matching'!$B$2:$B$39,"--")</f>
        <v>SEO</v>
      </c>
      <c r="K2983" s="65" t="str">
        <f t="shared" si="1"/>
        <v>In</v>
      </c>
    </row>
    <row r="2984">
      <c r="A2984" s="62" t="s">
        <v>3122</v>
      </c>
      <c r="B2984" s="63">
        <v>44126.0</v>
      </c>
      <c r="C2984" s="62" t="s">
        <v>119</v>
      </c>
      <c r="D2984" s="64">
        <v>42.5</v>
      </c>
      <c r="E2984" s="62" t="s">
        <v>109</v>
      </c>
      <c r="F2984" s="62" t="s">
        <v>115</v>
      </c>
      <c r="G2984" s="64" t="s">
        <v>64</v>
      </c>
      <c r="H2984" s="3" t="s">
        <v>139</v>
      </c>
      <c r="I2984" s="65">
        <f>IFERROR(VLOOKUP(A2984,'3. Call duration'!$A:$C,3,0),"--")</f>
        <v>31.32719662</v>
      </c>
      <c r="J2984" s="65" t="str">
        <f t="array" ref="J2984">XLOOKUP(H2984,'2. Matching'!$A$2:$A$39,'2. Matching'!$B$2:$B$39,"--")</f>
        <v>Acquisition</v>
      </c>
      <c r="K2984" s="65" t="str">
        <f t="shared" si="1"/>
        <v>In</v>
      </c>
    </row>
    <row r="2985">
      <c r="A2985" s="62" t="s">
        <v>3123</v>
      </c>
      <c r="B2985" s="63">
        <v>44092.0</v>
      </c>
      <c r="C2985" s="62" t="s">
        <v>119</v>
      </c>
      <c r="D2985" s="64">
        <v>42.5</v>
      </c>
      <c r="E2985" s="62" t="s">
        <v>109</v>
      </c>
      <c r="F2985" s="62" t="s">
        <v>115</v>
      </c>
      <c r="G2985" s="64" t="s">
        <v>64</v>
      </c>
      <c r="H2985" s="3" t="s">
        <v>175</v>
      </c>
      <c r="I2985" s="65">
        <f>IFERROR(VLOOKUP(A2985,'3. Call duration'!$A:$C,3,0),"--")</f>
        <v>24.72132019</v>
      </c>
      <c r="J2985" s="65" t="str">
        <f t="array" ref="J2985">XLOOKUP(H2985,'2. Matching'!$A$2:$A$39,'2. Matching'!$B$2:$B$39,"--")</f>
        <v>SEO</v>
      </c>
      <c r="K2985" s="65" t="str">
        <f t="shared" si="1"/>
        <v>In</v>
      </c>
    </row>
    <row r="2986">
      <c r="A2986" s="62" t="s">
        <v>3124</v>
      </c>
      <c r="B2986" s="63">
        <v>44224.0</v>
      </c>
      <c r="C2986" s="62" t="s">
        <v>119</v>
      </c>
      <c r="D2986" s="64">
        <v>42.5</v>
      </c>
      <c r="E2986" s="62" t="s">
        <v>109</v>
      </c>
      <c r="F2986" s="62" t="s">
        <v>115</v>
      </c>
      <c r="G2986" s="64" t="s">
        <v>64</v>
      </c>
      <c r="H2986" s="3" t="s">
        <v>150</v>
      </c>
      <c r="I2986" s="65">
        <f>IFERROR(VLOOKUP(A2986,'3. Call duration'!$A:$C,3,0),"--")</f>
        <v>28.2054829</v>
      </c>
      <c r="J2986" s="65" t="str">
        <f t="array" ref="J2986">XLOOKUP(H2986,'2. Matching'!$A$2:$A$39,'2. Matching'!$B$2:$B$39,"--")</f>
        <v>SEO</v>
      </c>
      <c r="K2986" s="65" t="str">
        <f t="shared" si="1"/>
        <v>In</v>
      </c>
    </row>
    <row r="2987">
      <c r="A2987" s="62" t="s">
        <v>3125</v>
      </c>
      <c r="B2987" s="63">
        <v>44222.0</v>
      </c>
      <c r="C2987" s="62" t="s">
        <v>119</v>
      </c>
      <c r="D2987" s="64">
        <v>42.5</v>
      </c>
      <c r="E2987" s="62" t="s">
        <v>109</v>
      </c>
      <c r="F2987" s="62" t="s">
        <v>115</v>
      </c>
      <c r="G2987" s="64" t="s">
        <v>64</v>
      </c>
      <c r="H2987" s="3" t="s">
        <v>131</v>
      </c>
      <c r="I2987" s="65">
        <f>IFERROR(VLOOKUP(A2987,'3. Call duration'!$A:$C,3,0),"--")</f>
        <v>35.24942741</v>
      </c>
      <c r="J2987" s="65" t="str">
        <f t="array" ref="J2987">XLOOKUP(H2987,'2. Matching'!$A$2:$A$39,'2. Matching'!$B$2:$B$39,"--")</f>
        <v>Acquisition</v>
      </c>
      <c r="K2987" s="65" t="str">
        <f t="shared" si="1"/>
        <v>In</v>
      </c>
    </row>
    <row r="2988">
      <c r="A2988" s="62" t="s">
        <v>3126</v>
      </c>
      <c r="B2988" s="63">
        <v>44223.0</v>
      </c>
      <c r="C2988" s="62" t="s">
        <v>119</v>
      </c>
      <c r="D2988" s="64">
        <v>42.5</v>
      </c>
      <c r="E2988" s="62" t="s">
        <v>109</v>
      </c>
      <c r="F2988" s="62" t="s">
        <v>115</v>
      </c>
      <c r="G2988" s="64" t="s">
        <v>64</v>
      </c>
      <c r="H2988" s="3" t="s">
        <v>175</v>
      </c>
      <c r="I2988" s="65">
        <f>IFERROR(VLOOKUP(A2988,'3. Call duration'!$A:$C,3,0),"--")</f>
        <v>30.88565395</v>
      </c>
      <c r="J2988" s="65" t="str">
        <f t="array" ref="J2988">XLOOKUP(H2988,'2. Matching'!$A$2:$A$39,'2. Matching'!$B$2:$B$39,"--")</f>
        <v>SEO</v>
      </c>
      <c r="K2988" s="65" t="str">
        <f t="shared" si="1"/>
        <v>In</v>
      </c>
    </row>
    <row r="2989">
      <c r="A2989" s="62" t="s">
        <v>3127</v>
      </c>
      <c r="B2989" s="63">
        <v>44235.0</v>
      </c>
      <c r="C2989" s="62" t="s">
        <v>119</v>
      </c>
      <c r="D2989" s="64">
        <v>42.5</v>
      </c>
      <c r="E2989" s="62" t="s">
        <v>109</v>
      </c>
      <c r="F2989" s="62" t="s">
        <v>115</v>
      </c>
      <c r="G2989" s="64" t="s">
        <v>64</v>
      </c>
      <c r="H2989" s="3" t="s">
        <v>175</v>
      </c>
      <c r="I2989" s="65">
        <f>IFERROR(VLOOKUP(A2989,'3. Call duration'!$A:$C,3,0),"--")</f>
        <v>11.54465555</v>
      </c>
      <c r="J2989" s="65" t="str">
        <f t="array" ref="J2989">XLOOKUP(H2989,'2. Matching'!$A$2:$A$39,'2. Matching'!$B$2:$B$39,"--")</f>
        <v>SEO</v>
      </c>
      <c r="K2989" s="65" t="str">
        <f t="shared" si="1"/>
        <v>In</v>
      </c>
    </row>
    <row r="2990">
      <c r="A2990" s="62" t="s">
        <v>3128</v>
      </c>
      <c r="B2990" s="63">
        <v>44243.0</v>
      </c>
      <c r="C2990" s="62" t="s">
        <v>119</v>
      </c>
      <c r="D2990" s="64">
        <v>42.5</v>
      </c>
      <c r="E2990" s="62" t="s">
        <v>109</v>
      </c>
      <c r="F2990" s="62" t="s">
        <v>115</v>
      </c>
      <c r="G2990" s="64" t="s">
        <v>64</v>
      </c>
      <c r="H2990" s="3" t="s">
        <v>169</v>
      </c>
      <c r="I2990" s="65">
        <f>IFERROR(VLOOKUP(A2990,'3. Call duration'!$A:$C,3,0),"--")</f>
        <v>30.78004212</v>
      </c>
      <c r="J2990" s="65" t="str">
        <f t="array" ref="J2990">XLOOKUP(H2990,'2. Matching'!$A$2:$A$39,'2. Matching'!$B$2:$B$39,"--")</f>
        <v>SEO</v>
      </c>
      <c r="K2990" s="65" t="str">
        <f t="shared" si="1"/>
        <v>In</v>
      </c>
    </row>
    <row r="2991">
      <c r="A2991" s="62" t="s">
        <v>3129</v>
      </c>
      <c r="B2991" s="63">
        <v>44179.0</v>
      </c>
      <c r="C2991" s="62" t="s">
        <v>119</v>
      </c>
      <c r="D2991" s="64">
        <v>42.5</v>
      </c>
      <c r="E2991" s="62" t="s">
        <v>109</v>
      </c>
      <c r="F2991" s="62" t="s">
        <v>115</v>
      </c>
      <c r="G2991" s="64" t="s">
        <v>64</v>
      </c>
      <c r="H2991" s="3" t="s">
        <v>221</v>
      </c>
      <c r="I2991" s="65">
        <f>IFERROR(VLOOKUP(A2991,'3. Call duration'!$A:$C,3,0),"--")</f>
        <v>27.80645589</v>
      </c>
      <c r="J2991" s="65" t="str">
        <f t="array" ref="J2991">XLOOKUP(H2991,'2. Matching'!$A$2:$A$39,'2. Matching'!$B$2:$B$39,"--")</f>
        <v>Farming</v>
      </c>
      <c r="K2991" s="65" t="str">
        <f t="shared" si="1"/>
        <v>In</v>
      </c>
    </row>
    <row r="2992">
      <c r="A2992" s="62" t="s">
        <v>3130</v>
      </c>
      <c r="B2992" s="63">
        <v>44249.0</v>
      </c>
      <c r="C2992" s="62" t="s">
        <v>119</v>
      </c>
      <c r="D2992" s="64">
        <v>42.5</v>
      </c>
      <c r="E2992" s="62" t="s">
        <v>109</v>
      </c>
      <c r="F2992" s="62" t="s">
        <v>115</v>
      </c>
      <c r="G2992" s="64" t="s">
        <v>64</v>
      </c>
      <c r="H2992" s="3" t="s">
        <v>139</v>
      </c>
      <c r="I2992" s="65">
        <f>IFERROR(VLOOKUP(A2992,'3. Call duration'!$A:$C,3,0),"--")</f>
        <v>24.18222651</v>
      </c>
      <c r="J2992" s="65" t="str">
        <f t="array" ref="J2992">XLOOKUP(H2992,'2. Matching'!$A$2:$A$39,'2. Matching'!$B$2:$B$39,"--")</f>
        <v>Acquisition</v>
      </c>
      <c r="K2992" s="65" t="str">
        <f t="shared" si="1"/>
        <v>In</v>
      </c>
    </row>
    <row r="2993">
      <c r="A2993" s="62" t="s">
        <v>3131</v>
      </c>
      <c r="B2993" s="63">
        <v>44170.0</v>
      </c>
      <c r="C2993" s="62" t="s">
        <v>119</v>
      </c>
      <c r="D2993" s="64">
        <v>42.5</v>
      </c>
      <c r="E2993" s="62" t="s">
        <v>109</v>
      </c>
      <c r="F2993" s="62" t="s">
        <v>115</v>
      </c>
      <c r="G2993" s="64" t="s">
        <v>64</v>
      </c>
      <c r="H2993" s="3" t="s">
        <v>139</v>
      </c>
      <c r="I2993" s="65">
        <f>IFERROR(VLOOKUP(A2993,'3. Call duration'!$A:$C,3,0),"--")</f>
        <v>30.32544807</v>
      </c>
      <c r="J2993" s="65" t="str">
        <f t="array" ref="J2993">XLOOKUP(H2993,'2. Matching'!$A$2:$A$39,'2. Matching'!$B$2:$B$39,"--")</f>
        <v>Acquisition</v>
      </c>
      <c r="K2993" s="65" t="str">
        <f t="shared" si="1"/>
        <v>In</v>
      </c>
    </row>
    <row r="2994">
      <c r="A2994" s="62" t="s">
        <v>3132</v>
      </c>
      <c r="B2994" s="63">
        <v>44117.0</v>
      </c>
      <c r="C2994" s="62" t="s">
        <v>119</v>
      </c>
      <c r="D2994" s="64">
        <v>42.5</v>
      </c>
      <c r="E2994" s="62" t="s">
        <v>109</v>
      </c>
      <c r="F2994" s="62" t="s">
        <v>110</v>
      </c>
      <c r="G2994" s="64" t="s">
        <v>64</v>
      </c>
      <c r="H2994" s="3" t="s">
        <v>135</v>
      </c>
      <c r="I2994" s="65">
        <f>IFERROR(VLOOKUP(A2994,'3. Call duration'!$A:$C,3,0),"--")</f>
        <v>30.95769587</v>
      </c>
      <c r="J2994" s="65" t="str">
        <f t="array" ref="J2994">XLOOKUP(H2994,'2. Matching'!$A$2:$A$39,'2. Matching'!$B$2:$B$39,"--")</f>
        <v>Acquisition</v>
      </c>
      <c r="K2994" s="65" t="str">
        <f t="shared" si="1"/>
        <v>In</v>
      </c>
    </row>
    <row r="2995">
      <c r="A2995" s="62" t="s">
        <v>3133</v>
      </c>
      <c r="B2995" s="63">
        <v>44235.0</v>
      </c>
      <c r="C2995" s="62" t="s">
        <v>119</v>
      </c>
      <c r="D2995" s="64">
        <v>42.5</v>
      </c>
      <c r="E2995" s="62" t="s">
        <v>109</v>
      </c>
      <c r="F2995" s="62" t="s">
        <v>115</v>
      </c>
      <c r="G2995" s="64" t="s">
        <v>64</v>
      </c>
      <c r="H2995" s="3" t="s">
        <v>169</v>
      </c>
      <c r="I2995" s="65">
        <f>IFERROR(VLOOKUP(A2995,'3. Call duration'!$A:$C,3,0),"--")</f>
        <v>31.42266363</v>
      </c>
      <c r="J2995" s="65" t="str">
        <f t="array" ref="J2995">XLOOKUP(H2995,'2. Matching'!$A$2:$A$39,'2. Matching'!$B$2:$B$39,"--")</f>
        <v>SEO</v>
      </c>
      <c r="K2995" s="65" t="str">
        <f t="shared" si="1"/>
        <v>In</v>
      </c>
    </row>
    <row r="2996">
      <c r="A2996" s="62" t="s">
        <v>3134</v>
      </c>
      <c r="B2996" s="63">
        <v>44209.0</v>
      </c>
      <c r="C2996" s="62" t="s">
        <v>119</v>
      </c>
      <c r="D2996" s="64">
        <v>42.5</v>
      </c>
      <c r="E2996" s="62" t="s">
        <v>109</v>
      </c>
      <c r="F2996" s="62" t="s">
        <v>110</v>
      </c>
      <c r="G2996" s="64" t="s">
        <v>64</v>
      </c>
      <c r="H2996" s="3" t="s">
        <v>139</v>
      </c>
      <c r="I2996" s="65">
        <f>IFERROR(VLOOKUP(A2996,'3. Call duration'!$A:$C,3,0),"--")</f>
        <v>23.09167003</v>
      </c>
      <c r="J2996" s="65" t="str">
        <f t="array" ref="J2996">XLOOKUP(H2996,'2. Matching'!$A$2:$A$39,'2. Matching'!$B$2:$B$39,"--")</f>
        <v>Acquisition</v>
      </c>
      <c r="K2996" s="65" t="str">
        <f t="shared" si="1"/>
        <v>In</v>
      </c>
    </row>
    <row r="2997">
      <c r="A2997" s="62" t="s">
        <v>3135</v>
      </c>
      <c r="B2997" s="63">
        <v>44098.0</v>
      </c>
      <c r="C2997" s="62" t="s">
        <v>119</v>
      </c>
      <c r="D2997" s="64">
        <v>42.5</v>
      </c>
      <c r="E2997" s="62" t="s">
        <v>109</v>
      </c>
      <c r="F2997" s="62" t="s">
        <v>115</v>
      </c>
      <c r="G2997" s="64" t="s">
        <v>64</v>
      </c>
      <c r="H2997" s="3" t="s">
        <v>139</v>
      </c>
      <c r="I2997" s="65">
        <f>IFERROR(VLOOKUP(A2997,'3. Call duration'!$A:$C,3,0),"--")</f>
        <v>25.07644515</v>
      </c>
      <c r="J2997" s="65" t="str">
        <f t="array" ref="J2997">XLOOKUP(H2997,'2. Matching'!$A$2:$A$39,'2. Matching'!$B$2:$B$39,"--")</f>
        <v>Acquisition</v>
      </c>
      <c r="K2997" s="65" t="str">
        <f t="shared" si="1"/>
        <v>In</v>
      </c>
    </row>
    <row r="2998">
      <c r="A2998" s="62" t="s">
        <v>3136</v>
      </c>
      <c r="B2998" s="63">
        <v>44137.0</v>
      </c>
      <c r="C2998" s="62" t="s">
        <v>119</v>
      </c>
      <c r="D2998" s="64">
        <v>42.5</v>
      </c>
      <c r="E2998" s="62" t="s">
        <v>109</v>
      </c>
      <c r="F2998" s="62" t="s">
        <v>115</v>
      </c>
      <c r="G2998" s="64" t="s">
        <v>64</v>
      </c>
      <c r="H2998" s="3" t="s">
        <v>139</v>
      </c>
      <c r="I2998" s="65">
        <f>IFERROR(VLOOKUP(A2998,'3. Call duration'!$A:$C,3,0),"--")</f>
        <v>33.29734778</v>
      </c>
      <c r="J2998" s="65" t="str">
        <f t="array" ref="J2998">XLOOKUP(H2998,'2. Matching'!$A$2:$A$39,'2. Matching'!$B$2:$B$39,"--")</f>
        <v>Acquisition</v>
      </c>
      <c r="K2998" s="65" t="str">
        <f t="shared" si="1"/>
        <v>In</v>
      </c>
    </row>
    <row r="2999">
      <c r="A2999" s="62" t="s">
        <v>3137</v>
      </c>
      <c r="B2999" s="63">
        <v>44146.0</v>
      </c>
      <c r="C2999" s="62" t="s">
        <v>119</v>
      </c>
      <c r="D2999" s="64">
        <v>42.5</v>
      </c>
      <c r="E2999" s="62" t="s">
        <v>109</v>
      </c>
      <c r="F2999" s="62" t="s">
        <v>115</v>
      </c>
      <c r="G2999" s="64" t="s">
        <v>64</v>
      </c>
      <c r="H2999" s="3" t="s">
        <v>175</v>
      </c>
      <c r="I2999" s="65">
        <f>IFERROR(VLOOKUP(A2999,'3. Call duration'!$A:$C,3,0),"--")</f>
        <v>28.25456339</v>
      </c>
      <c r="J2999" s="65" t="str">
        <f t="array" ref="J2999">XLOOKUP(H2999,'2. Matching'!$A$2:$A$39,'2. Matching'!$B$2:$B$39,"--")</f>
        <v>SEO</v>
      </c>
      <c r="K2999" s="65" t="str">
        <f t="shared" si="1"/>
        <v>In</v>
      </c>
    </row>
    <row r="3000">
      <c r="A3000" s="62" t="s">
        <v>3138</v>
      </c>
      <c r="B3000" s="63">
        <v>44230.0</v>
      </c>
      <c r="C3000" s="62" t="s">
        <v>119</v>
      </c>
      <c r="D3000" s="64">
        <v>42.5</v>
      </c>
      <c r="E3000" s="62" t="s">
        <v>109</v>
      </c>
      <c r="F3000" s="62" t="s">
        <v>115</v>
      </c>
      <c r="G3000" s="64" t="s">
        <v>112</v>
      </c>
      <c r="H3000" s="3"/>
      <c r="I3000" s="65">
        <f>IFERROR(VLOOKUP(A3000,'3. Call duration'!$A:$C,3,0),"--")</f>
        <v>31.43734922</v>
      </c>
      <c r="J3000" s="65" t="str">
        <f t="array" ref="J3000">XLOOKUP(H3000,'2. Matching'!$A$2:$A$39,'2. Matching'!$B$2:$B$39,"--")</f>
        <v>--</v>
      </c>
      <c r="K3000" s="65" t="str">
        <f t="shared" si="1"/>
        <v>In</v>
      </c>
    </row>
    <row r="3001">
      <c r="A3001" s="62" t="s">
        <v>3139</v>
      </c>
      <c r="B3001" s="63">
        <v>44225.0</v>
      </c>
      <c r="C3001" s="62" t="s">
        <v>119</v>
      </c>
      <c r="D3001" s="64">
        <v>42.5</v>
      </c>
      <c r="E3001" s="62" t="s">
        <v>109</v>
      </c>
      <c r="F3001" s="62" t="s">
        <v>115</v>
      </c>
      <c r="G3001" s="64" t="s">
        <v>64</v>
      </c>
      <c r="H3001" s="3" t="s">
        <v>139</v>
      </c>
      <c r="I3001" s="65">
        <f>IFERROR(VLOOKUP(A3001,'3. Call duration'!$A:$C,3,0),"--")</f>
        <v>24.74237</v>
      </c>
      <c r="J3001" s="65" t="str">
        <f t="array" ref="J3001">XLOOKUP(H3001,'2. Matching'!$A$2:$A$39,'2. Matching'!$B$2:$B$39,"--")</f>
        <v>Acquisition</v>
      </c>
      <c r="K3001" s="65" t="str">
        <f t="shared" si="1"/>
        <v>In</v>
      </c>
    </row>
    <row r="3002">
      <c r="A3002" s="62" t="s">
        <v>3140</v>
      </c>
      <c r="B3002" s="63">
        <v>44253.0</v>
      </c>
      <c r="C3002" s="62" t="s">
        <v>119</v>
      </c>
      <c r="D3002" s="64">
        <v>42.5</v>
      </c>
      <c r="E3002" s="62" t="s">
        <v>109</v>
      </c>
      <c r="F3002" s="62" t="s">
        <v>115</v>
      </c>
      <c r="G3002" s="64" t="s">
        <v>64</v>
      </c>
      <c r="H3002" s="3" t="s">
        <v>139</v>
      </c>
      <c r="I3002" s="65">
        <f>IFERROR(VLOOKUP(A3002,'3. Call duration'!$A:$C,3,0),"--")</f>
        <v>22.79994457</v>
      </c>
      <c r="J3002" s="65" t="str">
        <f t="array" ref="J3002">XLOOKUP(H3002,'2. Matching'!$A$2:$A$39,'2. Matching'!$B$2:$B$39,"--")</f>
        <v>Acquisition</v>
      </c>
      <c r="K3002" s="65" t="str">
        <f t="shared" si="1"/>
        <v>In</v>
      </c>
    </row>
    <row r="3003">
      <c r="A3003" s="62" t="s">
        <v>3141</v>
      </c>
      <c r="B3003" s="63">
        <v>44226.0</v>
      </c>
      <c r="C3003" s="62" t="s">
        <v>119</v>
      </c>
      <c r="D3003" s="64">
        <v>42.5</v>
      </c>
      <c r="E3003" s="62" t="s">
        <v>109</v>
      </c>
      <c r="F3003" s="62" t="s">
        <v>110</v>
      </c>
      <c r="G3003" s="64" t="s">
        <v>64</v>
      </c>
      <c r="H3003" s="3" t="s">
        <v>175</v>
      </c>
      <c r="I3003" s="65">
        <f>IFERROR(VLOOKUP(A3003,'3. Call duration'!$A:$C,3,0),"--")</f>
        <v>33.13304694</v>
      </c>
      <c r="J3003" s="65" t="str">
        <f t="array" ref="J3003">XLOOKUP(H3003,'2. Matching'!$A$2:$A$39,'2. Matching'!$B$2:$B$39,"--")</f>
        <v>SEO</v>
      </c>
      <c r="K3003" s="65" t="str">
        <f t="shared" si="1"/>
        <v>In</v>
      </c>
    </row>
    <row r="3004">
      <c r="A3004" s="62" t="s">
        <v>3142</v>
      </c>
      <c r="B3004" s="63">
        <v>44158.0</v>
      </c>
      <c r="C3004" s="62" t="s">
        <v>119</v>
      </c>
      <c r="D3004" s="64">
        <v>42.5</v>
      </c>
      <c r="E3004" s="62" t="s">
        <v>109</v>
      </c>
      <c r="F3004" s="62" t="s">
        <v>115</v>
      </c>
      <c r="G3004" s="64" t="s">
        <v>64</v>
      </c>
      <c r="H3004" s="3" t="s">
        <v>139</v>
      </c>
      <c r="I3004" s="65">
        <f>IFERROR(VLOOKUP(A3004,'3. Call duration'!$A:$C,3,0),"--")</f>
        <v>32.90329309</v>
      </c>
      <c r="J3004" s="65" t="str">
        <f t="array" ref="J3004">XLOOKUP(H3004,'2. Matching'!$A$2:$A$39,'2. Matching'!$B$2:$B$39,"--")</f>
        <v>Acquisition</v>
      </c>
      <c r="K3004" s="65" t="str">
        <f t="shared" si="1"/>
        <v>In</v>
      </c>
    </row>
    <row r="3005">
      <c r="A3005" s="62" t="s">
        <v>3143</v>
      </c>
      <c r="B3005" s="63">
        <v>44201.0</v>
      </c>
      <c r="C3005" s="62" t="s">
        <v>119</v>
      </c>
      <c r="D3005" s="64">
        <v>42.5</v>
      </c>
      <c r="E3005" s="62" t="s">
        <v>109</v>
      </c>
      <c r="F3005" s="62" t="s">
        <v>110</v>
      </c>
      <c r="G3005" s="64" t="s">
        <v>64</v>
      </c>
      <c r="H3005" s="3" t="s">
        <v>169</v>
      </c>
      <c r="I3005" s="65">
        <f>IFERROR(VLOOKUP(A3005,'3. Call duration'!$A:$C,3,0),"--")</f>
        <v>26.96882421</v>
      </c>
      <c r="J3005" s="65" t="str">
        <f t="array" ref="J3005">XLOOKUP(H3005,'2. Matching'!$A$2:$A$39,'2. Matching'!$B$2:$B$39,"--")</f>
        <v>SEO</v>
      </c>
      <c r="K3005" s="65" t="str">
        <f t="shared" si="1"/>
        <v>In</v>
      </c>
    </row>
    <row r="3006">
      <c r="A3006" s="62" t="s">
        <v>3144</v>
      </c>
      <c r="B3006" s="63">
        <v>44084.0</v>
      </c>
      <c r="C3006" s="62" t="s">
        <v>119</v>
      </c>
      <c r="D3006" s="64">
        <v>42.5</v>
      </c>
      <c r="E3006" s="62" t="s">
        <v>109</v>
      </c>
      <c r="F3006" s="62" t="s">
        <v>115</v>
      </c>
      <c r="G3006" s="64" t="s">
        <v>64</v>
      </c>
      <c r="H3006" s="3" t="s">
        <v>139</v>
      </c>
      <c r="I3006" s="65">
        <f>IFERROR(VLOOKUP(A3006,'3. Call duration'!$A:$C,3,0),"--")</f>
        <v>22.83092291</v>
      </c>
      <c r="J3006" s="65" t="str">
        <f t="array" ref="J3006">XLOOKUP(H3006,'2. Matching'!$A$2:$A$39,'2. Matching'!$B$2:$B$39,"--")</f>
        <v>Acquisition</v>
      </c>
      <c r="K3006" s="65" t="str">
        <f t="shared" si="1"/>
        <v>In</v>
      </c>
    </row>
    <row r="3007">
      <c r="A3007" s="62" t="s">
        <v>3145</v>
      </c>
      <c r="B3007" s="63">
        <v>44202.0</v>
      </c>
      <c r="C3007" s="62" t="s">
        <v>119</v>
      </c>
      <c r="D3007" s="64">
        <v>42.5</v>
      </c>
      <c r="E3007" s="62" t="s">
        <v>109</v>
      </c>
      <c r="F3007" s="62" t="s">
        <v>115</v>
      </c>
      <c r="G3007" s="64" t="s">
        <v>64</v>
      </c>
      <c r="H3007" s="3" t="s">
        <v>150</v>
      </c>
      <c r="I3007" s="65">
        <f>IFERROR(VLOOKUP(A3007,'3. Call duration'!$A:$C,3,0),"--")</f>
        <v>30.34687563</v>
      </c>
      <c r="J3007" s="65" t="str">
        <f t="array" ref="J3007">XLOOKUP(H3007,'2. Matching'!$A$2:$A$39,'2. Matching'!$B$2:$B$39,"--")</f>
        <v>SEO</v>
      </c>
      <c r="K3007" s="65" t="str">
        <f t="shared" si="1"/>
        <v>In</v>
      </c>
    </row>
    <row r="3008">
      <c r="A3008" s="62" t="s">
        <v>3146</v>
      </c>
      <c r="B3008" s="63">
        <v>44147.0</v>
      </c>
      <c r="C3008" s="62" t="s">
        <v>119</v>
      </c>
      <c r="D3008" s="64">
        <v>42.5</v>
      </c>
      <c r="E3008" s="62" t="s">
        <v>109</v>
      </c>
      <c r="F3008" s="62" t="s">
        <v>115</v>
      </c>
      <c r="G3008" s="64" t="s">
        <v>64</v>
      </c>
      <c r="H3008" s="3" t="s">
        <v>139</v>
      </c>
      <c r="I3008" s="65">
        <f>IFERROR(VLOOKUP(A3008,'3. Call duration'!$A:$C,3,0),"--")</f>
        <v>33.45297948</v>
      </c>
      <c r="J3008" s="65" t="str">
        <f t="array" ref="J3008">XLOOKUP(H3008,'2. Matching'!$A$2:$A$39,'2. Matching'!$B$2:$B$39,"--")</f>
        <v>Acquisition</v>
      </c>
      <c r="K3008" s="65" t="str">
        <f t="shared" si="1"/>
        <v>In</v>
      </c>
    </row>
    <row r="3009">
      <c r="A3009" s="62" t="s">
        <v>3147</v>
      </c>
      <c r="B3009" s="63">
        <v>44147.0</v>
      </c>
      <c r="C3009" s="62" t="s">
        <v>119</v>
      </c>
      <c r="D3009" s="64">
        <v>42.5</v>
      </c>
      <c r="E3009" s="62" t="s">
        <v>109</v>
      </c>
      <c r="F3009" s="62" t="s">
        <v>110</v>
      </c>
      <c r="G3009" s="64" t="s">
        <v>64</v>
      </c>
      <c r="H3009" s="3" t="s">
        <v>150</v>
      </c>
      <c r="I3009" s="65">
        <f>IFERROR(VLOOKUP(A3009,'3. Call duration'!$A:$C,3,0),"--")</f>
        <v>28.12727966</v>
      </c>
      <c r="J3009" s="65" t="str">
        <f t="array" ref="J3009">XLOOKUP(H3009,'2. Matching'!$A$2:$A$39,'2. Matching'!$B$2:$B$39,"--")</f>
        <v>SEO</v>
      </c>
      <c r="K3009" s="65" t="str">
        <f t="shared" si="1"/>
        <v>In</v>
      </c>
    </row>
    <row r="3010">
      <c r="A3010" s="62" t="s">
        <v>3148</v>
      </c>
      <c r="B3010" s="63">
        <v>44201.0</v>
      </c>
      <c r="C3010" s="62" t="s">
        <v>119</v>
      </c>
      <c r="D3010" s="64">
        <v>42.5</v>
      </c>
      <c r="E3010" s="62" t="s">
        <v>109</v>
      </c>
      <c r="F3010" s="62" t="s">
        <v>115</v>
      </c>
      <c r="G3010" s="64" t="s">
        <v>64</v>
      </c>
      <c r="H3010" s="3" t="s">
        <v>150</v>
      </c>
      <c r="I3010" s="65">
        <f>IFERROR(VLOOKUP(A3010,'3. Call duration'!$A:$C,3,0),"--")</f>
        <v>31.55016986</v>
      </c>
      <c r="J3010" s="65" t="str">
        <f t="array" ref="J3010">XLOOKUP(H3010,'2. Matching'!$A$2:$A$39,'2. Matching'!$B$2:$B$39,"--")</f>
        <v>SEO</v>
      </c>
      <c r="K3010" s="65" t="str">
        <f t="shared" si="1"/>
        <v>In</v>
      </c>
    </row>
    <row r="3011">
      <c r="A3011" s="62" t="s">
        <v>3149</v>
      </c>
      <c r="B3011" s="63">
        <v>44137.0</v>
      </c>
      <c r="C3011" s="62" t="s">
        <v>119</v>
      </c>
      <c r="D3011" s="64">
        <v>42.5</v>
      </c>
      <c r="E3011" s="62" t="s">
        <v>109</v>
      </c>
      <c r="F3011" s="62" t="s">
        <v>115</v>
      </c>
      <c r="G3011" s="64" t="s">
        <v>64</v>
      </c>
      <c r="H3011" s="3" t="s">
        <v>145</v>
      </c>
      <c r="I3011" s="65">
        <f>IFERROR(VLOOKUP(A3011,'3. Call duration'!$A:$C,3,0),"--")</f>
        <v>12.08952658</v>
      </c>
      <c r="J3011" s="65" t="str">
        <f t="array" ref="J3011">XLOOKUP(H3011,'2. Matching'!$A$2:$A$39,'2. Matching'!$B$2:$B$39,"--")</f>
        <v>SEO</v>
      </c>
      <c r="K3011" s="65" t="str">
        <f t="shared" si="1"/>
        <v>In</v>
      </c>
    </row>
    <row r="3012">
      <c r="A3012" s="62" t="s">
        <v>3150</v>
      </c>
      <c r="B3012" s="63">
        <v>44109.0</v>
      </c>
      <c r="C3012" s="62" t="s">
        <v>119</v>
      </c>
      <c r="D3012" s="64">
        <v>42.5</v>
      </c>
      <c r="E3012" s="62" t="s">
        <v>109</v>
      </c>
      <c r="F3012" s="62" t="s">
        <v>115</v>
      </c>
      <c r="G3012" s="64" t="s">
        <v>64</v>
      </c>
      <c r="H3012" s="3" t="s">
        <v>139</v>
      </c>
      <c r="I3012" s="65">
        <f>IFERROR(VLOOKUP(A3012,'3. Call duration'!$A:$C,3,0),"--")</f>
        <v>15.99360062</v>
      </c>
      <c r="J3012" s="65" t="str">
        <f t="array" ref="J3012">XLOOKUP(H3012,'2. Matching'!$A$2:$A$39,'2. Matching'!$B$2:$B$39,"--")</f>
        <v>Acquisition</v>
      </c>
      <c r="K3012" s="65" t="str">
        <f t="shared" si="1"/>
        <v>In</v>
      </c>
    </row>
    <row r="3013">
      <c r="A3013" s="62" t="s">
        <v>3151</v>
      </c>
      <c r="B3013" s="63">
        <v>44136.0</v>
      </c>
      <c r="C3013" s="62" t="s">
        <v>119</v>
      </c>
      <c r="D3013" s="64">
        <v>42.5</v>
      </c>
      <c r="E3013" s="62" t="s">
        <v>109</v>
      </c>
      <c r="F3013" s="62" t="s">
        <v>115</v>
      </c>
      <c r="G3013" s="64" t="s">
        <v>64</v>
      </c>
      <c r="H3013" s="3" t="s">
        <v>139</v>
      </c>
      <c r="I3013" s="65">
        <f>IFERROR(VLOOKUP(A3013,'3. Call duration'!$A:$C,3,0),"--")</f>
        <v>24.04603775</v>
      </c>
      <c r="J3013" s="65" t="str">
        <f t="array" ref="J3013">XLOOKUP(H3013,'2. Matching'!$A$2:$A$39,'2. Matching'!$B$2:$B$39,"--")</f>
        <v>Acquisition</v>
      </c>
      <c r="K3013" s="65" t="str">
        <f t="shared" si="1"/>
        <v>In</v>
      </c>
    </row>
    <row r="3014">
      <c r="A3014" s="62" t="s">
        <v>3152</v>
      </c>
      <c r="B3014" s="63">
        <v>44083.0</v>
      </c>
      <c r="C3014" s="62" t="s">
        <v>119</v>
      </c>
      <c r="D3014" s="64">
        <v>42.5</v>
      </c>
      <c r="E3014" s="62" t="s">
        <v>109</v>
      </c>
      <c r="F3014" s="62" t="s">
        <v>115</v>
      </c>
      <c r="G3014" s="64" t="s">
        <v>64</v>
      </c>
      <c r="H3014" s="3" t="s">
        <v>131</v>
      </c>
      <c r="I3014" s="65">
        <f>IFERROR(VLOOKUP(A3014,'3. Call duration'!$A:$C,3,0),"--")</f>
        <v>14.67380733</v>
      </c>
      <c r="J3014" s="65" t="str">
        <f t="array" ref="J3014">XLOOKUP(H3014,'2. Matching'!$A$2:$A$39,'2. Matching'!$B$2:$B$39,"--")</f>
        <v>Acquisition</v>
      </c>
      <c r="K3014" s="65" t="str">
        <f t="shared" si="1"/>
        <v>In</v>
      </c>
    </row>
    <row r="3015">
      <c r="A3015" s="62" t="s">
        <v>3153</v>
      </c>
      <c r="B3015" s="63">
        <v>44137.0</v>
      </c>
      <c r="C3015" s="62" t="s">
        <v>119</v>
      </c>
      <c r="D3015" s="64">
        <v>42.5</v>
      </c>
      <c r="E3015" s="62" t="s">
        <v>109</v>
      </c>
      <c r="F3015" s="62" t="s">
        <v>115</v>
      </c>
      <c r="G3015" s="64" t="s">
        <v>64</v>
      </c>
      <c r="H3015" s="3" t="s">
        <v>139</v>
      </c>
      <c r="I3015" s="65">
        <f>IFERROR(VLOOKUP(A3015,'3. Call duration'!$A:$C,3,0),"--")</f>
        <v>16.72111869</v>
      </c>
      <c r="J3015" s="65" t="str">
        <f t="array" ref="J3015">XLOOKUP(H3015,'2. Matching'!$A$2:$A$39,'2. Matching'!$B$2:$B$39,"--")</f>
        <v>Acquisition</v>
      </c>
      <c r="K3015" s="65" t="str">
        <f t="shared" si="1"/>
        <v>In</v>
      </c>
    </row>
    <row r="3016">
      <c r="A3016" s="62" t="s">
        <v>3154</v>
      </c>
      <c r="B3016" s="63">
        <v>44253.0</v>
      </c>
      <c r="C3016" s="62" t="s">
        <v>119</v>
      </c>
      <c r="D3016" s="64">
        <v>42.5</v>
      </c>
      <c r="E3016" s="62" t="s">
        <v>109</v>
      </c>
      <c r="F3016" s="62" t="s">
        <v>110</v>
      </c>
      <c r="G3016" s="64" t="s">
        <v>64</v>
      </c>
      <c r="H3016" s="3" t="s">
        <v>131</v>
      </c>
      <c r="I3016" s="65">
        <f>IFERROR(VLOOKUP(A3016,'3. Call duration'!$A:$C,3,0),"--")</f>
        <v>28.95395002</v>
      </c>
      <c r="J3016" s="65" t="str">
        <f t="array" ref="J3016">XLOOKUP(H3016,'2. Matching'!$A$2:$A$39,'2. Matching'!$B$2:$B$39,"--")</f>
        <v>Acquisition</v>
      </c>
      <c r="K3016" s="65" t="str">
        <f t="shared" si="1"/>
        <v>In</v>
      </c>
    </row>
    <row r="3017">
      <c r="A3017" s="62" t="s">
        <v>3155</v>
      </c>
      <c r="B3017" s="63">
        <v>44084.0</v>
      </c>
      <c r="C3017" s="62" t="s">
        <v>119</v>
      </c>
      <c r="D3017" s="64">
        <v>42.5</v>
      </c>
      <c r="E3017" s="62" t="s">
        <v>109</v>
      </c>
      <c r="F3017" s="62" t="s">
        <v>115</v>
      </c>
      <c r="G3017" s="64" t="s">
        <v>64</v>
      </c>
      <c r="H3017" s="3" t="s">
        <v>139</v>
      </c>
      <c r="I3017" s="65">
        <f>IFERROR(VLOOKUP(A3017,'3. Call duration'!$A:$C,3,0),"--")</f>
        <v>33.25836958</v>
      </c>
      <c r="J3017" s="65" t="str">
        <f t="array" ref="J3017">XLOOKUP(H3017,'2. Matching'!$A$2:$A$39,'2. Matching'!$B$2:$B$39,"--")</f>
        <v>Acquisition</v>
      </c>
      <c r="K3017" s="65" t="str">
        <f t="shared" si="1"/>
        <v>In</v>
      </c>
    </row>
    <row r="3018">
      <c r="A3018" s="62" t="s">
        <v>3156</v>
      </c>
      <c r="B3018" s="63">
        <v>44075.0</v>
      </c>
      <c r="C3018" s="62" t="s">
        <v>119</v>
      </c>
      <c r="D3018" s="64">
        <v>42.5</v>
      </c>
      <c r="E3018" s="62" t="s">
        <v>109</v>
      </c>
      <c r="F3018" s="62" t="s">
        <v>115</v>
      </c>
      <c r="G3018" s="64" t="s">
        <v>64</v>
      </c>
      <c r="H3018" s="3" t="s">
        <v>57</v>
      </c>
      <c r="I3018" s="65">
        <f>IFERROR(VLOOKUP(A3018,'3. Call duration'!$A:$C,3,0),"--")</f>
        <v>22.09003742</v>
      </c>
      <c r="J3018" s="65" t="str">
        <f t="array" ref="J3018">XLOOKUP(H3018,'2. Matching'!$A$2:$A$39,'2. Matching'!$B$2:$B$39,"--")</f>
        <v>Partnerships</v>
      </c>
      <c r="K3018" s="65" t="str">
        <f t="shared" si="1"/>
        <v>In</v>
      </c>
    </row>
    <row r="3019">
      <c r="A3019" s="62" t="s">
        <v>3157</v>
      </c>
      <c r="B3019" s="63">
        <v>44077.0</v>
      </c>
      <c r="C3019" s="62" t="s">
        <v>119</v>
      </c>
      <c r="D3019" s="64">
        <v>42.5</v>
      </c>
      <c r="E3019" s="62" t="s">
        <v>109</v>
      </c>
      <c r="F3019" s="62" t="s">
        <v>115</v>
      </c>
      <c r="G3019" s="64" t="s">
        <v>64</v>
      </c>
      <c r="H3019" s="3" t="s">
        <v>164</v>
      </c>
      <c r="I3019" s="65" t="str">
        <f>IFERROR(VLOOKUP(A3019,'3. Call duration'!$A:$C,3,0),"--")</f>
        <v>--</v>
      </c>
      <c r="J3019" s="65" t="str">
        <f t="array" ref="J3019">XLOOKUP(H3019,'2. Matching'!$A$2:$A$39,'2. Matching'!$B$2:$B$39,"--")</f>
        <v>SEO</v>
      </c>
      <c r="K3019" s="65" t="str">
        <f t="shared" si="1"/>
        <v>In</v>
      </c>
    </row>
    <row r="3020">
      <c r="A3020" s="62" t="s">
        <v>3158</v>
      </c>
      <c r="B3020" s="63">
        <v>44109.0</v>
      </c>
      <c r="C3020" s="62" t="s">
        <v>119</v>
      </c>
      <c r="D3020" s="64">
        <v>42.5</v>
      </c>
      <c r="E3020" s="62" t="s">
        <v>109</v>
      </c>
      <c r="F3020" s="62" t="s">
        <v>115</v>
      </c>
      <c r="G3020" s="64" t="s">
        <v>64</v>
      </c>
      <c r="H3020" s="3" t="s">
        <v>155</v>
      </c>
      <c r="I3020" s="65">
        <f>IFERROR(VLOOKUP(A3020,'3. Call duration'!$A:$C,3,0),"--")</f>
        <v>24.26190885</v>
      </c>
      <c r="J3020" s="65" t="str">
        <f t="array" ref="J3020">XLOOKUP(H3020,'2. Matching'!$A$2:$A$39,'2. Matching'!$B$2:$B$39,"--")</f>
        <v>SEO</v>
      </c>
      <c r="K3020" s="65" t="str">
        <f t="shared" si="1"/>
        <v>In</v>
      </c>
    </row>
    <row r="3021">
      <c r="A3021" s="62" t="s">
        <v>3159</v>
      </c>
      <c r="B3021" s="63">
        <v>44228.0</v>
      </c>
      <c r="C3021" s="62" t="s">
        <v>119</v>
      </c>
      <c r="D3021" s="64">
        <v>42.5</v>
      </c>
      <c r="E3021" s="62" t="s">
        <v>109</v>
      </c>
      <c r="F3021" s="62" t="s">
        <v>115</v>
      </c>
      <c r="G3021" s="64" t="s">
        <v>64</v>
      </c>
      <c r="H3021" s="3" t="s">
        <v>185</v>
      </c>
      <c r="I3021" s="65">
        <f>IFERROR(VLOOKUP(A3021,'3. Call duration'!$A:$C,3,0),"--")</f>
        <v>28.62728983</v>
      </c>
      <c r="J3021" s="65" t="str">
        <f t="array" ref="J3021">XLOOKUP(H3021,'2. Matching'!$A$2:$A$39,'2. Matching'!$B$2:$B$39,"--")</f>
        <v>SEO</v>
      </c>
      <c r="K3021" s="65" t="str">
        <f t="shared" si="1"/>
        <v>In</v>
      </c>
    </row>
    <row r="3022">
      <c r="A3022" s="62" t="s">
        <v>3160</v>
      </c>
      <c r="B3022" s="63">
        <v>44215.0</v>
      </c>
      <c r="C3022" s="62" t="s">
        <v>119</v>
      </c>
      <c r="D3022" s="64">
        <v>42.5</v>
      </c>
      <c r="E3022" s="62" t="s">
        <v>109</v>
      </c>
      <c r="F3022" s="62" t="s">
        <v>115</v>
      </c>
      <c r="G3022" s="64" t="s">
        <v>64</v>
      </c>
      <c r="H3022" s="3" t="s">
        <v>175</v>
      </c>
      <c r="I3022" s="65">
        <f>IFERROR(VLOOKUP(A3022,'3. Call duration'!$A:$C,3,0),"--")</f>
        <v>31.59212753</v>
      </c>
      <c r="J3022" s="65" t="str">
        <f t="array" ref="J3022">XLOOKUP(H3022,'2. Matching'!$A$2:$A$39,'2. Matching'!$B$2:$B$39,"--")</f>
        <v>SEO</v>
      </c>
      <c r="K3022" s="65" t="str">
        <f t="shared" si="1"/>
        <v>In</v>
      </c>
    </row>
    <row r="3023">
      <c r="A3023" s="62" t="s">
        <v>3161</v>
      </c>
      <c r="B3023" s="63">
        <v>44229.0</v>
      </c>
      <c r="C3023" s="62" t="s">
        <v>119</v>
      </c>
      <c r="D3023" s="64">
        <v>42.5</v>
      </c>
      <c r="E3023" s="62" t="s">
        <v>109</v>
      </c>
      <c r="F3023" s="62" t="s">
        <v>110</v>
      </c>
      <c r="G3023" s="64" t="s">
        <v>64</v>
      </c>
      <c r="H3023" s="3" t="s">
        <v>155</v>
      </c>
      <c r="I3023" s="65">
        <f>IFERROR(VLOOKUP(A3023,'3. Call duration'!$A:$C,3,0),"--")</f>
        <v>21.61956503</v>
      </c>
      <c r="J3023" s="65" t="str">
        <f t="array" ref="J3023">XLOOKUP(H3023,'2. Matching'!$A$2:$A$39,'2. Matching'!$B$2:$B$39,"--")</f>
        <v>SEO</v>
      </c>
      <c r="K3023" s="65" t="str">
        <f t="shared" si="1"/>
        <v>In</v>
      </c>
    </row>
    <row r="3024">
      <c r="A3024" s="62" t="s">
        <v>3162</v>
      </c>
      <c r="B3024" s="63">
        <v>44165.0</v>
      </c>
      <c r="C3024" s="62" t="s">
        <v>119</v>
      </c>
      <c r="D3024" s="64">
        <v>42.5</v>
      </c>
      <c r="E3024" s="62" t="s">
        <v>109</v>
      </c>
      <c r="F3024" s="62" t="s">
        <v>115</v>
      </c>
      <c r="G3024" s="64" t="s">
        <v>64</v>
      </c>
      <c r="H3024" s="3" t="s">
        <v>131</v>
      </c>
      <c r="I3024" s="65">
        <f>IFERROR(VLOOKUP(A3024,'3. Call duration'!$A:$C,3,0),"--")</f>
        <v>20.49409051</v>
      </c>
      <c r="J3024" s="65" t="str">
        <f t="array" ref="J3024">XLOOKUP(H3024,'2. Matching'!$A$2:$A$39,'2. Matching'!$B$2:$B$39,"--")</f>
        <v>Acquisition</v>
      </c>
      <c r="K3024" s="65" t="str">
        <f t="shared" si="1"/>
        <v>In</v>
      </c>
    </row>
    <row r="3025">
      <c r="A3025" s="62" t="s">
        <v>3163</v>
      </c>
      <c r="B3025" s="63">
        <v>44235.0</v>
      </c>
      <c r="C3025" s="62" t="s">
        <v>119</v>
      </c>
      <c r="D3025" s="64">
        <v>42.5</v>
      </c>
      <c r="E3025" s="62" t="s">
        <v>109</v>
      </c>
      <c r="F3025" s="62" t="s">
        <v>115</v>
      </c>
      <c r="G3025" s="64" t="s">
        <v>64</v>
      </c>
      <c r="H3025" s="3" t="s">
        <v>139</v>
      </c>
      <c r="I3025" s="65">
        <f>IFERROR(VLOOKUP(A3025,'3. Call duration'!$A:$C,3,0),"--")</f>
        <v>29.4646779</v>
      </c>
      <c r="J3025" s="65" t="str">
        <f t="array" ref="J3025">XLOOKUP(H3025,'2. Matching'!$A$2:$A$39,'2. Matching'!$B$2:$B$39,"--")</f>
        <v>Acquisition</v>
      </c>
      <c r="K3025" s="65" t="str">
        <f t="shared" si="1"/>
        <v>In</v>
      </c>
    </row>
    <row r="3026">
      <c r="A3026" s="62" t="s">
        <v>3164</v>
      </c>
      <c r="B3026" s="63">
        <v>44193.0</v>
      </c>
      <c r="C3026" s="62" t="s">
        <v>119</v>
      </c>
      <c r="D3026" s="64">
        <v>42.5</v>
      </c>
      <c r="E3026" s="62" t="s">
        <v>109</v>
      </c>
      <c r="F3026" s="62" t="s">
        <v>115</v>
      </c>
      <c r="G3026" s="64" t="s">
        <v>64</v>
      </c>
      <c r="H3026" s="3" t="s">
        <v>139</v>
      </c>
      <c r="I3026" s="65">
        <f>IFERROR(VLOOKUP(A3026,'3. Call duration'!$A:$C,3,0),"--")</f>
        <v>33.01313473</v>
      </c>
      <c r="J3026" s="65" t="str">
        <f t="array" ref="J3026">XLOOKUP(H3026,'2. Matching'!$A$2:$A$39,'2. Matching'!$B$2:$B$39,"--")</f>
        <v>Acquisition</v>
      </c>
      <c r="K3026" s="65" t="str">
        <f t="shared" si="1"/>
        <v>In</v>
      </c>
    </row>
    <row r="3027">
      <c r="A3027" s="62" t="s">
        <v>3165</v>
      </c>
      <c r="B3027" s="63">
        <v>44111.0</v>
      </c>
      <c r="C3027" s="62" t="s">
        <v>119</v>
      </c>
      <c r="D3027" s="64">
        <v>42.5</v>
      </c>
      <c r="E3027" s="62" t="s">
        <v>109</v>
      </c>
      <c r="F3027" s="62" t="s">
        <v>115</v>
      </c>
      <c r="G3027" s="64" t="s">
        <v>64</v>
      </c>
      <c r="H3027" s="3" t="s">
        <v>150</v>
      </c>
      <c r="I3027" s="65">
        <f>IFERROR(VLOOKUP(A3027,'3. Call duration'!$A:$C,3,0),"--")</f>
        <v>31.72353847</v>
      </c>
      <c r="J3027" s="65" t="str">
        <f t="array" ref="J3027">XLOOKUP(H3027,'2. Matching'!$A$2:$A$39,'2. Matching'!$B$2:$B$39,"--")</f>
        <v>SEO</v>
      </c>
      <c r="K3027" s="65" t="str">
        <f t="shared" si="1"/>
        <v>In</v>
      </c>
    </row>
    <row r="3028">
      <c r="A3028" s="62" t="s">
        <v>3166</v>
      </c>
      <c r="B3028" s="63">
        <v>44154.0</v>
      </c>
      <c r="C3028" s="62" t="s">
        <v>119</v>
      </c>
      <c r="D3028" s="64">
        <v>42.5</v>
      </c>
      <c r="E3028" s="62" t="s">
        <v>109</v>
      </c>
      <c r="F3028" s="62" t="s">
        <v>115</v>
      </c>
      <c r="G3028" s="64" t="s">
        <v>64</v>
      </c>
      <c r="H3028" s="3" t="s">
        <v>131</v>
      </c>
      <c r="I3028" s="65">
        <f>IFERROR(VLOOKUP(A3028,'3. Call duration'!$A:$C,3,0),"--")</f>
        <v>30.35650817</v>
      </c>
      <c r="J3028" s="65" t="str">
        <f t="array" ref="J3028">XLOOKUP(H3028,'2. Matching'!$A$2:$A$39,'2. Matching'!$B$2:$B$39,"--")</f>
        <v>Acquisition</v>
      </c>
      <c r="K3028" s="65" t="str">
        <f t="shared" si="1"/>
        <v>In</v>
      </c>
    </row>
    <row r="3029">
      <c r="A3029" s="62" t="s">
        <v>3167</v>
      </c>
      <c r="B3029" s="63">
        <v>44122.0</v>
      </c>
      <c r="C3029" s="62" t="s">
        <v>119</v>
      </c>
      <c r="D3029" s="64">
        <v>42.5</v>
      </c>
      <c r="E3029" s="62" t="s">
        <v>109</v>
      </c>
      <c r="F3029" s="62" t="s">
        <v>115</v>
      </c>
      <c r="G3029" s="64" t="s">
        <v>64</v>
      </c>
      <c r="H3029" s="3" t="s">
        <v>139</v>
      </c>
      <c r="I3029" s="65">
        <f>IFERROR(VLOOKUP(A3029,'3. Call duration'!$A:$C,3,0),"--")</f>
        <v>21.80622525</v>
      </c>
      <c r="J3029" s="65" t="str">
        <f t="array" ref="J3029">XLOOKUP(H3029,'2. Matching'!$A$2:$A$39,'2. Matching'!$B$2:$B$39,"--")</f>
        <v>Acquisition</v>
      </c>
      <c r="K3029" s="65" t="str">
        <f t="shared" si="1"/>
        <v>In</v>
      </c>
    </row>
    <row r="3030">
      <c r="A3030" s="62" t="s">
        <v>3168</v>
      </c>
      <c r="B3030" s="63">
        <v>44130.0</v>
      </c>
      <c r="C3030" s="62" t="s">
        <v>119</v>
      </c>
      <c r="D3030" s="64">
        <v>42.5</v>
      </c>
      <c r="E3030" s="62" t="s">
        <v>109</v>
      </c>
      <c r="F3030" s="62" t="s">
        <v>115</v>
      </c>
      <c r="G3030" s="64" t="s">
        <v>64</v>
      </c>
      <c r="H3030" s="3" t="s">
        <v>139</v>
      </c>
      <c r="I3030" s="65">
        <f>IFERROR(VLOOKUP(A3030,'3. Call duration'!$A:$C,3,0),"--")</f>
        <v>29.50697984</v>
      </c>
      <c r="J3030" s="65" t="str">
        <f t="array" ref="J3030">XLOOKUP(H3030,'2. Matching'!$A$2:$A$39,'2. Matching'!$B$2:$B$39,"--")</f>
        <v>Acquisition</v>
      </c>
      <c r="K3030" s="65" t="str">
        <f t="shared" si="1"/>
        <v>In</v>
      </c>
    </row>
    <row r="3031">
      <c r="A3031" s="62" t="s">
        <v>3169</v>
      </c>
      <c r="B3031" s="63">
        <v>44200.0</v>
      </c>
      <c r="C3031" s="62" t="s">
        <v>119</v>
      </c>
      <c r="D3031" s="64">
        <v>42.5</v>
      </c>
      <c r="E3031" s="62" t="s">
        <v>109</v>
      </c>
      <c r="F3031" s="62" t="s">
        <v>115</v>
      </c>
      <c r="G3031" s="64" t="s">
        <v>64</v>
      </c>
      <c r="H3031" s="3" t="s">
        <v>175</v>
      </c>
      <c r="I3031" s="65">
        <f>IFERROR(VLOOKUP(A3031,'3. Call duration'!$A:$C,3,0),"--")</f>
        <v>33.45280532</v>
      </c>
      <c r="J3031" s="65" t="str">
        <f t="array" ref="J3031">XLOOKUP(H3031,'2. Matching'!$A$2:$A$39,'2. Matching'!$B$2:$B$39,"--")</f>
        <v>SEO</v>
      </c>
      <c r="K3031" s="65" t="str">
        <f t="shared" si="1"/>
        <v>In</v>
      </c>
    </row>
    <row r="3032">
      <c r="A3032" s="62" t="s">
        <v>3170</v>
      </c>
      <c r="B3032" s="63">
        <v>44084.0</v>
      </c>
      <c r="C3032" s="62" t="s">
        <v>119</v>
      </c>
      <c r="D3032" s="64">
        <v>42.5</v>
      </c>
      <c r="E3032" s="62" t="s">
        <v>109</v>
      </c>
      <c r="F3032" s="62" t="s">
        <v>115</v>
      </c>
      <c r="G3032" s="64" t="s">
        <v>64</v>
      </c>
      <c r="H3032" s="3" t="s">
        <v>139</v>
      </c>
      <c r="I3032" s="65">
        <f>IFERROR(VLOOKUP(A3032,'3. Call duration'!$A:$C,3,0),"--")</f>
        <v>26.78707554</v>
      </c>
      <c r="J3032" s="65" t="str">
        <f t="array" ref="J3032">XLOOKUP(H3032,'2. Matching'!$A$2:$A$39,'2. Matching'!$B$2:$B$39,"--")</f>
        <v>Acquisition</v>
      </c>
      <c r="K3032" s="65" t="str">
        <f t="shared" si="1"/>
        <v>In</v>
      </c>
    </row>
    <row r="3033">
      <c r="A3033" s="62" t="s">
        <v>3171</v>
      </c>
      <c r="B3033" s="63">
        <v>44117.0</v>
      </c>
      <c r="C3033" s="62" t="s">
        <v>119</v>
      </c>
      <c r="D3033" s="64">
        <v>42.5</v>
      </c>
      <c r="E3033" s="62" t="s">
        <v>109</v>
      </c>
      <c r="F3033" s="62" t="s">
        <v>115</v>
      </c>
      <c r="G3033" s="64" t="s">
        <v>64</v>
      </c>
      <c r="H3033" s="3" t="s">
        <v>139</v>
      </c>
      <c r="I3033" s="65">
        <f>IFERROR(VLOOKUP(A3033,'3. Call duration'!$A:$C,3,0),"--")</f>
        <v>22.63107275</v>
      </c>
      <c r="J3033" s="65" t="str">
        <f t="array" ref="J3033">XLOOKUP(H3033,'2. Matching'!$A$2:$A$39,'2. Matching'!$B$2:$B$39,"--")</f>
        <v>Acquisition</v>
      </c>
      <c r="K3033" s="65" t="str">
        <f t="shared" si="1"/>
        <v>In</v>
      </c>
    </row>
    <row r="3034">
      <c r="A3034" s="62" t="s">
        <v>3172</v>
      </c>
      <c r="B3034" s="63">
        <v>44235.0</v>
      </c>
      <c r="C3034" s="62" t="s">
        <v>119</v>
      </c>
      <c r="D3034" s="64">
        <v>42.5</v>
      </c>
      <c r="E3034" s="62" t="s">
        <v>109</v>
      </c>
      <c r="F3034" s="62" t="s">
        <v>115</v>
      </c>
      <c r="G3034" s="64" t="s">
        <v>64</v>
      </c>
      <c r="H3034" s="3" t="s">
        <v>221</v>
      </c>
      <c r="I3034" s="65">
        <f>IFERROR(VLOOKUP(A3034,'3. Call duration'!$A:$C,3,0),"--")</f>
        <v>28.02892359</v>
      </c>
      <c r="J3034" s="65" t="str">
        <f t="array" ref="J3034">XLOOKUP(H3034,'2. Matching'!$A$2:$A$39,'2. Matching'!$B$2:$B$39,"--")</f>
        <v>Farming</v>
      </c>
      <c r="K3034" s="65" t="str">
        <f t="shared" si="1"/>
        <v>In</v>
      </c>
    </row>
    <row r="3035">
      <c r="A3035" s="62" t="s">
        <v>3173</v>
      </c>
      <c r="B3035" s="63">
        <v>44218.0</v>
      </c>
      <c r="C3035" s="62" t="s">
        <v>119</v>
      </c>
      <c r="D3035" s="64">
        <v>42.5</v>
      </c>
      <c r="E3035" s="62" t="s">
        <v>109</v>
      </c>
      <c r="F3035" s="62" t="s">
        <v>110</v>
      </c>
      <c r="G3035" s="64" t="s">
        <v>64</v>
      </c>
      <c r="H3035" s="3" t="s">
        <v>145</v>
      </c>
      <c r="I3035" s="65">
        <f>IFERROR(VLOOKUP(A3035,'3. Call duration'!$A:$C,3,0),"--")</f>
        <v>49.60037835</v>
      </c>
      <c r="J3035" s="65" t="str">
        <f t="array" ref="J3035">XLOOKUP(H3035,'2. Matching'!$A$2:$A$39,'2. Matching'!$B$2:$B$39,"--")</f>
        <v>SEO</v>
      </c>
      <c r="K3035" s="65" t="str">
        <f t="shared" si="1"/>
        <v>In</v>
      </c>
    </row>
    <row r="3036">
      <c r="A3036" s="62" t="s">
        <v>3174</v>
      </c>
      <c r="B3036" s="63">
        <v>44224.0</v>
      </c>
      <c r="C3036" s="62" t="s">
        <v>119</v>
      </c>
      <c r="D3036" s="64">
        <v>42.5</v>
      </c>
      <c r="E3036" s="62" t="s">
        <v>109</v>
      </c>
      <c r="F3036" s="62" t="s">
        <v>115</v>
      </c>
      <c r="G3036" s="64" t="s">
        <v>64</v>
      </c>
      <c r="H3036" s="3" t="s">
        <v>155</v>
      </c>
      <c r="I3036" s="65">
        <f>IFERROR(VLOOKUP(A3036,'3. Call duration'!$A:$C,3,0),"--")</f>
        <v>14.5467488</v>
      </c>
      <c r="J3036" s="65" t="str">
        <f t="array" ref="J3036">XLOOKUP(H3036,'2. Matching'!$A$2:$A$39,'2. Matching'!$B$2:$B$39,"--")</f>
        <v>SEO</v>
      </c>
      <c r="K3036" s="65" t="str">
        <f t="shared" si="1"/>
        <v>In</v>
      </c>
    </row>
    <row r="3037">
      <c r="A3037" s="62" t="s">
        <v>3175</v>
      </c>
      <c r="B3037" s="63">
        <v>44111.0</v>
      </c>
      <c r="C3037" s="62" t="s">
        <v>119</v>
      </c>
      <c r="D3037" s="64">
        <v>42.5</v>
      </c>
      <c r="E3037" s="62" t="s">
        <v>109</v>
      </c>
      <c r="F3037" s="62" t="s">
        <v>115</v>
      </c>
      <c r="G3037" s="64" t="s">
        <v>64</v>
      </c>
      <c r="H3037" s="3" t="s">
        <v>175</v>
      </c>
      <c r="I3037" s="65">
        <f>IFERROR(VLOOKUP(A3037,'3. Call duration'!$A:$C,3,0),"--")</f>
        <v>24.2771673</v>
      </c>
      <c r="J3037" s="65" t="str">
        <f t="array" ref="J3037">XLOOKUP(H3037,'2. Matching'!$A$2:$A$39,'2. Matching'!$B$2:$B$39,"--")</f>
        <v>SEO</v>
      </c>
      <c r="K3037" s="65" t="str">
        <f t="shared" si="1"/>
        <v>In</v>
      </c>
    </row>
    <row r="3038">
      <c r="A3038" s="62" t="s">
        <v>3176</v>
      </c>
      <c r="B3038" s="63">
        <v>44236.0</v>
      </c>
      <c r="C3038" s="62" t="s">
        <v>119</v>
      </c>
      <c r="D3038" s="64">
        <v>42.5</v>
      </c>
      <c r="E3038" s="62" t="s">
        <v>109</v>
      </c>
      <c r="F3038" s="62" t="s">
        <v>110</v>
      </c>
      <c r="G3038" s="64" t="s">
        <v>64</v>
      </c>
      <c r="H3038" s="3" t="s">
        <v>169</v>
      </c>
      <c r="I3038" s="65">
        <f>IFERROR(VLOOKUP(A3038,'3. Call duration'!$A:$C,3,0),"--")</f>
        <v>20.05028894</v>
      </c>
      <c r="J3038" s="65" t="str">
        <f t="array" ref="J3038">XLOOKUP(H3038,'2. Matching'!$A$2:$A$39,'2. Matching'!$B$2:$B$39,"--")</f>
        <v>SEO</v>
      </c>
      <c r="K3038" s="65" t="str">
        <f t="shared" si="1"/>
        <v>In</v>
      </c>
    </row>
    <row r="3039">
      <c r="A3039" s="62" t="s">
        <v>3177</v>
      </c>
      <c r="B3039" s="63">
        <v>44104.0</v>
      </c>
      <c r="C3039" s="62" t="s">
        <v>119</v>
      </c>
      <c r="D3039" s="64">
        <v>42.5</v>
      </c>
      <c r="E3039" s="62" t="s">
        <v>109</v>
      </c>
      <c r="F3039" s="62" t="s">
        <v>115</v>
      </c>
      <c r="G3039" s="64" t="s">
        <v>64</v>
      </c>
      <c r="H3039" s="3" t="s">
        <v>164</v>
      </c>
      <c r="I3039" s="65">
        <f>IFERROR(VLOOKUP(A3039,'3. Call duration'!$A:$C,3,0),"--")</f>
        <v>14.79464681</v>
      </c>
      <c r="J3039" s="65" t="str">
        <f t="array" ref="J3039">XLOOKUP(H3039,'2. Matching'!$A$2:$A$39,'2. Matching'!$B$2:$B$39,"--")</f>
        <v>SEO</v>
      </c>
      <c r="K3039" s="65" t="str">
        <f t="shared" si="1"/>
        <v>In</v>
      </c>
    </row>
    <row r="3040">
      <c r="A3040" s="62" t="s">
        <v>3178</v>
      </c>
      <c r="B3040" s="63">
        <v>44152.0</v>
      </c>
      <c r="C3040" s="62" t="s">
        <v>119</v>
      </c>
      <c r="D3040" s="64">
        <v>42.5</v>
      </c>
      <c r="E3040" s="62" t="s">
        <v>109</v>
      </c>
      <c r="F3040" s="62" t="s">
        <v>115</v>
      </c>
      <c r="G3040" s="64" t="s">
        <v>62</v>
      </c>
      <c r="H3040" s="3" t="s">
        <v>294</v>
      </c>
      <c r="I3040" s="65">
        <f>IFERROR(VLOOKUP(A3040,'3. Call duration'!$A:$C,3,0),"--")</f>
        <v>15.06945608</v>
      </c>
      <c r="J3040" s="65" t="str">
        <f t="array" ref="J3040">XLOOKUP(H3040,'2. Matching'!$A$2:$A$39,'2. Matching'!$B$2:$B$39,"--")</f>
        <v>Farming</v>
      </c>
      <c r="K3040" s="65" t="str">
        <f t="shared" si="1"/>
        <v>In</v>
      </c>
    </row>
    <row r="3041">
      <c r="A3041" s="62" t="s">
        <v>3179</v>
      </c>
      <c r="B3041" s="63">
        <v>44123.0</v>
      </c>
      <c r="C3041" s="62" t="s">
        <v>119</v>
      </c>
      <c r="D3041" s="64">
        <v>42.5</v>
      </c>
      <c r="E3041" s="62" t="s">
        <v>109</v>
      </c>
      <c r="F3041" s="62" t="s">
        <v>115</v>
      </c>
      <c r="G3041" s="64" t="s">
        <v>64</v>
      </c>
      <c r="H3041" s="3" t="s">
        <v>139</v>
      </c>
      <c r="I3041" s="65">
        <f>IFERROR(VLOOKUP(A3041,'3. Call duration'!$A:$C,3,0),"--")</f>
        <v>33.47136347</v>
      </c>
      <c r="J3041" s="65" t="str">
        <f t="array" ref="J3041">XLOOKUP(H3041,'2. Matching'!$A$2:$A$39,'2. Matching'!$B$2:$B$39,"--")</f>
        <v>Acquisition</v>
      </c>
      <c r="K3041" s="65" t="str">
        <f t="shared" si="1"/>
        <v>In</v>
      </c>
    </row>
    <row r="3042">
      <c r="A3042" s="62" t="s">
        <v>3180</v>
      </c>
      <c r="B3042" s="63">
        <v>44117.0</v>
      </c>
      <c r="C3042" s="62" t="s">
        <v>119</v>
      </c>
      <c r="D3042" s="64">
        <v>42.5</v>
      </c>
      <c r="E3042" s="62" t="s">
        <v>109</v>
      </c>
      <c r="F3042" s="62" t="s">
        <v>115</v>
      </c>
      <c r="G3042" s="64" t="s">
        <v>64</v>
      </c>
      <c r="H3042" s="3" t="s">
        <v>171</v>
      </c>
      <c r="I3042" s="65">
        <f>IFERROR(VLOOKUP(A3042,'3. Call duration'!$A:$C,3,0),"--")</f>
        <v>20.34364442</v>
      </c>
      <c r="J3042" s="65" t="str">
        <f t="array" ref="J3042">XLOOKUP(H3042,'2. Matching'!$A$2:$A$39,'2. Matching'!$B$2:$B$39,"--")</f>
        <v>SEO</v>
      </c>
      <c r="K3042" s="65" t="str">
        <f t="shared" si="1"/>
        <v>In</v>
      </c>
    </row>
    <row r="3043">
      <c r="A3043" s="62" t="s">
        <v>3181</v>
      </c>
      <c r="B3043" s="63">
        <v>44235.0</v>
      </c>
      <c r="C3043" s="62" t="s">
        <v>119</v>
      </c>
      <c r="D3043" s="64">
        <v>42.5</v>
      </c>
      <c r="E3043" s="62" t="s">
        <v>109</v>
      </c>
      <c r="F3043" s="62" t="s">
        <v>115</v>
      </c>
      <c r="G3043" s="64" t="s">
        <v>64</v>
      </c>
      <c r="H3043" s="3" t="s">
        <v>135</v>
      </c>
      <c r="I3043" s="65">
        <f>IFERROR(VLOOKUP(A3043,'3. Call duration'!$A:$C,3,0),"--")</f>
        <v>30.86079324</v>
      </c>
      <c r="J3043" s="65" t="str">
        <f t="array" ref="J3043">XLOOKUP(H3043,'2. Matching'!$A$2:$A$39,'2. Matching'!$B$2:$B$39,"--")</f>
        <v>Acquisition</v>
      </c>
      <c r="K3043" s="65" t="str">
        <f t="shared" si="1"/>
        <v>In</v>
      </c>
    </row>
    <row r="3044">
      <c r="A3044" s="62" t="s">
        <v>3182</v>
      </c>
      <c r="B3044" s="63">
        <v>44151.0</v>
      </c>
      <c r="C3044" s="62" t="s">
        <v>119</v>
      </c>
      <c r="D3044" s="64">
        <v>42.5</v>
      </c>
      <c r="E3044" s="62" t="s">
        <v>109</v>
      </c>
      <c r="F3044" s="62" t="s">
        <v>115</v>
      </c>
      <c r="G3044" s="64" t="s">
        <v>64</v>
      </c>
      <c r="H3044" s="3" t="s">
        <v>185</v>
      </c>
      <c r="I3044" s="65">
        <f>IFERROR(VLOOKUP(A3044,'3. Call duration'!$A:$C,3,0),"--")</f>
        <v>22.09269789</v>
      </c>
      <c r="J3044" s="65" t="str">
        <f t="array" ref="J3044">XLOOKUP(H3044,'2. Matching'!$A$2:$A$39,'2. Matching'!$B$2:$B$39,"--")</f>
        <v>SEO</v>
      </c>
      <c r="K3044" s="65" t="str">
        <f t="shared" si="1"/>
        <v>In</v>
      </c>
    </row>
    <row r="3045">
      <c r="A3045" s="62" t="s">
        <v>3183</v>
      </c>
      <c r="B3045" s="63">
        <v>44105.0</v>
      </c>
      <c r="C3045" s="62" t="s">
        <v>119</v>
      </c>
      <c r="D3045" s="64">
        <v>42.5</v>
      </c>
      <c r="E3045" s="62" t="s">
        <v>109</v>
      </c>
      <c r="F3045" s="62" t="s">
        <v>110</v>
      </c>
      <c r="G3045" s="64" t="s">
        <v>64</v>
      </c>
      <c r="H3045" s="3" t="s">
        <v>155</v>
      </c>
      <c r="I3045" s="65">
        <f>IFERROR(VLOOKUP(A3045,'3. Call duration'!$A:$C,3,0),"--")</f>
        <v>33.58147147</v>
      </c>
      <c r="J3045" s="65" t="str">
        <f t="array" ref="J3045">XLOOKUP(H3045,'2. Matching'!$A$2:$A$39,'2. Matching'!$B$2:$B$39,"--")</f>
        <v>SEO</v>
      </c>
      <c r="K3045" s="65" t="str">
        <f t="shared" si="1"/>
        <v>In</v>
      </c>
    </row>
    <row r="3046">
      <c r="A3046" s="62" t="s">
        <v>3184</v>
      </c>
      <c r="B3046" s="63">
        <v>44181.0</v>
      </c>
      <c r="C3046" s="62" t="s">
        <v>119</v>
      </c>
      <c r="D3046" s="64">
        <v>42.5</v>
      </c>
      <c r="E3046" s="62" t="s">
        <v>109</v>
      </c>
      <c r="F3046" s="62" t="s">
        <v>115</v>
      </c>
      <c r="G3046" s="64" t="s">
        <v>64</v>
      </c>
      <c r="H3046" s="3" t="s">
        <v>175</v>
      </c>
      <c r="I3046" s="65">
        <f>IFERROR(VLOOKUP(A3046,'3. Call duration'!$A:$C,3,0),"--")</f>
        <v>25.79196257</v>
      </c>
      <c r="J3046" s="65" t="str">
        <f t="array" ref="J3046">XLOOKUP(H3046,'2. Matching'!$A$2:$A$39,'2. Matching'!$B$2:$B$39,"--")</f>
        <v>SEO</v>
      </c>
      <c r="K3046" s="65" t="str">
        <f t="shared" si="1"/>
        <v>In</v>
      </c>
    </row>
    <row r="3047">
      <c r="A3047" s="62" t="s">
        <v>3185</v>
      </c>
      <c r="B3047" s="63">
        <v>44169.0</v>
      </c>
      <c r="C3047" s="62" t="s">
        <v>119</v>
      </c>
      <c r="D3047" s="64">
        <v>42.5</v>
      </c>
      <c r="E3047" s="62" t="s">
        <v>109</v>
      </c>
      <c r="F3047" s="62" t="s">
        <v>115</v>
      </c>
      <c r="G3047" s="64" t="s">
        <v>64</v>
      </c>
      <c r="H3047" s="3" t="s">
        <v>139</v>
      </c>
      <c r="I3047" s="65">
        <f>IFERROR(VLOOKUP(A3047,'3. Call duration'!$A:$C,3,0),"--")</f>
        <v>21.47709354</v>
      </c>
      <c r="J3047" s="65" t="str">
        <f t="array" ref="J3047">XLOOKUP(H3047,'2. Matching'!$A$2:$A$39,'2. Matching'!$B$2:$B$39,"--")</f>
        <v>Acquisition</v>
      </c>
      <c r="K3047" s="65" t="str">
        <f t="shared" si="1"/>
        <v>In</v>
      </c>
    </row>
    <row r="3048">
      <c r="A3048" s="62" t="s">
        <v>3186</v>
      </c>
      <c r="B3048" s="63">
        <v>44228.0</v>
      </c>
      <c r="C3048" s="62" t="s">
        <v>119</v>
      </c>
      <c r="D3048" s="64">
        <v>42.5</v>
      </c>
      <c r="E3048" s="62" t="s">
        <v>109</v>
      </c>
      <c r="F3048" s="62" t="s">
        <v>110</v>
      </c>
      <c r="G3048" s="64" t="s">
        <v>64</v>
      </c>
      <c r="H3048" s="3" t="s">
        <v>131</v>
      </c>
      <c r="I3048" s="65">
        <f>IFERROR(VLOOKUP(A3048,'3. Call duration'!$A:$C,3,0),"--")</f>
        <v>14.34432407</v>
      </c>
      <c r="J3048" s="65" t="str">
        <f t="array" ref="J3048">XLOOKUP(H3048,'2. Matching'!$A$2:$A$39,'2. Matching'!$B$2:$B$39,"--")</f>
        <v>Acquisition</v>
      </c>
      <c r="K3048" s="65" t="str">
        <f t="shared" si="1"/>
        <v>In</v>
      </c>
    </row>
    <row r="3049">
      <c r="A3049" s="62" t="s">
        <v>3187</v>
      </c>
      <c r="B3049" s="63">
        <v>44151.0</v>
      </c>
      <c r="C3049" s="62" t="s">
        <v>119</v>
      </c>
      <c r="D3049" s="64">
        <v>42.5</v>
      </c>
      <c r="E3049" s="62" t="s">
        <v>109</v>
      </c>
      <c r="F3049" s="62" t="s">
        <v>115</v>
      </c>
      <c r="G3049" s="64" t="s">
        <v>64</v>
      </c>
      <c r="H3049" s="3" t="s">
        <v>139</v>
      </c>
      <c r="I3049" s="65">
        <f>IFERROR(VLOOKUP(A3049,'3. Call duration'!$A:$C,3,0),"--")</f>
        <v>26.89698076</v>
      </c>
      <c r="J3049" s="65" t="str">
        <f t="array" ref="J3049">XLOOKUP(H3049,'2. Matching'!$A$2:$A$39,'2. Matching'!$B$2:$B$39,"--")</f>
        <v>Acquisition</v>
      </c>
      <c r="K3049" s="65" t="str">
        <f t="shared" si="1"/>
        <v>In</v>
      </c>
    </row>
    <row r="3050">
      <c r="A3050" s="62" t="s">
        <v>3188</v>
      </c>
      <c r="B3050" s="63">
        <v>44232.0</v>
      </c>
      <c r="C3050" s="62" t="s">
        <v>119</v>
      </c>
      <c r="D3050" s="64">
        <v>42.5</v>
      </c>
      <c r="E3050" s="62" t="s">
        <v>109</v>
      </c>
      <c r="F3050" s="62" t="s">
        <v>110</v>
      </c>
      <c r="G3050" s="64" t="s">
        <v>64</v>
      </c>
      <c r="H3050" s="3" t="s">
        <v>145</v>
      </c>
      <c r="I3050" s="65">
        <f>IFERROR(VLOOKUP(A3050,'3. Call duration'!$A:$C,3,0),"--")</f>
        <v>25.54389207</v>
      </c>
      <c r="J3050" s="65" t="str">
        <f t="array" ref="J3050">XLOOKUP(H3050,'2. Matching'!$A$2:$A$39,'2. Matching'!$B$2:$B$39,"--")</f>
        <v>SEO</v>
      </c>
      <c r="K3050" s="65" t="str">
        <f t="shared" si="1"/>
        <v>In</v>
      </c>
    </row>
    <row r="3051">
      <c r="A3051" s="62" t="s">
        <v>3189</v>
      </c>
      <c r="B3051" s="63">
        <v>44194.0</v>
      </c>
      <c r="C3051" s="62" t="s">
        <v>119</v>
      </c>
      <c r="D3051" s="64">
        <v>42.5</v>
      </c>
      <c r="E3051" s="62" t="s">
        <v>109</v>
      </c>
      <c r="F3051" s="62" t="s">
        <v>115</v>
      </c>
      <c r="G3051" s="64" t="s">
        <v>64</v>
      </c>
      <c r="H3051" s="3" t="s">
        <v>131</v>
      </c>
      <c r="I3051" s="65">
        <f>IFERROR(VLOOKUP(A3051,'3. Call duration'!$A:$C,3,0),"--")</f>
        <v>28.33184173</v>
      </c>
      <c r="J3051" s="65" t="str">
        <f t="array" ref="J3051">XLOOKUP(H3051,'2. Matching'!$A$2:$A$39,'2. Matching'!$B$2:$B$39,"--")</f>
        <v>Acquisition</v>
      </c>
      <c r="K3051" s="65" t="str">
        <f t="shared" si="1"/>
        <v>In</v>
      </c>
    </row>
    <row r="3052">
      <c r="A3052" s="62" t="s">
        <v>3190</v>
      </c>
      <c r="B3052" s="63">
        <v>44130.0</v>
      </c>
      <c r="C3052" s="62" t="s">
        <v>119</v>
      </c>
      <c r="D3052" s="64">
        <v>42.5</v>
      </c>
      <c r="E3052" s="62" t="s">
        <v>109</v>
      </c>
      <c r="F3052" s="62" t="s">
        <v>110</v>
      </c>
      <c r="G3052" s="64" t="s">
        <v>64</v>
      </c>
      <c r="H3052" s="3" t="s">
        <v>175</v>
      </c>
      <c r="I3052" s="65">
        <f>IFERROR(VLOOKUP(A3052,'3. Call duration'!$A:$C,3,0),"--")</f>
        <v>31.24491522</v>
      </c>
      <c r="J3052" s="65" t="str">
        <f t="array" ref="J3052">XLOOKUP(H3052,'2. Matching'!$A$2:$A$39,'2. Matching'!$B$2:$B$39,"--")</f>
        <v>SEO</v>
      </c>
      <c r="K3052" s="65" t="str">
        <f t="shared" si="1"/>
        <v>In</v>
      </c>
    </row>
    <row r="3053">
      <c r="A3053" s="62" t="s">
        <v>3191</v>
      </c>
      <c r="B3053" s="63">
        <v>44076.0</v>
      </c>
      <c r="C3053" s="62" t="s">
        <v>119</v>
      </c>
      <c r="D3053" s="64">
        <v>42.5</v>
      </c>
      <c r="E3053" s="62" t="s">
        <v>109</v>
      </c>
      <c r="F3053" s="62" t="s">
        <v>115</v>
      </c>
      <c r="G3053" s="64" t="s">
        <v>64</v>
      </c>
      <c r="H3053" s="3" t="s">
        <v>139</v>
      </c>
      <c r="I3053" s="65">
        <f>IFERROR(VLOOKUP(A3053,'3. Call duration'!$A:$C,3,0),"--")</f>
        <v>11.1560424</v>
      </c>
      <c r="J3053" s="65" t="str">
        <f t="array" ref="J3053">XLOOKUP(H3053,'2. Matching'!$A$2:$A$39,'2. Matching'!$B$2:$B$39,"--")</f>
        <v>Acquisition</v>
      </c>
      <c r="K3053" s="65" t="str">
        <f t="shared" si="1"/>
        <v>In</v>
      </c>
    </row>
    <row r="3054">
      <c r="A3054" s="62" t="s">
        <v>3192</v>
      </c>
      <c r="B3054" s="63">
        <v>44182.0</v>
      </c>
      <c r="C3054" s="62" t="s">
        <v>119</v>
      </c>
      <c r="D3054" s="64">
        <v>42.5</v>
      </c>
      <c r="E3054" s="62" t="s">
        <v>109</v>
      </c>
      <c r="F3054" s="62" t="s">
        <v>115</v>
      </c>
      <c r="G3054" s="64" t="s">
        <v>62</v>
      </c>
      <c r="H3054" s="3" t="s">
        <v>294</v>
      </c>
      <c r="I3054" s="65">
        <f>IFERROR(VLOOKUP(A3054,'3. Call duration'!$A:$C,3,0),"--")</f>
        <v>24.43955814</v>
      </c>
      <c r="J3054" s="65" t="str">
        <f t="array" ref="J3054">XLOOKUP(H3054,'2. Matching'!$A$2:$A$39,'2. Matching'!$B$2:$B$39,"--")</f>
        <v>Farming</v>
      </c>
      <c r="K3054" s="65" t="str">
        <f t="shared" si="1"/>
        <v>In</v>
      </c>
    </row>
    <row r="3055">
      <c r="A3055" s="62" t="s">
        <v>3193</v>
      </c>
      <c r="B3055" s="63">
        <v>44223.0</v>
      </c>
      <c r="C3055" s="62" t="s">
        <v>119</v>
      </c>
      <c r="D3055" s="64">
        <v>42.5</v>
      </c>
      <c r="E3055" s="62" t="s">
        <v>109</v>
      </c>
      <c r="F3055" s="62" t="s">
        <v>115</v>
      </c>
      <c r="G3055" s="64" t="s">
        <v>64</v>
      </c>
      <c r="H3055" s="3" t="s">
        <v>150</v>
      </c>
      <c r="I3055" s="65">
        <f>IFERROR(VLOOKUP(A3055,'3. Call duration'!$A:$C,3,0),"--")</f>
        <v>30.2865472</v>
      </c>
      <c r="J3055" s="65" t="str">
        <f t="array" ref="J3055">XLOOKUP(H3055,'2. Matching'!$A$2:$A$39,'2. Matching'!$B$2:$B$39,"--")</f>
        <v>SEO</v>
      </c>
      <c r="K3055" s="65" t="str">
        <f t="shared" si="1"/>
        <v>In</v>
      </c>
    </row>
    <row r="3056">
      <c r="A3056" s="62" t="s">
        <v>3194</v>
      </c>
      <c r="B3056" s="63">
        <v>44211.0</v>
      </c>
      <c r="C3056" s="62" t="s">
        <v>119</v>
      </c>
      <c r="D3056" s="64">
        <v>42.5</v>
      </c>
      <c r="E3056" s="62" t="s">
        <v>109</v>
      </c>
      <c r="F3056" s="62" t="s">
        <v>110</v>
      </c>
      <c r="G3056" s="64" t="s">
        <v>64</v>
      </c>
      <c r="H3056" s="3" t="s">
        <v>131</v>
      </c>
      <c r="I3056" s="65">
        <f>IFERROR(VLOOKUP(A3056,'3. Call duration'!$A:$C,3,0),"--")</f>
        <v>10.01509802</v>
      </c>
      <c r="J3056" s="65" t="str">
        <f t="array" ref="J3056">XLOOKUP(H3056,'2. Matching'!$A$2:$A$39,'2. Matching'!$B$2:$B$39,"--")</f>
        <v>Acquisition</v>
      </c>
      <c r="K3056" s="65" t="str">
        <f t="shared" si="1"/>
        <v>In</v>
      </c>
    </row>
    <row r="3057">
      <c r="A3057" s="62" t="s">
        <v>3195</v>
      </c>
      <c r="B3057" s="63">
        <v>44174.0</v>
      </c>
      <c r="C3057" s="62" t="s">
        <v>119</v>
      </c>
      <c r="D3057" s="64">
        <v>42.5</v>
      </c>
      <c r="E3057" s="62" t="s">
        <v>109</v>
      </c>
      <c r="F3057" s="62" t="s">
        <v>115</v>
      </c>
      <c r="G3057" s="64" t="s">
        <v>64</v>
      </c>
      <c r="H3057" s="3" t="s">
        <v>139</v>
      </c>
      <c r="I3057" s="65">
        <f>IFERROR(VLOOKUP(A3057,'3. Call duration'!$A:$C,3,0),"--")</f>
        <v>32.03724469</v>
      </c>
      <c r="J3057" s="65" t="str">
        <f t="array" ref="J3057">XLOOKUP(H3057,'2. Matching'!$A$2:$A$39,'2. Matching'!$B$2:$B$39,"--")</f>
        <v>Acquisition</v>
      </c>
      <c r="K3057" s="65" t="str">
        <f t="shared" si="1"/>
        <v>In</v>
      </c>
    </row>
    <row r="3058">
      <c r="A3058" s="62" t="s">
        <v>3196</v>
      </c>
      <c r="B3058" s="63">
        <v>44088.0</v>
      </c>
      <c r="C3058" s="62" t="s">
        <v>119</v>
      </c>
      <c r="D3058" s="64">
        <v>42.5</v>
      </c>
      <c r="E3058" s="62" t="s">
        <v>109</v>
      </c>
      <c r="F3058" s="62" t="s">
        <v>115</v>
      </c>
      <c r="G3058" s="64" t="s">
        <v>64</v>
      </c>
      <c r="H3058" s="3" t="s">
        <v>139</v>
      </c>
      <c r="I3058" s="65">
        <f>IFERROR(VLOOKUP(A3058,'3. Call duration'!$A:$C,3,0),"--")</f>
        <v>29.15252176</v>
      </c>
      <c r="J3058" s="65" t="str">
        <f t="array" ref="J3058">XLOOKUP(H3058,'2. Matching'!$A$2:$A$39,'2. Matching'!$B$2:$B$39,"--")</f>
        <v>Acquisition</v>
      </c>
      <c r="K3058" s="65" t="str">
        <f t="shared" si="1"/>
        <v>In</v>
      </c>
    </row>
    <row r="3059">
      <c r="A3059" s="62" t="s">
        <v>3197</v>
      </c>
      <c r="B3059" s="63">
        <v>44178.0</v>
      </c>
      <c r="C3059" s="62" t="s">
        <v>119</v>
      </c>
      <c r="D3059" s="64">
        <v>42.5</v>
      </c>
      <c r="E3059" s="62" t="s">
        <v>109</v>
      </c>
      <c r="F3059" s="62" t="s">
        <v>115</v>
      </c>
      <c r="G3059" s="64" t="s">
        <v>64</v>
      </c>
      <c r="H3059" s="3" t="s">
        <v>139</v>
      </c>
      <c r="I3059" s="65">
        <f>IFERROR(VLOOKUP(A3059,'3. Call duration'!$A:$C,3,0),"--")</f>
        <v>29.82058207</v>
      </c>
      <c r="J3059" s="65" t="str">
        <f t="array" ref="J3059">XLOOKUP(H3059,'2. Matching'!$A$2:$A$39,'2. Matching'!$B$2:$B$39,"--")</f>
        <v>Acquisition</v>
      </c>
      <c r="K3059" s="65" t="str">
        <f t="shared" si="1"/>
        <v>In</v>
      </c>
    </row>
    <row r="3060">
      <c r="A3060" s="62" t="s">
        <v>3198</v>
      </c>
      <c r="B3060" s="63">
        <v>44237.0</v>
      </c>
      <c r="C3060" s="62" t="s">
        <v>119</v>
      </c>
      <c r="D3060" s="64">
        <v>42.5</v>
      </c>
      <c r="E3060" s="62" t="s">
        <v>109</v>
      </c>
      <c r="F3060" s="62" t="s">
        <v>115</v>
      </c>
      <c r="G3060" s="64" t="s">
        <v>64</v>
      </c>
      <c r="H3060" s="3" t="s">
        <v>139</v>
      </c>
      <c r="I3060" s="65">
        <f>IFERROR(VLOOKUP(A3060,'3. Call duration'!$A:$C,3,0),"--")</f>
        <v>24.08244012</v>
      </c>
      <c r="J3060" s="65" t="str">
        <f t="array" ref="J3060">XLOOKUP(H3060,'2. Matching'!$A$2:$A$39,'2. Matching'!$B$2:$B$39,"--")</f>
        <v>Acquisition</v>
      </c>
      <c r="K3060" s="65" t="str">
        <f t="shared" si="1"/>
        <v>In</v>
      </c>
    </row>
    <row r="3061">
      <c r="A3061" s="62" t="s">
        <v>3199</v>
      </c>
      <c r="B3061" s="63">
        <v>44235.0</v>
      </c>
      <c r="C3061" s="62" t="s">
        <v>119</v>
      </c>
      <c r="D3061" s="64">
        <v>42.5</v>
      </c>
      <c r="E3061" s="62" t="s">
        <v>109</v>
      </c>
      <c r="F3061" s="62" t="s">
        <v>115</v>
      </c>
      <c r="G3061" s="64" t="s">
        <v>64</v>
      </c>
      <c r="H3061" s="3" t="s">
        <v>169</v>
      </c>
      <c r="I3061" s="65">
        <f>IFERROR(VLOOKUP(A3061,'3. Call duration'!$A:$C,3,0),"--")</f>
        <v>16.37716927</v>
      </c>
      <c r="J3061" s="65" t="str">
        <f t="array" ref="J3061">XLOOKUP(H3061,'2. Matching'!$A$2:$A$39,'2. Matching'!$B$2:$B$39,"--")</f>
        <v>SEO</v>
      </c>
      <c r="K3061" s="65" t="str">
        <f t="shared" si="1"/>
        <v>In</v>
      </c>
    </row>
    <row r="3062">
      <c r="A3062" s="62" t="s">
        <v>3200</v>
      </c>
      <c r="B3062" s="63">
        <v>44214.0</v>
      </c>
      <c r="C3062" s="62" t="s">
        <v>119</v>
      </c>
      <c r="D3062" s="64">
        <v>42.5</v>
      </c>
      <c r="E3062" s="62" t="s">
        <v>109</v>
      </c>
      <c r="F3062" s="62" t="s">
        <v>110</v>
      </c>
      <c r="G3062" s="64" t="s">
        <v>64</v>
      </c>
      <c r="H3062" s="3" t="s">
        <v>155</v>
      </c>
      <c r="I3062" s="65">
        <f>IFERROR(VLOOKUP(A3062,'3. Call duration'!$A:$C,3,0),"--")</f>
        <v>48.3599385</v>
      </c>
      <c r="J3062" s="65" t="str">
        <f t="array" ref="J3062">XLOOKUP(H3062,'2. Matching'!$A$2:$A$39,'2. Matching'!$B$2:$B$39,"--")</f>
        <v>SEO</v>
      </c>
      <c r="K3062" s="65" t="str">
        <f t="shared" si="1"/>
        <v>In</v>
      </c>
    </row>
    <row r="3063">
      <c r="A3063" s="62" t="s">
        <v>3201</v>
      </c>
      <c r="B3063" s="63">
        <v>44119.0</v>
      </c>
      <c r="C3063" s="62" t="s">
        <v>119</v>
      </c>
      <c r="D3063" s="64">
        <v>42.5</v>
      </c>
      <c r="E3063" s="62" t="s">
        <v>109</v>
      </c>
      <c r="F3063" s="62" t="s">
        <v>115</v>
      </c>
      <c r="G3063" s="64" t="s">
        <v>64</v>
      </c>
      <c r="H3063" s="3" t="s">
        <v>164</v>
      </c>
      <c r="I3063" s="65">
        <f>IFERROR(VLOOKUP(A3063,'3. Call duration'!$A:$C,3,0),"--")</f>
        <v>20.38895653</v>
      </c>
      <c r="J3063" s="65" t="str">
        <f t="array" ref="J3063">XLOOKUP(H3063,'2. Matching'!$A$2:$A$39,'2. Matching'!$B$2:$B$39,"--")</f>
        <v>SEO</v>
      </c>
      <c r="K3063" s="65" t="str">
        <f t="shared" si="1"/>
        <v>In</v>
      </c>
    </row>
    <row r="3064">
      <c r="A3064" s="62" t="s">
        <v>3202</v>
      </c>
      <c r="B3064" s="63">
        <v>44208.0</v>
      </c>
      <c r="C3064" s="62" t="s">
        <v>119</v>
      </c>
      <c r="D3064" s="64">
        <v>42.5</v>
      </c>
      <c r="E3064" s="62" t="s">
        <v>109</v>
      </c>
      <c r="F3064" s="62" t="s">
        <v>115</v>
      </c>
      <c r="G3064" s="64" t="s">
        <v>64</v>
      </c>
      <c r="H3064" s="3" t="s">
        <v>175</v>
      </c>
      <c r="I3064" s="65">
        <f>IFERROR(VLOOKUP(A3064,'3. Call duration'!$A:$C,3,0),"--")</f>
        <v>16.66712539</v>
      </c>
      <c r="J3064" s="65" t="str">
        <f t="array" ref="J3064">XLOOKUP(H3064,'2. Matching'!$A$2:$A$39,'2. Matching'!$B$2:$B$39,"--")</f>
        <v>SEO</v>
      </c>
      <c r="K3064" s="65" t="str">
        <f t="shared" si="1"/>
        <v>In</v>
      </c>
    </row>
    <row r="3065">
      <c r="A3065" s="62" t="s">
        <v>3203</v>
      </c>
      <c r="B3065" s="63">
        <v>44158.0</v>
      </c>
      <c r="C3065" s="62" t="s">
        <v>119</v>
      </c>
      <c r="D3065" s="64">
        <v>42.5</v>
      </c>
      <c r="E3065" s="62" t="s">
        <v>109</v>
      </c>
      <c r="F3065" s="62" t="s">
        <v>115</v>
      </c>
      <c r="G3065" s="64" t="s">
        <v>64</v>
      </c>
      <c r="H3065" s="3" t="s">
        <v>139</v>
      </c>
      <c r="I3065" s="65">
        <f>IFERROR(VLOOKUP(A3065,'3. Call duration'!$A:$C,3,0),"--")</f>
        <v>26.1860388</v>
      </c>
      <c r="J3065" s="65" t="str">
        <f t="array" ref="J3065">XLOOKUP(H3065,'2. Matching'!$A$2:$A$39,'2. Matching'!$B$2:$B$39,"--")</f>
        <v>Acquisition</v>
      </c>
      <c r="K3065" s="65" t="str">
        <f t="shared" si="1"/>
        <v>In</v>
      </c>
    </row>
    <row r="3066">
      <c r="A3066" s="62" t="s">
        <v>3204</v>
      </c>
      <c r="B3066" s="63">
        <v>44077.0</v>
      </c>
      <c r="C3066" s="62" t="s">
        <v>119</v>
      </c>
      <c r="D3066" s="64">
        <v>42.5</v>
      </c>
      <c r="E3066" s="62" t="s">
        <v>109</v>
      </c>
      <c r="F3066" s="62" t="s">
        <v>115</v>
      </c>
      <c r="G3066" s="64" t="s">
        <v>64</v>
      </c>
      <c r="H3066" s="3" t="s">
        <v>150</v>
      </c>
      <c r="I3066" s="65">
        <f>IFERROR(VLOOKUP(A3066,'3. Call duration'!$A:$C,3,0),"--")</f>
        <v>30.53373721</v>
      </c>
      <c r="J3066" s="65" t="str">
        <f t="array" ref="J3066">XLOOKUP(H3066,'2. Matching'!$A$2:$A$39,'2. Matching'!$B$2:$B$39,"--")</f>
        <v>SEO</v>
      </c>
      <c r="K3066" s="65" t="str">
        <f t="shared" si="1"/>
        <v>In</v>
      </c>
    </row>
    <row r="3067">
      <c r="A3067" s="62" t="s">
        <v>3205</v>
      </c>
      <c r="B3067" s="63">
        <v>44143.0</v>
      </c>
      <c r="C3067" s="62" t="s">
        <v>119</v>
      </c>
      <c r="D3067" s="64">
        <v>42.5</v>
      </c>
      <c r="E3067" s="62" t="s">
        <v>109</v>
      </c>
      <c r="F3067" s="62" t="s">
        <v>115</v>
      </c>
      <c r="G3067" s="64" t="s">
        <v>64</v>
      </c>
      <c r="H3067" s="3" t="s">
        <v>139</v>
      </c>
      <c r="I3067" s="65">
        <f>IFERROR(VLOOKUP(A3067,'3. Call duration'!$A:$C,3,0),"--")</f>
        <v>32.64513922</v>
      </c>
      <c r="J3067" s="65" t="str">
        <f t="array" ref="J3067">XLOOKUP(H3067,'2. Matching'!$A$2:$A$39,'2. Matching'!$B$2:$B$39,"--")</f>
        <v>Acquisition</v>
      </c>
      <c r="K3067" s="65" t="str">
        <f t="shared" si="1"/>
        <v>In</v>
      </c>
    </row>
    <row r="3068">
      <c r="A3068" s="62" t="s">
        <v>3206</v>
      </c>
      <c r="B3068" s="63">
        <v>44166.0</v>
      </c>
      <c r="C3068" s="62" t="s">
        <v>119</v>
      </c>
      <c r="D3068" s="64">
        <v>42.5</v>
      </c>
      <c r="E3068" s="62" t="s">
        <v>109</v>
      </c>
      <c r="F3068" s="62" t="s">
        <v>115</v>
      </c>
      <c r="G3068" s="64" t="s">
        <v>64</v>
      </c>
      <c r="H3068" s="3" t="s">
        <v>175</v>
      </c>
      <c r="I3068" s="65">
        <f>IFERROR(VLOOKUP(A3068,'3. Call duration'!$A:$C,3,0),"--")</f>
        <v>23.30728524</v>
      </c>
      <c r="J3068" s="65" t="str">
        <f t="array" ref="J3068">XLOOKUP(H3068,'2. Matching'!$A$2:$A$39,'2. Matching'!$B$2:$B$39,"--")</f>
        <v>SEO</v>
      </c>
      <c r="K3068" s="65" t="str">
        <f t="shared" si="1"/>
        <v>In</v>
      </c>
    </row>
    <row r="3069">
      <c r="A3069" s="62" t="s">
        <v>3207</v>
      </c>
      <c r="B3069" s="63">
        <v>44223.0</v>
      </c>
      <c r="C3069" s="62" t="s">
        <v>119</v>
      </c>
      <c r="D3069" s="64">
        <v>42.5</v>
      </c>
      <c r="E3069" s="62" t="s">
        <v>109</v>
      </c>
      <c r="F3069" s="62" t="s">
        <v>110</v>
      </c>
      <c r="G3069" s="64" t="s">
        <v>64</v>
      </c>
      <c r="H3069" s="3" t="s">
        <v>175</v>
      </c>
      <c r="I3069" s="65">
        <f>IFERROR(VLOOKUP(A3069,'3. Call duration'!$A:$C,3,0),"--")</f>
        <v>20.74759287</v>
      </c>
      <c r="J3069" s="65" t="str">
        <f t="array" ref="J3069">XLOOKUP(H3069,'2. Matching'!$A$2:$A$39,'2. Matching'!$B$2:$B$39,"--")</f>
        <v>SEO</v>
      </c>
      <c r="K3069" s="65" t="str">
        <f t="shared" si="1"/>
        <v>In</v>
      </c>
    </row>
    <row r="3070">
      <c r="A3070" s="62" t="s">
        <v>3208</v>
      </c>
      <c r="B3070" s="63">
        <v>44165.0</v>
      </c>
      <c r="C3070" s="62" t="s">
        <v>119</v>
      </c>
      <c r="D3070" s="64">
        <v>42.5</v>
      </c>
      <c r="E3070" s="62" t="s">
        <v>109</v>
      </c>
      <c r="F3070" s="62" t="s">
        <v>115</v>
      </c>
      <c r="G3070" s="64" t="s">
        <v>64</v>
      </c>
      <c r="H3070" s="3" t="s">
        <v>169</v>
      </c>
      <c r="I3070" s="65">
        <f>IFERROR(VLOOKUP(A3070,'3. Call duration'!$A:$C,3,0),"--")</f>
        <v>30.51791543</v>
      </c>
      <c r="J3070" s="65" t="str">
        <f t="array" ref="J3070">XLOOKUP(H3070,'2. Matching'!$A$2:$A$39,'2. Matching'!$B$2:$B$39,"--")</f>
        <v>SEO</v>
      </c>
      <c r="K3070" s="65" t="str">
        <f t="shared" si="1"/>
        <v>In</v>
      </c>
    </row>
    <row r="3071">
      <c r="A3071" s="62" t="s">
        <v>3209</v>
      </c>
      <c r="B3071" s="63">
        <v>44230.0</v>
      </c>
      <c r="C3071" s="62" t="s">
        <v>119</v>
      </c>
      <c r="D3071" s="64">
        <v>42.5</v>
      </c>
      <c r="E3071" s="62" t="s">
        <v>109</v>
      </c>
      <c r="F3071" s="62" t="s">
        <v>110</v>
      </c>
      <c r="G3071" s="64" t="s">
        <v>64</v>
      </c>
      <c r="H3071" s="3" t="s">
        <v>49</v>
      </c>
      <c r="I3071" s="65">
        <f>IFERROR(VLOOKUP(A3071,'3. Call duration'!$A:$C,3,0),"--")</f>
        <v>16.92598224</v>
      </c>
      <c r="J3071" s="65" t="str">
        <f t="array" ref="J3071">XLOOKUP(H3071,'2. Matching'!$A$2:$A$39,'2. Matching'!$B$2:$B$39,"--")</f>
        <v>Partnerships</v>
      </c>
      <c r="K3071" s="65" t="str">
        <f t="shared" si="1"/>
        <v>In</v>
      </c>
    </row>
    <row r="3072">
      <c r="A3072" s="62" t="s">
        <v>3210</v>
      </c>
      <c r="B3072" s="63">
        <v>44231.0</v>
      </c>
      <c r="C3072" s="62" t="s">
        <v>119</v>
      </c>
      <c r="D3072" s="64">
        <v>42.5</v>
      </c>
      <c r="E3072" s="62" t="s">
        <v>109</v>
      </c>
      <c r="F3072" s="62" t="s">
        <v>115</v>
      </c>
      <c r="G3072" s="64" t="s">
        <v>62</v>
      </c>
      <c r="H3072" s="3" t="s">
        <v>50</v>
      </c>
      <c r="I3072" s="65">
        <f>IFERROR(VLOOKUP(A3072,'3. Call duration'!$A:$C,3,0),"--")</f>
        <v>10.27741472</v>
      </c>
      <c r="J3072" s="65" t="str">
        <f t="array" ref="J3072">XLOOKUP(H3072,'2. Matching'!$A$2:$A$39,'2. Matching'!$B$2:$B$39,"--")</f>
        <v>Partnerships</v>
      </c>
      <c r="K3072" s="65" t="str">
        <f t="shared" si="1"/>
        <v>In</v>
      </c>
    </row>
    <row r="3073">
      <c r="A3073" s="62" t="s">
        <v>3211</v>
      </c>
      <c r="B3073" s="63">
        <v>44161.0</v>
      </c>
      <c r="C3073" s="62" t="s">
        <v>119</v>
      </c>
      <c r="D3073" s="64">
        <v>42.5</v>
      </c>
      <c r="E3073" s="62" t="s">
        <v>109</v>
      </c>
      <c r="F3073" s="62" t="s">
        <v>110</v>
      </c>
      <c r="G3073" s="64" t="s">
        <v>64</v>
      </c>
      <c r="H3073" s="3" t="s">
        <v>139</v>
      </c>
      <c r="I3073" s="65">
        <f>IFERROR(VLOOKUP(A3073,'3. Call duration'!$A:$C,3,0),"--")</f>
        <v>31.42318176</v>
      </c>
      <c r="J3073" s="65" t="str">
        <f t="array" ref="J3073">XLOOKUP(H3073,'2. Matching'!$A$2:$A$39,'2. Matching'!$B$2:$B$39,"--")</f>
        <v>Acquisition</v>
      </c>
      <c r="K3073" s="65" t="str">
        <f t="shared" si="1"/>
        <v>In</v>
      </c>
    </row>
    <row r="3074">
      <c r="A3074" s="62" t="s">
        <v>3212</v>
      </c>
      <c r="B3074" s="63">
        <v>44221.0</v>
      </c>
      <c r="C3074" s="62" t="s">
        <v>119</v>
      </c>
      <c r="D3074" s="64">
        <v>42.5</v>
      </c>
      <c r="E3074" s="62" t="s">
        <v>109</v>
      </c>
      <c r="F3074" s="62" t="s">
        <v>115</v>
      </c>
      <c r="G3074" s="64" t="s">
        <v>64</v>
      </c>
      <c r="H3074" s="3" t="s">
        <v>131</v>
      </c>
      <c r="I3074" s="65">
        <f>IFERROR(VLOOKUP(A3074,'3. Call duration'!$A:$C,3,0),"--")</f>
        <v>22.90596534</v>
      </c>
      <c r="J3074" s="65" t="str">
        <f t="array" ref="J3074">XLOOKUP(H3074,'2. Matching'!$A$2:$A$39,'2. Matching'!$B$2:$B$39,"--")</f>
        <v>Acquisition</v>
      </c>
      <c r="K3074" s="65" t="str">
        <f t="shared" si="1"/>
        <v>In</v>
      </c>
    </row>
    <row r="3075">
      <c r="A3075" s="62" t="s">
        <v>3213</v>
      </c>
      <c r="B3075" s="63">
        <v>44201.0</v>
      </c>
      <c r="C3075" s="62" t="s">
        <v>119</v>
      </c>
      <c r="D3075" s="64">
        <v>42.5</v>
      </c>
      <c r="E3075" s="62" t="s">
        <v>109</v>
      </c>
      <c r="F3075" s="62" t="s">
        <v>115</v>
      </c>
      <c r="G3075" s="64" t="s">
        <v>62</v>
      </c>
      <c r="H3075" s="3" t="s">
        <v>203</v>
      </c>
      <c r="I3075" s="65">
        <f>IFERROR(VLOOKUP(A3075,'3. Call duration'!$A:$C,3,0),"--")</f>
        <v>20.2261512</v>
      </c>
      <c r="J3075" s="65" t="str">
        <f t="array" ref="J3075">XLOOKUP(H3075,'2. Matching'!$A$2:$A$39,'2. Matching'!$B$2:$B$39,"--")</f>
        <v>Farming</v>
      </c>
      <c r="K3075" s="65" t="str">
        <f t="shared" si="1"/>
        <v>In</v>
      </c>
    </row>
    <row r="3076">
      <c r="A3076" s="62" t="s">
        <v>3214</v>
      </c>
      <c r="B3076" s="63">
        <v>44173.0</v>
      </c>
      <c r="C3076" s="62" t="s">
        <v>119</v>
      </c>
      <c r="D3076" s="64">
        <v>42.5</v>
      </c>
      <c r="E3076" s="62" t="s">
        <v>109</v>
      </c>
      <c r="F3076" s="62" t="s">
        <v>115</v>
      </c>
      <c r="G3076" s="64" t="s">
        <v>64</v>
      </c>
      <c r="H3076" s="3" t="s">
        <v>175</v>
      </c>
      <c r="I3076" s="65">
        <f>IFERROR(VLOOKUP(A3076,'3. Call duration'!$A:$C,3,0),"--")</f>
        <v>26.76205294</v>
      </c>
      <c r="J3076" s="65" t="str">
        <f t="array" ref="J3076">XLOOKUP(H3076,'2. Matching'!$A$2:$A$39,'2. Matching'!$B$2:$B$39,"--")</f>
        <v>SEO</v>
      </c>
      <c r="K3076" s="65" t="str">
        <f t="shared" si="1"/>
        <v>In</v>
      </c>
    </row>
    <row r="3077">
      <c r="A3077" s="62" t="s">
        <v>3215</v>
      </c>
      <c r="B3077" s="63">
        <v>44233.0</v>
      </c>
      <c r="C3077" s="62" t="s">
        <v>119</v>
      </c>
      <c r="D3077" s="64">
        <v>42.5</v>
      </c>
      <c r="E3077" s="62" t="s">
        <v>109</v>
      </c>
      <c r="F3077" s="62" t="s">
        <v>110</v>
      </c>
      <c r="G3077" s="64" t="s">
        <v>64</v>
      </c>
      <c r="H3077" s="3" t="s">
        <v>139</v>
      </c>
      <c r="I3077" s="65">
        <f>IFERROR(VLOOKUP(A3077,'3. Call duration'!$A:$C,3,0),"--")</f>
        <v>32.43652267</v>
      </c>
      <c r="J3077" s="65" t="str">
        <f t="array" ref="J3077">XLOOKUP(H3077,'2. Matching'!$A$2:$A$39,'2. Matching'!$B$2:$B$39,"--")</f>
        <v>Acquisition</v>
      </c>
      <c r="K3077" s="65" t="str">
        <f t="shared" si="1"/>
        <v>In</v>
      </c>
    </row>
    <row r="3078">
      <c r="A3078" s="62" t="s">
        <v>3216</v>
      </c>
      <c r="B3078" s="63">
        <v>44193.0</v>
      </c>
      <c r="C3078" s="62" t="s">
        <v>119</v>
      </c>
      <c r="D3078" s="64">
        <v>42.5</v>
      </c>
      <c r="E3078" s="62" t="s">
        <v>109</v>
      </c>
      <c r="F3078" s="62" t="s">
        <v>110</v>
      </c>
      <c r="G3078" s="64" t="s">
        <v>64</v>
      </c>
      <c r="H3078" s="3" t="s">
        <v>139</v>
      </c>
      <c r="I3078" s="65">
        <f>IFERROR(VLOOKUP(A3078,'3. Call duration'!$A:$C,3,0),"--")</f>
        <v>31.34785835</v>
      </c>
      <c r="J3078" s="65" t="str">
        <f t="array" ref="J3078">XLOOKUP(H3078,'2. Matching'!$A$2:$A$39,'2. Matching'!$B$2:$B$39,"--")</f>
        <v>Acquisition</v>
      </c>
      <c r="K3078" s="65" t="str">
        <f t="shared" si="1"/>
        <v>In</v>
      </c>
    </row>
    <row r="3079">
      <c r="A3079" s="62" t="s">
        <v>3217</v>
      </c>
      <c r="B3079" s="63">
        <v>44147.0</v>
      </c>
      <c r="C3079" s="62" t="s">
        <v>119</v>
      </c>
      <c r="D3079" s="64">
        <v>42.5</v>
      </c>
      <c r="E3079" s="62" t="s">
        <v>109</v>
      </c>
      <c r="F3079" s="62" t="s">
        <v>115</v>
      </c>
      <c r="G3079" s="64" t="s">
        <v>64</v>
      </c>
      <c r="H3079" s="3" t="s">
        <v>139</v>
      </c>
      <c r="I3079" s="65">
        <f>IFERROR(VLOOKUP(A3079,'3. Call duration'!$A:$C,3,0),"--")</f>
        <v>29.47970079</v>
      </c>
      <c r="J3079" s="65" t="str">
        <f t="array" ref="J3079">XLOOKUP(H3079,'2. Matching'!$A$2:$A$39,'2. Matching'!$B$2:$B$39,"--")</f>
        <v>Acquisition</v>
      </c>
      <c r="K3079" s="65" t="str">
        <f t="shared" si="1"/>
        <v>In</v>
      </c>
    </row>
    <row r="3080">
      <c r="A3080" s="62" t="s">
        <v>3218</v>
      </c>
      <c r="B3080" s="63">
        <v>44096.0</v>
      </c>
      <c r="C3080" s="62" t="s">
        <v>119</v>
      </c>
      <c r="D3080" s="64">
        <v>42.5</v>
      </c>
      <c r="E3080" s="62" t="s">
        <v>109</v>
      </c>
      <c r="F3080" s="62" t="s">
        <v>115</v>
      </c>
      <c r="G3080" s="64" t="s">
        <v>64</v>
      </c>
      <c r="H3080" s="3" t="s">
        <v>145</v>
      </c>
      <c r="I3080" s="65">
        <f>IFERROR(VLOOKUP(A3080,'3. Call duration'!$A:$C,3,0),"--")</f>
        <v>47.16369438</v>
      </c>
      <c r="J3080" s="65" t="str">
        <f t="array" ref="J3080">XLOOKUP(H3080,'2. Matching'!$A$2:$A$39,'2. Matching'!$B$2:$B$39,"--")</f>
        <v>SEO</v>
      </c>
      <c r="K3080" s="65" t="str">
        <f t="shared" si="1"/>
        <v>In</v>
      </c>
    </row>
    <row r="3081">
      <c r="A3081" s="62" t="s">
        <v>3219</v>
      </c>
      <c r="B3081" s="63">
        <v>44210.0</v>
      </c>
      <c r="C3081" s="62" t="s">
        <v>119</v>
      </c>
      <c r="D3081" s="64">
        <v>42.5</v>
      </c>
      <c r="E3081" s="62" t="s">
        <v>109</v>
      </c>
      <c r="F3081" s="62" t="s">
        <v>115</v>
      </c>
      <c r="G3081" s="64" t="s">
        <v>64</v>
      </c>
      <c r="H3081" s="3" t="s">
        <v>131</v>
      </c>
      <c r="I3081" s="65">
        <f>IFERROR(VLOOKUP(A3081,'3. Call duration'!$A:$C,3,0),"--")</f>
        <v>32.76741323</v>
      </c>
      <c r="J3081" s="65" t="str">
        <f t="array" ref="J3081">XLOOKUP(H3081,'2. Matching'!$A$2:$A$39,'2. Matching'!$B$2:$B$39,"--")</f>
        <v>Acquisition</v>
      </c>
      <c r="K3081" s="65" t="str">
        <f t="shared" si="1"/>
        <v>In</v>
      </c>
    </row>
    <row r="3082">
      <c r="A3082" s="62" t="s">
        <v>3220</v>
      </c>
      <c r="B3082" s="63">
        <v>44228.0</v>
      </c>
      <c r="C3082" s="62" t="s">
        <v>119</v>
      </c>
      <c r="D3082" s="64">
        <v>42.5</v>
      </c>
      <c r="E3082" s="62" t="s">
        <v>109</v>
      </c>
      <c r="F3082" s="62" t="s">
        <v>115</v>
      </c>
      <c r="G3082" s="64" t="s">
        <v>64</v>
      </c>
      <c r="H3082" s="3" t="s">
        <v>169</v>
      </c>
      <c r="I3082" s="65">
        <f>IFERROR(VLOOKUP(A3082,'3. Call duration'!$A:$C,3,0),"--")</f>
        <v>10.57282524</v>
      </c>
      <c r="J3082" s="65" t="str">
        <f t="array" ref="J3082">XLOOKUP(H3082,'2. Matching'!$A$2:$A$39,'2. Matching'!$B$2:$B$39,"--")</f>
        <v>SEO</v>
      </c>
      <c r="K3082" s="65" t="str">
        <f t="shared" si="1"/>
        <v>In</v>
      </c>
    </row>
    <row r="3083">
      <c r="A3083" s="62" t="s">
        <v>3221</v>
      </c>
      <c r="B3083" s="63">
        <v>44145.0</v>
      </c>
      <c r="C3083" s="62" t="s">
        <v>119</v>
      </c>
      <c r="D3083" s="64">
        <v>42.5</v>
      </c>
      <c r="E3083" s="62" t="s">
        <v>109</v>
      </c>
      <c r="F3083" s="62" t="s">
        <v>115</v>
      </c>
      <c r="G3083" s="64" t="s">
        <v>64</v>
      </c>
      <c r="H3083" s="3" t="s">
        <v>139</v>
      </c>
      <c r="I3083" s="65" t="str">
        <f>IFERROR(VLOOKUP(A3083,'3. Call duration'!$A:$C,3,0),"--")</f>
        <v>--</v>
      </c>
      <c r="J3083" s="65" t="str">
        <f t="array" ref="J3083">XLOOKUP(H3083,'2. Matching'!$A$2:$A$39,'2. Matching'!$B$2:$B$39,"--")</f>
        <v>Acquisition</v>
      </c>
      <c r="K3083" s="65" t="str">
        <f t="shared" si="1"/>
        <v>In</v>
      </c>
    </row>
    <row r="3084">
      <c r="A3084" s="62" t="s">
        <v>3222</v>
      </c>
      <c r="B3084" s="63">
        <v>44145.0</v>
      </c>
      <c r="C3084" s="62" t="s">
        <v>119</v>
      </c>
      <c r="D3084" s="64">
        <v>42.5</v>
      </c>
      <c r="E3084" s="62" t="s">
        <v>109</v>
      </c>
      <c r="F3084" s="62" t="s">
        <v>115</v>
      </c>
      <c r="G3084" s="64" t="s">
        <v>64</v>
      </c>
      <c r="H3084" s="3" t="s">
        <v>175</v>
      </c>
      <c r="I3084" s="65">
        <f>IFERROR(VLOOKUP(A3084,'3. Call duration'!$A:$C,3,0),"--")</f>
        <v>32.13157075</v>
      </c>
      <c r="J3084" s="65" t="str">
        <f t="array" ref="J3084">XLOOKUP(H3084,'2. Matching'!$A$2:$A$39,'2. Matching'!$B$2:$B$39,"--")</f>
        <v>SEO</v>
      </c>
      <c r="K3084" s="65" t="str">
        <f t="shared" si="1"/>
        <v>In</v>
      </c>
    </row>
    <row r="3085">
      <c r="A3085" s="62" t="s">
        <v>3223</v>
      </c>
      <c r="B3085" s="63">
        <v>44152.0</v>
      </c>
      <c r="C3085" s="62" t="s">
        <v>119</v>
      </c>
      <c r="D3085" s="64">
        <v>42.5</v>
      </c>
      <c r="E3085" s="62" t="s">
        <v>109</v>
      </c>
      <c r="F3085" s="62" t="s">
        <v>115</v>
      </c>
      <c r="G3085" s="64" t="s">
        <v>64</v>
      </c>
      <c r="H3085" s="3" t="s">
        <v>131</v>
      </c>
      <c r="I3085" s="65">
        <f>IFERROR(VLOOKUP(A3085,'3. Call duration'!$A:$C,3,0),"--")</f>
        <v>16.40494654</v>
      </c>
      <c r="J3085" s="65" t="str">
        <f t="array" ref="J3085">XLOOKUP(H3085,'2. Matching'!$A$2:$A$39,'2. Matching'!$B$2:$B$39,"--")</f>
        <v>Acquisition</v>
      </c>
      <c r="K3085" s="65" t="str">
        <f t="shared" si="1"/>
        <v>In</v>
      </c>
    </row>
    <row r="3086">
      <c r="A3086" s="62" t="s">
        <v>3224</v>
      </c>
      <c r="B3086" s="63">
        <v>44112.0</v>
      </c>
      <c r="C3086" s="62" t="s">
        <v>119</v>
      </c>
      <c r="D3086" s="64">
        <v>42.5</v>
      </c>
      <c r="E3086" s="62" t="s">
        <v>109</v>
      </c>
      <c r="F3086" s="62" t="s">
        <v>115</v>
      </c>
      <c r="G3086" s="64" t="s">
        <v>64</v>
      </c>
      <c r="H3086" s="3" t="s">
        <v>116</v>
      </c>
      <c r="I3086" s="65">
        <f>IFERROR(VLOOKUP(A3086,'3. Call duration'!$A:$C,3,0),"--")</f>
        <v>21.32731303</v>
      </c>
      <c r="J3086" s="65" t="str">
        <f t="array" ref="J3086">XLOOKUP(H3086,'2. Matching'!$A$2:$A$39,'2. Matching'!$B$2:$B$39,"--")</f>
        <v>Acquisition</v>
      </c>
      <c r="K3086" s="65" t="str">
        <f t="shared" si="1"/>
        <v>In</v>
      </c>
    </row>
    <row r="3087">
      <c r="A3087" s="62" t="s">
        <v>3225</v>
      </c>
      <c r="B3087" s="63">
        <v>44091.0</v>
      </c>
      <c r="C3087" s="62" t="s">
        <v>119</v>
      </c>
      <c r="D3087" s="64">
        <v>42.5</v>
      </c>
      <c r="E3087" s="62" t="s">
        <v>109</v>
      </c>
      <c r="F3087" s="62" t="s">
        <v>115</v>
      </c>
      <c r="G3087" s="64" t="s">
        <v>64</v>
      </c>
      <c r="H3087" s="3" t="s">
        <v>131</v>
      </c>
      <c r="I3087" s="65">
        <f>IFERROR(VLOOKUP(A3087,'3. Call duration'!$A:$C,3,0),"--")</f>
        <v>26.17751484</v>
      </c>
      <c r="J3087" s="65" t="str">
        <f t="array" ref="J3087">XLOOKUP(H3087,'2. Matching'!$A$2:$A$39,'2. Matching'!$B$2:$B$39,"--")</f>
        <v>Acquisition</v>
      </c>
      <c r="K3087" s="65" t="str">
        <f t="shared" si="1"/>
        <v>In</v>
      </c>
    </row>
    <row r="3088">
      <c r="A3088" s="62" t="s">
        <v>3226</v>
      </c>
      <c r="B3088" s="63">
        <v>44162.0</v>
      </c>
      <c r="C3088" s="62" t="s">
        <v>119</v>
      </c>
      <c r="D3088" s="64">
        <v>42.5</v>
      </c>
      <c r="E3088" s="62" t="s">
        <v>109</v>
      </c>
      <c r="F3088" s="62" t="s">
        <v>115</v>
      </c>
      <c r="G3088" s="64" t="s">
        <v>64</v>
      </c>
      <c r="H3088" s="3" t="s">
        <v>135</v>
      </c>
      <c r="I3088" s="65">
        <f>IFERROR(VLOOKUP(A3088,'3. Call duration'!$A:$C,3,0),"--")</f>
        <v>29.01680984</v>
      </c>
      <c r="J3088" s="65" t="str">
        <f t="array" ref="J3088">XLOOKUP(H3088,'2. Matching'!$A$2:$A$39,'2. Matching'!$B$2:$B$39,"--")</f>
        <v>Acquisition</v>
      </c>
      <c r="K3088" s="65" t="str">
        <f t="shared" si="1"/>
        <v>In</v>
      </c>
    </row>
    <row r="3089">
      <c r="A3089" s="62" t="s">
        <v>3227</v>
      </c>
      <c r="B3089" s="63">
        <v>44158.0</v>
      </c>
      <c r="C3089" s="62" t="s">
        <v>119</v>
      </c>
      <c r="D3089" s="64">
        <v>42.5</v>
      </c>
      <c r="E3089" s="62" t="s">
        <v>109</v>
      </c>
      <c r="F3089" s="62" t="s">
        <v>115</v>
      </c>
      <c r="G3089" s="64" t="s">
        <v>64</v>
      </c>
      <c r="H3089" s="3" t="s">
        <v>139</v>
      </c>
      <c r="I3089" s="65">
        <f>IFERROR(VLOOKUP(A3089,'3. Call duration'!$A:$C,3,0),"--")</f>
        <v>46.52785827</v>
      </c>
      <c r="J3089" s="65" t="str">
        <f t="array" ref="J3089">XLOOKUP(H3089,'2. Matching'!$A$2:$A$39,'2. Matching'!$B$2:$B$39,"--")</f>
        <v>Acquisition</v>
      </c>
      <c r="K3089" s="65" t="str">
        <f t="shared" si="1"/>
        <v>In</v>
      </c>
    </row>
    <row r="3090">
      <c r="A3090" s="62" t="s">
        <v>3228</v>
      </c>
      <c r="B3090" s="63">
        <v>44088.0</v>
      </c>
      <c r="C3090" s="62" t="s">
        <v>119</v>
      </c>
      <c r="D3090" s="64">
        <v>42.5</v>
      </c>
      <c r="E3090" s="62" t="s">
        <v>109</v>
      </c>
      <c r="F3090" s="62" t="s">
        <v>115</v>
      </c>
      <c r="G3090" s="64" t="s">
        <v>64</v>
      </c>
      <c r="H3090" s="3" t="s">
        <v>150</v>
      </c>
      <c r="I3090" s="65">
        <f>IFERROR(VLOOKUP(A3090,'3. Call duration'!$A:$C,3,0),"--")</f>
        <v>30.88513137</v>
      </c>
      <c r="J3090" s="65" t="str">
        <f t="array" ref="J3090">XLOOKUP(H3090,'2. Matching'!$A$2:$A$39,'2. Matching'!$B$2:$B$39,"--")</f>
        <v>SEO</v>
      </c>
      <c r="K3090" s="65" t="str">
        <f t="shared" si="1"/>
        <v>In</v>
      </c>
    </row>
    <row r="3091">
      <c r="A3091" s="62" t="s">
        <v>3229</v>
      </c>
      <c r="B3091" s="63">
        <v>44082.0</v>
      </c>
      <c r="C3091" s="62" t="s">
        <v>119</v>
      </c>
      <c r="D3091" s="64">
        <v>42.5</v>
      </c>
      <c r="E3091" s="62" t="s">
        <v>109</v>
      </c>
      <c r="F3091" s="62" t="s">
        <v>115</v>
      </c>
      <c r="G3091" s="64" t="s">
        <v>64</v>
      </c>
      <c r="H3091" s="3" t="s">
        <v>139</v>
      </c>
      <c r="I3091" s="65">
        <f>IFERROR(VLOOKUP(A3091,'3. Call duration'!$A:$C,3,0),"--")</f>
        <v>27.08588674</v>
      </c>
      <c r="J3091" s="65" t="str">
        <f t="array" ref="J3091">XLOOKUP(H3091,'2. Matching'!$A$2:$A$39,'2. Matching'!$B$2:$B$39,"--")</f>
        <v>Acquisition</v>
      </c>
      <c r="K3091" s="65" t="str">
        <f t="shared" si="1"/>
        <v>In</v>
      </c>
    </row>
    <row r="3092">
      <c r="A3092" s="62" t="s">
        <v>3230</v>
      </c>
      <c r="B3092" s="63">
        <v>44097.0</v>
      </c>
      <c r="C3092" s="62" t="s">
        <v>119</v>
      </c>
      <c r="D3092" s="64">
        <v>42.5</v>
      </c>
      <c r="E3092" s="62" t="s">
        <v>109</v>
      </c>
      <c r="F3092" s="62" t="s">
        <v>115</v>
      </c>
      <c r="G3092" s="64" t="s">
        <v>64</v>
      </c>
      <c r="H3092" s="3" t="s">
        <v>175</v>
      </c>
      <c r="I3092" s="65">
        <f>IFERROR(VLOOKUP(A3092,'3. Call duration'!$A:$C,3,0),"--")</f>
        <v>12.54179854</v>
      </c>
      <c r="J3092" s="65" t="str">
        <f t="array" ref="J3092">XLOOKUP(H3092,'2. Matching'!$A$2:$A$39,'2. Matching'!$B$2:$B$39,"--")</f>
        <v>SEO</v>
      </c>
      <c r="K3092" s="65" t="str">
        <f t="shared" si="1"/>
        <v>In</v>
      </c>
    </row>
    <row r="3093">
      <c r="A3093" s="62" t="s">
        <v>3231</v>
      </c>
      <c r="B3093" s="63">
        <v>44237.0</v>
      </c>
      <c r="C3093" s="62" t="s">
        <v>119</v>
      </c>
      <c r="D3093" s="64">
        <v>42.5</v>
      </c>
      <c r="E3093" s="62" t="s">
        <v>109</v>
      </c>
      <c r="F3093" s="62" t="s">
        <v>115</v>
      </c>
      <c r="G3093" s="64" t="s">
        <v>64</v>
      </c>
      <c r="H3093" s="3" t="s">
        <v>150</v>
      </c>
      <c r="I3093" s="65">
        <f>IFERROR(VLOOKUP(A3093,'3. Call duration'!$A:$C,3,0),"--")</f>
        <v>33.51896709</v>
      </c>
      <c r="J3093" s="65" t="str">
        <f t="array" ref="J3093">XLOOKUP(H3093,'2. Matching'!$A$2:$A$39,'2. Matching'!$B$2:$B$39,"--")</f>
        <v>SEO</v>
      </c>
      <c r="K3093" s="65" t="str">
        <f t="shared" si="1"/>
        <v>In</v>
      </c>
    </row>
    <row r="3094">
      <c r="A3094" s="62" t="s">
        <v>3232</v>
      </c>
      <c r="B3094" s="63">
        <v>44179.0</v>
      </c>
      <c r="C3094" s="62" t="s">
        <v>119</v>
      </c>
      <c r="D3094" s="64">
        <v>42.5</v>
      </c>
      <c r="E3094" s="62" t="s">
        <v>109</v>
      </c>
      <c r="F3094" s="62" t="s">
        <v>115</v>
      </c>
      <c r="G3094" s="64" t="s">
        <v>64</v>
      </c>
      <c r="H3094" s="3" t="s">
        <v>235</v>
      </c>
      <c r="I3094" s="65">
        <f>IFERROR(VLOOKUP(A3094,'3. Call duration'!$A:$C,3,0),"--")</f>
        <v>25.92786447</v>
      </c>
      <c r="J3094" s="65" t="str">
        <f t="array" ref="J3094">XLOOKUP(H3094,'2. Matching'!$A$2:$A$39,'2. Matching'!$B$2:$B$39,"--")</f>
        <v>Farming</v>
      </c>
      <c r="K3094" s="65" t="str">
        <f t="shared" si="1"/>
        <v>In</v>
      </c>
    </row>
    <row r="3095">
      <c r="A3095" s="62" t="s">
        <v>3233</v>
      </c>
      <c r="B3095" s="63">
        <v>44188.0</v>
      </c>
      <c r="C3095" s="62" t="s">
        <v>119</v>
      </c>
      <c r="D3095" s="64">
        <v>42.5</v>
      </c>
      <c r="E3095" s="62" t="s">
        <v>109</v>
      </c>
      <c r="F3095" s="62" t="s">
        <v>115</v>
      </c>
      <c r="G3095" s="64" t="s">
        <v>64</v>
      </c>
      <c r="H3095" s="3" t="s">
        <v>131</v>
      </c>
      <c r="I3095" s="65">
        <f>IFERROR(VLOOKUP(A3095,'3. Call duration'!$A:$C,3,0),"--")</f>
        <v>26.46538441</v>
      </c>
      <c r="J3095" s="65" t="str">
        <f t="array" ref="J3095">XLOOKUP(H3095,'2. Matching'!$A$2:$A$39,'2. Matching'!$B$2:$B$39,"--")</f>
        <v>Acquisition</v>
      </c>
      <c r="K3095" s="65" t="str">
        <f t="shared" si="1"/>
        <v>In</v>
      </c>
    </row>
    <row r="3096">
      <c r="A3096" s="62" t="s">
        <v>3234</v>
      </c>
      <c r="B3096" s="63">
        <v>44233.0</v>
      </c>
      <c r="C3096" s="62" t="s">
        <v>119</v>
      </c>
      <c r="D3096" s="64">
        <v>42.5</v>
      </c>
      <c r="E3096" s="62" t="s">
        <v>109</v>
      </c>
      <c r="F3096" s="62" t="s">
        <v>115</v>
      </c>
      <c r="G3096" s="64" t="s">
        <v>64</v>
      </c>
      <c r="H3096" s="3" t="s">
        <v>185</v>
      </c>
      <c r="I3096" s="65">
        <f>IFERROR(VLOOKUP(A3096,'3. Call duration'!$A:$C,3,0),"--")</f>
        <v>34.61034031</v>
      </c>
      <c r="J3096" s="65" t="str">
        <f t="array" ref="J3096">XLOOKUP(H3096,'2. Matching'!$A$2:$A$39,'2. Matching'!$B$2:$B$39,"--")</f>
        <v>SEO</v>
      </c>
      <c r="K3096" s="65" t="str">
        <f t="shared" si="1"/>
        <v>In</v>
      </c>
    </row>
    <row r="3097">
      <c r="A3097" s="62" t="s">
        <v>3235</v>
      </c>
      <c r="B3097" s="63">
        <v>44106.0</v>
      </c>
      <c r="C3097" s="62" t="s">
        <v>119</v>
      </c>
      <c r="D3097" s="64">
        <v>42.5</v>
      </c>
      <c r="E3097" s="62" t="s">
        <v>109</v>
      </c>
      <c r="F3097" s="62" t="s">
        <v>115</v>
      </c>
      <c r="G3097" s="64" t="s">
        <v>64</v>
      </c>
      <c r="H3097" s="3" t="s">
        <v>139</v>
      </c>
      <c r="I3097" s="65">
        <f>IFERROR(VLOOKUP(A3097,'3. Call duration'!$A:$C,3,0),"--")</f>
        <v>30.46591021</v>
      </c>
      <c r="J3097" s="65" t="str">
        <f t="array" ref="J3097">XLOOKUP(H3097,'2. Matching'!$A$2:$A$39,'2. Matching'!$B$2:$B$39,"--")</f>
        <v>Acquisition</v>
      </c>
      <c r="K3097" s="65" t="str">
        <f t="shared" si="1"/>
        <v>In</v>
      </c>
    </row>
    <row r="3098">
      <c r="A3098" s="62" t="s">
        <v>3236</v>
      </c>
      <c r="B3098" s="63">
        <v>44244.0</v>
      </c>
      <c r="C3098" s="62" t="s">
        <v>119</v>
      </c>
      <c r="D3098" s="64">
        <v>42.5</v>
      </c>
      <c r="E3098" s="62" t="s">
        <v>109</v>
      </c>
      <c r="F3098" s="62" t="s">
        <v>115</v>
      </c>
      <c r="G3098" s="64" t="s">
        <v>112</v>
      </c>
      <c r="H3098" s="3"/>
      <c r="I3098" s="65">
        <f>IFERROR(VLOOKUP(A3098,'3. Call duration'!$A:$C,3,0),"--")</f>
        <v>21.49161278</v>
      </c>
      <c r="J3098" s="65" t="str">
        <f t="array" ref="J3098">XLOOKUP(H3098,'2. Matching'!$A$2:$A$39,'2. Matching'!$B$2:$B$39,"--")</f>
        <v>--</v>
      </c>
      <c r="K3098" s="65" t="str">
        <f t="shared" si="1"/>
        <v>In</v>
      </c>
    </row>
    <row r="3099">
      <c r="A3099" s="62" t="s">
        <v>3237</v>
      </c>
      <c r="B3099" s="63">
        <v>44193.0</v>
      </c>
      <c r="C3099" s="62" t="s">
        <v>119</v>
      </c>
      <c r="D3099" s="64">
        <v>42.5</v>
      </c>
      <c r="E3099" s="62" t="s">
        <v>109</v>
      </c>
      <c r="F3099" s="62" t="s">
        <v>115</v>
      </c>
      <c r="G3099" s="64" t="s">
        <v>64</v>
      </c>
      <c r="H3099" s="3" t="s">
        <v>175</v>
      </c>
      <c r="I3099" s="65">
        <f>IFERROR(VLOOKUP(A3099,'3. Call duration'!$A:$C,3,0),"--")</f>
        <v>20.00108852</v>
      </c>
      <c r="J3099" s="65" t="str">
        <f t="array" ref="J3099">XLOOKUP(H3099,'2. Matching'!$A$2:$A$39,'2. Matching'!$B$2:$B$39,"--")</f>
        <v>SEO</v>
      </c>
      <c r="K3099" s="65" t="str">
        <f t="shared" si="1"/>
        <v>In</v>
      </c>
    </row>
    <row r="3100">
      <c r="A3100" s="62" t="s">
        <v>3238</v>
      </c>
      <c r="B3100" s="63">
        <v>44232.0</v>
      </c>
      <c r="C3100" s="62" t="s">
        <v>119</v>
      </c>
      <c r="D3100" s="64">
        <v>42.5</v>
      </c>
      <c r="E3100" s="62" t="s">
        <v>109</v>
      </c>
      <c r="F3100" s="62" t="s">
        <v>115</v>
      </c>
      <c r="G3100" s="64" t="s">
        <v>64</v>
      </c>
      <c r="H3100" s="3" t="s">
        <v>150</v>
      </c>
      <c r="I3100" s="65">
        <f>IFERROR(VLOOKUP(A3100,'3. Call duration'!$A:$C,3,0),"--")</f>
        <v>30.68380512</v>
      </c>
      <c r="J3100" s="65" t="str">
        <f t="array" ref="J3100">XLOOKUP(H3100,'2. Matching'!$A$2:$A$39,'2. Matching'!$B$2:$B$39,"--")</f>
        <v>SEO</v>
      </c>
      <c r="K3100" s="65" t="str">
        <f t="shared" si="1"/>
        <v>In</v>
      </c>
    </row>
    <row r="3101">
      <c r="A3101" s="62" t="s">
        <v>3239</v>
      </c>
      <c r="B3101" s="63">
        <v>44107.0</v>
      </c>
      <c r="C3101" s="62" t="s">
        <v>119</v>
      </c>
      <c r="D3101" s="64">
        <v>42.5</v>
      </c>
      <c r="E3101" s="62" t="s">
        <v>109</v>
      </c>
      <c r="F3101" s="62" t="s">
        <v>115</v>
      </c>
      <c r="G3101" s="64" t="s">
        <v>64</v>
      </c>
      <c r="H3101" s="3" t="s">
        <v>175</v>
      </c>
      <c r="I3101" s="65">
        <f>IFERROR(VLOOKUP(A3101,'3. Call duration'!$A:$C,3,0),"--")</f>
        <v>28.04361553</v>
      </c>
      <c r="J3101" s="65" t="str">
        <f t="array" ref="J3101">XLOOKUP(H3101,'2. Matching'!$A$2:$A$39,'2. Matching'!$B$2:$B$39,"--")</f>
        <v>SEO</v>
      </c>
      <c r="K3101" s="65" t="str">
        <f t="shared" si="1"/>
        <v>In</v>
      </c>
    </row>
    <row r="3102">
      <c r="A3102" s="62" t="s">
        <v>3240</v>
      </c>
      <c r="B3102" s="63">
        <v>44232.0</v>
      </c>
      <c r="C3102" s="62" t="s">
        <v>119</v>
      </c>
      <c r="D3102" s="64">
        <v>42.5</v>
      </c>
      <c r="E3102" s="62" t="s">
        <v>109</v>
      </c>
      <c r="F3102" s="62" t="s">
        <v>115</v>
      </c>
      <c r="G3102" s="64" t="s">
        <v>64</v>
      </c>
      <c r="H3102" s="3" t="s">
        <v>164</v>
      </c>
      <c r="I3102" s="65">
        <f>IFERROR(VLOOKUP(A3102,'3. Call duration'!$A:$C,3,0),"--")</f>
        <v>23.42305033</v>
      </c>
      <c r="J3102" s="65" t="str">
        <f t="array" ref="J3102">XLOOKUP(H3102,'2. Matching'!$A$2:$A$39,'2. Matching'!$B$2:$B$39,"--")</f>
        <v>SEO</v>
      </c>
      <c r="K3102" s="65" t="str">
        <f t="shared" si="1"/>
        <v>In</v>
      </c>
    </row>
    <row r="3103">
      <c r="A3103" s="62" t="s">
        <v>3241</v>
      </c>
      <c r="B3103" s="63">
        <v>44175.0</v>
      </c>
      <c r="C3103" s="62" t="s">
        <v>119</v>
      </c>
      <c r="D3103" s="64">
        <v>42.5</v>
      </c>
      <c r="E3103" s="62" t="s">
        <v>109</v>
      </c>
      <c r="F3103" s="62" t="s">
        <v>115</v>
      </c>
      <c r="G3103" s="64" t="s">
        <v>64</v>
      </c>
      <c r="H3103" s="3" t="s">
        <v>131</v>
      </c>
      <c r="I3103" s="65">
        <f>IFERROR(VLOOKUP(A3103,'3. Call duration'!$A:$C,3,0),"--")</f>
        <v>25.64419002</v>
      </c>
      <c r="J3103" s="65" t="str">
        <f t="array" ref="J3103">XLOOKUP(H3103,'2. Matching'!$A$2:$A$39,'2. Matching'!$B$2:$B$39,"--")</f>
        <v>Acquisition</v>
      </c>
      <c r="K3103" s="65" t="str">
        <f t="shared" si="1"/>
        <v>In</v>
      </c>
    </row>
    <row r="3104">
      <c r="A3104" s="62" t="s">
        <v>3242</v>
      </c>
      <c r="B3104" s="63">
        <v>44236.0</v>
      </c>
      <c r="C3104" s="62" t="s">
        <v>119</v>
      </c>
      <c r="D3104" s="64">
        <v>42.5</v>
      </c>
      <c r="E3104" s="62" t="s">
        <v>109</v>
      </c>
      <c r="F3104" s="62" t="s">
        <v>115</v>
      </c>
      <c r="G3104" s="64" t="s">
        <v>64</v>
      </c>
      <c r="H3104" s="3" t="s">
        <v>169</v>
      </c>
      <c r="I3104" s="65">
        <f>IFERROR(VLOOKUP(A3104,'3. Call duration'!$A:$C,3,0),"--")</f>
        <v>30.28390748</v>
      </c>
      <c r="J3104" s="65" t="str">
        <f t="array" ref="J3104">XLOOKUP(H3104,'2. Matching'!$A$2:$A$39,'2. Matching'!$B$2:$B$39,"--")</f>
        <v>SEO</v>
      </c>
      <c r="K3104" s="65" t="str">
        <f t="shared" si="1"/>
        <v>In</v>
      </c>
    </row>
    <row r="3105">
      <c r="A3105" s="62" t="s">
        <v>3243</v>
      </c>
      <c r="B3105" s="63">
        <v>44247.0</v>
      </c>
      <c r="C3105" s="62" t="s">
        <v>119</v>
      </c>
      <c r="D3105" s="64">
        <v>42.5</v>
      </c>
      <c r="E3105" s="62" t="s">
        <v>109</v>
      </c>
      <c r="F3105" s="62" t="s">
        <v>115</v>
      </c>
      <c r="G3105" s="64" t="s">
        <v>64</v>
      </c>
      <c r="H3105" s="3" t="s">
        <v>139</v>
      </c>
      <c r="I3105" s="65">
        <f>IFERROR(VLOOKUP(A3105,'3. Call duration'!$A:$C,3,0),"--")</f>
        <v>14.95983365</v>
      </c>
      <c r="J3105" s="65" t="str">
        <f t="array" ref="J3105">XLOOKUP(H3105,'2. Matching'!$A$2:$A$39,'2. Matching'!$B$2:$B$39,"--")</f>
        <v>Acquisition</v>
      </c>
      <c r="K3105" s="65" t="str">
        <f t="shared" si="1"/>
        <v>In</v>
      </c>
    </row>
    <row r="3106">
      <c r="A3106" s="62" t="s">
        <v>3244</v>
      </c>
      <c r="B3106" s="63">
        <v>44134.0</v>
      </c>
      <c r="C3106" s="62" t="s">
        <v>119</v>
      </c>
      <c r="D3106" s="64">
        <v>42.5</v>
      </c>
      <c r="E3106" s="62" t="s">
        <v>109</v>
      </c>
      <c r="F3106" s="62" t="s">
        <v>115</v>
      </c>
      <c r="G3106" s="64" t="s">
        <v>64</v>
      </c>
      <c r="H3106" s="3" t="s">
        <v>221</v>
      </c>
      <c r="I3106" s="65">
        <f>IFERROR(VLOOKUP(A3106,'3. Call duration'!$A:$C,3,0),"--")</f>
        <v>23.71596691</v>
      </c>
      <c r="J3106" s="65" t="str">
        <f t="array" ref="J3106">XLOOKUP(H3106,'2. Matching'!$A$2:$A$39,'2. Matching'!$B$2:$B$39,"--")</f>
        <v>Farming</v>
      </c>
      <c r="K3106" s="65" t="str">
        <f t="shared" si="1"/>
        <v>In</v>
      </c>
    </row>
    <row r="3107">
      <c r="A3107" s="62" t="s">
        <v>3245</v>
      </c>
      <c r="B3107" s="63">
        <v>44223.0</v>
      </c>
      <c r="C3107" s="62" t="s">
        <v>119</v>
      </c>
      <c r="D3107" s="64">
        <v>42.5</v>
      </c>
      <c r="E3107" s="62" t="s">
        <v>109</v>
      </c>
      <c r="F3107" s="62" t="s">
        <v>110</v>
      </c>
      <c r="G3107" s="64" t="s">
        <v>64</v>
      </c>
      <c r="H3107" s="3" t="s">
        <v>116</v>
      </c>
      <c r="I3107" s="65">
        <f>IFERROR(VLOOKUP(A3107,'3. Call duration'!$A:$C,3,0),"--")</f>
        <v>29.00541132</v>
      </c>
      <c r="J3107" s="65" t="str">
        <f t="array" ref="J3107">XLOOKUP(H3107,'2. Matching'!$A$2:$A$39,'2. Matching'!$B$2:$B$39,"--")</f>
        <v>Acquisition</v>
      </c>
      <c r="K3107" s="65" t="str">
        <f t="shared" si="1"/>
        <v>In</v>
      </c>
    </row>
    <row r="3108">
      <c r="A3108" s="62" t="s">
        <v>3246</v>
      </c>
      <c r="B3108" s="63">
        <v>44123.0</v>
      </c>
      <c r="C3108" s="62" t="s">
        <v>119</v>
      </c>
      <c r="D3108" s="64">
        <v>42.5</v>
      </c>
      <c r="E3108" s="62" t="s">
        <v>109</v>
      </c>
      <c r="F3108" s="62" t="s">
        <v>115</v>
      </c>
      <c r="G3108" s="64" t="s">
        <v>64</v>
      </c>
      <c r="H3108" s="3" t="s">
        <v>139</v>
      </c>
      <c r="I3108" s="65">
        <f>IFERROR(VLOOKUP(A3108,'3. Call duration'!$A:$C,3,0),"--")</f>
        <v>21.70970318</v>
      </c>
      <c r="J3108" s="65" t="str">
        <f t="array" ref="J3108">XLOOKUP(H3108,'2. Matching'!$A$2:$A$39,'2. Matching'!$B$2:$B$39,"--")</f>
        <v>Acquisition</v>
      </c>
      <c r="K3108" s="65" t="str">
        <f t="shared" si="1"/>
        <v>In</v>
      </c>
    </row>
    <row r="3109">
      <c r="A3109" s="62" t="s">
        <v>3247</v>
      </c>
      <c r="B3109" s="63">
        <v>44223.0</v>
      </c>
      <c r="C3109" s="62" t="s">
        <v>119</v>
      </c>
      <c r="D3109" s="64">
        <v>42.5</v>
      </c>
      <c r="E3109" s="62" t="s">
        <v>109</v>
      </c>
      <c r="F3109" s="62" t="s">
        <v>110</v>
      </c>
      <c r="G3109" s="64" t="s">
        <v>64</v>
      </c>
      <c r="H3109" s="3" t="s">
        <v>116</v>
      </c>
      <c r="I3109" s="65">
        <f>IFERROR(VLOOKUP(A3109,'3. Call duration'!$A:$C,3,0),"--")</f>
        <v>25.0154055</v>
      </c>
      <c r="J3109" s="65" t="str">
        <f t="array" ref="J3109">XLOOKUP(H3109,'2. Matching'!$A$2:$A$39,'2. Matching'!$B$2:$B$39,"--")</f>
        <v>Acquisition</v>
      </c>
      <c r="K3109" s="65" t="str">
        <f t="shared" si="1"/>
        <v>In</v>
      </c>
    </row>
    <row r="3110">
      <c r="A3110" s="62" t="s">
        <v>3248</v>
      </c>
      <c r="B3110" s="63">
        <v>44237.0</v>
      </c>
      <c r="C3110" s="62" t="s">
        <v>119</v>
      </c>
      <c r="D3110" s="64">
        <v>42.5</v>
      </c>
      <c r="E3110" s="62" t="s">
        <v>109</v>
      </c>
      <c r="F3110" s="62" t="s">
        <v>115</v>
      </c>
      <c r="G3110" s="64" t="s">
        <v>64</v>
      </c>
      <c r="H3110" s="3" t="s">
        <v>221</v>
      </c>
      <c r="I3110" s="65">
        <f>IFERROR(VLOOKUP(A3110,'3. Call duration'!$A:$C,3,0),"--")</f>
        <v>48.25695358</v>
      </c>
      <c r="J3110" s="65" t="str">
        <f t="array" ref="J3110">XLOOKUP(H3110,'2. Matching'!$A$2:$A$39,'2. Matching'!$B$2:$B$39,"--")</f>
        <v>Farming</v>
      </c>
      <c r="K3110" s="65" t="str">
        <f t="shared" si="1"/>
        <v>In</v>
      </c>
    </row>
    <row r="3111">
      <c r="A3111" s="62" t="s">
        <v>3249</v>
      </c>
      <c r="B3111" s="63">
        <v>44123.0</v>
      </c>
      <c r="C3111" s="62" t="s">
        <v>119</v>
      </c>
      <c r="D3111" s="64">
        <v>42.5</v>
      </c>
      <c r="E3111" s="62" t="s">
        <v>109</v>
      </c>
      <c r="F3111" s="62" t="s">
        <v>115</v>
      </c>
      <c r="G3111" s="64" t="s">
        <v>62</v>
      </c>
      <c r="H3111" s="3" t="s">
        <v>286</v>
      </c>
      <c r="I3111" s="65">
        <f>IFERROR(VLOOKUP(A3111,'3. Call duration'!$A:$C,3,0),"--")</f>
        <v>33.3962294</v>
      </c>
      <c r="J3111" s="65" t="str">
        <f t="array" ref="J3111">XLOOKUP(H3111,'2. Matching'!$A$2:$A$39,'2. Matching'!$B$2:$B$39,"--")</f>
        <v>Farming</v>
      </c>
      <c r="K3111" s="65" t="str">
        <f t="shared" si="1"/>
        <v>In</v>
      </c>
    </row>
    <row r="3112">
      <c r="A3112" s="62" t="s">
        <v>3250</v>
      </c>
      <c r="B3112" s="63">
        <v>44100.0</v>
      </c>
      <c r="C3112" s="62" t="s">
        <v>119</v>
      </c>
      <c r="D3112" s="64">
        <v>42.5</v>
      </c>
      <c r="E3112" s="62" t="s">
        <v>109</v>
      </c>
      <c r="F3112" s="62" t="s">
        <v>115</v>
      </c>
      <c r="G3112" s="64" t="s">
        <v>64</v>
      </c>
      <c r="H3112" s="3" t="s">
        <v>139</v>
      </c>
      <c r="I3112" s="65">
        <f>IFERROR(VLOOKUP(A3112,'3. Call duration'!$A:$C,3,0),"--")</f>
        <v>31.65463015</v>
      </c>
      <c r="J3112" s="65" t="str">
        <f t="array" ref="J3112">XLOOKUP(H3112,'2. Matching'!$A$2:$A$39,'2. Matching'!$B$2:$B$39,"--")</f>
        <v>Acquisition</v>
      </c>
      <c r="K3112" s="65" t="str">
        <f t="shared" si="1"/>
        <v>In</v>
      </c>
    </row>
    <row r="3113">
      <c r="A3113" s="62" t="s">
        <v>3251</v>
      </c>
      <c r="B3113" s="63">
        <v>44078.0</v>
      </c>
      <c r="C3113" s="62" t="s">
        <v>119</v>
      </c>
      <c r="D3113" s="64">
        <v>42.5</v>
      </c>
      <c r="E3113" s="62" t="s">
        <v>109</v>
      </c>
      <c r="F3113" s="62" t="s">
        <v>115</v>
      </c>
      <c r="G3113" s="64" t="s">
        <v>64</v>
      </c>
      <c r="H3113" s="3" t="s">
        <v>175</v>
      </c>
      <c r="I3113" s="65">
        <f>IFERROR(VLOOKUP(A3113,'3. Call duration'!$A:$C,3,0),"--")</f>
        <v>30.06006221</v>
      </c>
      <c r="J3113" s="65" t="str">
        <f t="array" ref="J3113">XLOOKUP(H3113,'2. Matching'!$A$2:$A$39,'2. Matching'!$B$2:$B$39,"--")</f>
        <v>SEO</v>
      </c>
      <c r="K3113" s="65" t="str">
        <f t="shared" si="1"/>
        <v>In</v>
      </c>
    </row>
    <row r="3114">
      <c r="A3114" s="62" t="s">
        <v>3252</v>
      </c>
      <c r="B3114" s="63">
        <v>44117.0</v>
      </c>
      <c r="C3114" s="62" t="s">
        <v>119</v>
      </c>
      <c r="D3114" s="64">
        <v>42.5</v>
      </c>
      <c r="E3114" s="62" t="s">
        <v>109</v>
      </c>
      <c r="F3114" s="62" t="s">
        <v>115</v>
      </c>
      <c r="G3114" s="64" t="s">
        <v>64</v>
      </c>
      <c r="H3114" s="3" t="s">
        <v>175</v>
      </c>
      <c r="I3114" s="65">
        <f>IFERROR(VLOOKUP(A3114,'3. Call duration'!$A:$C,3,0),"--")</f>
        <v>33.08982972</v>
      </c>
      <c r="J3114" s="65" t="str">
        <f t="array" ref="J3114">XLOOKUP(H3114,'2. Matching'!$A$2:$A$39,'2. Matching'!$B$2:$B$39,"--")</f>
        <v>SEO</v>
      </c>
      <c r="K3114" s="65" t="str">
        <f t="shared" si="1"/>
        <v>In</v>
      </c>
    </row>
    <row r="3115">
      <c r="A3115" s="62" t="s">
        <v>3253</v>
      </c>
      <c r="B3115" s="63">
        <v>44229.0</v>
      </c>
      <c r="C3115" s="62" t="s">
        <v>119</v>
      </c>
      <c r="D3115" s="64">
        <v>42.5</v>
      </c>
      <c r="E3115" s="62" t="s">
        <v>109</v>
      </c>
      <c r="F3115" s="62" t="s">
        <v>115</v>
      </c>
      <c r="G3115" s="64" t="s">
        <v>64</v>
      </c>
      <c r="H3115" s="3" t="s">
        <v>169</v>
      </c>
      <c r="I3115" s="65">
        <f>IFERROR(VLOOKUP(A3115,'3. Call duration'!$A:$C,3,0),"--")</f>
        <v>47.47364472</v>
      </c>
      <c r="J3115" s="65" t="str">
        <f t="array" ref="J3115">XLOOKUP(H3115,'2. Matching'!$A$2:$A$39,'2. Matching'!$B$2:$B$39,"--")</f>
        <v>SEO</v>
      </c>
      <c r="K3115" s="65" t="str">
        <f t="shared" si="1"/>
        <v>In</v>
      </c>
    </row>
    <row r="3116">
      <c r="A3116" s="62" t="s">
        <v>3254</v>
      </c>
      <c r="B3116" s="63">
        <v>44149.0</v>
      </c>
      <c r="C3116" s="62" t="s">
        <v>119</v>
      </c>
      <c r="D3116" s="64">
        <v>42.5</v>
      </c>
      <c r="E3116" s="62" t="s">
        <v>109</v>
      </c>
      <c r="F3116" s="62" t="s">
        <v>115</v>
      </c>
      <c r="G3116" s="64" t="s">
        <v>64</v>
      </c>
      <c r="H3116" s="3" t="s">
        <v>164</v>
      </c>
      <c r="I3116" s="65">
        <f>IFERROR(VLOOKUP(A3116,'3. Call duration'!$A:$C,3,0),"--")</f>
        <v>29.79184398</v>
      </c>
      <c r="J3116" s="65" t="str">
        <f t="array" ref="J3116">XLOOKUP(H3116,'2. Matching'!$A$2:$A$39,'2. Matching'!$B$2:$B$39,"--")</f>
        <v>SEO</v>
      </c>
      <c r="K3116" s="65" t="str">
        <f t="shared" si="1"/>
        <v>In</v>
      </c>
    </row>
    <row r="3117">
      <c r="A3117" s="62" t="s">
        <v>3255</v>
      </c>
      <c r="B3117" s="63">
        <v>44165.0</v>
      </c>
      <c r="C3117" s="62" t="s">
        <v>119</v>
      </c>
      <c r="D3117" s="64">
        <v>42.5</v>
      </c>
      <c r="E3117" s="62" t="s">
        <v>109</v>
      </c>
      <c r="F3117" s="62" t="s">
        <v>115</v>
      </c>
      <c r="G3117" s="64" t="s">
        <v>64</v>
      </c>
      <c r="H3117" s="3" t="s">
        <v>185</v>
      </c>
      <c r="I3117" s="65">
        <f>IFERROR(VLOOKUP(A3117,'3. Call duration'!$A:$C,3,0),"--")</f>
        <v>29.82267577</v>
      </c>
      <c r="J3117" s="65" t="str">
        <f t="array" ref="J3117">XLOOKUP(H3117,'2. Matching'!$A$2:$A$39,'2. Matching'!$B$2:$B$39,"--")</f>
        <v>SEO</v>
      </c>
      <c r="K3117" s="65" t="str">
        <f t="shared" si="1"/>
        <v>In</v>
      </c>
    </row>
    <row r="3118">
      <c r="A3118" s="62" t="s">
        <v>3256</v>
      </c>
      <c r="B3118" s="63">
        <v>44245.0</v>
      </c>
      <c r="C3118" s="62" t="s">
        <v>119</v>
      </c>
      <c r="D3118" s="64">
        <v>42.5</v>
      </c>
      <c r="E3118" s="62" t="s">
        <v>109</v>
      </c>
      <c r="F3118" s="62" t="s">
        <v>110</v>
      </c>
      <c r="G3118" s="64" t="s">
        <v>64</v>
      </c>
      <c r="H3118" s="3" t="s">
        <v>131</v>
      </c>
      <c r="I3118" s="65">
        <f>IFERROR(VLOOKUP(A3118,'3. Call duration'!$A:$C,3,0),"--")</f>
        <v>20.89419791</v>
      </c>
      <c r="J3118" s="65" t="str">
        <f t="array" ref="J3118">XLOOKUP(H3118,'2. Matching'!$A$2:$A$39,'2. Matching'!$B$2:$B$39,"--")</f>
        <v>Acquisition</v>
      </c>
      <c r="K3118" s="65" t="str">
        <f t="shared" si="1"/>
        <v>In</v>
      </c>
    </row>
    <row r="3119">
      <c r="A3119" s="62" t="s">
        <v>3257</v>
      </c>
      <c r="B3119" s="63">
        <v>44089.0</v>
      </c>
      <c r="C3119" s="62" t="s">
        <v>119</v>
      </c>
      <c r="D3119" s="64">
        <v>42.5</v>
      </c>
      <c r="E3119" s="62" t="s">
        <v>109</v>
      </c>
      <c r="F3119" s="62" t="s">
        <v>115</v>
      </c>
      <c r="G3119" s="64" t="s">
        <v>64</v>
      </c>
      <c r="H3119" s="3" t="s">
        <v>139</v>
      </c>
      <c r="I3119" s="65">
        <f>IFERROR(VLOOKUP(A3119,'3. Call duration'!$A:$C,3,0),"--")</f>
        <v>20.67581637</v>
      </c>
      <c r="J3119" s="65" t="str">
        <f t="array" ref="J3119">XLOOKUP(H3119,'2. Matching'!$A$2:$A$39,'2. Matching'!$B$2:$B$39,"--")</f>
        <v>Acquisition</v>
      </c>
      <c r="K3119" s="65" t="str">
        <f t="shared" si="1"/>
        <v>In</v>
      </c>
    </row>
    <row r="3120">
      <c r="A3120" s="62" t="s">
        <v>3258</v>
      </c>
      <c r="B3120" s="63">
        <v>44105.0</v>
      </c>
      <c r="C3120" s="62" t="s">
        <v>119</v>
      </c>
      <c r="D3120" s="64">
        <v>42.5</v>
      </c>
      <c r="E3120" s="62" t="s">
        <v>109</v>
      </c>
      <c r="F3120" s="62" t="s">
        <v>115</v>
      </c>
      <c r="G3120" s="64" t="s">
        <v>64</v>
      </c>
      <c r="H3120" s="3" t="s">
        <v>139</v>
      </c>
      <c r="I3120" s="65">
        <f>IFERROR(VLOOKUP(A3120,'3. Call duration'!$A:$C,3,0),"--")</f>
        <v>31.23192928</v>
      </c>
      <c r="J3120" s="65" t="str">
        <f t="array" ref="J3120">XLOOKUP(H3120,'2. Matching'!$A$2:$A$39,'2. Matching'!$B$2:$B$39,"--")</f>
        <v>Acquisition</v>
      </c>
      <c r="K3120" s="65" t="str">
        <f t="shared" si="1"/>
        <v>In</v>
      </c>
    </row>
    <row r="3121">
      <c r="A3121" s="62" t="s">
        <v>3259</v>
      </c>
      <c r="B3121" s="63">
        <v>44243.0</v>
      </c>
      <c r="C3121" s="62" t="s">
        <v>119</v>
      </c>
      <c r="D3121" s="64">
        <v>42.5</v>
      </c>
      <c r="E3121" s="62" t="s">
        <v>109</v>
      </c>
      <c r="F3121" s="62" t="s">
        <v>115</v>
      </c>
      <c r="G3121" s="64" t="s">
        <v>64</v>
      </c>
      <c r="H3121" s="3" t="s">
        <v>150</v>
      </c>
      <c r="I3121" s="65">
        <f>IFERROR(VLOOKUP(A3121,'3. Call duration'!$A:$C,3,0),"--")</f>
        <v>21.74679891</v>
      </c>
      <c r="J3121" s="65" t="str">
        <f t="array" ref="J3121">XLOOKUP(H3121,'2. Matching'!$A$2:$A$39,'2. Matching'!$B$2:$B$39,"--")</f>
        <v>SEO</v>
      </c>
      <c r="K3121" s="65" t="str">
        <f t="shared" si="1"/>
        <v>In</v>
      </c>
    </row>
    <row r="3122">
      <c r="A3122" s="62" t="s">
        <v>3260</v>
      </c>
      <c r="B3122" s="63">
        <v>44193.0</v>
      </c>
      <c r="C3122" s="62" t="s">
        <v>119</v>
      </c>
      <c r="D3122" s="64">
        <v>42.5</v>
      </c>
      <c r="E3122" s="62" t="s">
        <v>109</v>
      </c>
      <c r="F3122" s="62" t="s">
        <v>115</v>
      </c>
      <c r="G3122" s="64" t="s">
        <v>64</v>
      </c>
      <c r="H3122" s="3" t="s">
        <v>185</v>
      </c>
      <c r="I3122" s="65" t="str">
        <f>IFERROR(VLOOKUP(A3122,'3. Call duration'!$A:$C,3,0),"--")</f>
        <v>--</v>
      </c>
      <c r="J3122" s="65" t="str">
        <f t="array" ref="J3122">XLOOKUP(H3122,'2. Matching'!$A$2:$A$39,'2. Matching'!$B$2:$B$39,"--")</f>
        <v>SEO</v>
      </c>
      <c r="K3122" s="65" t="str">
        <f t="shared" si="1"/>
        <v>In</v>
      </c>
    </row>
    <row r="3123">
      <c r="A3123" s="62" t="s">
        <v>3261</v>
      </c>
      <c r="B3123" s="63">
        <v>44221.0</v>
      </c>
      <c r="C3123" s="62" t="s">
        <v>119</v>
      </c>
      <c r="D3123" s="64">
        <v>42.5</v>
      </c>
      <c r="E3123" s="62" t="s">
        <v>109</v>
      </c>
      <c r="F3123" s="62" t="s">
        <v>115</v>
      </c>
      <c r="G3123" s="64" t="s">
        <v>64</v>
      </c>
      <c r="H3123" s="3" t="s">
        <v>164</v>
      </c>
      <c r="I3123" s="65">
        <f>IFERROR(VLOOKUP(A3123,'3. Call duration'!$A:$C,3,0),"--")</f>
        <v>28.74890606</v>
      </c>
      <c r="J3123" s="65" t="str">
        <f t="array" ref="J3123">XLOOKUP(H3123,'2. Matching'!$A$2:$A$39,'2. Matching'!$B$2:$B$39,"--")</f>
        <v>SEO</v>
      </c>
      <c r="K3123" s="65" t="str">
        <f t="shared" si="1"/>
        <v>In</v>
      </c>
    </row>
    <row r="3124">
      <c r="A3124" s="62" t="s">
        <v>3262</v>
      </c>
      <c r="B3124" s="63">
        <v>44235.0</v>
      </c>
      <c r="C3124" s="62" t="s">
        <v>119</v>
      </c>
      <c r="D3124" s="64">
        <v>42.5</v>
      </c>
      <c r="E3124" s="62" t="s">
        <v>109</v>
      </c>
      <c r="F3124" s="62" t="s">
        <v>115</v>
      </c>
      <c r="G3124" s="64" t="s">
        <v>64</v>
      </c>
      <c r="H3124" s="3" t="s">
        <v>164</v>
      </c>
      <c r="I3124" s="65">
        <f>IFERROR(VLOOKUP(A3124,'3. Call duration'!$A:$C,3,0),"--")</f>
        <v>25.89424029</v>
      </c>
      <c r="J3124" s="65" t="str">
        <f t="array" ref="J3124">XLOOKUP(H3124,'2. Matching'!$A$2:$A$39,'2. Matching'!$B$2:$B$39,"--")</f>
        <v>SEO</v>
      </c>
      <c r="K3124" s="65" t="str">
        <f t="shared" si="1"/>
        <v>In</v>
      </c>
    </row>
    <row r="3125">
      <c r="A3125" s="62" t="s">
        <v>3263</v>
      </c>
      <c r="B3125" s="63">
        <v>44161.0</v>
      </c>
      <c r="C3125" s="62" t="s">
        <v>119</v>
      </c>
      <c r="D3125" s="64">
        <v>42.5</v>
      </c>
      <c r="E3125" s="62" t="s">
        <v>109</v>
      </c>
      <c r="F3125" s="62" t="s">
        <v>115</v>
      </c>
      <c r="G3125" s="64" t="s">
        <v>64</v>
      </c>
      <c r="H3125" s="3" t="s">
        <v>175</v>
      </c>
      <c r="I3125" s="65">
        <f>IFERROR(VLOOKUP(A3125,'3. Call duration'!$A:$C,3,0),"--")</f>
        <v>20.27323387</v>
      </c>
      <c r="J3125" s="65" t="str">
        <f t="array" ref="J3125">XLOOKUP(H3125,'2. Matching'!$A$2:$A$39,'2. Matching'!$B$2:$B$39,"--")</f>
        <v>SEO</v>
      </c>
      <c r="K3125" s="65" t="str">
        <f t="shared" si="1"/>
        <v>In</v>
      </c>
    </row>
    <row r="3126">
      <c r="A3126" s="62" t="s">
        <v>3264</v>
      </c>
      <c r="B3126" s="63">
        <v>44252.0</v>
      </c>
      <c r="C3126" s="62" t="s">
        <v>119</v>
      </c>
      <c r="D3126" s="64">
        <v>42.5</v>
      </c>
      <c r="E3126" s="62" t="s">
        <v>109</v>
      </c>
      <c r="F3126" s="62" t="s">
        <v>110</v>
      </c>
      <c r="G3126" s="64" t="s">
        <v>64</v>
      </c>
      <c r="H3126" s="3" t="s">
        <v>139</v>
      </c>
      <c r="I3126" s="65">
        <f>IFERROR(VLOOKUP(A3126,'3. Call duration'!$A:$C,3,0),"--")</f>
        <v>30.69306769</v>
      </c>
      <c r="J3126" s="65" t="str">
        <f t="array" ref="J3126">XLOOKUP(H3126,'2. Matching'!$A$2:$A$39,'2. Matching'!$B$2:$B$39,"--")</f>
        <v>Acquisition</v>
      </c>
      <c r="K3126" s="65" t="str">
        <f t="shared" si="1"/>
        <v>In</v>
      </c>
    </row>
    <row r="3127">
      <c r="A3127" s="62" t="s">
        <v>3265</v>
      </c>
      <c r="B3127" s="63">
        <v>44237.0</v>
      </c>
      <c r="C3127" s="62" t="s">
        <v>119</v>
      </c>
      <c r="D3127" s="64">
        <v>42.5</v>
      </c>
      <c r="E3127" s="62" t="s">
        <v>109</v>
      </c>
      <c r="F3127" s="62" t="s">
        <v>115</v>
      </c>
      <c r="G3127" s="64" t="s">
        <v>64</v>
      </c>
      <c r="H3127" s="3" t="s">
        <v>155</v>
      </c>
      <c r="I3127" s="65">
        <f>IFERROR(VLOOKUP(A3127,'3. Call duration'!$A:$C,3,0),"--")</f>
        <v>33.35764705</v>
      </c>
      <c r="J3127" s="65" t="str">
        <f t="array" ref="J3127">XLOOKUP(H3127,'2. Matching'!$A$2:$A$39,'2. Matching'!$B$2:$B$39,"--")</f>
        <v>SEO</v>
      </c>
      <c r="K3127" s="65" t="str">
        <f t="shared" si="1"/>
        <v>In</v>
      </c>
    </row>
    <row r="3128">
      <c r="A3128" s="62" t="s">
        <v>3266</v>
      </c>
      <c r="B3128" s="63">
        <v>44250.0</v>
      </c>
      <c r="C3128" s="62" t="s">
        <v>119</v>
      </c>
      <c r="D3128" s="64">
        <v>42.5</v>
      </c>
      <c r="E3128" s="62" t="s">
        <v>109</v>
      </c>
      <c r="F3128" s="62" t="s">
        <v>115</v>
      </c>
      <c r="G3128" s="64" t="s">
        <v>64</v>
      </c>
      <c r="H3128" s="3" t="s">
        <v>139</v>
      </c>
      <c r="I3128" s="65">
        <f>IFERROR(VLOOKUP(A3128,'3. Call duration'!$A:$C,3,0),"--")</f>
        <v>28.78561895</v>
      </c>
      <c r="J3128" s="65" t="str">
        <f t="array" ref="J3128">XLOOKUP(H3128,'2. Matching'!$A$2:$A$39,'2. Matching'!$B$2:$B$39,"--")</f>
        <v>Acquisition</v>
      </c>
      <c r="K3128" s="65" t="str">
        <f t="shared" si="1"/>
        <v>In</v>
      </c>
    </row>
    <row r="3129">
      <c r="A3129" s="62" t="s">
        <v>3267</v>
      </c>
      <c r="B3129" s="63">
        <v>44161.0</v>
      </c>
      <c r="C3129" s="62" t="s">
        <v>119</v>
      </c>
      <c r="D3129" s="64">
        <v>42.5</v>
      </c>
      <c r="E3129" s="62" t="s">
        <v>109</v>
      </c>
      <c r="F3129" s="62" t="s">
        <v>115</v>
      </c>
      <c r="G3129" s="64" t="s">
        <v>64</v>
      </c>
      <c r="H3129" s="3" t="s">
        <v>185</v>
      </c>
      <c r="I3129" s="65">
        <f>IFERROR(VLOOKUP(A3129,'3. Call duration'!$A:$C,3,0),"--")</f>
        <v>27.55514638</v>
      </c>
      <c r="J3129" s="65" t="str">
        <f t="array" ref="J3129">XLOOKUP(H3129,'2. Matching'!$A$2:$A$39,'2. Matching'!$B$2:$B$39,"--")</f>
        <v>SEO</v>
      </c>
      <c r="K3129" s="65" t="str">
        <f t="shared" si="1"/>
        <v>In</v>
      </c>
    </row>
    <row r="3130">
      <c r="A3130" s="62" t="s">
        <v>3268</v>
      </c>
      <c r="B3130" s="63">
        <v>44179.0</v>
      </c>
      <c r="C3130" s="62" t="s">
        <v>119</v>
      </c>
      <c r="D3130" s="64">
        <v>42.5</v>
      </c>
      <c r="E3130" s="62" t="s">
        <v>109</v>
      </c>
      <c r="F3130" s="62" t="s">
        <v>115</v>
      </c>
      <c r="G3130" s="64" t="s">
        <v>64</v>
      </c>
      <c r="H3130" s="3" t="s">
        <v>185</v>
      </c>
      <c r="I3130" s="65">
        <f>IFERROR(VLOOKUP(A3130,'3. Call duration'!$A:$C,3,0),"--")</f>
        <v>32.87300237</v>
      </c>
      <c r="J3130" s="65" t="str">
        <f t="array" ref="J3130">XLOOKUP(H3130,'2. Matching'!$A$2:$A$39,'2. Matching'!$B$2:$B$39,"--")</f>
        <v>SEO</v>
      </c>
      <c r="K3130" s="65" t="str">
        <f t="shared" si="1"/>
        <v>In</v>
      </c>
    </row>
    <row r="3131">
      <c r="A3131" s="62" t="s">
        <v>3269</v>
      </c>
      <c r="B3131" s="63">
        <v>44214.0</v>
      </c>
      <c r="C3131" s="62" t="s">
        <v>119</v>
      </c>
      <c r="D3131" s="64">
        <v>42.5</v>
      </c>
      <c r="E3131" s="62" t="s">
        <v>109</v>
      </c>
      <c r="F3131" s="62" t="s">
        <v>110</v>
      </c>
      <c r="G3131" s="64" t="s">
        <v>62</v>
      </c>
      <c r="H3131" s="3" t="s">
        <v>294</v>
      </c>
      <c r="I3131" s="65">
        <f>IFERROR(VLOOKUP(A3131,'3. Call duration'!$A:$C,3,0),"--")</f>
        <v>25.06314679</v>
      </c>
      <c r="J3131" s="65" t="str">
        <f t="array" ref="J3131">XLOOKUP(H3131,'2. Matching'!$A$2:$A$39,'2. Matching'!$B$2:$B$39,"--")</f>
        <v>Farming</v>
      </c>
      <c r="K3131" s="65" t="str">
        <f t="shared" si="1"/>
        <v>In</v>
      </c>
    </row>
    <row r="3132">
      <c r="A3132" s="62" t="s">
        <v>3270</v>
      </c>
      <c r="B3132" s="63">
        <v>44077.0</v>
      </c>
      <c r="C3132" s="62" t="s">
        <v>119</v>
      </c>
      <c r="D3132" s="64">
        <v>42.5</v>
      </c>
      <c r="E3132" s="62" t="s">
        <v>109</v>
      </c>
      <c r="F3132" s="62" t="s">
        <v>115</v>
      </c>
      <c r="G3132" s="64" t="s">
        <v>64</v>
      </c>
      <c r="H3132" s="3" t="s">
        <v>175</v>
      </c>
      <c r="I3132" s="65">
        <f>IFERROR(VLOOKUP(A3132,'3. Call duration'!$A:$C,3,0),"--")</f>
        <v>26.26879216</v>
      </c>
      <c r="J3132" s="65" t="str">
        <f t="array" ref="J3132">XLOOKUP(H3132,'2. Matching'!$A$2:$A$39,'2. Matching'!$B$2:$B$39,"--")</f>
        <v>SEO</v>
      </c>
      <c r="K3132" s="65" t="str">
        <f t="shared" si="1"/>
        <v>In</v>
      </c>
    </row>
    <row r="3133">
      <c r="A3133" s="62" t="s">
        <v>3271</v>
      </c>
      <c r="B3133" s="63">
        <v>44195.0</v>
      </c>
      <c r="C3133" s="62" t="s">
        <v>119</v>
      </c>
      <c r="D3133" s="64">
        <v>42.5</v>
      </c>
      <c r="E3133" s="62" t="s">
        <v>109</v>
      </c>
      <c r="F3133" s="62" t="s">
        <v>115</v>
      </c>
      <c r="G3133" s="64" t="s">
        <v>64</v>
      </c>
      <c r="H3133" s="3" t="s">
        <v>175</v>
      </c>
      <c r="I3133" s="65">
        <f>IFERROR(VLOOKUP(A3133,'3. Call duration'!$A:$C,3,0),"--")</f>
        <v>11.58962113</v>
      </c>
      <c r="J3133" s="65" t="str">
        <f t="array" ref="J3133">XLOOKUP(H3133,'2. Matching'!$A$2:$A$39,'2. Matching'!$B$2:$B$39,"--")</f>
        <v>SEO</v>
      </c>
      <c r="K3133" s="65" t="str">
        <f t="shared" si="1"/>
        <v>In</v>
      </c>
    </row>
    <row r="3134">
      <c r="A3134" s="62" t="s">
        <v>3272</v>
      </c>
      <c r="B3134" s="63">
        <v>44105.0</v>
      </c>
      <c r="C3134" s="62" t="s">
        <v>119</v>
      </c>
      <c r="D3134" s="64">
        <v>42.5</v>
      </c>
      <c r="E3134" s="62" t="s">
        <v>109</v>
      </c>
      <c r="F3134" s="62" t="s">
        <v>115</v>
      </c>
      <c r="G3134" s="64" t="s">
        <v>64</v>
      </c>
      <c r="H3134" s="3" t="s">
        <v>139</v>
      </c>
      <c r="I3134" s="65">
        <f>IFERROR(VLOOKUP(A3134,'3. Call duration'!$A:$C,3,0),"--")</f>
        <v>32.8188243</v>
      </c>
      <c r="J3134" s="65" t="str">
        <f t="array" ref="J3134">XLOOKUP(H3134,'2. Matching'!$A$2:$A$39,'2. Matching'!$B$2:$B$39,"--")</f>
        <v>Acquisition</v>
      </c>
      <c r="K3134" s="65" t="str">
        <f t="shared" si="1"/>
        <v>In</v>
      </c>
    </row>
    <row r="3135">
      <c r="A3135" s="62" t="s">
        <v>3273</v>
      </c>
      <c r="B3135" s="63">
        <v>44225.0</v>
      </c>
      <c r="C3135" s="62" t="s">
        <v>119</v>
      </c>
      <c r="D3135" s="64">
        <v>42.5</v>
      </c>
      <c r="E3135" s="62" t="s">
        <v>109</v>
      </c>
      <c r="F3135" s="62" t="s">
        <v>115</v>
      </c>
      <c r="G3135" s="64" t="s">
        <v>64</v>
      </c>
      <c r="H3135" s="3" t="s">
        <v>185</v>
      </c>
      <c r="I3135" s="65">
        <f>IFERROR(VLOOKUP(A3135,'3. Call duration'!$A:$C,3,0),"--")</f>
        <v>31.99459681</v>
      </c>
      <c r="J3135" s="65" t="str">
        <f t="array" ref="J3135">XLOOKUP(H3135,'2. Matching'!$A$2:$A$39,'2. Matching'!$B$2:$B$39,"--")</f>
        <v>SEO</v>
      </c>
      <c r="K3135" s="65" t="str">
        <f t="shared" si="1"/>
        <v>In</v>
      </c>
    </row>
    <row r="3136">
      <c r="A3136" s="62" t="s">
        <v>3274</v>
      </c>
      <c r="B3136" s="63">
        <v>44161.0</v>
      </c>
      <c r="C3136" s="62" t="s">
        <v>119</v>
      </c>
      <c r="D3136" s="64">
        <v>42.5</v>
      </c>
      <c r="E3136" s="62" t="s">
        <v>109</v>
      </c>
      <c r="F3136" s="62" t="s">
        <v>115</v>
      </c>
      <c r="G3136" s="64" t="s">
        <v>64</v>
      </c>
      <c r="H3136" s="3" t="s">
        <v>155</v>
      </c>
      <c r="I3136" s="65">
        <f>IFERROR(VLOOKUP(A3136,'3. Call duration'!$A:$C,3,0),"--")</f>
        <v>14.78649175</v>
      </c>
      <c r="J3136" s="65" t="str">
        <f t="array" ref="J3136">XLOOKUP(H3136,'2. Matching'!$A$2:$A$39,'2. Matching'!$B$2:$B$39,"--")</f>
        <v>SEO</v>
      </c>
      <c r="K3136" s="65" t="str">
        <f t="shared" si="1"/>
        <v>In</v>
      </c>
    </row>
    <row r="3137">
      <c r="A3137" s="62" t="s">
        <v>3275</v>
      </c>
      <c r="B3137" s="63">
        <v>44231.0</v>
      </c>
      <c r="C3137" s="62" t="s">
        <v>119</v>
      </c>
      <c r="D3137" s="64">
        <v>42.5</v>
      </c>
      <c r="E3137" s="62" t="s">
        <v>109</v>
      </c>
      <c r="F3137" s="62" t="s">
        <v>115</v>
      </c>
      <c r="G3137" s="64" t="s">
        <v>64</v>
      </c>
      <c r="H3137" s="3" t="s">
        <v>116</v>
      </c>
      <c r="I3137" s="65">
        <f>IFERROR(VLOOKUP(A3137,'3. Call duration'!$A:$C,3,0),"--")</f>
        <v>14.15038773</v>
      </c>
      <c r="J3137" s="65" t="str">
        <f t="array" ref="J3137">XLOOKUP(H3137,'2. Matching'!$A$2:$A$39,'2. Matching'!$B$2:$B$39,"--")</f>
        <v>Acquisition</v>
      </c>
      <c r="K3137" s="65" t="str">
        <f t="shared" si="1"/>
        <v>In</v>
      </c>
    </row>
    <row r="3138">
      <c r="A3138" s="62" t="s">
        <v>3276</v>
      </c>
      <c r="B3138" s="63">
        <v>44158.0</v>
      </c>
      <c r="C3138" s="62" t="s">
        <v>119</v>
      </c>
      <c r="D3138" s="64">
        <v>42.5</v>
      </c>
      <c r="E3138" s="62" t="s">
        <v>109</v>
      </c>
      <c r="F3138" s="62" t="s">
        <v>115</v>
      </c>
      <c r="G3138" s="64" t="s">
        <v>64</v>
      </c>
      <c r="H3138" s="3" t="s">
        <v>139</v>
      </c>
      <c r="I3138" s="65">
        <f>IFERROR(VLOOKUP(A3138,'3. Call duration'!$A:$C,3,0),"--")</f>
        <v>46.21401726</v>
      </c>
      <c r="J3138" s="65" t="str">
        <f t="array" ref="J3138">XLOOKUP(H3138,'2. Matching'!$A$2:$A$39,'2. Matching'!$B$2:$B$39,"--")</f>
        <v>Acquisition</v>
      </c>
      <c r="K3138" s="65" t="str">
        <f t="shared" si="1"/>
        <v>In</v>
      </c>
    </row>
    <row r="3139">
      <c r="A3139" s="62" t="s">
        <v>3277</v>
      </c>
      <c r="B3139" s="63">
        <v>44222.0</v>
      </c>
      <c r="C3139" s="62" t="s">
        <v>119</v>
      </c>
      <c r="D3139" s="64">
        <v>42.5</v>
      </c>
      <c r="E3139" s="62" t="s">
        <v>109</v>
      </c>
      <c r="F3139" s="62" t="s">
        <v>115</v>
      </c>
      <c r="G3139" s="64" t="s">
        <v>64</v>
      </c>
      <c r="H3139" s="3" t="s">
        <v>185</v>
      </c>
      <c r="I3139" s="65">
        <f>IFERROR(VLOOKUP(A3139,'3. Call duration'!$A:$C,3,0),"--")</f>
        <v>21.0528236</v>
      </c>
      <c r="J3139" s="65" t="str">
        <f t="array" ref="J3139">XLOOKUP(H3139,'2. Matching'!$A$2:$A$39,'2. Matching'!$B$2:$B$39,"--")</f>
        <v>SEO</v>
      </c>
      <c r="K3139" s="65" t="str">
        <f t="shared" si="1"/>
        <v>In</v>
      </c>
    </row>
    <row r="3140">
      <c r="A3140" s="62" t="s">
        <v>3278</v>
      </c>
      <c r="B3140" s="63">
        <v>44224.0</v>
      </c>
      <c r="C3140" s="62" t="s">
        <v>119</v>
      </c>
      <c r="D3140" s="64">
        <v>42.5</v>
      </c>
      <c r="E3140" s="62" t="s">
        <v>109</v>
      </c>
      <c r="F3140" s="62" t="s">
        <v>115</v>
      </c>
      <c r="G3140" s="64" t="s">
        <v>64</v>
      </c>
      <c r="H3140" s="3" t="s">
        <v>169</v>
      </c>
      <c r="I3140" s="65">
        <f>IFERROR(VLOOKUP(A3140,'3. Call duration'!$A:$C,3,0),"--")</f>
        <v>22.34969265</v>
      </c>
      <c r="J3140" s="65" t="str">
        <f t="array" ref="J3140">XLOOKUP(H3140,'2. Matching'!$A$2:$A$39,'2. Matching'!$B$2:$B$39,"--")</f>
        <v>SEO</v>
      </c>
      <c r="K3140" s="65" t="str">
        <f t="shared" si="1"/>
        <v>In</v>
      </c>
    </row>
    <row r="3141">
      <c r="A3141" s="62" t="s">
        <v>3279</v>
      </c>
      <c r="B3141" s="63">
        <v>44131.0</v>
      </c>
      <c r="C3141" s="62" t="s">
        <v>119</v>
      </c>
      <c r="D3141" s="64">
        <v>42.5</v>
      </c>
      <c r="E3141" s="62" t="s">
        <v>109</v>
      </c>
      <c r="F3141" s="62" t="s">
        <v>115</v>
      </c>
      <c r="G3141" s="64" t="s">
        <v>64</v>
      </c>
      <c r="H3141" s="3" t="s">
        <v>139</v>
      </c>
      <c r="I3141" s="65">
        <f>IFERROR(VLOOKUP(A3141,'3. Call duration'!$A:$C,3,0),"--")</f>
        <v>22.40185976</v>
      </c>
      <c r="J3141" s="65" t="str">
        <f t="array" ref="J3141">XLOOKUP(H3141,'2. Matching'!$A$2:$A$39,'2. Matching'!$B$2:$B$39,"--")</f>
        <v>Acquisition</v>
      </c>
      <c r="K3141" s="65" t="str">
        <f t="shared" si="1"/>
        <v>In</v>
      </c>
    </row>
    <row r="3142">
      <c r="A3142" s="62" t="s">
        <v>3280</v>
      </c>
      <c r="B3142" s="63">
        <v>44126.0</v>
      </c>
      <c r="C3142" s="62" t="s">
        <v>119</v>
      </c>
      <c r="D3142" s="64">
        <v>42.5</v>
      </c>
      <c r="E3142" s="62" t="s">
        <v>109</v>
      </c>
      <c r="F3142" s="62" t="s">
        <v>115</v>
      </c>
      <c r="G3142" s="64" t="s">
        <v>64</v>
      </c>
      <c r="H3142" s="3" t="s">
        <v>235</v>
      </c>
      <c r="I3142" s="65">
        <f>IFERROR(VLOOKUP(A3142,'3. Call duration'!$A:$C,3,0),"--")</f>
        <v>29.40517047</v>
      </c>
      <c r="J3142" s="65" t="str">
        <f t="array" ref="J3142">XLOOKUP(H3142,'2. Matching'!$A$2:$A$39,'2. Matching'!$B$2:$B$39,"--")</f>
        <v>Farming</v>
      </c>
      <c r="K3142" s="65" t="str">
        <f t="shared" si="1"/>
        <v>In</v>
      </c>
    </row>
    <row r="3143">
      <c r="A3143" s="62" t="s">
        <v>3281</v>
      </c>
      <c r="B3143" s="63">
        <v>44216.0</v>
      </c>
      <c r="C3143" s="62" t="s">
        <v>119</v>
      </c>
      <c r="D3143" s="64">
        <v>42.5</v>
      </c>
      <c r="E3143" s="62" t="s">
        <v>109</v>
      </c>
      <c r="F3143" s="62" t="s">
        <v>115</v>
      </c>
      <c r="G3143" s="64" t="s">
        <v>64</v>
      </c>
      <c r="H3143" s="3" t="s">
        <v>169</v>
      </c>
      <c r="I3143" s="65">
        <f>IFERROR(VLOOKUP(A3143,'3. Call duration'!$A:$C,3,0),"--")</f>
        <v>10.65377363</v>
      </c>
      <c r="J3143" s="65" t="str">
        <f t="array" ref="J3143">XLOOKUP(H3143,'2. Matching'!$A$2:$A$39,'2. Matching'!$B$2:$B$39,"--")</f>
        <v>SEO</v>
      </c>
      <c r="K3143" s="65" t="str">
        <f t="shared" si="1"/>
        <v>In</v>
      </c>
    </row>
    <row r="3144">
      <c r="A3144" s="62" t="s">
        <v>3282</v>
      </c>
      <c r="B3144" s="63">
        <v>44097.0</v>
      </c>
      <c r="C3144" s="62" t="s">
        <v>119</v>
      </c>
      <c r="D3144" s="64">
        <v>42.5</v>
      </c>
      <c r="E3144" s="62" t="s">
        <v>109</v>
      </c>
      <c r="F3144" s="62" t="s">
        <v>115</v>
      </c>
      <c r="G3144" s="64" t="s">
        <v>64</v>
      </c>
      <c r="H3144" s="3" t="s">
        <v>139</v>
      </c>
      <c r="I3144" s="65">
        <f>IFERROR(VLOOKUP(A3144,'3. Call duration'!$A:$C,3,0),"--")</f>
        <v>24.82224437</v>
      </c>
      <c r="J3144" s="65" t="str">
        <f t="array" ref="J3144">XLOOKUP(H3144,'2. Matching'!$A$2:$A$39,'2. Matching'!$B$2:$B$39,"--")</f>
        <v>Acquisition</v>
      </c>
      <c r="K3144" s="65" t="str">
        <f t="shared" si="1"/>
        <v>In</v>
      </c>
    </row>
    <row r="3145">
      <c r="A3145" s="62" t="s">
        <v>3283</v>
      </c>
      <c r="B3145" s="63">
        <v>44217.0</v>
      </c>
      <c r="C3145" s="62" t="s">
        <v>119</v>
      </c>
      <c r="D3145" s="64">
        <v>42.5</v>
      </c>
      <c r="E3145" s="62" t="s">
        <v>109</v>
      </c>
      <c r="F3145" s="62" t="s">
        <v>115</v>
      </c>
      <c r="G3145" s="64" t="s">
        <v>64</v>
      </c>
      <c r="H3145" s="3" t="s">
        <v>169</v>
      </c>
      <c r="I3145" s="65">
        <f>IFERROR(VLOOKUP(A3145,'3. Call duration'!$A:$C,3,0),"--")</f>
        <v>31.37814208</v>
      </c>
      <c r="J3145" s="65" t="str">
        <f t="array" ref="J3145">XLOOKUP(H3145,'2. Matching'!$A$2:$A$39,'2. Matching'!$B$2:$B$39,"--")</f>
        <v>SEO</v>
      </c>
      <c r="K3145" s="65" t="str">
        <f t="shared" si="1"/>
        <v>In</v>
      </c>
    </row>
    <row r="3146">
      <c r="A3146" s="62" t="s">
        <v>3284</v>
      </c>
      <c r="B3146" s="63">
        <v>44130.0</v>
      </c>
      <c r="C3146" s="62" t="s">
        <v>119</v>
      </c>
      <c r="D3146" s="64">
        <v>42.5</v>
      </c>
      <c r="E3146" s="62" t="s">
        <v>109</v>
      </c>
      <c r="F3146" s="62" t="s">
        <v>115</v>
      </c>
      <c r="G3146" s="64" t="s">
        <v>64</v>
      </c>
      <c r="H3146" s="3" t="s">
        <v>139</v>
      </c>
      <c r="I3146" s="65">
        <f>IFERROR(VLOOKUP(A3146,'3. Call duration'!$A:$C,3,0),"--")</f>
        <v>26.15962413</v>
      </c>
      <c r="J3146" s="65" t="str">
        <f t="array" ref="J3146">XLOOKUP(H3146,'2. Matching'!$A$2:$A$39,'2. Matching'!$B$2:$B$39,"--")</f>
        <v>Acquisition</v>
      </c>
      <c r="K3146" s="65" t="str">
        <f t="shared" si="1"/>
        <v>In</v>
      </c>
    </row>
    <row r="3147">
      <c r="A3147" s="62" t="s">
        <v>3285</v>
      </c>
      <c r="B3147" s="63">
        <v>44224.0</v>
      </c>
      <c r="C3147" s="62" t="s">
        <v>119</v>
      </c>
      <c r="D3147" s="64">
        <v>42.5</v>
      </c>
      <c r="E3147" s="62" t="s">
        <v>109</v>
      </c>
      <c r="F3147" s="62" t="s">
        <v>110</v>
      </c>
      <c r="G3147" s="64" t="s">
        <v>64</v>
      </c>
      <c r="H3147" s="3" t="s">
        <v>169</v>
      </c>
      <c r="I3147" s="65">
        <f>IFERROR(VLOOKUP(A3147,'3. Call duration'!$A:$C,3,0),"--")</f>
        <v>29.24540533</v>
      </c>
      <c r="J3147" s="65" t="str">
        <f t="array" ref="J3147">XLOOKUP(H3147,'2. Matching'!$A$2:$A$39,'2. Matching'!$B$2:$B$39,"--")</f>
        <v>SEO</v>
      </c>
      <c r="K3147" s="65" t="str">
        <f t="shared" si="1"/>
        <v>In</v>
      </c>
    </row>
    <row r="3148">
      <c r="A3148" s="62" t="s">
        <v>3286</v>
      </c>
      <c r="B3148" s="63">
        <v>44179.0</v>
      </c>
      <c r="C3148" s="62" t="s">
        <v>119</v>
      </c>
      <c r="D3148" s="64">
        <v>42.5</v>
      </c>
      <c r="E3148" s="62" t="s">
        <v>109</v>
      </c>
      <c r="F3148" s="62" t="s">
        <v>115</v>
      </c>
      <c r="G3148" s="64" t="s">
        <v>64</v>
      </c>
      <c r="H3148" s="3" t="s">
        <v>155</v>
      </c>
      <c r="I3148" s="65">
        <f>IFERROR(VLOOKUP(A3148,'3. Call duration'!$A:$C,3,0),"--")</f>
        <v>34.50218639</v>
      </c>
      <c r="J3148" s="65" t="str">
        <f t="array" ref="J3148">XLOOKUP(H3148,'2. Matching'!$A$2:$A$39,'2. Matching'!$B$2:$B$39,"--")</f>
        <v>SEO</v>
      </c>
      <c r="K3148" s="65" t="str">
        <f t="shared" si="1"/>
        <v>In</v>
      </c>
    </row>
    <row r="3149">
      <c r="A3149" s="62" t="s">
        <v>3287</v>
      </c>
      <c r="B3149" s="63">
        <v>44211.0</v>
      </c>
      <c r="C3149" s="62" t="s">
        <v>119</v>
      </c>
      <c r="D3149" s="64">
        <v>42.5</v>
      </c>
      <c r="E3149" s="62" t="s">
        <v>109</v>
      </c>
      <c r="F3149" s="62" t="s">
        <v>115</v>
      </c>
      <c r="G3149" s="64" t="s">
        <v>64</v>
      </c>
      <c r="H3149" s="3" t="s">
        <v>155</v>
      </c>
      <c r="I3149" s="65">
        <f>IFERROR(VLOOKUP(A3149,'3. Call duration'!$A:$C,3,0),"--")</f>
        <v>29.84150591</v>
      </c>
      <c r="J3149" s="65" t="str">
        <f t="array" ref="J3149">XLOOKUP(H3149,'2. Matching'!$A$2:$A$39,'2. Matching'!$B$2:$B$39,"--")</f>
        <v>SEO</v>
      </c>
      <c r="K3149" s="65" t="str">
        <f t="shared" si="1"/>
        <v>In</v>
      </c>
    </row>
    <row r="3150">
      <c r="A3150" s="62" t="s">
        <v>3288</v>
      </c>
      <c r="B3150" s="63">
        <v>44204.0</v>
      </c>
      <c r="C3150" s="62" t="s">
        <v>119</v>
      </c>
      <c r="D3150" s="64">
        <v>42.5</v>
      </c>
      <c r="E3150" s="62" t="s">
        <v>109</v>
      </c>
      <c r="F3150" s="62" t="s">
        <v>115</v>
      </c>
      <c r="G3150" s="64" t="s">
        <v>64</v>
      </c>
      <c r="H3150" s="3" t="s">
        <v>175</v>
      </c>
      <c r="I3150" s="65">
        <f>IFERROR(VLOOKUP(A3150,'3. Call duration'!$A:$C,3,0),"--")</f>
        <v>27.03975692</v>
      </c>
      <c r="J3150" s="65" t="str">
        <f t="array" ref="J3150">XLOOKUP(H3150,'2. Matching'!$A$2:$A$39,'2. Matching'!$B$2:$B$39,"--")</f>
        <v>SEO</v>
      </c>
      <c r="K3150" s="65" t="str">
        <f t="shared" si="1"/>
        <v>In</v>
      </c>
    </row>
    <row r="3151">
      <c r="A3151" s="62" t="s">
        <v>3289</v>
      </c>
      <c r="B3151" s="63">
        <v>44252.0</v>
      </c>
      <c r="C3151" s="62" t="s">
        <v>119</v>
      </c>
      <c r="D3151" s="64">
        <v>42.5</v>
      </c>
      <c r="E3151" s="62" t="s">
        <v>109</v>
      </c>
      <c r="F3151" s="62" t="s">
        <v>115</v>
      </c>
      <c r="G3151" s="64" t="s">
        <v>64</v>
      </c>
      <c r="H3151" s="3" t="s">
        <v>139</v>
      </c>
      <c r="I3151" s="65">
        <f>IFERROR(VLOOKUP(A3151,'3. Call duration'!$A:$C,3,0),"--")</f>
        <v>12.08651107</v>
      </c>
      <c r="J3151" s="65" t="str">
        <f t="array" ref="J3151">XLOOKUP(H3151,'2. Matching'!$A$2:$A$39,'2. Matching'!$B$2:$B$39,"--")</f>
        <v>Acquisition</v>
      </c>
      <c r="K3151" s="65" t="str">
        <f t="shared" si="1"/>
        <v>In</v>
      </c>
    </row>
    <row r="3152">
      <c r="A3152" s="62" t="s">
        <v>3290</v>
      </c>
      <c r="B3152" s="63">
        <v>44080.0</v>
      </c>
      <c r="C3152" s="62" t="s">
        <v>119</v>
      </c>
      <c r="D3152" s="64">
        <v>42.5</v>
      </c>
      <c r="E3152" s="62" t="s">
        <v>109</v>
      </c>
      <c r="F3152" s="62" t="s">
        <v>115</v>
      </c>
      <c r="G3152" s="64" t="s">
        <v>64</v>
      </c>
      <c r="H3152" s="3" t="s">
        <v>139</v>
      </c>
      <c r="I3152" s="65">
        <f>IFERROR(VLOOKUP(A3152,'3. Call duration'!$A:$C,3,0),"--")</f>
        <v>33.13813764</v>
      </c>
      <c r="J3152" s="65" t="str">
        <f t="array" ref="J3152">XLOOKUP(H3152,'2. Matching'!$A$2:$A$39,'2. Matching'!$B$2:$B$39,"--")</f>
        <v>Acquisition</v>
      </c>
      <c r="K3152" s="65" t="str">
        <f t="shared" si="1"/>
        <v>In</v>
      </c>
    </row>
    <row r="3153">
      <c r="A3153" s="62" t="s">
        <v>3291</v>
      </c>
      <c r="B3153" s="63">
        <v>44243.0</v>
      </c>
      <c r="C3153" s="62" t="s">
        <v>119</v>
      </c>
      <c r="D3153" s="64">
        <v>42.5</v>
      </c>
      <c r="E3153" s="62" t="s">
        <v>109</v>
      </c>
      <c r="F3153" s="62" t="s">
        <v>110</v>
      </c>
      <c r="G3153" s="64" t="s">
        <v>64</v>
      </c>
      <c r="H3153" s="3" t="s">
        <v>297</v>
      </c>
      <c r="I3153" s="65">
        <f>IFERROR(VLOOKUP(A3153,'3. Call duration'!$A:$C,3,0),"--")</f>
        <v>14.47319202</v>
      </c>
      <c r="J3153" s="65" t="str">
        <f t="array" ref="J3153">XLOOKUP(H3153,'2. Matching'!$A$2:$A$39,'2. Matching'!$B$2:$B$39,"--")</f>
        <v>Farming</v>
      </c>
      <c r="K3153" s="65" t="str">
        <f t="shared" si="1"/>
        <v>In</v>
      </c>
    </row>
    <row r="3154">
      <c r="A3154" s="62" t="s">
        <v>3292</v>
      </c>
      <c r="B3154" s="63">
        <v>44231.0</v>
      </c>
      <c r="C3154" s="62" t="s">
        <v>119</v>
      </c>
      <c r="D3154" s="64">
        <v>42.5</v>
      </c>
      <c r="E3154" s="62" t="s">
        <v>109</v>
      </c>
      <c r="F3154" s="62" t="s">
        <v>115</v>
      </c>
      <c r="G3154" s="64" t="s">
        <v>64</v>
      </c>
      <c r="H3154" s="3" t="s">
        <v>164</v>
      </c>
      <c r="I3154" s="65">
        <f>IFERROR(VLOOKUP(A3154,'3. Call duration'!$A:$C,3,0),"--")</f>
        <v>30.32989749</v>
      </c>
      <c r="J3154" s="65" t="str">
        <f t="array" ref="J3154">XLOOKUP(H3154,'2. Matching'!$A$2:$A$39,'2. Matching'!$B$2:$B$39,"--")</f>
        <v>SEO</v>
      </c>
      <c r="K3154" s="65" t="str">
        <f t="shared" si="1"/>
        <v>In</v>
      </c>
    </row>
    <row r="3155">
      <c r="A3155" s="62" t="s">
        <v>3293</v>
      </c>
      <c r="B3155" s="63">
        <v>44169.0</v>
      </c>
      <c r="C3155" s="62" t="s">
        <v>119</v>
      </c>
      <c r="D3155" s="64">
        <v>42.5</v>
      </c>
      <c r="E3155" s="62" t="s">
        <v>109</v>
      </c>
      <c r="F3155" s="62" t="s">
        <v>115</v>
      </c>
      <c r="G3155" s="64" t="s">
        <v>64</v>
      </c>
      <c r="H3155" s="3" t="s">
        <v>185</v>
      </c>
      <c r="I3155" s="65">
        <f>IFERROR(VLOOKUP(A3155,'3. Call duration'!$A:$C,3,0),"--")</f>
        <v>21.04483786</v>
      </c>
      <c r="J3155" s="65" t="str">
        <f t="array" ref="J3155">XLOOKUP(H3155,'2. Matching'!$A$2:$A$39,'2. Matching'!$B$2:$B$39,"--")</f>
        <v>SEO</v>
      </c>
      <c r="K3155" s="65" t="str">
        <f t="shared" si="1"/>
        <v>In</v>
      </c>
    </row>
    <row r="3156">
      <c r="A3156" s="62" t="s">
        <v>3294</v>
      </c>
      <c r="B3156" s="63">
        <v>44110.0</v>
      </c>
      <c r="C3156" s="62" t="s">
        <v>119</v>
      </c>
      <c r="D3156" s="64">
        <v>42.5</v>
      </c>
      <c r="E3156" s="62" t="s">
        <v>109</v>
      </c>
      <c r="F3156" s="62" t="s">
        <v>115</v>
      </c>
      <c r="G3156" s="64" t="s">
        <v>64</v>
      </c>
      <c r="H3156" s="3" t="s">
        <v>169</v>
      </c>
      <c r="I3156" s="65">
        <f>IFERROR(VLOOKUP(A3156,'3. Call duration'!$A:$C,3,0),"--")</f>
        <v>41.65640464</v>
      </c>
      <c r="J3156" s="65" t="str">
        <f t="array" ref="J3156">XLOOKUP(H3156,'2. Matching'!$A$2:$A$39,'2. Matching'!$B$2:$B$39,"--")</f>
        <v>SEO</v>
      </c>
      <c r="K3156" s="65" t="str">
        <f t="shared" si="1"/>
        <v>In</v>
      </c>
    </row>
    <row r="3157">
      <c r="A3157" s="62" t="s">
        <v>3295</v>
      </c>
      <c r="B3157" s="63">
        <v>44223.0</v>
      </c>
      <c r="C3157" s="62" t="s">
        <v>119</v>
      </c>
      <c r="D3157" s="64">
        <v>42.5</v>
      </c>
      <c r="E3157" s="62" t="s">
        <v>109</v>
      </c>
      <c r="F3157" s="62" t="s">
        <v>115</v>
      </c>
      <c r="G3157" s="64" t="s">
        <v>64</v>
      </c>
      <c r="H3157" s="3" t="s">
        <v>150</v>
      </c>
      <c r="I3157" s="65">
        <f>IFERROR(VLOOKUP(A3157,'3. Call duration'!$A:$C,3,0),"--")</f>
        <v>29.38484325</v>
      </c>
      <c r="J3157" s="65" t="str">
        <f t="array" ref="J3157">XLOOKUP(H3157,'2. Matching'!$A$2:$A$39,'2. Matching'!$B$2:$B$39,"--")</f>
        <v>SEO</v>
      </c>
      <c r="K3157" s="65" t="str">
        <f t="shared" si="1"/>
        <v>In</v>
      </c>
    </row>
    <row r="3158">
      <c r="A3158" s="62" t="s">
        <v>3296</v>
      </c>
      <c r="B3158" s="63">
        <v>44203.0</v>
      </c>
      <c r="C3158" s="62" t="s">
        <v>119</v>
      </c>
      <c r="D3158" s="64">
        <v>42.5</v>
      </c>
      <c r="E3158" s="62" t="s">
        <v>109</v>
      </c>
      <c r="F3158" s="62" t="s">
        <v>115</v>
      </c>
      <c r="G3158" s="64" t="s">
        <v>64</v>
      </c>
      <c r="H3158" s="3" t="s">
        <v>150</v>
      </c>
      <c r="I3158" s="65">
        <f>IFERROR(VLOOKUP(A3158,'3. Call duration'!$A:$C,3,0),"--")</f>
        <v>20.87830951</v>
      </c>
      <c r="J3158" s="65" t="str">
        <f t="array" ref="J3158">XLOOKUP(H3158,'2. Matching'!$A$2:$A$39,'2. Matching'!$B$2:$B$39,"--")</f>
        <v>SEO</v>
      </c>
      <c r="K3158" s="65" t="str">
        <f t="shared" si="1"/>
        <v>In</v>
      </c>
    </row>
    <row r="3159">
      <c r="A3159" s="62" t="s">
        <v>3297</v>
      </c>
      <c r="B3159" s="63">
        <v>44217.0</v>
      </c>
      <c r="C3159" s="62" t="s">
        <v>119</v>
      </c>
      <c r="D3159" s="64">
        <v>42.5</v>
      </c>
      <c r="E3159" s="62" t="s">
        <v>109</v>
      </c>
      <c r="F3159" s="62" t="s">
        <v>115</v>
      </c>
      <c r="G3159" s="64" t="s">
        <v>64</v>
      </c>
      <c r="H3159" s="3" t="s">
        <v>139</v>
      </c>
      <c r="I3159" s="65">
        <f>IFERROR(VLOOKUP(A3159,'3. Call duration'!$A:$C,3,0),"--")</f>
        <v>26.70829046</v>
      </c>
      <c r="J3159" s="65" t="str">
        <f t="array" ref="J3159">XLOOKUP(H3159,'2. Matching'!$A$2:$A$39,'2. Matching'!$B$2:$B$39,"--")</f>
        <v>Acquisition</v>
      </c>
      <c r="K3159" s="65" t="str">
        <f t="shared" si="1"/>
        <v>In</v>
      </c>
    </row>
    <row r="3160">
      <c r="A3160" s="62" t="s">
        <v>3298</v>
      </c>
      <c r="B3160" s="63">
        <v>44208.0</v>
      </c>
      <c r="C3160" s="62" t="s">
        <v>119</v>
      </c>
      <c r="D3160" s="64">
        <v>42.5</v>
      </c>
      <c r="E3160" s="62" t="s">
        <v>109</v>
      </c>
      <c r="F3160" s="62" t="s">
        <v>115</v>
      </c>
      <c r="G3160" s="64" t="s">
        <v>62</v>
      </c>
      <c r="H3160" s="3" t="s">
        <v>294</v>
      </c>
      <c r="I3160" s="65">
        <f>IFERROR(VLOOKUP(A3160,'3. Call duration'!$A:$C,3,0),"--")</f>
        <v>27.52050246</v>
      </c>
      <c r="J3160" s="65" t="str">
        <f t="array" ref="J3160">XLOOKUP(H3160,'2. Matching'!$A$2:$A$39,'2. Matching'!$B$2:$B$39,"--")</f>
        <v>Farming</v>
      </c>
      <c r="K3160" s="65" t="str">
        <f t="shared" si="1"/>
        <v>In</v>
      </c>
    </row>
    <row r="3161">
      <c r="A3161" s="62" t="s">
        <v>3299</v>
      </c>
      <c r="B3161" s="63">
        <v>44204.0</v>
      </c>
      <c r="C3161" s="62" t="s">
        <v>119</v>
      </c>
      <c r="D3161" s="64">
        <v>42.5</v>
      </c>
      <c r="E3161" s="62" t="s">
        <v>109</v>
      </c>
      <c r="F3161" s="62" t="s">
        <v>115</v>
      </c>
      <c r="G3161" s="64" t="s">
        <v>64</v>
      </c>
      <c r="H3161" s="3" t="s">
        <v>175</v>
      </c>
      <c r="I3161" s="65">
        <f>IFERROR(VLOOKUP(A3161,'3. Call duration'!$A:$C,3,0),"--")</f>
        <v>23.82814966</v>
      </c>
      <c r="J3161" s="65" t="str">
        <f t="array" ref="J3161">XLOOKUP(H3161,'2. Matching'!$A$2:$A$39,'2. Matching'!$B$2:$B$39,"--")</f>
        <v>SEO</v>
      </c>
      <c r="K3161" s="65" t="str">
        <f t="shared" si="1"/>
        <v>In</v>
      </c>
    </row>
    <row r="3162">
      <c r="A3162" s="62" t="s">
        <v>3300</v>
      </c>
      <c r="B3162" s="63">
        <v>44173.0</v>
      </c>
      <c r="C3162" s="62" t="s">
        <v>119</v>
      </c>
      <c r="D3162" s="64">
        <v>42.5</v>
      </c>
      <c r="E3162" s="62" t="s">
        <v>109</v>
      </c>
      <c r="F3162" s="62" t="s">
        <v>115</v>
      </c>
      <c r="G3162" s="64" t="s">
        <v>64</v>
      </c>
      <c r="H3162" s="3" t="s">
        <v>169</v>
      </c>
      <c r="I3162" s="65">
        <f>IFERROR(VLOOKUP(A3162,'3. Call duration'!$A:$C,3,0),"--")</f>
        <v>25.18151414</v>
      </c>
      <c r="J3162" s="65" t="str">
        <f t="array" ref="J3162">XLOOKUP(H3162,'2. Matching'!$A$2:$A$39,'2. Matching'!$B$2:$B$39,"--")</f>
        <v>SEO</v>
      </c>
      <c r="K3162" s="65" t="str">
        <f t="shared" si="1"/>
        <v>In</v>
      </c>
    </row>
    <row r="3163">
      <c r="A3163" s="62" t="s">
        <v>3301</v>
      </c>
      <c r="B3163" s="63">
        <v>44204.0</v>
      </c>
      <c r="C3163" s="62" t="s">
        <v>119</v>
      </c>
      <c r="D3163" s="64">
        <v>42.5</v>
      </c>
      <c r="E3163" s="62" t="s">
        <v>109</v>
      </c>
      <c r="F3163" s="62" t="s">
        <v>115</v>
      </c>
      <c r="G3163" s="64" t="s">
        <v>64</v>
      </c>
      <c r="H3163" s="3" t="s">
        <v>131</v>
      </c>
      <c r="I3163" s="65">
        <f>IFERROR(VLOOKUP(A3163,'3. Call duration'!$A:$C,3,0),"--")</f>
        <v>22.1164288</v>
      </c>
      <c r="J3163" s="65" t="str">
        <f t="array" ref="J3163">XLOOKUP(H3163,'2. Matching'!$A$2:$A$39,'2. Matching'!$B$2:$B$39,"--")</f>
        <v>Acquisition</v>
      </c>
      <c r="K3163" s="65" t="str">
        <f t="shared" si="1"/>
        <v>In</v>
      </c>
    </row>
    <row r="3164">
      <c r="A3164" s="62" t="s">
        <v>3302</v>
      </c>
      <c r="B3164" s="63">
        <v>44224.0</v>
      </c>
      <c r="C3164" s="62" t="s">
        <v>119</v>
      </c>
      <c r="D3164" s="64">
        <v>42.5</v>
      </c>
      <c r="E3164" s="62" t="s">
        <v>109</v>
      </c>
      <c r="F3164" s="62" t="s">
        <v>115</v>
      </c>
      <c r="G3164" s="64" t="s">
        <v>64</v>
      </c>
      <c r="H3164" s="3" t="s">
        <v>221</v>
      </c>
      <c r="I3164" s="65">
        <f>IFERROR(VLOOKUP(A3164,'3. Call duration'!$A:$C,3,0),"--")</f>
        <v>29.34997537</v>
      </c>
      <c r="J3164" s="65" t="str">
        <f t="array" ref="J3164">XLOOKUP(H3164,'2. Matching'!$A$2:$A$39,'2. Matching'!$B$2:$B$39,"--")</f>
        <v>Farming</v>
      </c>
      <c r="K3164" s="65" t="str">
        <f t="shared" si="1"/>
        <v>In</v>
      </c>
    </row>
    <row r="3165">
      <c r="A3165" s="62" t="s">
        <v>3303</v>
      </c>
      <c r="B3165" s="63">
        <v>44191.0</v>
      </c>
      <c r="C3165" s="62" t="s">
        <v>119</v>
      </c>
      <c r="D3165" s="64">
        <v>42.5</v>
      </c>
      <c r="E3165" s="62" t="s">
        <v>109</v>
      </c>
      <c r="F3165" s="62" t="s">
        <v>110</v>
      </c>
      <c r="G3165" s="64" t="s">
        <v>64</v>
      </c>
      <c r="H3165" s="3" t="s">
        <v>139</v>
      </c>
      <c r="I3165" s="65">
        <f>IFERROR(VLOOKUP(A3165,'3. Call duration'!$A:$C,3,0),"--")</f>
        <v>29.55269612</v>
      </c>
      <c r="J3165" s="65" t="str">
        <f t="array" ref="J3165">XLOOKUP(H3165,'2. Matching'!$A$2:$A$39,'2. Matching'!$B$2:$B$39,"--")</f>
        <v>Acquisition</v>
      </c>
      <c r="K3165" s="65" t="str">
        <f t="shared" si="1"/>
        <v>In</v>
      </c>
    </row>
    <row r="3166">
      <c r="A3166" s="62" t="s">
        <v>3304</v>
      </c>
      <c r="B3166" s="63">
        <v>44091.0</v>
      </c>
      <c r="C3166" s="62" t="s">
        <v>119</v>
      </c>
      <c r="D3166" s="64">
        <v>42.5</v>
      </c>
      <c r="E3166" s="62" t="s">
        <v>109</v>
      </c>
      <c r="F3166" s="62" t="s">
        <v>115</v>
      </c>
      <c r="G3166" s="64" t="s">
        <v>64</v>
      </c>
      <c r="H3166" s="3" t="s">
        <v>139</v>
      </c>
      <c r="I3166" s="65">
        <f>IFERROR(VLOOKUP(A3166,'3. Call duration'!$A:$C,3,0),"--")</f>
        <v>32.1068775</v>
      </c>
      <c r="J3166" s="65" t="str">
        <f t="array" ref="J3166">XLOOKUP(H3166,'2. Matching'!$A$2:$A$39,'2. Matching'!$B$2:$B$39,"--")</f>
        <v>Acquisition</v>
      </c>
      <c r="K3166" s="65" t="str">
        <f t="shared" si="1"/>
        <v>In</v>
      </c>
    </row>
    <row r="3167">
      <c r="A3167" s="62" t="s">
        <v>3305</v>
      </c>
      <c r="B3167" s="63">
        <v>44149.0</v>
      </c>
      <c r="C3167" s="62" t="s">
        <v>119</v>
      </c>
      <c r="D3167" s="64">
        <v>42.5</v>
      </c>
      <c r="E3167" s="62" t="s">
        <v>109</v>
      </c>
      <c r="F3167" s="62" t="s">
        <v>110</v>
      </c>
      <c r="G3167" s="64" t="s">
        <v>64</v>
      </c>
      <c r="H3167" s="3" t="s">
        <v>139</v>
      </c>
      <c r="I3167" s="65">
        <f>IFERROR(VLOOKUP(A3167,'3. Call duration'!$A:$C,3,0),"--")</f>
        <v>29.28551627</v>
      </c>
      <c r="J3167" s="65" t="str">
        <f t="array" ref="J3167">XLOOKUP(H3167,'2. Matching'!$A$2:$A$39,'2. Matching'!$B$2:$B$39,"--")</f>
        <v>Acquisition</v>
      </c>
      <c r="K3167" s="65" t="str">
        <f t="shared" si="1"/>
        <v>In</v>
      </c>
    </row>
    <row r="3168">
      <c r="A3168" s="62" t="s">
        <v>3306</v>
      </c>
      <c r="B3168" s="63">
        <v>44109.0</v>
      </c>
      <c r="C3168" s="62" t="s">
        <v>119</v>
      </c>
      <c r="D3168" s="64">
        <v>42.5</v>
      </c>
      <c r="E3168" s="62" t="s">
        <v>109</v>
      </c>
      <c r="F3168" s="62" t="s">
        <v>115</v>
      </c>
      <c r="G3168" s="64" t="s">
        <v>64</v>
      </c>
      <c r="H3168" s="3" t="s">
        <v>169</v>
      </c>
      <c r="I3168" s="65">
        <f>IFERROR(VLOOKUP(A3168,'3. Call duration'!$A:$C,3,0),"--")</f>
        <v>29.03960258</v>
      </c>
      <c r="J3168" s="65" t="str">
        <f t="array" ref="J3168">XLOOKUP(H3168,'2. Matching'!$A$2:$A$39,'2. Matching'!$B$2:$B$39,"--")</f>
        <v>SEO</v>
      </c>
      <c r="K3168" s="65" t="str">
        <f t="shared" si="1"/>
        <v>In</v>
      </c>
    </row>
    <row r="3169">
      <c r="A3169" s="62" t="s">
        <v>3307</v>
      </c>
      <c r="B3169" s="63">
        <v>44076.0</v>
      </c>
      <c r="C3169" s="62" t="s">
        <v>119</v>
      </c>
      <c r="D3169" s="64">
        <v>42.5</v>
      </c>
      <c r="E3169" s="62" t="s">
        <v>109</v>
      </c>
      <c r="F3169" s="62" t="s">
        <v>110</v>
      </c>
      <c r="G3169" s="64" t="s">
        <v>62</v>
      </c>
      <c r="H3169" s="3" t="s">
        <v>203</v>
      </c>
      <c r="I3169" s="65">
        <f>IFERROR(VLOOKUP(A3169,'3. Call duration'!$A:$C,3,0),"--")</f>
        <v>32.01007615</v>
      </c>
      <c r="J3169" s="65" t="str">
        <f t="array" ref="J3169">XLOOKUP(H3169,'2. Matching'!$A$2:$A$39,'2. Matching'!$B$2:$B$39,"--")</f>
        <v>Farming</v>
      </c>
      <c r="K3169" s="65" t="str">
        <f t="shared" si="1"/>
        <v>In</v>
      </c>
    </row>
    <row r="3170">
      <c r="A3170" s="62" t="s">
        <v>3308</v>
      </c>
      <c r="B3170" s="63">
        <v>44180.0</v>
      </c>
      <c r="C3170" s="62" t="s">
        <v>119</v>
      </c>
      <c r="D3170" s="64">
        <v>42.5</v>
      </c>
      <c r="E3170" s="62" t="s">
        <v>109</v>
      </c>
      <c r="F3170" s="62" t="s">
        <v>110</v>
      </c>
      <c r="G3170" s="64" t="s">
        <v>64</v>
      </c>
      <c r="H3170" s="3" t="s">
        <v>139</v>
      </c>
      <c r="I3170" s="65">
        <f>IFERROR(VLOOKUP(A3170,'3. Call duration'!$A:$C,3,0),"--")</f>
        <v>11.0844563</v>
      </c>
      <c r="J3170" s="65" t="str">
        <f t="array" ref="J3170">XLOOKUP(H3170,'2. Matching'!$A$2:$A$39,'2. Matching'!$B$2:$B$39,"--")</f>
        <v>Acquisition</v>
      </c>
      <c r="K3170" s="65" t="str">
        <f t="shared" si="1"/>
        <v>In</v>
      </c>
    </row>
    <row r="3171">
      <c r="A3171" s="62" t="s">
        <v>3309</v>
      </c>
      <c r="B3171" s="63">
        <v>44083.0</v>
      </c>
      <c r="C3171" s="62" t="s">
        <v>119</v>
      </c>
      <c r="D3171" s="64">
        <v>42.5</v>
      </c>
      <c r="E3171" s="62" t="s">
        <v>109</v>
      </c>
      <c r="F3171" s="62" t="s">
        <v>115</v>
      </c>
      <c r="G3171" s="64" t="s">
        <v>64</v>
      </c>
      <c r="H3171" s="3" t="s">
        <v>139</v>
      </c>
      <c r="I3171" s="65">
        <f>IFERROR(VLOOKUP(A3171,'3. Call duration'!$A:$C,3,0),"--")</f>
        <v>10.94597133</v>
      </c>
      <c r="J3171" s="65" t="str">
        <f t="array" ref="J3171">XLOOKUP(H3171,'2. Matching'!$A$2:$A$39,'2. Matching'!$B$2:$B$39,"--")</f>
        <v>Acquisition</v>
      </c>
      <c r="K3171" s="65" t="str">
        <f t="shared" si="1"/>
        <v>In</v>
      </c>
    </row>
    <row r="3172">
      <c r="A3172" s="62" t="s">
        <v>3310</v>
      </c>
      <c r="B3172" s="63">
        <v>44158.0</v>
      </c>
      <c r="C3172" s="62" t="s">
        <v>119</v>
      </c>
      <c r="D3172" s="64">
        <v>42.5</v>
      </c>
      <c r="E3172" s="62" t="s">
        <v>109</v>
      </c>
      <c r="F3172" s="62" t="s">
        <v>115</v>
      </c>
      <c r="G3172" s="64" t="s">
        <v>64</v>
      </c>
      <c r="H3172" s="3" t="s">
        <v>139</v>
      </c>
      <c r="I3172" s="65">
        <f>IFERROR(VLOOKUP(A3172,'3. Call duration'!$A:$C,3,0),"--")</f>
        <v>26.75934271</v>
      </c>
      <c r="J3172" s="65" t="str">
        <f t="array" ref="J3172">XLOOKUP(H3172,'2. Matching'!$A$2:$A$39,'2. Matching'!$B$2:$B$39,"--")</f>
        <v>Acquisition</v>
      </c>
      <c r="K3172" s="65" t="str">
        <f t="shared" si="1"/>
        <v>In</v>
      </c>
    </row>
    <row r="3173">
      <c r="A3173" s="62" t="s">
        <v>3311</v>
      </c>
      <c r="B3173" s="63">
        <v>44216.0</v>
      </c>
      <c r="C3173" s="62" t="s">
        <v>119</v>
      </c>
      <c r="D3173" s="64">
        <v>42.5</v>
      </c>
      <c r="E3173" s="62" t="s">
        <v>109</v>
      </c>
      <c r="F3173" s="62" t="s">
        <v>115</v>
      </c>
      <c r="G3173" s="64" t="s">
        <v>64</v>
      </c>
      <c r="H3173" s="3" t="s">
        <v>164</v>
      </c>
      <c r="I3173" s="65">
        <f>IFERROR(VLOOKUP(A3173,'3. Call duration'!$A:$C,3,0),"--")</f>
        <v>20.5303021</v>
      </c>
      <c r="J3173" s="65" t="str">
        <f t="array" ref="J3173">XLOOKUP(H3173,'2. Matching'!$A$2:$A$39,'2. Matching'!$B$2:$B$39,"--")</f>
        <v>SEO</v>
      </c>
      <c r="K3173" s="65" t="str">
        <f t="shared" si="1"/>
        <v>In</v>
      </c>
    </row>
    <row r="3174">
      <c r="A3174" s="62" t="s">
        <v>3312</v>
      </c>
      <c r="B3174" s="63">
        <v>44249.0</v>
      </c>
      <c r="C3174" s="62" t="s">
        <v>119</v>
      </c>
      <c r="D3174" s="64">
        <v>42.5</v>
      </c>
      <c r="E3174" s="62" t="s">
        <v>109</v>
      </c>
      <c r="F3174" s="62" t="s">
        <v>115</v>
      </c>
      <c r="G3174" s="64" t="s">
        <v>64</v>
      </c>
      <c r="H3174" s="3" t="s">
        <v>150</v>
      </c>
      <c r="I3174" s="65">
        <f>IFERROR(VLOOKUP(A3174,'3. Call duration'!$A:$C,3,0),"--")</f>
        <v>43.65619391</v>
      </c>
      <c r="J3174" s="65" t="str">
        <f t="array" ref="J3174">XLOOKUP(H3174,'2. Matching'!$A$2:$A$39,'2. Matching'!$B$2:$B$39,"--")</f>
        <v>SEO</v>
      </c>
      <c r="K3174" s="65" t="str">
        <f t="shared" si="1"/>
        <v>In</v>
      </c>
    </row>
    <row r="3175">
      <c r="A3175" s="62" t="s">
        <v>3313</v>
      </c>
      <c r="B3175" s="63">
        <v>44172.0</v>
      </c>
      <c r="C3175" s="62" t="s">
        <v>119</v>
      </c>
      <c r="D3175" s="64">
        <v>42.5</v>
      </c>
      <c r="E3175" s="62" t="s">
        <v>109</v>
      </c>
      <c r="F3175" s="62" t="s">
        <v>115</v>
      </c>
      <c r="G3175" s="64" t="s">
        <v>64</v>
      </c>
      <c r="H3175" s="3" t="s">
        <v>155</v>
      </c>
      <c r="I3175" s="65">
        <f>IFERROR(VLOOKUP(A3175,'3. Call duration'!$A:$C,3,0),"--")</f>
        <v>20.28681553</v>
      </c>
      <c r="J3175" s="65" t="str">
        <f t="array" ref="J3175">XLOOKUP(H3175,'2. Matching'!$A$2:$A$39,'2. Matching'!$B$2:$B$39,"--")</f>
        <v>SEO</v>
      </c>
      <c r="K3175" s="65" t="str">
        <f t="shared" si="1"/>
        <v>In</v>
      </c>
    </row>
    <row r="3176">
      <c r="A3176" s="62" t="s">
        <v>3314</v>
      </c>
      <c r="B3176" s="63">
        <v>44113.0</v>
      </c>
      <c r="C3176" s="62" t="s">
        <v>119</v>
      </c>
      <c r="D3176" s="64">
        <v>42.5</v>
      </c>
      <c r="E3176" s="62" t="s">
        <v>109</v>
      </c>
      <c r="F3176" s="62" t="s">
        <v>115</v>
      </c>
      <c r="G3176" s="64" t="s">
        <v>62</v>
      </c>
      <c r="H3176" s="3" t="s">
        <v>286</v>
      </c>
      <c r="I3176" s="65">
        <f>IFERROR(VLOOKUP(A3176,'3. Call duration'!$A:$C,3,0),"--")</f>
        <v>33.10419459</v>
      </c>
      <c r="J3176" s="65" t="str">
        <f t="array" ref="J3176">XLOOKUP(H3176,'2. Matching'!$A$2:$A$39,'2. Matching'!$B$2:$B$39,"--")</f>
        <v>Farming</v>
      </c>
      <c r="K3176" s="65" t="str">
        <f t="shared" si="1"/>
        <v>In</v>
      </c>
    </row>
    <row r="3177">
      <c r="A3177" s="62" t="s">
        <v>3315</v>
      </c>
      <c r="B3177" s="63">
        <v>44221.0</v>
      </c>
      <c r="C3177" s="62" t="s">
        <v>119</v>
      </c>
      <c r="D3177" s="64">
        <v>42.5</v>
      </c>
      <c r="E3177" s="62" t="s">
        <v>109</v>
      </c>
      <c r="F3177" s="62" t="s">
        <v>110</v>
      </c>
      <c r="G3177" s="64" t="s">
        <v>64</v>
      </c>
      <c r="H3177" s="3" t="s">
        <v>175</v>
      </c>
      <c r="I3177" s="65">
        <f>IFERROR(VLOOKUP(A3177,'3. Call duration'!$A:$C,3,0),"--")</f>
        <v>26.4034319</v>
      </c>
      <c r="J3177" s="65" t="str">
        <f t="array" ref="J3177">XLOOKUP(H3177,'2. Matching'!$A$2:$A$39,'2. Matching'!$B$2:$B$39,"--")</f>
        <v>SEO</v>
      </c>
      <c r="K3177" s="65" t="str">
        <f t="shared" si="1"/>
        <v>In</v>
      </c>
    </row>
    <row r="3178">
      <c r="A3178" s="62" t="s">
        <v>3316</v>
      </c>
      <c r="B3178" s="63">
        <v>44100.0</v>
      </c>
      <c r="C3178" s="62" t="s">
        <v>119</v>
      </c>
      <c r="D3178" s="64">
        <v>42.5</v>
      </c>
      <c r="E3178" s="62" t="s">
        <v>109</v>
      </c>
      <c r="F3178" s="62" t="s">
        <v>115</v>
      </c>
      <c r="G3178" s="64" t="s">
        <v>64</v>
      </c>
      <c r="H3178" s="3" t="s">
        <v>139</v>
      </c>
      <c r="I3178" s="65">
        <f>IFERROR(VLOOKUP(A3178,'3. Call duration'!$A:$C,3,0),"--")</f>
        <v>32.31520269</v>
      </c>
      <c r="J3178" s="65" t="str">
        <f t="array" ref="J3178">XLOOKUP(H3178,'2. Matching'!$A$2:$A$39,'2. Matching'!$B$2:$B$39,"--")</f>
        <v>Acquisition</v>
      </c>
      <c r="K3178" s="65" t="str">
        <f t="shared" si="1"/>
        <v>In</v>
      </c>
    </row>
    <row r="3179">
      <c r="A3179" s="62" t="s">
        <v>3317</v>
      </c>
      <c r="B3179" s="63">
        <v>44224.0</v>
      </c>
      <c r="C3179" s="62" t="s">
        <v>119</v>
      </c>
      <c r="D3179" s="64">
        <v>42.5</v>
      </c>
      <c r="E3179" s="62" t="s">
        <v>109</v>
      </c>
      <c r="F3179" s="62" t="s">
        <v>115</v>
      </c>
      <c r="G3179" s="64" t="s">
        <v>64</v>
      </c>
      <c r="H3179" s="3" t="s">
        <v>175</v>
      </c>
      <c r="I3179" s="65">
        <f>IFERROR(VLOOKUP(A3179,'3. Call duration'!$A:$C,3,0),"--")</f>
        <v>27.49564542</v>
      </c>
      <c r="J3179" s="65" t="str">
        <f t="array" ref="J3179">XLOOKUP(H3179,'2. Matching'!$A$2:$A$39,'2. Matching'!$B$2:$B$39,"--")</f>
        <v>SEO</v>
      </c>
      <c r="K3179" s="65" t="str">
        <f t="shared" si="1"/>
        <v>In</v>
      </c>
    </row>
    <row r="3180">
      <c r="A3180" s="62" t="s">
        <v>3318</v>
      </c>
      <c r="B3180" s="63">
        <v>44104.0</v>
      </c>
      <c r="C3180" s="62" t="s">
        <v>119</v>
      </c>
      <c r="D3180" s="64">
        <v>42.5</v>
      </c>
      <c r="E3180" s="62" t="s">
        <v>109</v>
      </c>
      <c r="F3180" s="62" t="s">
        <v>115</v>
      </c>
      <c r="G3180" s="64" t="s">
        <v>64</v>
      </c>
      <c r="H3180" s="3" t="s">
        <v>139</v>
      </c>
      <c r="I3180" s="65">
        <f>IFERROR(VLOOKUP(A3180,'3. Call duration'!$A:$C,3,0),"--")</f>
        <v>31.72160913</v>
      </c>
      <c r="J3180" s="65" t="str">
        <f t="array" ref="J3180">XLOOKUP(H3180,'2. Matching'!$A$2:$A$39,'2. Matching'!$B$2:$B$39,"--")</f>
        <v>Acquisition</v>
      </c>
      <c r="K3180" s="65" t="str">
        <f t="shared" si="1"/>
        <v>In</v>
      </c>
    </row>
    <row r="3181">
      <c r="A3181" s="62" t="s">
        <v>3319</v>
      </c>
      <c r="B3181" s="63">
        <v>44107.0</v>
      </c>
      <c r="C3181" s="62" t="s">
        <v>119</v>
      </c>
      <c r="D3181" s="64">
        <v>42.5</v>
      </c>
      <c r="E3181" s="62" t="s">
        <v>109</v>
      </c>
      <c r="F3181" s="62" t="s">
        <v>115</v>
      </c>
      <c r="G3181" s="64" t="s">
        <v>64</v>
      </c>
      <c r="H3181" s="3" t="s">
        <v>171</v>
      </c>
      <c r="I3181" s="65">
        <f>IFERROR(VLOOKUP(A3181,'3. Call duration'!$A:$C,3,0),"--")</f>
        <v>30.12177697</v>
      </c>
      <c r="J3181" s="65" t="str">
        <f t="array" ref="J3181">XLOOKUP(H3181,'2. Matching'!$A$2:$A$39,'2. Matching'!$B$2:$B$39,"--")</f>
        <v>SEO</v>
      </c>
      <c r="K3181" s="65" t="str">
        <f t="shared" si="1"/>
        <v>In</v>
      </c>
    </row>
    <row r="3182">
      <c r="A3182" s="62" t="s">
        <v>3320</v>
      </c>
      <c r="B3182" s="63">
        <v>44097.0</v>
      </c>
      <c r="C3182" s="62" t="s">
        <v>119</v>
      </c>
      <c r="D3182" s="64">
        <v>42.5</v>
      </c>
      <c r="E3182" s="62" t="s">
        <v>109</v>
      </c>
      <c r="F3182" s="62" t="s">
        <v>115</v>
      </c>
      <c r="G3182" s="64" t="s">
        <v>64</v>
      </c>
      <c r="H3182" s="3" t="s">
        <v>139</v>
      </c>
      <c r="I3182" s="65">
        <f>IFERROR(VLOOKUP(A3182,'3. Call duration'!$A:$C,3,0),"--")</f>
        <v>30.10035707</v>
      </c>
      <c r="J3182" s="65" t="str">
        <f t="array" ref="J3182">XLOOKUP(H3182,'2. Matching'!$A$2:$A$39,'2. Matching'!$B$2:$B$39,"--")</f>
        <v>Acquisition</v>
      </c>
      <c r="K3182" s="65" t="str">
        <f t="shared" si="1"/>
        <v>In</v>
      </c>
    </row>
    <row r="3183">
      <c r="A3183" s="62" t="s">
        <v>3321</v>
      </c>
      <c r="B3183" s="63">
        <v>44091.0</v>
      </c>
      <c r="C3183" s="62" t="s">
        <v>119</v>
      </c>
      <c r="D3183" s="64">
        <v>42.5</v>
      </c>
      <c r="E3183" s="62" t="s">
        <v>109</v>
      </c>
      <c r="F3183" s="62" t="s">
        <v>115</v>
      </c>
      <c r="G3183" s="64" t="s">
        <v>64</v>
      </c>
      <c r="H3183" s="3" t="s">
        <v>155</v>
      </c>
      <c r="I3183" s="65">
        <f>IFERROR(VLOOKUP(A3183,'3. Call duration'!$A:$C,3,0),"--")</f>
        <v>31.40766149</v>
      </c>
      <c r="J3183" s="65" t="str">
        <f t="array" ref="J3183">XLOOKUP(H3183,'2. Matching'!$A$2:$A$39,'2. Matching'!$B$2:$B$39,"--")</f>
        <v>SEO</v>
      </c>
      <c r="K3183" s="65" t="str">
        <f t="shared" si="1"/>
        <v>In</v>
      </c>
    </row>
    <row r="3184">
      <c r="A3184" s="62" t="s">
        <v>3322</v>
      </c>
      <c r="B3184" s="63">
        <v>44233.0</v>
      </c>
      <c r="C3184" s="62" t="s">
        <v>119</v>
      </c>
      <c r="D3184" s="64">
        <v>42.5</v>
      </c>
      <c r="E3184" s="62" t="s">
        <v>109</v>
      </c>
      <c r="F3184" s="62" t="s">
        <v>115</v>
      </c>
      <c r="G3184" s="64" t="s">
        <v>64</v>
      </c>
      <c r="H3184" s="3" t="s">
        <v>139</v>
      </c>
      <c r="I3184" s="65">
        <f>IFERROR(VLOOKUP(A3184,'3. Call duration'!$A:$C,3,0),"--")</f>
        <v>11.48899813</v>
      </c>
      <c r="J3184" s="65" t="str">
        <f t="array" ref="J3184">XLOOKUP(H3184,'2. Matching'!$A$2:$A$39,'2. Matching'!$B$2:$B$39,"--")</f>
        <v>Acquisition</v>
      </c>
      <c r="K3184" s="65" t="str">
        <f t="shared" si="1"/>
        <v>In</v>
      </c>
    </row>
    <row r="3185">
      <c r="A3185" s="62" t="s">
        <v>3323</v>
      </c>
      <c r="B3185" s="63">
        <v>44193.0</v>
      </c>
      <c r="C3185" s="62" t="s">
        <v>119</v>
      </c>
      <c r="D3185" s="64">
        <v>42.5</v>
      </c>
      <c r="E3185" s="62" t="s">
        <v>109</v>
      </c>
      <c r="F3185" s="62" t="s">
        <v>115</v>
      </c>
      <c r="G3185" s="64" t="s">
        <v>64</v>
      </c>
      <c r="H3185" s="3" t="s">
        <v>131</v>
      </c>
      <c r="I3185" s="65">
        <f>IFERROR(VLOOKUP(A3185,'3. Call duration'!$A:$C,3,0),"--")</f>
        <v>30.68748609</v>
      </c>
      <c r="J3185" s="65" t="str">
        <f t="array" ref="J3185">XLOOKUP(H3185,'2. Matching'!$A$2:$A$39,'2. Matching'!$B$2:$B$39,"--")</f>
        <v>Acquisition</v>
      </c>
      <c r="K3185" s="65" t="str">
        <f t="shared" si="1"/>
        <v>In</v>
      </c>
    </row>
    <row r="3186">
      <c r="A3186" s="62" t="s">
        <v>3324</v>
      </c>
      <c r="B3186" s="63">
        <v>44117.0</v>
      </c>
      <c r="C3186" s="62" t="s">
        <v>119</v>
      </c>
      <c r="D3186" s="64">
        <v>42.5</v>
      </c>
      <c r="E3186" s="62" t="s">
        <v>109</v>
      </c>
      <c r="F3186" s="62" t="s">
        <v>115</v>
      </c>
      <c r="G3186" s="64" t="s">
        <v>64</v>
      </c>
      <c r="H3186" s="3" t="s">
        <v>169</v>
      </c>
      <c r="I3186" s="65">
        <f>IFERROR(VLOOKUP(A3186,'3. Call duration'!$A:$C,3,0),"--")</f>
        <v>20.41151814</v>
      </c>
      <c r="J3186" s="65" t="str">
        <f t="array" ref="J3186">XLOOKUP(H3186,'2. Matching'!$A$2:$A$39,'2. Matching'!$B$2:$B$39,"--")</f>
        <v>SEO</v>
      </c>
      <c r="K3186" s="65" t="str">
        <f t="shared" si="1"/>
        <v>In</v>
      </c>
    </row>
    <row r="3187">
      <c r="A3187" s="62" t="s">
        <v>3325</v>
      </c>
      <c r="B3187" s="63">
        <v>44245.0</v>
      </c>
      <c r="C3187" s="62" t="s">
        <v>119</v>
      </c>
      <c r="D3187" s="64">
        <v>42.5</v>
      </c>
      <c r="E3187" s="62" t="s">
        <v>109</v>
      </c>
      <c r="F3187" s="62" t="s">
        <v>115</v>
      </c>
      <c r="G3187" s="64" t="s">
        <v>64</v>
      </c>
      <c r="H3187" s="3" t="s">
        <v>139</v>
      </c>
      <c r="I3187" s="65">
        <f>IFERROR(VLOOKUP(A3187,'3. Call duration'!$A:$C,3,0),"--")</f>
        <v>25.58488741</v>
      </c>
      <c r="J3187" s="65" t="str">
        <f t="array" ref="J3187">XLOOKUP(H3187,'2. Matching'!$A$2:$A$39,'2. Matching'!$B$2:$B$39,"--")</f>
        <v>Acquisition</v>
      </c>
      <c r="K3187" s="65" t="str">
        <f t="shared" si="1"/>
        <v>In</v>
      </c>
    </row>
    <row r="3188">
      <c r="A3188" s="62" t="s">
        <v>3326</v>
      </c>
      <c r="B3188" s="63">
        <v>44232.0</v>
      </c>
      <c r="C3188" s="62" t="s">
        <v>119</v>
      </c>
      <c r="D3188" s="64">
        <v>42.5</v>
      </c>
      <c r="E3188" s="62" t="s">
        <v>109</v>
      </c>
      <c r="F3188" s="62" t="s">
        <v>110</v>
      </c>
      <c r="G3188" s="64" t="s">
        <v>64</v>
      </c>
      <c r="H3188" s="3" t="s">
        <v>131</v>
      </c>
      <c r="I3188" s="65">
        <f>IFERROR(VLOOKUP(A3188,'3. Call duration'!$A:$C,3,0),"--")</f>
        <v>11.97289931</v>
      </c>
      <c r="J3188" s="65" t="str">
        <f t="array" ref="J3188">XLOOKUP(H3188,'2. Matching'!$A$2:$A$39,'2. Matching'!$B$2:$B$39,"--")</f>
        <v>Acquisition</v>
      </c>
      <c r="K3188" s="65" t="str">
        <f t="shared" si="1"/>
        <v>In</v>
      </c>
    </row>
    <row r="3189">
      <c r="A3189" s="62" t="s">
        <v>3327</v>
      </c>
      <c r="B3189" s="63">
        <v>44208.0</v>
      </c>
      <c r="C3189" s="62" t="s">
        <v>119</v>
      </c>
      <c r="D3189" s="64">
        <v>42.5</v>
      </c>
      <c r="E3189" s="62" t="s">
        <v>109</v>
      </c>
      <c r="F3189" s="62" t="s">
        <v>115</v>
      </c>
      <c r="G3189" s="64" t="s">
        <v>64</v>
      </c>
      <c r="H3189" s="3" t="s">
        <v>169</v>
      </c>
      <c r="I3189" s="65">
        <f>IFERROR(VLOOKUP(A3189,'3. Call duration'!$A:$C,3,0),"--")</f>
        <v>22.68600704</v>
      </c>
      <c r="J3189" s="65" t="str">
        <f t="array" ref="J3189">XLOOKUP(H3189,'2. Matching'!$A$2:$A$39,'2. Matching'!$B$2:$B$39,"--")</f>
        <v>SEO</v>
      </c>
      <c r="K3189" s="65" t="str">
        <f t="shared" si="1"/>
        <v>In</v>
      </c>
    </row>
    <row r="3190">
      <c r="A3190" s="62" t="s">
        <v>3328</v>
      </c>
      <c r="B3190" s="63">
        <v>44097.0</v>
      </c>
      <c r="C3190" s="62" t="s">
        <v>119</v>
      </c>
      <c r="D3190" s="64">
        <v>42.5</v>
      </c>
      <c r="E3190" s="62" t="s">
        <v>109</v>
      </c>
      <c r="F3190" s="62" t="s">
        <v>110</v>
      </c>
      <c r="G3190" s="64" t="s">
        <v>64</v>
      </c>
      <c r="H3190" s="3" t="s">
        <v>169</v>
      </c>
      <c r="I3190" s="65">
        <f>IFERROR(VLOOKUP(A3190,'3. Call duration'!$A:$C,3,0),"--")</f>
        <v>22.2756838</v>
      </c>
      <c r="J3190" s="65" t="str">
        <f t="array" ref="J3190">XLOOKUP(H3190,'2. Matching'!$A$2:$A$39,'2. Matching'!$B$2:$B$39,"--")</f>
        <v>SEO</v>
      </c>
      <c r="K3190" s="65" t="str">
        <f t="shared" si="1"/>
        <v>In</v>
      </c>
    </row>
    <row r="3191">
      <c r="A3191" s="62" t="s">
        <v>3329</v>
      </c>
      <c r="B3191" s="63">
        <v>44177.0</v>
      </c>
      <c r="C3191" s="62" t="s">
        <v>119</v>
      </c>
      <c r="D3191" s="64">
        <v>42.5</v>
      </c>
      <c r="E3191" s="62" t="s">
        <v>109</v>
      </c>
      <c r="F3191" s="62" t="s">
        <v>115</v>
      </c>
      <c r="G3191" s="64" t="s">
        <v>64</v>
      </c>
      <c r="H3191" s="3" t="s">
        <v>175</v>
      </c>
      <c r="I3191" s="65">
        <f>IFERROR(VLOOKUP(A3191,'3. Call duration'!$A:$C,3,0),"--")</f>
        <v>14.58460667</v>
      </c>
      <c r="J3191" s="65" t="str">
        <f t="array" ref="J3191">XLOOKUP(H3191,'2. Matching'!$A$2:$A$39,'2. Matching'!$B$2:$B$39,"--")</f>
        <v>SEO</v>
      </c>
      <c r="K3191" s="65" t="str">
        <f t="shared" si="1"/>
        <v>In</v>
      </c>
    </row>
    <row r="3192">
      <c r="A3192" s="62" t="s">
        <v>3330</v>
      </c>
      <c r="B3192" s="63">
        <v>44214.0</v>
      </c>
      <c r="C3192" s="62" t="s">
        <v>119</v>
      </c>
      <c r="D3192" s="64">
        <v>42.5</v>
      </c>
      <c r="E3192" s="62" t="s">
        <v>109</v>
      </c>
      <c r="F3192" s="62" t="s">
        <v>115</v>
      </c>
      <c r="G3192" s="64" t="s">
        <v>64</v>
      </c>
      <c r="H3192" s="3" t="s">
        <v>175</v>
      </c>
      <c r="I3192" s="65">
        <f>IFERROR(VLOOKUP(A3192,'3. Call duration'!$A:$C,3,0),"--")</f>
        <v>29.94340883</v>
      </c>
      <c r="J3192" s="65" t="str">
        <f t="array" ref="J3192">XLOOKUP(H3192,'2. Matching'!$A$2:$A$39,'2. Matching'!$B$2:$B$39,"--")</f>
        <v>SEO</v>
      </c>
      <c r="K3192" s="65" t="str">
        <f t="shared" si="1"/>
        <v>In</v>
      </c>
    </row>
    <row r="3193">
      <c r="A3193" s="62" t="s">
        <v>3331</v>
      </c>
      <c r="B3193" s="63">
        <v>44204.0</v>
      </c>
      <c r="C3193" s="62" t="s">
        <v>119</v>
      </c>
      <c r="D3193" s="64">
        <v>42.5</v>
      </c>
      <c r="E3193" s="62" t="s">
        <v>109</v>
      </c>
      <c r="F3193" s="62" t="s">
        <v>115</v>
      </c>
      <c r="G3193" s="64" t="s">
        <v>64</v>
      </c>
      <c r="H3193" s="3" t="s">
        <v>139</v>
      </c>
      <c r="I3193" s="65">
        <f>IFERROR(VLOOKUP(A3193,'3. Call duration'!$A:$C,3,0),"--")</f>
        <v>24.24251555</v>
      </c>
      <c r="J3193" s="65" t="str">
        <f t="array" ref="J3193">XLOOKUP(H3193,'2. Matching'!$A$2:$A$39,'2. Matching'!$B$2:$B$39,"--")</f>
        <v>Acquisition</v>
      </c>
      <c r="K3193" s="65" t="str">
        <f t="shared" si="1"/>
        <v>In</v>
      </c>
    </row>
    <row r="3194">
      <c r="A3194" s="62" t="s">
        <v>3332</v>
      </c>
      <c r="B3194" s="63">
        <v>44190.0</v>
      </c>
      <c r="C3194" s="62" t="s">
        <v>119</v>
      </c>
      <c r="D3194" s="64">
        <v>42.5</v>
      </c>
      <c r="E3194" s="62" t="s">
        <v>109</v>
      </c>
      <c r="F3194" s="62" t="s">
        <v>115</v>
      </c>
      <c r="G3194" s="64" t="s">
        <v>64</v>
      </c>
      <c r="H3194" s="3" t="s">
        <v>139</v>
      </c>
      <c r="I3194" s="65">
        <f>IFERROR(VLOOKUP(A3194,'3. Call duration'!$A:$C,3,0),"--")</f>
        <v>28.03989096</v>
      </c>
      <c r="J3194" s="65" t="str">
        <f t="array" ref="J3194">XLOOKUP(H3194,'2. Matching'!$A$2:$A$39,'2. Matching'!$B$2:$B$39,"--")</f>
        <v>Acquisition</v>
      </c>
      <c r="K3194" s="65" t="str">
        <f t="shared" si="1"/>
        <v>In</v>
      </c>
    </row>
    <row r="3195">
      <c r="A3195" s="62" t="s">
        <v>3333</v>
      </c>
      <c r="B3195" s="63">
        <v>44180.0</v>
      </c>
      <c r="C3195" s="62" t="s">
        <v>119</v>
      </c>
      <c r="D3195" s="64">
        <v>42.5</v>
      </c>
      <c r="E3195" s="62" t="s">
        <v>109</v>
      </c>
      <c r="F3195" s="62" t="s">
        <v>115</v>
      </c>
      <c r="G3195" s="64" t="s">
        <v>64</v>
      </c>
      <c r="H3195" s="3" t="s">
        <v>139</v>
      </c>
      <c r="I3195" s="65">
        <f>IFERROR(VLOOKUP(A3195,'3. Call duration'!$A:$C,3,0),"--")</f>
        <v>13.07735556</v>
      </c>
      <c r="J3195" s="65" t="str">
        <f t="array" ref="J3195">XLOOKUP(H3195,'2. Matching'!$A$2:$A$39,'2. Matching'!$B$2:$B$39,"--")</f>
        <v>Acquisition</v>
      </c>
      <c r="K3195" s="65" t="str">
        <f t="shared" si="1"/>
        <v>In</v>
      </c>
    </row>
    <row r="3196">
      <c r="A3196" s="62" t="s">
        <v>3334</v>
      </c>
      <c r="B3196" s="63">
        <v>44207.0</v>
      </c>
      <c r="C3196" s="62" t="s">
        <v>119</v>
      </c>
      <c r="D3196" s="64">
        <v>42.5</v>
      </c>
      <c r="E3196" s="62" t="s">
        <v>109</v>
      </c>
      <c r="F3196" s="62" t="s">
        <v>115</v>
      </c>
      <c r="G3196" s="64" t="s">
        <v>64</v>
      </c>
      <c r="H3196" s="3" t="s">
        <v>169</v>
      </c>
      <c r="I3196" s="65">
        <f>IFERROR(VLOOKUP(A3196,'3. Call duration'!$A:$C,3,0),"--")</f>
        <v>21.36596287</v>
      </c>
      <c r="J3196" s="65" t="str">
        <f t="array" ref="J3196">XLOOKUP(H3196,'2. Matching'!$A$2:$A$39,'2. Matching'!$B$2:$B$39,"--")</f>
        <v>SEO</v>
      </c>
      <c r="K3196" s="65" t="str">
        <f t="shared" si="1"/>
        <v>In</v>
      </c>
    </row>
    <row r="3197">
      <c r="A3197" s="62" t="s">
        <v>3335</v>
      </c>
      <c r="B3197" s="63">
        <v>44161.0</v>
      </c>
      <c r="C3197" s="62" t="s">
        <v>119</v>
      </c>
      <c r="D3197" s="64">
        <v>42.5</v>
      </c>
      <c r="E3197" s="62" t="s">
        <v>109</v>
      </c>
      <c r="F3197" s="62" t="s">
        <v>110</v>
      </c>
      <c r="G3197" s="64" t="s">
        <v>64</v>
      </c>
      <c r="H3197" s="3" t="s">
        <v>131</v>
      </c>
      <c r="I3197" s="65">
        <f>IFERROR(VLOOKUP(A3197,'3. Call duration'!$A:$C,3,0),"--")</f>
        <v>21.65469312</v>
      </c>
      <c r="J3197" s="65" t="str">
        <f t="array" ref="J3197">XLOOKUP(H3197,'2. Matching'!$A$2:$A$39,'2. Matching'!$B$2:$B$39,"--")</f>
        <v>Acquisition</v>
      </c>
      <c r="K3197" s="65" t="str">
        <f t="shared" si="1"/>
        <v>In</v>
      </c>
    </row>
    <row r="3198">
      <c r="A3198" s="62" t="s">
        <v>3336</v>
      </c>
      <c r="B3198" s="63">
        <v>44132.0</v>
      </c>
      <c r="C3198" s="62" t="s">
        <v>119</v>
      </c>
      <c r="D3198" s="64">
        <v>42.5</v>
      </c>
      <c r="E3198" s="62" t="s">
        <v>109</v>
      </c>
      <c r="F3198" s="62" t="s">
        <v>110</v>
      </c>
      <c r="G3198" s="64" t="s">
        <v>64</v>
      </c>
      <c r="H3198" s="3" t="s">
        <v>155</v>
      </c>
      <c r="I3198" s="65">
        <f>IFERROR(VLOOKUP(A3198,'3. Call duration'!$A:$C,3,0),"--")</f>
        <v>20.42648086</v>
      </c>
      <c r="J3198" s="65" t="str">
        <f t="array" ref="J3198">XLOOKUP(H3198,'2. Matching'!$A$2:$A$39,'2. Matching'!$B$2:$B$39,"--")</f>
        <v>SEO</v>
      </c>
      <c r="K3198" s="65" t="str">
        <f t="shared" si="1"/>
        <v>In</v>
      </c>
    </row>
    <row r="3199">
      <c r="A3199" s="62" t="s">
        <v>3337</v>
      </c>
      <c r="B3199" s="63">
        <v>44223.0</v>
      </c>
      <c r="C3199" s="62" t="s">
        <v>119</v>
      </c>
      <c r="D3199" s="64">
        <v>42.5</v>
      </c>
      <c r="E3199" s="62" t="s">
        <v>109</v>
      </c>
      <c r="F3199" s="62" t="s">
        <v>110</v>
      </c>
      <c r="G3199" s="64" t="s">
        <v>64</v>
      </c>
      <c r="H3199" s="3" t="s">
        <v>131</v>
      </c>
      <c r="I3199" s="65">
        <f>IFERROR(VLOOKUP(A3199,'3. Call duration'!$A:$C,3,0),"--")</f>
        <v>21.91928319</v>
      </c>
      <c r="J3199" s="65" t="str">
        <f t="array" ref="J3199">XLOOKUP(H3199,'2. Matching'!$A$2:$A$39,'2. Matching'!$B$2:$B$39,"--")</f>
        <v>Acquisition</v>
      </c>
      <c r="K3199" s="65" t="str">
        <f t="shared" si="1"/>
        <v>In</v>
      </c>
    </row>
    <row r="3200">
      <c r="A3200" s="62" t="s">
        <v>3338</v>
      </c>
      <c r="B3200" s="63">
        <v>44090.0</v>
      </c>
      <c r="C3200" s="62" t="s">
        <v>119</v>
      </c>
      <c r="D3200" s="64">
        <v>42.5</v>
      </c>
      <c r="E3200" s="62" t="s">
        <v>109</v>
      </c>
      <c r="F3200" s="62" t="s">
        <v>115</v>
      </c>
      <c r="G3200" s="64" t="s">
        <v>64</v>
      </c>
      <c r="H3200" s="3" t="s">
        <v>150</v>
      </c>
      <c r="I3200" s="65">
        <f>IFERROR(VLOOKUP(A3200,'3. Call duration'!$A:$C,3,0),"--")</f>
        <v>32.9493153</v>
      </c>
      <c r="J3200" s="65" t="str">
        <f t="array" ref="J3200">XLOOKUP(H3200,'2. Matching'!$A$2:$A$39,'2. Matching'!$B$2:$B$39,"--")</f>
        <v>SEO</v>
      </c>
      <c r="K3200" s="65" t="str">
        <f t="shared" si="1"/>
        <v>In</v>
      </c>
    </row>
    <row r="3201">
      <c r="A3201" s="62" t="s">
        <v>3339</v>
      </c>
      <c r="B3201" s="63">
        <v>44166.0</v>
      </c>
      <c r="C3201" s="62" t="s">
        <v>119</v>
      </c>
      <c r="D3201" s="64">
        <v>42.5</v>
      </c>
      <c r="E3201" s="62" t="s">
        <v>109</v>
      </c>
      <c r="F3201" s="62" t="s">
        <v>115</v>
      </c>
      <c r="G3201" s="64" t="s">
        <v>64</v>
      </c>
      <c r="H3201" s="3" t="s">
        <v>139</v>
      </c>
      <c r="I3201" s="65">
        <f>IFERROR(VLOOKUP(A3201,'3. Call duration'!$A:$C,3,0),"--")</f>
        <v>33.29147449</v>
      </c>
      <c r="J3201" s="65" t="str">
        <f t="array" ref="J3201">XLOOKUP(H3201,'2. Matching'!$A$2:$A$39,'2. Matching'!$B$2:$B$39,"--")</f>
        <v>Acquisition</v>
      </c>
      <c r="K3201" s="65" t="str">
        <f t="shared" si="1"/>
        <v>In</v>
      </c>
    </row>
    <row r="3202">
      <c r="A3202" s="62" t="s">
        <v>3340</v>
      </c>
      <c r="B3202" s="63">
        <v>44163.0</v>
      </c>
      <c r="C3202" s="62" t="s">
        <v>119</v>
      </c>
      <c r="D3202" s="64">
        <v>42.5</v>
      </c>
      <c r="E3202" s="62" t="s">
        <v>109</v>
      </c>
      <c r="F3202" s="62" t="s">
        <v>115</v>
      </c>
      <c r="G3202" s="64" t="s">
        <v>62</v>
      </c>
      <c r="H3202" s="3" t="s">
        <v>286</v>
      </c>
      <c r="I3202" s="65">
        <f>IFERROR(VLOOKUP(A3202,'3. Call duration'!$A:$C,3,0),"--")</f>
        <v>24.01369242</v>
      </c>
      <c r="J3202" s="65" t="str">
        <f t="array" ref="J3202">XLOOKUP(H3202,'2. Matching'!$A$2:$A$39,'2. Matching'!$B$2:$B$39,"--")</f>
        <v>Farming</v>
      </c>
      <c r="K3202" s="65" t="str">
        <f t="shared" si="1"/>
        <v>In</v>
      </c>
    </row>
    <row r="3203">
      <c r="A3203" s="62" t="s">
        <v>3341</v>
      </c>
      <c r="B3203" s="63">
        <v>44245.0</v>
      </c>
      <c r="C3203" s="62" t="s">
        <v>119</v>
      </c>
      <c r="D3203" s="64">
        <v>42.5</v>
      </c>
      <c r="E3203" s="62" t="s">
        <v>109</v>
      </c>
      <c r="F3203" s="62" t="s">
        <v>115</v>
      </c>
      <c r="G3203" s="64" t="s">
        <v>64</v>
      </c>
      <c r="H3203" s="3" t="s">
        <v>155</v>
      </c>
      <c r="I3203" s="65">
        <f>IFERROR(VLOOKUP(A3203,'3. Call duration'!$A:$C,3,0),"--")</f>
        <v>32.86546084</v>
      </c>
      <c r="J3203" s="65" t="str">
        <f t="array" ref="J3203">XLOOKUP(H3203,'2. Matching'!$A$2:$A$39,'2. Matching'!$B$2:$B$39,"--")</f>
        <v>SEO</v>
      </c>
      <c r="K3203" s="65" t="str">
        <f t="shared" si="1"/>
        <v>In</v>
      </c>
    </row>
    <row r="3204">
      <c r="A3204" s="62" t="s">
        <v>3342</v>
      </c>
      <c r="B3204" s="63">
        <v>44105.0</v>
      </c>
      <c r="C3204" s="62" t="s">
        <v>119</v>
      </c>
      <c r="D3204" s="64">
        <v>42.5</v>
      </c>
      <c r="E3204" s="62" t="s">
        <v>109</v>
      </c>
      <c r="F3204" s="62" t="s">
        <v>115</v>
      </c>
      <c r="G3204" s="64" t="s">
        <v>64</v>
      </c>
      <c r="H3204" s="3" t="s">
        <v>139</v>
      </c>
      <c r="I3204" s="65">
        <f>IFERROR(VLOOKUP(A3204,'3. Call duration'!$A:$C,3,0),"--")</f>
        <v>23.04589372</v>
      </c>
      <c r="J3204" s="65" t="str">
        <f t="array" ref="J3204">XLOOKUP(H3204,'2. Matching'!$A$2:$A$39,'2. Matching'!$B$2:$B$39,"--")</f>
        <v>Acquisition</v>
      </c>
      <c r="K3204" s="65" t="str">
        <f t="shared" si="1"/>
        <v>In</v>
      </c>
    </row>
    <row r="3205">
      <c r="A3205" s="62" t="s">
        <v>3343</v>
      </c>
      <c r="B3205" s="63">
        <v>44229.0</v>
      </c>
      <c r="C3205" s="62" t="s">
        <v>119</v>
      </c>
      <c r="D3205" s="64">
        <v>42.5</v>
      </c>
      <c r="E3205" s="62" t="s">
        <v>109</v>
      </c>
      <c r="F3205" s="62" t="s">
        <v>110</v>
      </c>
      <c r="G3205" s="64" t="s">
        <v>64</v>
      </c>
      <c r="H3205" s="3" t="s">
        <v>145</v>
      </c>
      <c r="I3205" s="65">
        <f>IFERROR(VLOOKUP(A3205,'3. Call duration'!$A:$C,3,0),"--")</f>
        <v>46.32494518</v>
      </c>
      <c r="J3205" s="65" t="str">
        <f t="array" ref="J3205">XLOOKUP(H3205,'2. Matching'!$A$2:$A$39,'2. Matching'!$B$2:$B$39,"--")</f>
        <v>SEO</v>
      </c>
      <c r="K3205" s="65" t="str">
        <f t="shared" si="1"/>
        <v>In</v>
      </c>
    </row>
    <row r="3206">
      <c r="A3206" s="62" t="s">
        <v>3344</v>
      </c>
      <c r="B3206" s="63">
        <v>44078.0</v>
      </c>
      <c r="C3206" s="62" t="s">
        <v>119</v>
      </c>
      <c r="D3206" s="64">
        <v>42.5</v>
      </c>
      <c r="E3206" s="62" t="s">
        <v>109</v>
      </c>
      <c r="F3206" s="62" t="s">
        <v>110</v>
      </c>
      <c r="G3206" s="64" t="s">
        <v>64</v>
      </c>
      <c r="H3206" s="3" t="s">
        <v>139</v>
      </c>
      <c r="I3206" s="65">
        <f>IFERROR(VLOOKUP(A3206,'3. Call duration'!$A:$C,3,0),"--")</f>
        <v>26.66548491</v>
      </c>
      <c r="J3206" s="65" t="str">
        <f t="array" ref="J3206">XLOOKUP(H3206,'2. Matching'!$A$2:$A$39,'2. Matching'!$B$2:$B$39,"--")</f>
        <v>Acquisition</v>
      </c>
      <c r="K3206" s="65" t="str">
        <f t="shared" si="1"/>
        <v>In</v>
      </c>
    </row>
    <row r="3207">
      <c r="A3207" s="62" t="s">
        <v>3345</v>
      </c>
      <c r="B3207" s="63">
        <v>44238.0</v>
      </c>
      <c r="C3207" s="62" t="s">
        <v>119</v>
      </c>
      <c r="D3207" s="64">
        <v>42.5</v>
      </c>
      <c r="E3207" s="62" t="s">
        <v>109</v>
      </c>
      <c r="F3207" s="62" t="s">
        <v>110</v>
      </c>
      <c r="G3207" s="64" t="s">
        <v>64</v>
      </c>
      <c r="H3207" s="3" t="s">
        <v>139</v>
      </c>
      <c r="I3207" s="65">
        <f>IFERROR(VLOOKUP(A3207,'3. Call duration'!$A:$C,3,0),"--")</f>
        <v>44.88289343</v>
      </c>
      <c r="J3207" s="65" t="str">
        <f t="array" ref="J3207">XLOOKUP(H3207,'2. Matching'!$A$2:$A$39,'2. Matching'!$B$2:$B$39,"--")</f>
        <v>Acquisition</v>
      </c>
      <c r="K3207" s="65" t="str">
        <f t="shared" si="1"/>
        <v>In</v>
      </c>
    </row>
    <row r="3208">
      <c r="A3208" s="62" t="s">
        <v>3346</v>
      </c>
      <c r="B3208" s="63">
        <v>44165.0</v>
      </c>
      <c r="C3208" s="62" t="s">
        <v>119</v>
      </c>
      <c r="D3208" s="64">
        <v>42.5</v>
      </c>
      <c r="E3208" s="62" t="s">
        <v>109</v>
      </c>
      <c r="F3208" s="62" t="s">
        <v>115</v>
      </c>
      <c r="G3208" s="64" t="s">
        <v>64</v>
      </c>
      <c r="H3208" s="3" t="s">
        <v>155</v>
      </c>
      <c r="I3208" s="65">
        <f>IFERROR(VLOOKUP(A3208,'3. Call duration'!$A:$C,3,0),"--")</f>
        <v>13.81868728</v>
      </c>
      <c r="J3208" s="65" t="str">
        <f t="array" ref="J3208">XLOOKUP(H3208,'2. Matching'!$A$2:$A$39,'2. Matching'!$B$2:$B$39,"--")</f>
        <v>SEO</v>
      </c>
      <c r="K3208" s="65" t="str">
        <f t="shared" si="1"/>
        <v>In</v>
      </c>
    </row>
    <row r="3209">
      <c r="A3209" s="62" t="s">
        <v>3347</v>
      </c>
      <c r="B3209" s="63">
        <v>44219.0</v>
      </c>
      <c r="C3209" s="62" t="s">
        <v>119</v>
      </c>
      <c r="D3209" s="64">
        <v>42.5</v>
      </c>
      <c r="E3209" s="62" t="s">
        <v>109</v>
      </c>
      <c r="F3209" s="62" t="s">
        <v>115</v>
      </c>
      <c r="G3209" s="64" t="s">
        <v>64</v>
      </c>
      <c r="H3209" s="3" t="s">
        <v>139</v>
      </c>
      <c r="I3209" s="65">
        <f>IFERROR(VLOOKUP(A3209,'3. Call duration'!$A:$C,3,0),"--")</f>
        <v>13.70422432</v>
      </c>
      <c r="J3209" s="65" t="str">
        <f t="array" ref="J3209">XLOOKUP(H3209,'2. Matching'!$A$2:$A$39,'2. Matching'!$B$2:$B$39,"--")</f>
        <v>Acquisition</v>
      </c>
      <c r="K3209" s="65" t="str">
        <f t="shared" si="1"/>
        <v>In</v>
      </c>
    </row>
    <row r="3210">
      <c r="A3210" s="62" t="s">
        <v>3348</v>
      </c>
      <c r="B3210" s="63">
        <v>44224.0</v>
      </c>
      <c r="C3210" s="62" t="s">
        <v>119</v>
      </c>
      <c r="D3210" s="64">
        <v>42.5</v>
      </c>
      <c r="E3210" s="62" t="s">
        <v>109</v>
      </c>
      <c r="F3210" s="62" t="s">
        <v>110</v>
      </c>
      <c r="G3210" s="64" t="s">
        <v>64</v>
      </c>
      <c r="H3210" s="3" t="s">
        <v>131</v>
      </c>
      <c r="I3210" s="65">
        <f>IFERROR(VLOOKUP(A3210,'3. Call duration'!$A:$C,3,0),"--")</f>
        <v>44.40085168</v>
      </c>
      <c r="J3210" s="65" t="str">
        <f t="array" ref="J3210">XLOOKUP(H3210,'2. Matching'!$A$2:$A$39,'2. Matching'!$B$2:$B$39,"--")</f>
        <v>Acquisition</v>
      </c>
      <c r="K3210" s="65" t="str">
        <f t="shared" si="1"/>
        <v>In</v>
      </c>
    </row>
    <row r="3211">
      <c r="A3211" s="62" t="s">
        <v>3349</v>
      </c>
      <c r="B3211" s="63">
        <v>44100.0</v>
      </c>
      <c r="C3211" s="62" t="s">
        <v>119</v>
      </c>
      <c r="D3211" s="64">
        <v>42.5</v>
      </c>
      <c r="E3211" s="62" t="s">
        <v>109</v>
      </c>
      <c r="F3211" s="62" t="s">
        <v>115</v>
      </c>
      <c r="G3211" s="64" t="s">
        <v>64</v>
      </c>
      <c r="H3211" s="3" t="s">
        <v>139</v>
      </c>
      <c r="I3211" s="65">
        <f>IFERROR(VLOOKUP(A3211,'3. Call duration'!$A:$C,3,0),"--")</f>
        <v>23.22862842</v>
      </c>
      <c r="J3211" s="65" t="str">
        <f t="array" ref="J3211">XLOOKUP(H3211,'2. Matching'!$A$2:$A$39,'2. Matching'!$B$2:$B$39,"--")</f>
        <v>Acquisition</v>
      </c>
      <c r="K3211" s="65" t="str">
        <f t="shared" si="1"/>
        <v>In</v>
      </c>
    </row>
    <row r="3212">
      <c r="A3212" s="62" t="s">
        <v>3350</v>
      </c>
      <c r="B3212" s="63">
        <v>44223.0</v>
      </c>
      <c r="C3212" s="62" t="s">
        <v>119</v>
      </c>
      <c r="D3212" s="64">
        <v>42.5</v>
      </c>
      <c r="E3212" s="62" t="s">
        <v>109</v>
      </c>
      <c r="F3212" s="62" t="s">
        <v>115</v>
      </c>
      <c r="G3212" s="64" t="s">
        <v>64</v>
      </c>
      <c r="H3212" s="3" t="s">
        <v>164</v>
      </c>
      <c r="I3212" s="65">
        <f>IFERROR(VLOOKUP(A3212,'3. Call duration'!$A:$C,3,0),"--")</f>
        <v>10.49563401</v>
      </c>
      <c r="J3212" s="65" t="str">
        <f t="array" ref="J3212">XLOOKUP(H3212,'2. Matching'!$A$2:$A$39,'2. Matching'!$B$2:$B$39,"--")</f>
        <v>SEO</v>
      </c>
      <c r="K3212" s="65" t="str">
        <f t="shared" si="1"/>
        <v>In</v>
      </c>
    </row>
    <row r="3213">
      <c r="A3213" s="62" t="s">
        <v>3351</v>
      </c>
      <c r="B3213" s="63">
        <v>44230.0</v>
      </c>
      <c r="C3213" s="62" t="s">
        <v>119</v>
      </c>
      <c r="D3213" s="64">
        <v>42.5</v>
      </c>
      <c r="E3213" s="62" t="s">
        <v>109</v>
      </c>
      <c r="F3213" s="62" t="s">
        <v>115</v>
      </c>
      <c r="G3213" s="64" t="s">
        <v>64</v>
      </c>
      <c r="H3213" s="3" t="s">
        <v>150</v>
      </c>
      <c r="I3213" s="65">
        <f>IFERROR(VLOOKUP(A3213,'3. Call duration'!$A:$C,3,0),"--")</f>
        <v>23.06574083</v>
      </c>
      <c r="J3213" s="65" t="str">
        <f t="array" ref="J3213">XLOOKUP(H3213,'2. Matching'!$A$2:$A$39,'2. Matching'!$B$2:$B$39,"--")</f>
        <v>SEO</v>
      </c>
      <c r="K3213" s="65" t="str">
        <f t="shared" si="1"/>
        <v>In</v>
      </c>
    </row>
    <row r="3214">
      <c r="A3214" s="62" t="s">
        <v>3352</v>
      </c>
      <c r="B3214" s="63">
        <v>44223.0</v>
      </c>
      <c r="C3214" s="62" t="s">
        <v>119</v>
      </c>
      <c r="D3214" s="64">
        <v>42.5</v>
      </c>
      <c r="E3214" s="62" t="s">
        <v>109</v>
      </c>
      <c r="F3214" s="62" t="s">
        <v>115</v>
      </c>
      <c r="G3214" s="64" t="s">
        <v>64</v>
      </c>
      <c r="H3214" s="3" t="s">
        <v>175</v>
      </c>
      <c r="I3214" s="65">
        <f>IFERROR(VLOOKUP(A3214,'3. Call duration'!$A:$C,3,0),"--")</f>
        <v>24.01630216</v>
      </c>
      <c r="J3214" s="65" t="str">
        <f t="array" ref="J3214">XLOOKUP(H3214,'2. Matching'!$A$2:$A$39,'2. Matching'!$B$2:$B$39,"--")</f>
        <v>SEO</v>
      </c>
      <c r="K3214" s="65" t="str">
        <f t="shared" si="1"/>
        <v>In</v>
      </c>
    </row>
    <row r="3215">
      <c r="A3215" s="62" t="s">
        <v>3353</v>
      </c>
      <c r="B3215" s="63">
        <v>44134.0</v>
      </c>
      <c r="C3215" s="62" t="s">
        <v>119</v>
      </c>
      <c r="D3215" s="64">
        <v>42.5</v>
      </c>
      <c r="E3215" s="62" t="s">
        <v>109</v>
      </c>
      <c r="F3215" s="62" t="s">
        <v>110</v>
      </c>
      <c r="G3215" s="64" t="s">
        <v>64</v>
      </c>
      <c r="H3215" s="3" t="s">
        <v>175</v>
      </c>
      <c r="I3215" s="65">
        <f>IFERROR(VLOOKUP(A3215,'3. Call duration'!$A:$C,3,0),"--")</f>
        <v>33.55252056</v>
      </c>
      <c r="J3215" s="65" t="str">
        <f t="array" ref="J3215">XLOOKUP(H3215,'2. Matching'!$A$2:$A$39,'2. Matching'!$B$2:$B$39,"--")</f>
        <v>SEO</v>
      </c>
      <c r="K3215" s="65" t="str">
        <f t="shared" si="1"/>
        <v>In</v>
      </c>
    </row>
    <row r="3216">
      <c r="A3216" s="62" t="s">
        <v>3354</v>
      </c>
      <c r="B3216" s="63">
        <v>44252.0</v>
      </c>
      <c r="C3216" s="62" t="s">
        <v>119</v>
      </c>
      <c r="D3216" s="64">
        <v>42.5</v>
      </c>
      <c r="E3216" s="62" t="s">
        <v>109</v>
      </c>
      <c r="F3216" s="62" t="s">
        <v>115</v>
      </c>
      <c r="G3216" s="64" t="s">
        <v>64</v>
      </c>
      <c r="H3216" s="3" t="s">
        <v>139</v>
      </c>
      <c r="I3216" s="65">
        <f>IFERROR(VLOOKUP(A3216,'3. Call duration'!$A:$C,3,0),"--")</f>
        <v>29.66213513</v>
      </c>
      <c r="J3216" s="65" t="str">
        <f t="array" ref="J3216">XLOOKUP(H3216,'2. Matching'!$A$2:$A$39,'2. Matching'!$B$2:$B$39,"--")</f>
        <v>Acquisition</v>
      </c>
      <c r="K3216" s="65" t="str">
        <f t="shared" si="1"/>
        <v>In</v>
      </c>
    </row>
    <row r="3217">
      <c r="A3217" s="62" t="s">
        <v>3355</v>
      </c>
      <c r="B3217" s="63">
        <v>44176.0</v>
      </c>
      <c r="C3217" s="62" t="s">
        <v>119</v>
      </c>
      <c r="D3217" s="64">
        <v>42.5</v>
      </c>
      <c r="E3217" s="62" t="s">
        <v>109</v>
      </c>
      <c r="F3217" s="62" t="s">
        <v>115</v>
      </c>
      <c r="G3217" s="64" t="s">
        <v>62</v>
      </c>
      <c r="H3217" s="3" t="s">
        <v>286</v>
      </c>
      <c r="I3217" s="65" t="str">
        <f>IFERROR(VLOOKUP(A3217,'3. Call duration'!$A:$C,3,0),"--")</f>
        <v>--</v>
      </c>
      <c r="J3217" s="65" t="str">
        <f t="array" ref="J3217">XLOOKUP(H3217,'2. Matching'!$A$2:$A$39,'2. Matching'!$B$2:$B$39,"--")</f>
        <v>Farming</v>
      </c>
      <c r="K3217" s="65" t="str">
        <f t="shared" si="1"/>
        <v>In</v>
      </c>
    </row>
    <row r="3218">
      <c r="A3218" s="62" t="s">
        <v>3356</v>
      </c>
      <c r="B3218" s="63">
        <v>44228.0</v>
      </c>
      <c r="C3218" s="62" t="s">
        <v>119</v>
      </c>
      <c r="D3218" s="64">
        <v>42.5</v>
      </c>
      <c r="E3218" s="62" t="s">
        <v>109</v>
      </c>
      <c r="F3218" s="62" t="s">
        <v>110</v>
      </c>
      <c r="G3218" s="64" t="s">
        <v>64</v>
      </c>
      <c r="H3218" s="3" t="s">
        <v>131</v>
      </c>
      <c r="I3218" s="65">
        <f>IFERROR(VLOOKUP(A3218,'3. Call duration'!$A:$C,3,0),"--")</f>
        <v>16.06617818</v>
      </c>
      <c r="J3218" s="65" t="str">
        <f t="array" ref="J3218">XLOOKUP(H3218,'2. Matching'!$A$2:$A$39,'2. Matching'!$B$2:$B$39,"--")</f>
        <v>Acquisition</v>
      </c>
      <c r="K3218" s="65" t="str">
        <f t="shared" si="1"/>
        <v>In</v>
      </c>
    </row>
    <row r="3219">
      <c r="A3219" s="62" t="s">
        <v>3357</v>
      </c>
      <c r="B3219" s="63">
        <v>44103.0</v>
      </c>
      <c r="C3219" s="62" t="s">
        <v>119</v>
      </c>
      <c r="D3219" s="64">
        <v>42.5</v>
      </c>
      <c r="E3219" s="62" t="s">
        <v>109</v>
      </c>
      <c r="F3219" s="62" t="s">
        <v>115</v>
      </c>
      <c r="G3219" s="64" t="s">
        <v>64</v>
      </c>
      <c r="H3219" s="3" t="s">
        <v>145</v>
      </c>
      <c r="I3219" s="65">
        <f>IFERROR(VLOOKUP(A3219,'3. Call duration'!$A:$C,3,0),"--")</f>
        <v>23.82906578</v>
      </c>
      <c r="J3219" s="65" t="str">
        <f t="array" ref="J3219">XLOOKUP(H3219,'2. Matching'!$A$2:$A$39,'2. Matching'!$B$2:$B$39,"--")</f>
        <v>SEO</v>
      </c>
      <c r="K3219" s="65" t="str">
        <f t="shared" si="1"/>
        <v>In</v>
      </c>
    </row>
    <row r="3220">
      <c r="A3220" s="62" t="s">
        <v>3358</v>
      </c>
      <c r="B3220" s="63">
        <v>44215.0</v>
      </c>
      <c r="C3220" s="62" t="s">
        <v>119</v>
      </c>
      <c r="D3220" s="64">
        <v>42.5</v>
      </c>
      <c r="E3220" s="62" t="s">
        <v>109</v>
      </c>
      <c r="F3220" s="62" t="s">
        <v>115</v>
      </c>
      <c r="G3220" s="64" t="s">
        <v>62</v>
      </c>
      <c r="H3220" s="3" t="s">
        <v>286</v>
      </c>
      <c r="I3220" s="65">
        <f>IFERROR(VLOOKUP(A3220,'3. Call duration'!$A:$C,3,0),"--")</f>
        <v>45.10203622</v>
      </c>
      <c r="J3220" s="65" t="str">
        <f t="array" ref="J3220">XLOOKUP(H3220,'2. Matching'!$A$2:$A$39,'2. Matching'!$B$2:$B$39,"--")</f>
        <v>Farming</v>
      </c>
      <c r="K3220" s="65" t="str">
        <f t="shared" si="1"/>
        <v>In</v>
      </c>
    </row>
    <row r="3221">
      <c r="A3221" s="62" t="s">
        <v>3359</v>
      </c>
      <c r="B3221" s="63">
        <v>44230.0</v>
      </c>
      <c r="C3221" s="62" t="s">
        <v>119</v>
      </c>
      <c r="D3221" s="64">
        <v>42.5</v>
      </c>
      <c r="E3221" s="62" t="s">
        <v>109</v>
      </c>
      <c r="F3221" s="62" t="s">
        <v>115</v>
      </c>
      <c r="G3221" s="64" t="s">
        <v>64</v>
      </c>
      <c r="H3221" s="3" t="s">
        <v>164</v>
      </c>
      <c r="I3221" s="65">
        <f>IFERROR(VLOOKUP(A3221,'3. Call duration'!$A:$C,3,0),"--")</f>
        <v>15.5553725</v>
      </c>
      <c r="J3221" s="65" t="str">
        <f t="array" ref="J3221">XLOOKUP(H3221,'2. Matching'!$A$2:$A$39,'2. Matching'!$B$2:$B$39,"--")</f>
        <v>SEO</v>
      </c>
      <c r="K3221" s="65" t="str">
        <f t="shared" si="1"/>
        <v>In</v>
      </c>
    </row>
    <row r="3222">
      <c r="A3222" s="62" t="s">
        <v>3360</v>
      </c>
      <c r="B3222" s="63">
        <v>44223.0</v>
      </c>
      <c r="C3222" s="62" t="s">
        <v>119</v>
      </c>
      <c r="D3222" s="64">
        <v>42.5</v>
      </c>
      <c r="E3222" s="62" t="s">
        <v>109</v>
      </c>
      <c r="F3222" s="62" t="s">
        <v>115</v>
      </c>
      <c r="G3222" s="64" t="s">
        <v>64</v>
      </c>
      <c r="H3222" s="3" t="s">
        <v>164</v>
      </c>
      <c r="I3222" s="65">
        <f>IFERROR(VLOOKUP(A3222,'3. Call duration'!$A:$C,3,0),"--")</f>
        <v>15.28731708</v>
      </c>
      <c r="J3222" s="65" t="str">
        <f t="array" ref="J3222">XLOOKUP(H3222,'2. Matching'!$A$2:$A$39,'2. Matching'!$B$2:$B$39,"--")</f>
        <v>SEO</v>
      </c>
      <c r="K3222" s="65" t="str">
        <f t="shared" si="1"/>
        <v>In</v>
      </c>
    </row>
    <row r="3223">
      <c r="A3223" s="62" t="s">
        <v>3361</v>
      </c>
      <c r="B3223" s="63">
        <v>44228.0</v>
      </c>
      <c r="C3223" s="62" t="s">
        <v>119</v>
      </c>
      <c r="D3223" s="64">
        <v>42.5</v>
      </c>
      <c r="E3223" s="62" t="s">
        <v>109</v>
      </c>
      <c r="F3223" s="62" t="s">
        <v>110</v>
      </c>
      <c r="G3223" s="64" t="s">
        <v>64</v>
      </c>
      <c r="H3223" s="3" t="s">
        <v>131</v>
      </c>
      <c r="I3223" s="65">
        <f>IFERROR(VLOOKUP(A3223,'3. Call duration'!$A:$C,3,0),"--")</f>
        <v>30.55828408</v>
      </c>
      <c r="J3223" s="65" t="str">
        <f t="array" ref="J3223">XLOOKUP(H3223,'2. Matching'!$A$2:$A$39,'2. Matching'!$B$2:$B$39,"--")</f>
        <v>Acquisition</v>
      </c>
      <c r="K3223" s="65" t="str">
        <f t="shared" si="1"/>
        <v>In</v>
      </c>
    </row>
    <row r="3224">
      <c r="A3224" s="62" t="s">
        <v>3362</v>
      </c>
      <c r="B3224" s="63">
        <v>44230.0</v>
      </c>
      <c r="C3224" s="62" t="s">
        <v>119</v>
      </c>
      <c r="D3224" s="64">
        <v>42.5</v>
      </c>
      <c r="E3224" s="62" t="s">
        <v>109</v>
      </c>
      <c r="F3224" s="62" t="s">
        <v>115</v>
      </c>
      <c r="G3224" s="64" t="s">
        <v>64</v>
      </c>
      <c r="H3224" s="3" t="s">
        <v>131</v>
      </c>
      <c r="I3224" s="65" t="str">
        <f>IFERROR(VLOOKUP(A3224,'3. Call duration'!$A:$C,3,0),"--")</f>
        <v>--</v>
      </c>
      <c r="J3224" s="65" t="str">
        <f t="array" ref="J3224">XLOOKUP(H3224,'2. Matching'!$A$2:$A$39,'2. Matching'!$B$2:$B$39,"--")</f>
        <v>Acquisition</v>
      </c>
      <c r="K3224" s="65" t="str">
        <f t="shared" si="1"/>
        <v>In</v>
      </c>
    </row>
    <row r="3225">
      <c r="A3225" s="62" t="s">
        <v>3363</v>
      </c>
      <c r="B3225" s="63">
        <v>44234.0</v>
      </c>
      <c r="C3225" s="62" t="s">
        <v>119</v>
      </c>
      <c r="D3225" s="64">
        <v>42.5</v>
      </c>
      <c r="E3225" s="62" t="s">
        <v>109</v>
      </c>
      <c r="F3225" s="62" t="s">
        <v>115</v>
      </c>
      <c r="G3225" s="64" t="s">
        <v>64</v>
      </c>
      <c r="H3225" s="3" t="s">
        <v>139</v>
      </c>
      <c r="I3225" s="65">
        <f>IFERROR(VLOOKUP(A3225,'3. Call duration'!$A:$C,3,0),"--")</f>
        <v>29.45106383</v>
      </c>
      <c r="J3225" s="65" t="str">
        <f t="array" ref="J3225">XLOOKUP(H3225,'2. Matching'!$A$2:$A$39,'2. Matching'!$B$2:$B$39,"--")</f>
        <v>Acquisition</v>
      </c>
      <c r="K3225" s="65" t="str">
        <f t="shared" si="1"/>
        <v>In</v>
      </c>
    </row>
    <row r="3226">
      <c r="A3226" s="62" t="s">
        <v>3364</v>
      </c>
      <c r="B3226" s="63">
        <v>44244.0</v>
      </c>
      <c r="C3226" s="62" t="s">
        <v>119</v>
      </c>
      <c r="D3226" s="64">
        <v>42.5</v>
      </c>
      <c r="E3226" s="62" t="s">
        <v>109</v>
      </c>
      <c r="F3226" s="62" t="s">
        <v>115</v>
      </c>
      <c r="G3226" s="64" t="s">
        <v>64</v>
      </c>
      <c r="H3226" s="3" t="s">
        <v>221</v>
      </c>
      <c r="I3226" s="65">
        <f>IFERROR(VLOOKUP(A3226,'3. Call duration'!$A:$C,3,0),"--")</f>
        <v>23.67638602</v>
      </c>
      <c r="J3226" s="65" t="str">
        <f t="array" ref="J3226">XLOOKUP(H3226,'2. Matching'!$A$2:$A$39,'2. Matching'!$B$2:$B$39,"--")</f>
        <v>Farming</v>
      </c>
      <c r="K3226" s="65" t="str">
        <f t="shared" si="1"/>
        <v>In</v>
      </c>
    </row>
    <row r="3227">
      <c r="A3227" s="62" t="s">
        <v>3365</v>
      </c>
      <c r="B3227" s="63">
        <v>44242.0</v>
      </c>
      <c r="C3227" s="62" t="s">
        <v>119</v>
      </c>
      <c r="D3227" s="64">
        <v>42.5</v>
      </c>
      <c r="E3227" s="62" t="s">
        <v>109</v>
      </c>
      <c r="F3227" s="62" t="s">
        <v>110</v>
      </c>
      <c r="G3227" s="64" t="s">
        <v>64</v>
      </c>
      <c r="H3227" s="3" t="s">
        <v>131</v>
      </c>
      <c r="I3227" s="65">
        <f>IFERROR(VLOOKUP(A3227,'3. Call duration'!$A:$C,3,0),"--")</f>
        <v>28.3215141</v>
      </c>
      <c r="J3227" s="65" t="str">
        <f t="array" ref="J3227">XLOOKUP(H3227,'2. Matching'!$A$2:$A$39,'2. Matching'!$B$2:$B$39,"--")</f>
        <v>Acquisition</v>
      </c>
      <c r="K3227" s="65" t="str">
        <f t="shared" si="1"/>
        <v>In</v>
      </c>
    </row>
    <row r="3228">
      <c r="A3228" s="62" t="s">
        <v>3366</v>
      </c>
      <c r="B3228" s="63">
        <v>44236.0</v>
      </c>
      <c r="C3228" s="62" t="s">
        <v>119</v>
      </c>
      <c r="D3228" s="64">
        <v>42.5</v>
      </c>
      <c r="E3228" s="62" t="s">
        <v>109</v>
      </c>
      <c r="F3228" s="62" t="s">
        <v>115</v>
      </c>
      <c r="G3228" s="64" t="s">
        <v>64</v>
      </c>
      <c r="H3228" s="3" t="s">
        <v>164</v>
      </c>
      <c r="I3228" s="65">
        <f>IFERROR(VLOOKUP(A3228,'3. Call duration'!$A:$C,3,0),"--")</f>
        <v>30.20983436</v>
      </c>
      <c r="J3228" s="65" t="str">
        <f t="array" ref="J3228">XLOOKUP(H3228,'2. Matching'!$A$2:$A$39,'2. Matching'!$B$2:$B$39,"--")</f>
        <v>SEO</v>
      </c>
      <c r="K3228" s="65" t="str">
        <f t="shared" si="1"/>
        <v>In</v>
      </c>
    </row>
    <row r="3229">
      <c r="A3229" s="62" t="s">
        <v>3367</v>
      </c>
      <c r="B3229" s="63">
        <v>44109.0</v>
      </c>
      <c r="C3229" s="62" t="s">
        <v>119</v>
      </c>
      <c r="D3229" s="64">
        <v>42.5</v>
      </c>
      <c r="E3229" s="62" t="s">
        <v>109</v>
      </c>
      <c r="F3229" s="62" t="s">
        <v>115</v>
      </c>
      <c r="G3229" s="64" t="s">
        <v>64</v>
      </c>
      <c r="H3229" s="3" t="s">
        <v>139</v>
      </c>
      <c r="I3229" s="65">
        <f>IFERROR(VLOOKUP(A3229,'3. Call duration'!$A:$C,3,0),"--")</f>
        <v>26.00740841</v>
      </c>
      <c r="J3229" s="65" t="str">
        <f t="array" ref="J3229">XLOOKUP(H3229,'2. Matching'!$A$2:$A$39,'2. Matching'!$B$2:$B$39,"--")</f>
        <v>Acquisition</v>
      </c>
      <c r="K3229" s="65" t="str">
        <f t="shared" si="1"/>
        <v>In</v>
      </c>
    </row>
    <row r="3230">
      <c r="A3230" s="62" t="s">
        <v>3368</v>
      </c>
      <c r="B3230" s="63">
        <v>44085.0</v>
      </c>
      <c r="C3230" s="62" t="s">
        <v>119</v>
      </c>
      <c r="D3230" s="64">
        <v>42.5</v>
      </c>
      <c r="E3230" s="62" t="s">
        <v>109</v>
      </c>
      <c r="F3230" s="62" t="s">
        <v>115</v>
      </c>
      <c r="G3230" s="64" t="s">
        <v>64</v>
      </c>
      <c r="H3230" s="3" t="s">
        <v>139</v>
      </c>
      <c r="I3230" s="65">
        <f>IFERROR(VLOOKUP(A3230,'3. Call duration'!$A:$C,3,0),"--")</f>
        <v>20.55153653</v>
      </c>
      <c r="J3230" s="65" t="str">
        <f t="array" ref="J3230">XLOOKUP(H3230,'2. Matching'!$A$2:$A$39,'2. Matching'!$B$2:$B$39,"--")</f>
        <v>Acquisition</v>
      </c>
      <c r="K3230" s="65" t="str">
        <f t="shared" si="1"/>
        <v>In</v>
      </c>
    </row>
    <row r="3231">
      <c r="A3231" s="62" t="s">
        <v>3369</v>
      </c>
      <c r="B3231" s="63">
        <v>44245.0</v>
      </c>
      <c r="C3231" s="62" t="s">
        <v>119</v>
      </c>
      <c r="D3231" s="64">
        <v>42.5</v>
      </c>
      <c r="E3231" s="62" t="s">
        <v>109</v>
      </c>
      <c r="F3231" s="62" t="s">
        <v>115</v>
      </c>
      <c r="G3231" s="64" t="s">
        <v>64</v>
      </c>
      <c r="H3231" s="3" t="s">
        <v>155</v>
      </c>
      <c r="I3231" s="65">
        <f>IFERROR(VLOOKUP(A3231,'3. Call duration'!$A:$C,3,0),"--")</f>
        <v>48.61568568</v>
      </c>
      <c r="J3231" s="65" t="str">
        <f t="array" ref="J3231">XLOOKUP(H3231,'2. Matching'!$A$2:$A$39,'2. Matching'!$B$2:$B$39,"--")</f>
        <v>SEO</v>
      </c>
      <c r="K3231" s="65" t="str">
        <f t="shared" si="1"/>
        <v>In</v>
      </c>
    </row>
    <row r="3232">
      <c r="A3232" s="62" t="s">
        <v>3370</v>
      </c>
      <c r="B3232" s="63">
        <v>44249.0</v>
      </c>
      <c r="C3232" s="62" t="s">
        <v>119</v>
      </c>
      <c r="D3232" s="64">
        <v>42.5</v>
      </c>
      <c r="E3232" s="62" t="s">
        <v>109</v>
      </c>
      <c r="F3232" s="62" t="s">
        <v>110</v>
      </c>
      <c r="G3232" s="64" t="s">
        <v>63</v>
      </c>
      <c r="H3232" s="3" t="s">
        <v>189</v>
      </c>
      <c r="I3232" s="65">
        <f>IFERROR(VLOOKUP(A3232,'3. Call duration'!$A:$C,3,0),"--")</f>
        <v>24.0042079</v>
      </c>
      <c r="J3232" s="65" t="str">
        <f t="array" ref="J3232">XLOOKUP(H3232,'2. Matching'!$A$2:$A$39,'2. Matching'!$B$2:$B$39,"--")</f>
        <v>SEO</v>
      </c>
      <c r="K3232" s="65" t="str">
        <f t="shared" si="1"/>
        <v>Out</v>
      </c>
    </row>
    <row r="3233">
      <c r="A3233" s="62" t="s">
        <v>3371</v>
      </c>
      <c r="B3233" s="63">
        <v>44174.0</v>
      </c>
      <c r="C3233" s="62" t="s">
        <v>119</v>
      </c>
      <c r="D3233" s="64">
        <v>42.5</v>
      </c>
      <c r="E3233" s="62" t="s">
        <v>109</v>
      </c>
      <c r="F3233" s="62" t="s">
        <v>110</v>
      </c>
      <c r="G3233" s="64" t="s">
        <v>64</v>
      </c>
      <c r="H3233" s="3" t="s">
        <v>131</v>
      </c>
      <c r="I3233" s="65">
        <f>IFERROR(VLOOKUP(A3233,'3. Call duration'!$A:$C,3,0),"--")</f>
        <v>20.91963103</v>
      </c>
      <c r="J3233" s="65" t="str">
        <f t="array" ref="J3233">XLOOKUP(H3233,'2. Matching'!$A$2:$A$39,'2. Matching'!$B$2:$B$39,"--")</f>
        <v>Acquisition</v>
      </c>
      <c r="K3233" s="65" t="str">
        <f t="shared" si="1"/>
        <v>In</v>
      </c>
    </row>
    <row r="3234">
      <c r="A3234" s="62" t="s">
        <v>3372</v>
      </c>
      <c r="B3234" s="63">
        <v>44164.0</v>
      </c>
      <c r="C3234" s="62" t="s">
        <v>119</v>
      </c>
      <c r="D3234" s="64">
        <v>42.5</v>
      </c>
      <c r="E3234" s="62" t="s">
        <v>109</v>
      </c>
      <c r="F3234" s="62" t="s">
        <v>115</v>
      </c>
      <c r="G3234" s="64" t="s">
        <v>64</v>
      </c>
      <c r="H3234" s="3" t="s">
        <v>139</v>
      </c>
      <c r="I3234" s="65">
        <f>IFERROR(VLOOKUP(A3234,'3. Call duration'!$A:$C,3,0),"--")</f>
        <v>21.19135463</v>
      </c>
      <c r="J3234" s="65" t="str">
        <f t="array" ref="J3234">XLOOKUP(H3234,'2. Matching'!$A$2:$A$39,'2. Matching'!$B$2:$B$39,"--")</f>
        <v>Acquisition</v>
      </c>
      <c r="K3234" s="65" t="str">
        <f t="shared" si="1"/>
        <v>In</v>
      </c>
    </row>
    <row r="3235">
      <c r="A3235" s="62" t="s">
        <v>3373</v>
      </c>
      <c r="B3235" s="63">
        <v>44228.0</v>
      </c>
      <c r="C3235" s="62" t="s">
        <v>119</v>
      </c>
      <c r="D3235" s="64">
        <v>42.5</v>
      </c>
      <c r="E3235" s="62" t="s">
        <v>109</v>
      </c>
      <c r="F3235" s="62" t="s">
        <v>115</v>
      </c>
      <c r="G3235" s="64" t="s">
        <v>64</v>
      </c>
      <c r="H3235" s="3" t="s">
        <v>150</v>
      </c>
      <c r="I3235" s="65">
        <f>IFERROR(VLOOKUP(A3235,'3. Call duration'!$A:$C,3,0),"--")</f>
        <v>30.14951043</v>
      </c>
      <c r="J3235" s="65" t="str">
        <f t="array" ref="J3235">XLOOKUP(H3235,'2. Matching'!$A$2:$A$39,'2. Matching'!$B$2:$B$39,"--")</f>
        <v>SEO</v>
      </c>
      <c r="K3235" s="65" t="str">
        <f t="shared" si="1"/>
        <v>In</v>
      </c>
    </row>
    <row r="3236">
      <c r="A3236" s="62" t="s">
        <v>3374</v>
      </c>
      <c r="B3236" s="63">
        <v>44187.0</v>
      </c>
      <c r="C3236" s="62" t="s">
        <v>119</v>
      </c>
      <c r="D3236" s="64">
        <v>42.5</v>
      </c>
      <c r="E3236" s="62" t="s">
        <v>109</v>
      </c>
      <c r="F3236" s="62" t="s">
        <v>115</v>
      </c>
      <c r="G3236" s="64" t="s">
        <v>62</v>
      </c>
      <c r="H3236" s="3" t="s">
        <v>286</v>
      </c>
      <c r="I3236" s="65">
        <f>IFERROR(VLOOKUP(A3236,'3. Call duration'!$A:$C,3,0),"--")</f>
        <v>30.11233479</v>
      </c>
      <c r="J3236" s="65" t="str">
        <f t="array" ref="J3236">XLOOKUP(H3236,'2. Matching'!$A$2:$A$39,'2. Matching'!$B$2:$B$39,"--")</f>
        <v>Farming</v>
      </c>
      <c r="K3236" s="65" t="str">
        <f t="shared" si="1"/>
        <v>In</v>
      </c>
    </row>
    <row r="3237">
      <c r="A3237" s="62" t="s">
        <v>3375</v>
      </c>
      <c r="B3237" s="63">
        <v>44160.0</v>
      </c>
      <c r="C3237" s="62" t="s">
        <v>119</v>
      </c>
      <c r="D3237" s="64">
        <v>42.5</v>
      </c>
      <c r="E3237" s="62" t="s">
        <v>109</v>
      </c>
      <c r="F3237" s="62" t="s">
        <v>115</v>
      </c>
      <c r="G3237" s="64" t="s">
        <v>64</v>
      </c>
      <c r="H3237" s="3" t="s">
        <v>139</v>
      </c>
      <c r="I3237" s="65">
        <f>IFERROR(VLOOKUP(A3237,'3. Call duration'!$A:$C,3,0),"--")</f>
        <v>21.14681532</v>
      </c>
      <c r="J3237" s="65" t="str">
        <f t="array" ref="J3237">XLOOKUP(H3237,'2. Matching'!$A$2:$A$39,'2. Matching'!$B$2:$B$39,"--")</f>
        <v>Acquisition</v>
      </c>
      <c r="K3237" s="65" t="str">
        <f t="shared" si="1"/>
        <v>In</v>
      </c>
    </row>
    <row r="3238">
      <c r="A3238" s="62" t="s">
        <v>3376</v>
      </c>
      <c r="B3238" s="63">
        <v>44076.0</v>
      </c>
      <c r="C3238" s="62" t="s">
        <v>119</v>
      </c>
      <c r="D3238" s="64">
        <v>42.5</v>
      </c>
      <c r="E3238" s="62" t="s">
        <v>109</v>
      </c>
      <c r="F3238" s="62" t="s">
        <v>115</v>
      </c>
      <c r="G3238" s="64" t="s">
        <v>64</v>
      </c>
      <c r="H3238" s="3" t="s">
        <v>139</v>
      </c>
      <c r="I3238" s="65">
        <f>IFERROR(VLOOKUP(A3238,'3. Call duration'!$A:$C,3,0),"--")</f>
        <v>31.52610626</v>
      </c>
      <c r="J3238" s="65" t="str">
        <f t="array" ref="J3238">XLOOKUP(H3238,'2. Matching'!$A$2:$A$39,'2. Matching'!$B$2:$B$39,"--")</f>
        <v>Acquisition</v>
      </c>
      <c r="K3238" s="65" t="str">
        <f t="shared" si="1"/>
        <v>In</v>
      </c>
    </row>
    <row r="3239">
      <c r="A3239" s="62" t="s">
        <v>3377</v>
      </c>
      <c r="B3239" s="63">
        <v>44252.0</v>
      </c>
      <c r="C3239" s="62" t="s">
        <v>119</v>
      </c>
      <c r="D3239" s="64">
        <v>42.5</v>
      </c>
      <c r="E3239" s="62" t="s">
        <v>109</v>
      </c>
      <c r="F3239" s="62" t="s">
        <v>115</v>
      </c>
      <c r="G3239" s="64" t="s">
        <v>64</v>
      </c>
      <c r="H3239" s="3" t="s">
        <v>221</v>
      </c>
      <c r="I3239" s="65">
        <f>IFERROR(VLOOKUP(A3239,'3. Call duration'!$A:$C,3,0),"--")</f>
        <v>30.77813742</v>
      </c>
      <c r="J3239" s="65" t="str">
        <f t="array" ref="J3239">XLOOKUP(H3239,'2. Matching'!$A$2:$A$39,'2. Matching'!$B$2:$B$39,"--")</f>
        <v>Farming</v>
      </c>
      <c r="K3239" s="65" t="str">
        <f t="shared" si="1"/>
        <v>In</v>
      </c>
    </row>
    <row r="3240">
      <c r="A3240" s="62" t="s">
        <v>3378</v>
      </c>
      <c r="B3240" s="63">
        <v>44116.0</v>
      </c>
      <c r="C3240" s="62" t="s">
        <v>119</v>
      </c>
      <c r="D3240" s="64">
        <v>42.5</v>
      </c>
      <c r="E3240" s="62" t="s">
        <v>109</v>
      </c>
      <c r="F3240" s="62" t="s">
        <v>115</v>
      </c>
      <c r="G3240" s="64" t="s">
        <v>64</v>
      </c>
      <c r="H3240" s="3" t="s">
        <v>169</v>
      </c>
      <c r="I3240" s="65">
        <f>IFERROR(VLOOKUP(A3240,'3. Call duration'!$A:$C,3,0),"--")</f>
        <v>11.76890291</v>
      </c>
      <c r="J3240" s="65" t="str">
        <f t="array" ref="J3240">XLOOKUP(H3240,'2. Matching'!$A$2:$A$39,'2. Matching'!$B$2:$B$39,"--")</f>
        <v>SEO</v>
      </c>
      <c r="K3240" s="65" t="str">
        <f t="shared" si="1"/>
        <v>In</v>
      </c>
    </row>
    <row r="3241">
      <c r="A3241" s="62" t="s">
        <v>3379</v>
      </c>
      <c r="B3241" s="63">
        <v>44200.0</v>
      </c>
      <c r="C3241" s="62" t="s">
        <v>119</v>
      </c>
      <c r="D3241" s="64">
        <v>42.5</v>
      </c>
      <c r="E3241" s="62" t="s">
        <v>109</v>
      </c>
      <c r="F3241" s="62" t="s">
        <v>115</v>
      </c>
      <c r="G3241" s="64" t="s">
        <v>64</v>
      </c>
      <c r="H3241" s="3" t="s">
        <v>139</v>
      </c>
      <c r="I3241" s="65" t="str">
        <f>IFERROR(VLOOKUP(A3241,'3. Call duration'!$A:$C,3,0),"--")</f>
        <v>--</v>
      </c>
      <c r="J3241" s="65" t="str">
        <f t="array" ref="J3241">XLOOKUP(H3241,'2. Matching'!$A$2:$A$39,'2. Matching'!$B$2:$B$39,"--")</f>
        <v>Acquisition</v>
      </c>
      <c r="K3241" s="65" t="str">
        <f t="shared" si="1"/>
        <v>In</v>
      </c>
    </row>
    <row r="3242">
      <c r="A3242" s="62" t="s">
        <v>3380</v>
      </c>
      <c r="B3242" s="63">
        <v>44138.0</v>
      </c>
      <c r="C3242" s="62" t="s">
        <v>119</v>
      </c>
      <c r="D3242" s="64">
        <v>42.5</v>
      </c>
      <c r="E3242" s="62" t="s">
        <v>109</v>
      </c>
      <c r="F3242" s="62" t="s">
        <v>115</v>
      </c>
      <c r="G3242" s="64" t="s">
        <v>64</v>
      </c>
      <c r="H3242" s="3" t="s">
        <v>164</v>
      </c>
      <c r="I3242" s="65">
        <f>IFERROR(VLOOKUP(A3242,'3. Call duration'!$A:$C,3,0),"--")</f>
        <v>32.71579362</v>
      </c>
      <c r="J3242" s="65" t="str">
        <f t="array" ref="J3242">XLOOKUP(H3242,'2. Matching'!$A$2:$A$39,'2. Matching'!$B$2:$B$39,"--")</f>
        <v>SEO</v>
      </c>
      <c r="K3242" s="65" t="str">
        <f t="shared" si="1"/>
        <v>In</v>
      </c>
    </row>
    <row r="3243">
      <c r="A3243" s="62" t="s">
        <v>3381</v>
      </c>
      <c r="B3243" s="63">
        <v>44172.0</v>
      </c>
      <c r="C3243" s="62" t="s">
        <v>119</v>
      </c>
      <c r="D3243" s="64">
        <v>42.5</v>
      </c>
      <c r="E3243" s="62" t="s">
        <v>109</v>
      </c>
      <c r="F3243" s="62" t="s">
        <v>115</v>
      </c>
      <c r="G3243" s="64" t="s">
        <v>64</v>
      </c>
      <c r="H3243" s="3" t="s">
        <v>169</v>
      </c>
      <c r="I3243" s="65">
        <f>IFERROR(VLOOKUP(A3243,'3. Call duration'!$A:$C,3,0),"--")</f>
        <v>29.21418689</v>
      </c>
      <c r="J3243" s="65" t="str">
        <f t="array" ref="J3243">XLOOKUP(H3243,'2. Matching'!$A$2:$A$39,'2. Matching'!$B$2:$B$39,"--")</f>
        <v>SEO</v>
      </c>
      <c r="K3243" s="65" t="str">
        <f t="shared" si="1"/>
        <v>In</v>
      </c>
    </row>
    <row r="3244">
      <c r="A3244" s="62" t="s">
        <v>3382</v>
      </c>
      <c r="B3244" s="63">
        <v>44207.0</v>
      </c>
      <c r="C3244" s="62" t="s">
        <v>119</v>
      </c>
      <c r="D3244" s="64">
        <v>42.5</v>
      </c>
      <c r="E3244" s="62" t="s">
        <v>109</v>
      </c>
      <c r="F3244" s="62" t="s">
        <v>110</v>
      </c>
      <c r="G3244" s="64" t="s">
        <v>64</v>
      </c>
      <c r="H3244" s="3" t="s">
        <v>221</v>
      </c>
      <c r="I3244" s="65">
        <f>IFERROR(VLOOKUP(A3244,'3. Call duration'!$A:$C,3,0),"--")</f>
        <v>29.34070126</v>
      </c>
      <c r="J3244" s="65" t="str">
        <f t="array" ref="J3244">XLOOKUP(H3244,'2. Matching'!$A$2:$A$39,'2. Matching'!$B$2:$B$39,"--")</f>
        <v>Farming</v>
      </c>
      <c r="K3244" s="65" t="str">
        <f t="shared" si="1"/>
        <v>In</v>
      </c>
    </row>
    <row r="3245">
      <c r="A3245" s="62" t="s">
        <v>3383</v>
      </c>
      <c r="B3245" s="63">
        <v>44207.0</v>
      </c>
      <c r="C3245" s="62" t="s">
        <v>119</v>
      </c>
      <c r="D3245" s="64">
        <v>42.5</v>
      </c>
      <c r="E3245" s="62" t="s">
        <v>109</v>
      </c>
      <c r="F3245" s="62" t="s">
        <v>110</v>
      </c>
      <c r="G3245" s="64" t="s">
        <v>64</v>
      </c>
      <c r="H3245" s="3" t="s">
        <v>221</v>
      </c>
      <c r="I3245" s="65">
        <f>IFERROR(VLOOKUP(A3245,'3. Call duration'!$A:$C,3,0),"--")</f>
        <v>31.90539391</v>
      </c>
      <c r="J3245" s="65" t="str">
        <f t="array" ref="J3245">XLOOKUP(H3245,'2. Matching'!$A$2:$A$39,'2. Matching'!$B$2:$B$39,"--")</f>
        <v>Farming</v>
      </c>
      <c r="K3245" s="65" t="str">
        <f t="shared" si="1"/>
        <v>In</v>
      </c>
    </row>
    <row r="3246">
      <c r="A3246" s="62" t="s">
        <v>3384</v>
      </c>
      <c r="B3246" s="63">
        <v>44159.0</v>
      </c>
      <c r="C3246" s="62" t="s">
        <v>119</v>
      </c>
      <c r="D3246" s="64">
        <v>42.5</v>
      </c>
      <c r="E3246" s="62" t="s">
        <v>109</v>
      </c>
      <c r="F3246" s="62" t="s">
        <v>110</v>
      </c>
      <c r="G3246" s="64" t="s">
        <v>62</v>
      </c>
      <c r="H3246" s="3" t="s">
        <v>294</v>
      </c>
      <c r="I3246" s="65">
        <f>IFERROR(VLOOKUP(A3246,'3. Call duration'!$A:$C,3,0),"--")</f>
        <v>10.37963208</v>
      </c>
      <c r="J3246" s="65" t="str">
        <f t="array" ref="J3246">XLOOKUP(H3246,'2. Matching'!$A$2:$A$39,'2. Matching'!$B$2:$B$39,"--")</f>
        <v>Farming</v>
      </c>
      <c r="K3246" s="65" t="str">
        <f t="shared" si="1"/>
        <v>In</v>
      </c>
    </row>
    <row r="3247">
      <c r="A3247" s="62" t="s">
        <v>3385</v>
      </c>
      <c r="B3247" s="63">
        <v>44137.0</v>
      </c>
      <c r="C3247" s="62" t="s">
        <v>119</v>
      </c>
      <c r="D3247" s="64">
        <v>42.5</v>
      </c>
      <c r="E3247" s="62" t="s">
        <v>109</v>
      </c>
      <c r="F3247" s="62" t="s">
        <v>115</v>
      </c>
      <c r="G3247" s="64" t="s">
        <v>64</v>
      </c>
      <c r="H3247" s="3" t="s">
        <v>169</v>
      </c>
      <c r="I3247" s="65">
        <f>IFERROR(VLOOKUP(A3247,'3. Call duration'!$A:$C,3,0),"--")</f>
        <v>30.09962529</v>
      </c>
      <c r="J3247" s="65" t="str">
        <f t="array" ref="J3247">XLOOKUP(H3247,'2. Matching'!$A$2:$A$39,'2. Matching'!$B$2:$B$39,"--")</f>
        <v>SEO</v>
      </c>
      <c r="K3247" s="65" t="str">
        <f t="shared" si="1"/>
        <v>In</v>
      </c>
    </row>
    <row r="3248">
      <c r="A3248" s="62" t="s">
        <v>3386</v>
      </c>
      <c r="B3248" s="63">
        <v>44083.0</v>
      </c>
      <c r="C3248" s="62" t="s">
        <v>119</v>
      </c>
      <c r="D3248" s="64">
        <v>42.5</v>
      </c>
      <c r="E3248" s="62" t="s">
        <v>109</v>
      </c>
      <c r="F3248" s="62" t="s">
        <v>115</v>
      </c>
      <c r="G3248" s="64" t="s">
        <v>64</v>
      </c>
      <c r="H3248" s="3" t="s">
        <v>139</v>
      </c>
      <c r="I3248" s="65">
        <f>IFERROR(VLOOKUP(A3248,'3. Call duration'!$A:$C,3,0),"--")</f>
        <v>12.00044828</v>
      </c>
      <c r="J3248" s="65" t="str">
        <f t="array" ref="J3248">XLOOKUP(H3248,'2. Matching'!$A$2:$A$39,'2. Matching'!$B$2:$B$39,"--")</f>
        <v>Acquisition</v>
      </c>
      <c r="K3248" s="65" t="str">
        <f t="shared" si="1"/>
        <v>In</v>
      </c>
    </row>
    <row r="3249">
      <c r="A3249" s="62" t="s">
        <v>3387</v>
      </c>
      <c r="B3249" s="63">
        <v>44202.0</v>
      </c>
      <c r="C3249" s="62" t="s">
        <v>119</v>
      </c>
      <c r="D3249" s="64">
        <v>42.5</v>
      </c>
      <c r="E3249" s="62" t="s">
        <v>109</v>
      </c>
      <c r="F3249" s="62" t="s">
        <v>115</v>
      </c>
      <c r="G3249" s="64" t="s">
        <v>64</v>
      </c>
      <c r="H3249" s="3" t="s">
        <v>139</v>
      </c>
      <c r="I3249" s="65">
        <f>IFERROR(VLOOKUP(A3249,'3. Call duration'!$A:$C,3,0),"--")</f>
        <v>23.43588601</v>
      </c>
      <c r="J3249" s="65" t="str">
        <f t="array" ref="J3249">XLOOKUP(H3249,'2. Matching'!$A$2:$A$39,'2. Matching'!$B$2:$B$39,"--")</f>
        <v>Acquisition</v>
      </c>
      <c r="K3249" s="65" t="str">
        <f t="shared" si="1"/>
        <v>In</v>
      </c>
    </row>
    <row r="3250">
      <c r="A3250" s="62" t="s">
        <v>3388</v>
      </c>
      <c r="B3250" s="63">
        <v>44102.0</v>
      </c>
      <c r="C3250" s="62" t="s">
        <v>119</v>
      </c>
      <c r="D3250" s="64">
        <v>42.5</v>
      </c>
      <c r="E3250" s="62" t="s">
        <v>109</v>
      </c>
      <c r="F3250" s="62" t="s">
        <v>115</v>
      </c>
      <c r="G3250" s="64" t="s">
        <v>64</v>
      </c>
      <c r="H3250" s="3" t="s">
        <v>169</v>
      </c>
      <c r="I3250" s="65">
        <f>IFERROR(VLOOKUP(A3250,'3. Call duration'!$A:$C,3,0),"--")</f>
        <v>31.44494866</v>
      </c>
      <c r="J3250" s="65" t="str">
        <f t="array" ref="J3250">XLOOKUP(H3250,'2. Matching'!$A$2:$A$39,'2. Matching'!$B$2:$B$39,"--")</f>
        <v>SEO</v>
      </c>
      <c r="K3250" s="65" t="str">
        <f t="shared" si="1"/>
        <v>In</v>
      </c>
    </row>
    <row r="3251">
      <c r="A3251" s="62" t="s">
        <v>3389</v>
      </c>
      <c r="B3251" s="63">
        <v>44223.0</v>
      </c>
      <c r="C3251" s="62" t="s">
        <v>119</v>
      </c>
      <c r="D3251" s="64">
        <v>42.5</v>
      </c>
      <c r="E3251" s="62" t="s">
        <v>109</v>
      </c>
      <c r="F3251" s="62" t="s">
        <v>115</v>
      </c>
      <c r="G3251" s="64" t="s">
        <v>64</v>
      </c>
      <c r="H3251" s="3" t="s">
        <v>164</v>
      </c>
      <c r="I3251" s="65">
        <f>IFERROR(VLOOKUP(A3251,'3. Call duration'!$A:$C,3,0),"--")</f>
        <v>21.0321784</v>
      </c>
      <c r="J3251" s="65" t="str">
        <f t="array" ref="J3251">XLOOKUP(H3251,'2. Matching'!$A$2:$A$39,'2. Matching'!$B$2:$B$39,"--")</f>
        <v>SEO</v>
      </c>
      <c r="K3251" s="65" t="str">
        <f t="shared" si="1"/>
        <v>In</v>
      </c>
    </row>
    <row r="3252">
      <c r="A3252" s="62" t="s">
        <v>3390</v>
      </c>
      <c r="B3252" s="63">
        <v>44114.0</v>
      </c>
      <c r="C3252" s="62" t="s">
        <v>119</v>
      </c>
      <c r="D3252" s="64">
        <v>42.5</v>
      </c>
      <c r="E3252" s="62" t="s">
        <v>109</v>
      </c>
      <c r="F3252" s="62" t="s">
        <v>115</v>
      </c>
      <c r="G3252" s="64" t="s">
        <v>64</v>
      </c>
      <c r="H3252" s="3" t="s">
        <v>139</v>
      </c>
      <c r="I3252" s="65">
        <f>IFERROR(VLOOKUP(A3252,'3. Call duration'!$A:$C,3,0),"--")</f>
        <v>30.99334676</v>
      </c>
      <c r="J3252" s="65" t="str">
        <f t="array" ref="J3252">XLOOKUP(H3252,'2. Matching'!$A$2:$A$39,'2. Matching'!$B$2:$B$39,"--")</f>
        <v>Acquisition</v>
      </c>
      <c r="K3252" s="65" t="str">
        <f t="shared" si="1"/>
        <v>In</v>
      </c>
    </row>
    <row r="3253">
      <c r="A3253" s="62" t="s">
        <v>3391</v>
      </c>
      <c r="B3253" s="63">
        <v>44083.0</v>
      </c>
      <c r="C3253" s="62" t="s">
        <v>119</v>
      </c>
      <c r="D3253" s="64">
        <v>42.5</v>
      </c>
      <c r="E3253" s="62" t="s">
        <v>109</v>
      </c>
      <c r="F3253" s="62" t="s">
        <v>110</v>
      </c>
      <c r="G3253" s="64" t="s">
        <v>64</v>
      </c>
      <c r="H3253" s="3" t="s">
        <v>139</v>
      </c>
      <c r="I3253" s="65">
        <f>IFERROR(VLOOKUP(A3253,'3. Call duration'!$A:$C,3,0),"--")</f>
        <v>28.860494</v>
      </c>
      <c r="J3253" s="65" t="str">
        <f t="array" ref="J3253">XLOOKUP(H3253,'2. Matching'!$A$2:$A$39,'2. Matching'!$B$2:$B$39,"--")</f>
        <v>Acquisition</v>
      </c>
      <c r="K3253" s="65" t="str">
        <f t="shared" si="1"/>
        <v>In</v>
      </c>
    </row>
    <row r="3254">
      <c r="A3254" s="62" t="s">
        <v>3392</v>
      </c>
      <c r="B3254" s="63">
        <v>44249.0</v>
      </c>
      <c r="C3254" s="62" t="s">
        <v>119</v>
      </c>
      <c r="D3254" s="64">
        <v>42.5</v>
      </c>
      <c r="E3254" s="62" t="s">
        <v>109</v>
      </c>
      <c r="F3254" s="62" t="s">
        <v>115</v>
      </c>
      <c r="G3254" s="64" t="s">
        <v>64</v>
      </c>
      <c r="H3254" s="3" t="s">
        <v>131</v>
      </c>
      <c r="I3254" s="65">
        <f>IFERROR(VLOOKUP(A3254,'3. Call duration'!$A:$C,3,0),"--")</f>
        <v>33.61369019</v>
      </c>
      <c r="J3254" s="65" t="str">
        <f t="array" ref="J3254">XLOOKUP(H3254,'2. Matching'!$A$2:$A$39,'2. Matching'!$B$2:$B$39,"--")</f>
        <v>Acquisition</v>
      </c>
      <c r="K3254" s="65" t="str">
        <f t="shared" si="1"/>
        <v>In</v>
      </c>
    </row>
    <row r="3255">
      <c r="A3255" s="62" t="s">
        <v>3393</v>
      </c>
      <c r="B3255" s="63">
        <v>44231.0</v>
      </c>
      <c r="C3255" s="62" t="s">
        <v>119</v>
      </c>
      <c r="D3255" s="64">
        <v>42.5</v>
      </c>
      <c r="E3255" s="62" t="s">
        <v>109</v>
      </c>
      <c r="F3255" s="62" t="s">
        <v>115</v>
      </c>
      <c r="G3255" s="64" t="s">
        <v>64</v>
      </c>
      <c r="H3255" s="3" t="s">
        <v>150</v>
      </c>
      <c r="I3255" s="65">
        <f>IFERROR(VLOOKUP(A3255,'3. Call duration'!$A:$C,3,0),"--")</f>
        <v>20.13385866</v>
      </c>
      <c r="J3255" s="65" t="str">
        <f t="array" ref="J3255">XLOOKUP(H3255,'2. Matching'!$A$2:$A$39,'2. Matching'!$B$2:$B$39,"--")</f>
        <v>SEO</v>
      </c>
      <c r="K3255" s="65" t="str">
        <f t="shared" si="1"/>
        <v>In</v>
      </c>
    </row>
    <row r="3256">
      <c r="A3256" s="62" t="s">
        <v>3394</v>
      </c>
      <c r="B3256" s="63">
        <v>44225.0</v>
      </c>
      <c r="C3256" s="62" t="s">
        <v>119</v>
      </c>
      <c r="D3256" s="64">
        <v>42.5</v>
      </c>
      <c r="E3256" s="62" t="s">
        <v>109</v>
      </c>
      <c r="F3256" s="62" t="s">
        <v>115</v>
      </c>
      <c r="G3256" s="64" t="s">
        <v>64</v>
      </c>
      <c r="H3256" s="3" t="s">
        <v>145</v>
      </c>
      <c r="I3256" s="65">
        <f>IFERROR(VLOOKUP(A3256,'3. Call duration'!$A:$C,3,0),"--")</f>
        <v>28.21554384</v>
      </c>
      <c r="J3256" s="65" t="str">
        <f t="array" ref="J3256">XLOOKUP(H3256,'2. Matching'!$A$2:$A$39,'2. Matching'!$B$2:$B$39,"--")</f>
        <v>SEO</v>
      </c>
      <c r="K3256" s="65" t="str">
        <f t="shared" si="1"/>
        <v>In</v>
      </c>
    </row>
    <row r="3257">
      <c r="A3257" s="62" t="s">
        <v>3395</v>
      </c>
      <c r="B3257" s="63">
        <v>44223.0</v>
      </c>
      <c r="C3257" s="62" t="s">
        <v>119</v>
      </c>
      <c r="D3257" s="64">
        <v>42.5</v>
      </c>
      <c r="E3257" s="62" t="s">
        <v>109</v>
      </c>
      <c r="F3257" s="62" t="s">
        <v>115</v>
      </c>
      <c r="G3257" s="64" t="s">
        <v>64</v>
      </c>
      <c r="H3257" s="3" t="s">
        <v>150</v>
      </c>
      <c r="I3257" s="65">
        <f>IFERROR(VLOOKUP(A3257,'3. Call duration'!$A:$C,3,0),"--")</f>
        <v>37.8002978</v>
      </c>
      <c r="J3257" s="65" t="str">
        <f t="array" ref="J3257">XLOOKUP(H3257,'2. Matching'!$A$2:$A$39,'2. Matching'!$B$2:$B$39,"--")</f>
        <v>SEO</v>
      </c>
      <c r="K3257" s="65" t="str">
        <f t="shared" si="1"/>
        <v>In</v>
      </c>
    </row>
    <row r="3258">
      <c r="A3258" s="62" t="s">
        <v>3396</v>
      </c>
      <c r="B3258" s="63">
        <v>44185.0</v>
      </c>
      <c r="C3258" s="62" t="s">
        <v>119</v>
      </c>
      <c r="D3258" s="64">
        <v>42.5</v>
      </c>
      <c r="E3258" s="62" t="s">
        <v>109</v>
      </c>
      <c r="F3258" s="62" t="s">
        <v>115</v>
      </c>
      <c r="G3258" s="64" t="s">
        <v>64</v>
      </c>
      <c r="H3258" s="3" t="s">
        <v>139</v>
      </c>
      <c r="I3258" s="65">
        <f>IFERROR(VLOOKUP(A3258,'3. Call duration'!$A:$C,3,0),"--")</f>
        <v>39.06205811</v>
      </c>
      <c r="J3258" s="65" t="str">
        <f t="array" ref="J3258">XLOOKUP(H3258,'2. Matching'!$A$2:$A$39,'2. Matching'!$B$2:$B$39,"--")</f>
        <v>Acquisition</v>
      </c>
      <c r="K3258" s="65" t="str">
        <f t="shared" si="1"/>
        <v>In</v>
      </c>
    </row>
    <row r="3259">
      <c r="A3259" s="62" t="s">
        <v>3397</v>
      </c>
      <c r="B3259" s="63">
        <v>44208.0</v>
      </c>
      <c r="C3259" s="62" t="s">
        <v>119</v>
      </c>
      <c r="D3259" s="64">
        <v>42.5</v>
      </c>
      <c r="E3259" s="62" t="s">
        <v>109</v>
      </c>
      <c r="F3259" s="62" t="s">
        <v>115</v>
      </c>
      <c r="G3259" s="64" t="s">
        <v>64</v>
      </c>
      <c r="H3259" s="3" t="s">
        <v>169</v>
      </c>
      <c r="I3259" s="65">
        <f>IFERROR(VLOOKUP(A3259,'3. Call duration'!$A:$C,3,0),"--")</f>
        <v>27.89974465</v>
      </c>
      <c r="J3259" s="65" t="str">
        <f t="array" ref="J3259">XLOOKUP(H3259,'2. Matching'!$A$2:$A$39,'2. Matching'!$B$2:$B$39,"--")</f>
        <v>SEO</v>
      </c>
      <c r="K3259" s="65" t="str">
        <f t="shared" si="1"/>
        <v>In</v>
      </c>
    </row>
    <row r="3260">
      <c r="A3260" s="62" t="s">
        <v>3398</v>
      </c>
      <c r="B3260" s="63">
        <v>44076.0</v>
      </c>
      <c r="C3260" s="62" t="s">
        <v>119</v>
      </c>
      <c r="D3260" s="64">
        <v>42.5</v>
      </c>
      <c r="E3260" s="62" t="s">
        <v>109</v>
      </c>
      <c r="F3260" s="62" t="s">
        <v>115</v>
      </c>
      <c r="G3260" s="64" t="s">
        <v>64</v>
      </c>
      <c r="H3260" s="3" t="s">
        <v>57</v>
      </c>
      <c r="I3260" s="65">
        <f>IFERROR(VLOOKUP(A3260,'3. Call duration'!$A:$C,3,0),"--")</f>
        <v>19.40621162</v>
      </c>
      <c r="J3260" s="65" t="str">
        <f t="array" ref="J3260">XLOOKUP(H3260,'2. Matching'!$A$2:$A$39,'2. Matching'!$B$2:$B$39,"--")</f>
        <v>Partnerships</v>
      </c>
      <c r="K3260" s="65" t="str">
        <f t="shared" si="1"/>
        <v>In</v>
      </c>
    </row>
    <row r="3261">
      <c r="A3261" s="62" t="s">
        <v>3399</v>
      </c>
      <c r="B3261" s="63">
        <v>44107.0</v>
      </c>
      <c r="C3261" s="62" t="s">
        <v>119</v>
      </c>
      <c r="D3261" s="64">
        <v>42.5</v>
      </c>
      <c r="E3261" s="62" t="s">
        <v>109</v>
      </c>
      <c r="F3261" s="62" t="s">
        <v>115</v>
      </c>
      <c r="G3261" s="64" t="s">
        <v>64</v>
      </c>
      <c r="H3261" s="3" t="s">
        <v>139</v>
      </c>
      <c r="I3261" s="65">
        <f>IFERROR(VLOOKUP(A3261,'3. Call duration'!$A:$C,3,0),"--")</f>
        <v>32.75084527</v>
      </c>
      <c r="J3261" s="65" t="str">
        <f t="array" ref="J3261">XLOOKUP(H3261,'2. Matching'!$A$2:$A$39,'2. Matching'!$B$2:$B$39,"--")</f>
        <v>Acquisition</v>
      </c>
      <c r="K3261" s="65" t="str">
        <f t="shared" si="1"/>
        <v>In</v>
      </c>
    </row>
    <row r="3262">
      <c r="A3262" s="62" t="s">
        <v>3400</v>
      </c>
      <c r="B3262" s="63">
        <v>44224.0</v>
      </c>
      <c r="C3262" s="62" t="s">
        <v>119</v>
      </c>
      <c r="D3262" s="64">
        <v>42.5</v>
      </c>
      <c r="E3262" s="62" t="s">
        <v>109</v>
      </c>
      <c r="F3262" s="62" t="s">
        <v>110</v>
      </c>
      <c r="G3262" s="64" t="s">
        <v>64</v>
      </c>
      <c r="H3262" s="3" t="s">
        <v>131</v>
      </c>
      <c r="I3262" s="65">
        <f>IFERROR(VLOOKUP(A3262,'3. Call duration'!$A:$C,3,0),"--")</f>
        <v>16.34227814</v>
      </c>
      <c r="J3262" s="65" t="str">
        <f t="array" ref="J3262">XLOOKUP(H3262,'2. Matching'!$A$2:$A$39,'2. Matching'!$B$2:$B$39,"--")</f>
        <v>Acquisition</v>
      </c>
      <c r="K3262" s="65" t="str">
        <f t="shared" si="1"/>
        <v>In</v>
      </c>
    </row>
    <row r="3263">
      <c r="A3263" s="62" t="s">
        <v>3401</v>
      </c>
      <c r="B3263" s="63">
        <v>44251.0</v>
      </c>
      <c r="C3263" s="62" t="s">
        <v>119</v>
      </c>
      <c r="D3263" s="64">
        <v>42.5</v>
      </c>
      <c r="E3263" s="62" t="s">
        <v>109</v>
      </c>
      <c r="F3263" s="62" t="s">
        <v>110</v>
      </c>
      <c r="G3263" s="64" t="s">
        <v>64</v>
      </c>
      <c r="H3263" s="3" t="s">
        <v>175</v>
      </c>
      <c r="I3263" s="65">
        <f>IFERROR(VLOOKUP(A3263,'3. Call duration'!$A:$C,3,0),"--")</f>
        <v>30.96638605</v>
      </c>
      <c r="J3263" s="65" t="str">
        <f t="array" ref="J3263">XLOOKUP(H3263,'2. Matching'!$A$2:$A$39,'2. Matching'!$B$2:$B$39,"--")</f>
        <v>SEO</v>
      </c>
      <c r="K3263" s="65" t="str">
        <f t="shared" si="1"/>
        <v>In</v>
      </c>
    </row>
    <row r="3264">
      <c r="A3264" s="62" t="s">
        <v>3402</v>
      </c>
      <c r="B3264" s="63">
        <v>44239.0</v>
      </c>
      <c r="C3264" s="62" t="s">
        <v>119</v>
      </c>
      <c r="D3264" s="64">
        <v>42.5</v>
      </c>
      <c r="E3264" s="62" t="s">
        <v>109</v>
      </c>
      <c r="F3264" s="62" t="s">
        <v>115</v>
      </c>
      <c r="G3264" s="64" t="s">
        <v>64</v>
      </c>
      <c r="H3264" s="3" t="s">
        <v>175</v>
      </c>
      <c r="I3264" s="65">
        <f>IFERROR(VLOOKUP(A3264,'3. Call duration'!$A:$C,3,0),"--")</f>
        <v>31.27795311</v>
      </c>
      <c r="J3264" s="65" t="str">
        <f t="array" ref="J3264">XLOOKUP(H3264,'2. Matching'!$A$2:$A$39,'2. Matching'!$B$2:$B$39,"--")</f>
        <v>SEO</v>
      </c>
      <c r="K3264" s="65" t="str">
        <f t="shared" si="1"/>
        <v>In</v>
      </c>
    </row>
    <row r="3265">
      <c r="A3265" s="62" t="s">
        <v>3403</v>
      </c>
      <c r="B3265" s="63">
        <v>44237.0</v>
      </c>
      <c r="C3265" s="62" t="s">
        <v>119</v>
      </c>
      <c r="D3265" s="64">
        <v>42.5</v>
      </c>
      <c r="E3265" s="62" t="s">
        <v>109</v>
      </c>
      <c r="F3265" s="62" t="s">
        <v>110</v>
      </c>
      <c r="G3265" s="64" t="s">
        <v>64</v>
      </c>
      <c r="H3265" s="3" t="s">
        <v>175</v>
      </c>
      <c r="I3265" s="65">
        <f>IFERROR(VLOOKUP(A3265,'3. Call duration'!$A:$C,3,0),"--")</f>
        <v>30.56025287</v>
      </c>
      <c r="J3265" s="65" t="str">
        <f t="array" ref="J3265">XLOOKUP(H3265,'2. Matching'!$A$2:$A$39,'2. Matching'!$B$2:$B$39,"--")</f>
        <v>SEO</v>
      </c>
      <c r="K3265" s="65" t="str">
        <f t="shared" si="1"/>
        <v>In</v>
      </c>
    </row>
    <row r="3266">
      <c r="A3266" s="62" t="s">
        <v>3404</v>
      </c>
      <c r="B3266" s="63">
        <v>44223.0</v>
      </c>
      <c r="C3266" s="62" t="s">
        <v>119</v>
      </c>
      <c r="D3266" s="64">
        <v>42.5</v>
      </c>
      <c r="E3266" s="62" t="s">
        <v>109</v>
      </c>
      <c r="F3266" s="62" t="s">
        <v>115</v>
      </c>
      <c r="G3266" s="64" t="s">
        <v>64</v>
      </c>
      <c r="H3266" s="3" t="s">
        <v>169</v>
      </c>
      <c r="I3266" s="65">
        <f>IFERROR(VLOOKUP(A3266,'3. Call duration'!$A:$C,3,0),"--")</f>
        <v>30.86608921</v>
      </c>
      <c r="J3266" s="65" t="str">
        <f t="array" ref="J3266">XLOOKUP(H3266,'2. Matching'!$A$2:$A$39,'2. Matching'!$B$2:$B$39,"--")</f>
        <v>SEO</v>
      </c>
      <c r="K3266" s="65" t="str">
        <f t="shared" si="1"/>
        <v>In</v>
      </c>
    </row>
    <row r="3267">
      <c r="A3267" s="62" t="s">
        <v>3405</v>
      </c>
      <c r="B3267" s="63">
        <v>44215.0</v>
      </c>
      <c r="C3267" s="62" t="s">
        <v>119</v>
      </c>
      <c r="D3267" s="64">
        <v>42.5</v>
      </c>
      <c r="E3267" s="62" t="s">
        <v>109</v>
      </c>
      <c r="F3267" s="62" t="s">
        <v>115</v>
      </c>
      <c r="G3267" s="64" t="s">
        <v>64</v>
      </c>
      <c r="H3267" s="3" t="s">
        <v>185</v>
      </c>
      <c r="I3267" s="65">
        <f>IFERROR(VLOOKUP(A3267,'3. Call duration'!$A:$C,3,0),"--")</f>
        <v>27.72521204</v>
      </c>
      <c r="J3267" s="65" t="str">
        <f t="array" ref="J3267">XLOOKUP(H3267,'2. Matching'!$A$2:$A$39,'2. Matching'!$B$2:$B$39,"--")</f>
        <v>SEO</v>
      </c>
      <c r="K3267" s="65" t="str">
        <f t="shared" si="1"/>
        <v>In</v>
      </c>
    </row>
    <row r="3268">
      <c r="A3268" s="62" t="s">
        <v>3406</v>
      </c>
      <c r="B3268" s="63">
        <v>44154.0</v>
      </c>
      <c r="C3268" s="62" t="s">
        <v>119</v>
      </c>
      <c r="D3268" s="64">
        <v>42.5</v>
      </c>
      <c r="E3268" s="62" t="s">
        <v>109</v>
      </c>
      <c r="F3268" s="62" t="s">
        <v>110</v>
      </c>
      <c r="G3268" s="64" t="s">
        <v>64</v>
      </c>
      <c r="H3268" s="3" t="s">
        <v>175</v>
      </c>
      <c r="I3268" s="65">
        <f>IFERROR(VLOOKUP(A3268,'3. Call duration'!$A:$C,3,0),"--")</f>
        <v>23.19603701</v>
      </c>
      <c r="J3268" s="65" t="str">
        <f t="array" ref="J3268">XLOOKUP(H3268,'2. Matching'!$A$2:$A$39,'2. Matching'!$B$2:$B$39,"--")</f>
        <v>SEO</v>
      </c>
      <c r="K3268" s="65" t="str">
        <f t="shared" si="1"/>
        <v>In</v>
      </c>
    </row>
    <row r="3269">
      <c r="A3269" s="62" t="s">
        <v>3407</v>
      </c>
      <c r="B3269" s="63">
        <v>44202.0</v>
      </c>
      <c r="C3269" s="62" t="s">
        <v>119</v>
      </c>
      <c r="D3269" s="64">
        <v>42.5</v>
      </c>
      <c r="E3269" s="62" t="s">
        <v>109</v>
      </c>
      <c r="F3269" s="62" t="s">
        <v>115</v>
      </c>
      <c r="G3269" s="64" t="s">
        <v>64</v>
      </c>
      <c r="H3269" s="3" t="s">
        <v>164</v>
      </c>
      <c r="I3269" s="65">
        <f>IFERROR(VLOOKUP(A3269,'3. Call duration'!$A:$C,3,0),"--")</f>
        <v>30.44775032</v>
      </c>
      <c r="J3269" s="65" t="str">
        <f t="array" ref="J3269">XLOOKUP(H3269,'2. Matching'!$A$2:$A$39,'2. Matching'!$B$2:$B$39,"--")</f>
        <v>SEO</v>
      </c>
      <c r="K3269" s="65" t="str">
        <f t="shared" si="1"/>
        <v>In</v>
      </c>
    </row>
    <row r="3270">
      <c r="A3270" s="62" t="s">
        <v>3408</v>
      </c>
      <c r="B3270" s="63">
        <v>44242.0</v>
      </c>
      <c r="C3270" s="62" t="s">
        <v>119</v>
      </c>
      <c r="D3270" s="64">
        <v>42.5</v>
      </c>
      <c r="E3270" s="62" t="s">
        <v>109</v>
      </c>
      <c r="F3270" s="62" t="s">
        <v>110</v>
      </c>
      <c r="G3270" s="64" t="s">
        <v>64</v>
      </c>
      <c r="H3270" s="3" t="s">
        <v>131</v>
      </c>
      <c r="I3270" s="65">
        <f>IFERROR(VLOOKUP(A3270,'3. Call duration'!$A:$C,3,0),"--")</f>
        <v>29.47108458</v>
      </c>
      <c r="J3270" s="65" t="str">
        <f t="array" ref="J3270">XLOOKUP(H3270,'2. Matching'!$A$2:$A$39,'2. Matching'!$B$2:$B$39,"--")</f>
        <v>Acquisition</v>
      </c>
      <c r="K3270" s="65" t="str">
        <f t="shared" si="1"/>
        <v>In</v>
      </c>
    </row>
    <row r="3271">
      <c r="A3271" s="62" t="s">
        <v>3409</v>
      </c>
      <c r="B3271" s="63">
        <v>44161.0</v>
      </c>
      <c r="C3271" s="62" t="s">
        <v>119</v>
      </c>
      <c r="D3271" s="64">
        <v>42.5</v>
      </c>
      <c r="E3271" s="62" t="s">
        <v>109</v>
      </c>
      <c r="F3271" s="62" t="s">
        <v>115</v>
      </c>
      <c r="G3271" s="64" t="s">
        <v>64</v>
      </c>
      <c r="H3271" s="3" t="s">
        <v>155</v>
      </c>
      <c r="I3271" s="65">
        <f>IFERROR(VLOOKUP(A3271,'3. Call duration'!$A:$C,3,0),"--")</f>
        <v>33.49986507</v>
      </c>
      <c r="J3271" s="65" t="str">
        <f t="array" ref="J3271">XLOOKUP(H3271,'2. Matching'!$A$2:$A$39,'2. Matching'!$B$2:$B$39,"--")</f>
        <v>SEO</v>
      </c>
      <c r="K3271" s="65" t="str">
        <f t="shared" si="1"/>
        <v>In</v>
      </c>
    </row>
    <row r="3272">
      <c r="A3272" s="62" t="s">
        <v>3410</v>
      </c>
      <c r="B3272" s="63">
        <v>44088.0</v>
      </c>
      <c r="C3272" s="62" t="s">
        <v>119</v>
      </c>
      <c r="D3272" s="64">
        <v>42.5</v>
      </c>
      <c r="E3272" s="62" t="s">
        <v>109</v>
      </c>
      <c r="F3272" s="62" t="s">
        <v>115</v>
      </c>
      <c r="G3272" s="64" t="s">
        <v>64</v>
      </c>
      <c r="H3272" s="3" t="s">
        <v>164</v>
      </c>
      <c r="I3272" s="65">
        <f>IFERROR(VLOOKUP(A3272,'3. Call duration'!$A:$C,3,0),"--")</f>
        <v>27.3567834</v>
      </c>
      <c r="J3272" s="65" t="str">
        <f t="array" ref="J3272">XLOOKUP(H3272,'2. Matching'!$A$2:$A$39,'2. Matching'!$B$2:$B$39,"--")</f>
        <v>SEO</v>
      </c>
      <c r="K3272" s="65" t="str">
        <f t="shared" si="1"/>
        <v>In</v>
      </c>
    </row>
    <row r="3273">
      <c r="A3273" s="62" t="s">
        <v>3411</v>
      </c>
      <c r="B3273" s="63">
        <v>44092.0</v>
      </c>
      <c r="C3273" s="62" t="s">
        <v>119</v>
      </c>
      <c r="D3273" s="64">
        <v>42.5</v>
      </c>
      <c r="E3273" s="62" t="s">
        <v>109</v>
      </c>
      <c r="F3273" s="62" t="s">
        <v>115</v>
      </c>
      <c r="G3273" s="64" t="s">
        <v>64</v>
      </c>
      <c r="H3273" s="3" t="s">
        <v>235</v>
      </c>
      <c r="I3273" s="65">
        <f>IFERROR(VLOOKUP(A3273,'3. Call duration'!$A:$C,3,0),"--")</f>
        <v>11.84636066</v>
      </c>
      <c r="J3273" s="65" t="str">
        <f t="array" ref="J3273">XLOOKUP(H3273,'2. Matching'!$A$2:$A$39,'2. Matching'!$B$2:$B$39,"--")</f>
        <v>Farming</v>
      </c>
      <c r="K3273" s="65" t="str">
        <f t="shared" si="1"/>
        <v>In</v>
      </c>
    </row>
    <row r="3274">
      <c r="A3274" s="62" t="s">
        <v>3412</v>
      </c>
      <c r="B3274" s="63">
        <v>44104.0</v>
      </c>
      <c r="C3274" s="62" t="s">
        <v>119</v>
      </c>
      <c r="D3274" s="64">
        <v>42.5</v>
      </c>
      <c r="E3274" s="62" t="s">
        <v>109</v>
      </c>
      <c r="F3274" s="62" t="s">
        <v>115</v>
      </c>
      <c r="G3274" s="64" t="s">
        <v>64</v>
      </c>
      <c r="H3274" s="3" t="s">
        <v>155</v>
      </c>
      <c r="I3274" s="65">
        <f>IFERROR(VLOOKUP(A3274,'3. Call duration'!$A:$C,3,0),"--")</f>
        <v>21.46639034</v>
      </c>
      <c r="J3274" s="65" t="str">
        <f t="array" ref="J3274">XLOOKUP(H3274,'2. Matching'!$A$2:$A$39,'2. Matching'!$B$2:$B$39,"--")</f>
        <v>SEO</v>
      </c>
      <c r="K3274" s="65" t="str">
        <f t="shared" si="1"/>
        <v>In</v>
      </c>
    </row>
    <row r="3275">
      <c r="A3275" s="62" t="s">
        <v>3413</v>
      </c>
      <c r="B3275" s="63">
        <v>44238.0</v>
      </c>
      <c r="C3275" s="62" t="s">
        <v>119</v>
      </c>
      <c r="D3275" s="64">
        <v>42.5</v>
      </c>
      <c r="E3275" s="62" t="s">
        <v>109</v>
      </c>
      <c r="F3275" s="62" t="s">
        <v>115</v>
      </c>
      <c r="G3275" s="64" t="s">
        <v>112</v>
      </c>
      <c r="H3275" s="3"/>
      <c r="I3275" s="65">
        <f>IFERROR(VLOOKUP(A3275,'3. Call duration'!$A:$C,3,0),"--")</f>
        <v>24.59148612</v>
      </c>
      <c r="J3275" s="65" t="str">
        <f t="array" ref="J3275">XLOOKUP(H3275,'2. Matching'!$A$2:$A$39,'2. Matching'!$B$2:$B$39,"--")</f>
        <v>--</v>
      </c>
      <c r="K3275" s="65" t="str">
        <f t="shared" si="1"/>
        <v>In</v>
      </c>
    </row>
    <row r="3276">
      <c r="A3276" s="62" t="s">
        <v>3414</v>
      </c>
      <c r="B3276" s="63">
        <v>44176.0</v>
      </c>
      <c r="C3276" s="62" t="s">
        <v>119</v>
      </c>
      <c r="D3276" s="64">
        <v>42.5</v>
      </c>
      <c r="E3276" s="62" t="s">
        <v>109</v>
      </c>
      <c r="F3276" s="62" t="s">
        <v>115</v>
      </c>
      <c r="G3276" s="64" t="s">
        <v>64</v>
      </c>
      <c r="H3276" s="3" t="s">
        <v>185</v>
      </c>
      <c r="I3276" s="65">
        <f>IFERROR(VLOOKUP(A3276,'3. Call duration'!$A:$C,3,0),"--")</f>
        <v>14.88477139</v>
      </c>
      <c r="J3276" s="65" t="str">
        <f t="array" ref="J3276">XLOOKUP(H3276,'2. Matching'!$A$2:$A$39,'2. Matching'!$B$2:$B$39,"--")</f>
        <v>SEO</v>
      </c>
      <c r="K3276" s="65" t="str">
        <f t="shared" si="1"/>
        <v>In</v>
      </c>
    </row>
    <row r="3277">
      <c r="A3277" s="62" t="s">
        <v>3415</v>
      </c>
      <c r="B3277" s="63">
        <v>44207.0</v>
      </c>
      <c r="C3277" s="62" t="s">
        <v>119</v>
      </c>
      <c r="D3277" s="64">
        <v>42.5</v>
      </c>
      <c r="E3277" s="62" t="s">
        <v>109</v>
      </c>
      <c r="F3277" s="62" t="s">
        <v>115</v>
      </c>
      <c r="G3277" s="64" t="s">
        <v>64</v>
      </c>
      <c r="H3277" s="3" t="s">
        <v>150</v>
      </c>
      <c r="I3277" s="65">
        <f>IFERROR(VLOOKUP(A3277,'3. Call duration'!$A:$C,3,0),"--")</f>
        <v>22.34937237</v>
      </c>
      <c r="J3277" s="65" t="str">
        <f t="array" ref="J3277">XLOOKUP(H3277,'2. Matching'!$A$2:$A$39,'2. Matching'!$B$2:$B$39,"--")</f>
        <v>SEO</v>
      </c>
      <c r="K3277" s="65" t="str">
        <f t="shared" si="1"/>
        <v>In</v>
      </c>
    </row>
    <row r="3278">
      <c r="A3278" s="62" t="s">
        <v>3416</v>
      </c>
      <c r="B3278" s="63">
        <v>44159.0</v>
      </c>
      <c r="C3278" s="62" t="s">
        <v>119</v>
      </c>
      <c r="D3278" s="64">
        <v>42.5</v>
      </c>
      <c r="E3278" s="62" t="s">
        <v>109</v>
      </c>
      <c r="F3278" s="62" t="s">
        <v>110</v>
      </c>
      <c r="G3278" s="64" t="s">
        <v>64</v>
      </c>
      <c r="H3278" s="3" t="s">
        <v>49</v>
      </c>
      <c r="I3278" s="65">
        <f>IFERROR(VLOOKUP(A3278,'3. Call duration'!$A:$C,3,0),"--")</f>
        <v>21.84595664</v>
      </c>
      <c r="J3278" s="65" t="str">
        <f t="array" ref="J3278">XLOOKUP(H3278,'2. Matching'!$A$2:$A$39,'2. Matching'!$B$2:$B$39,"--")</f>
        <v>Partnerships</v>
      </c>
      <c r="K3278" s="65" t="str">
        <f t="shared" si="1"/>
        <v>In</v>
      </c>
    </row>
    <row r="3279">
      <c r="A3279" s="62" t="s">
        <v>3417</v>
      </c>
      <c r="B3279" s="63">
        <v>44174.0</v>
      </c>
      <c r="C3279" s="62" t="s">
        <v>119</v>
      </c>
      <c r="D3279" s="64">
        <v>42.5</v>
      </c>
      <c r="E3279" s="62" t="s">
        <v>109</v>
      </c>
      <c r="F3279" s="62" t="s">
        <v>110</v>
      </c>
      <c r="G3279" s="64" t="s">
        <v>64</v>
      </c>
      <c r="H3279" s="3" t="s">
        <v>175</v>
      </c>
      <c r="I3279" s="65">
        <f>IFERROR(VLOOKUP(A3279,'3. Call duration'!$A:$C,3,0),"--")</f>
        <v>22.94525379</v>
      </c>
      <c r="J3279" s="65" t="str">
        <f t="array" ref="J3279">XLOOKUP(H3279,'2. Matching'!$A$2:$A$39,'2. Matching'!$B$2:$B$39,"--")</f>
        <v>SEO</v>
      </c>
      <c r="K3279" s="65" t="str">
        <f t="shared" si="1"/>
        <v>In</v>
      </c>
    </row>
    <row r="3280">
      <c r="A3280" s="62" t="s">
        <v>3418</v>
      </c>
      <c r="B3280" s="63">
        <v>44132.0</v>
      </c>
      <c r="C3280" s="62" t="s">
        <v>119</v>
      </c>
      <c r="D3280" s="64">
        <v>42.5</v>
      </c>
      <c r="E3280" s="62" t="s">
        <v>109</v>
      </c>
      <c r="F3280" s="62" t="s">
        <v>110</v>
      </c>
      <c r="G3280" s="64" t="s">
        <v>64</v>
      </c>
      <c r="H3280" s="3" t="s">
        <v>171</v>
      </c>
      <c r="I3280" s="65">
        <f>IFERROR(VLOOKUP(A3280,'3. Call duration'!$A:$C,3,0),"--")</f>
        <v>29.45045206</v>
      </c>
      <c r="J3280" s="65" t="str">
        <f t="array" ref="J3280">XLOOKUP(H3280,'2. Matching'!$A$2:$A$39,'2. Matching'!$B$2:$B$39,"--")</f>
        <v>SEO</v>
      </c>
      <c r="K3280" s="65" t="str">
        <f t="shared" si="1"/>
        <v>In</v>
      </c>
    </row>
    <row r="3281">
      <c r="A3281" s="62" t="s">
        <v>3419</v>
      </c>
      <c r="B3281" s="63">
        <v>44202.0</v>
      </c>
      <c r="C3281" s="62" t="s">
        <v>119</v>
      </c>
      <c r="D3281" s="64">
        <v>42.5</v>
      </c>
      <c r="E3281" s="62" t="s">
        <v>109</v>
      </c>
      <c r="F3281" s="62" t="s">
        <v>115</v>
      </c>
      <c r="G3281" s="64" t="s">
        <v>64</v>
      </c>
      <c r="H3281" s="3" t="s">
        <v>131</v>
      </c>
      <c r="I3281" s="65">
        <f>IFERROR(VLOOKUP(A3281,'3. Call duration'!$A:$C,3,0),"--")</f>
        <v>22.81770447</v>
      </c>
      <c r="J3281" s="65" t="str">
        <f t="array" ref="J3281">XLOOKUP(H3281,'2. Matching'!$A$2:$A$39,'2. Matching'!$B$2:$B$39,"--")</f>
        <v>Acquisition</v>
      </c>
      <c r="K3281" s="65" t="str">
        <f t="shared" si="1"/>
        <v>In</v>
      </c>
    </row>
    <row r="3282">
      <c r="A3282" s="62" t="s">
        <v>3420</v>
      </c>
      <c r="B3282" s="63">
        <v>44158.0</v>
      </c>
      <c r="C3282" s="62" t="s">
        <v>119</v>
      </c>
      <c r="D3282" s="64">
        <v>42.5</v>
      </c>
      <c r="E3282" s="62" t="s">
        <v>109</v>
      </c>
      <c r="F3282" s="62" t="s">
        <v>110</v>
      </c>
      <c r="G3282" s="64" t="s">
        <v>62</v>
      </c>
      <c r="H3282" s="3" t="s">
        <v>286</v>
      </c>
      <c r="I3282" s="65">
        <f>IFERROR(VLOOKUP(A3282,'3. Call duration'!$A:$C,3,0),"--")</f>
        <v>21.49492184</v>
      </c>
      <c r="J3282" s="65" t="str">
        <f t="array" ref="J3282">XLOOKUP(H3282,'2. Matching'!$A$2:$A$39,'2. Matching'!$B$2:$B$39,"--")</f>
        <v>Farming</v>
      </c>
      <c r="K3282" s="65" t="str">
        <f t="shared" si="1"/>
        <v>In</v>
      </c>
    </row>
    <row r="3283">
      <c r="A3283" s="62" t="s">
        <v>3421</v>
      </c>
      <c r="B3283" s="63">
        <v>44082.0</v>
      </c>
      <c r="C3283" s="62" t="s">
        <v>119</v>
      </c>
      <c r="D3283" s="64">
        <v>42.5</v>
      </c>
      <c r="E3283" s="62" t="s">
        <v>109</v>
      </c>
      <c r="F3283" s="62" t="s">
        <v>115</v>
      </c>
      <c r="G3283" s="64" t="s">
        <v>64</v>
      </c>
      <c r="H3283" s="3" t="s">
        <v>139</v>
      </c>
      <c r="I3283" s="65">
        <f>IFERROR(VLOOKUP(A3283,'3. Call duration'!$A:$C,3,0),"--")</f>
        <v>22.92854894</v>
      </c>
      <c r="J3283" s="65" t="str">
        <f t="array" ref="J3283">XLOOKUP(H3283,'2. Matching'!$A$2:$A$39,'2. Matching'!$B$2:$B$39,"--")</f>
        <v>Acquisition</v>
      </c>
      <c r="K3283" s="65" t="str">
        <f t="shared" si="1"/>
        <v>In</v>
      </c>
    </row>
    <row r="3284">
      <c r="A3284" s="62" t="s">
        <v>3422</v>
      </c>
      <c r="B3284" s="63">
        <v>44152.0</v>
      </c>
      <c r="C3284" s="62" t="s">
        <v>119</v>
      </c>
      <c r="D3284" s="64">
        <v>42.5</v>
      </c>
      <c r="E3284" s="62" t="s">
        <v>109</v>
      </c>
      <c r="F3284" s="62" t="s">
        <v>115</v>
      </c>
      <c r="G3284" s="64" t="s">
        <v>64</v>
      </c>
      <c r="H3284" s="3" t="s">
        <v>169</v>
      </c>
      <c r="I3284" s="65">
        <f>IFERROR(VLOOKUP(A3284,'3. Call duration'!$A:$C,3,0),"--")</f>
        <v>32.67178224</v>
      </c>
      <c r="J3284" s="65" t="str">
        <f t="array" ref="J3284">XLOOKUP(H3284,'2. Matching'!$A$2:$A$39,'2. Matching'!$B$2:$B$39,"--")</f>
        <v>SEO</v>
      </c>
      <c r="K3284" s="65" t="str">
        <f t="shared" si="1"/>
        <v>In</v>
      </c>
    </row>
    <row r="3285">
      <c r="A3285" s="62" t="s">
        <v>3423</v>
      </c>
      <c r="B3285" s="63">
        <v>44237.0</v>
      </c>
      <c r="C3285" s="62" t="s">
        <v>119</v>
      </c>
      <c r="D3285" s="64">
        <v>42.5</v>
      </c>
      <c r="E3285" s="62" t="s">
        <v>109</v>
      </c>
      <c r="F3285" s="62" t="s">
        <v>115</v>
      </c>
      <c r="G3285" s="64" t="s">
        <v>64</v>
      </c>
      <c r="H3285" s="3" t="s">
        <v>175</v>
      </c>
      <c r="I3285" s="65">
        <f>IFERROR(VLOOKUP(A3285,'3. Call duration'!$A:$C,3,0),"--")</f>
        <v>26.219116</v>
      </c>
      <c r="J3285" s="65" t="str">
        <f t="array" ref="J3285">XLOOKUP(H3285,'2. Matching'!$A$2:$A$39,'2. Matching'!$B$2:$B$39,"--")</f>
        <v>SEO</v>
      </c>
      <c r="K3285" s="65" t="str">
        <f t="shared" si="1"/>
        <v>In</v>
      </c>
    </row>
    <row r="3286">
      <c r="A3286" s="62" t="s">
        <v>3424</v>
      </c>
      <c r="B3286" s="63">
        <v>44194.0</v>
      </c>
      <c r="C3286" s="62" t="s">
        <v>119</v>
      </c>
      <c r="D3286" s="64">
        <v>42.5</v>
      </c>
      <c r="E3286" s="62" t="s">
        <v>109</v>
      </c>
      <c r="F3286" s="62" t="s">
        <v>110</v>
      </c>
      <c r="G3286" s="64" t="s">
        <v>62</v>
      </c>
      <c r="H3286" s="3" t="s">
        <v>286</v>
      </c>
      <c r="I3286" s="65">
        <f>IFERROR(VLOOKUP(A3286,'3. Call duration'!$A:$C,3,0),"--")</f>
        <v>27.01461279</v>
      </c>
      <c r="J3286" s="65" t="str">
        <f t="array" ref="J3286">XLOOKUP(H3286,'2. Matching'!$A$2:$A$39,'2. Matching'!$B$2:$B$39,"--")</f>
        <v>Farming</v>
      </c>
      <c r="K3286" s="65" t="str">
        <f t="shared" si="1"/>
        <v>In</v>
      </c>
    </row>
    <row r="3287">
      <c r="A3287" s="62" t="s">
        <v>3425</v>
      </c>
      <c r="B3287" s="63">
        <v>44110.0</v>
      </c>
      <c r="C3287" s="62" t="s">
        <v>119</v>
      </c>
      <c r="D3287" s="64">
        <v>42.5</v>
      </c>
      <c r="E3287" s="62" t="s">
        <v>109</v>
      </c>
      <c r="F3287" s="62" t="s">
        <v>115</v>
      </c>
      <c r="G3287" s="64" t="s">
        <v>64</v>
      </c>
      <c r="H3287" s="3" t="s">
        <v>155</v>
      </c>
      <c r="I3287" s="65">
        <f>IFERROR(VLOOKUP(A3287,'3. Call duration'!$A:$C,3,0),"--")</f>
        <v>43.98325069</v>
      </c>
      <c r="J3287" s="65" t="str">
        <f t="array" ref="J3287">XLOOKUP(H3287,'2. Matching'!$A$2:$A$39,'2. Matching'!$B$2:$B$39,"--")</f>
        <v>SEO</v>
      </c>
      <c r="K3287" s="65" t="str">
        <f t="shared" si="1"/>
        <v>In</v>
      </c>
    </row>
    <row r="3288">
      <c r="A3288" s="62" t="s">
        <v>3426</v>
      </c>
      <c r="B3288" s="63">
        <v>44109.0</v>
      </c>
      <c r="C3288" s="62" t="s">
        <v>119</v>
      </c>
      <c r="D3288" s="64">
        <v>42.5</v>
      </c>
      <c r="E3288" s="62" t="s">
        <v>109</v>
      </c>
      <c r="F3288" s="62" t="s">
        <v>115</v>
      </c>
      <c r="G3288" s="64" t="s">
        <v>64</v>
      </c>
      <c r="H3288" s="3" t="s">
        <v>164</v>
      </c>
      <c r="I3288" s="65">
        <f>IFERROR(VLOOKUP(A3288,'3. Call duration'!$A:$C,3,0),"--")</f>
        <v>29.88781151</v>
      </c>
      <c r="J3288" s="65" t="str">
        <f t="array" ref="J3288">XLOOKUP(H3288,'2. Matching'!$A$2:$A$39,'2. Matching'!$B$2:$B$39,"--")</f>
        <v>SEO</v>
      </c>
      <c r="K3288" s="65" t="str">
        <f t="shared" si="1"/>
        <v>In</v>
      </c>
    </row>
    <row r="3289">
      <c r="A3289" s="62" t="s">
        <v>3427</v>
      </c>
      <c r="B3289" s="63">
        <v>44238.0</v>
      </c>
      <c r="C3289" s="62" t="s">
        <v>119</v>
      </c>
      <c r="D3289" s="64">
        <v>42.5</v>
      </c>
      <c r="E3289" s="62" t="s">
        <v>109</v>
      </c>
      <c r="F3289" s="62" t="s">
        <v>115</v>
      </c>
      <c r="G3289" s="64" t="s">
        <v>64</v>
      </c>
      <c r="H3289" s="3" t="s">
        <v>139</v>
      </c>
      <c r="I3289" s="65">
        <f>IFERROR(VLOOKUP(A3289,'3. Call duration'!$A:$C,3,0),"--")</f>
        <v>30.99281812</v>
      </c>
      <c r="J3289" s="65" t="str">
        <f t="array" ref="J3289">XLOOKUP(H3289,'2. Matching'!$A$2:$A$39,'2. Matching'!$B$2:$B$39,"--")</f>
        <v>Acquisition</v>
      </c>
      <c r="K3289" s="65" t="str">
        <f t="shared" si="1"/>
        <v>In</v>
      </c>
    </row>
    <row r="3290">
      <c r="A3290" s="62" t="s">
        <v>3428</v>
      </c>
      <c r="B3290" s="63">
        <v>44252.0</v>
      </c>
      <c r="C3290" s="62" t="s">
        <v>119</v>
      </c>
      <c r="D3290" s="64">
        <v>42.5</v>
      </c>
      <c r="E3290" s="62" t="s">
        <v>109</v>
      </c>
      <c r="F3290" s="62" t="s">
        <v>115</v>
      </c>
      <c r="G3290" s="64" t="s">
        <v>64</v>
      </c>
      <c r="H3290" s="3" t="s">
        <v>139</v>
      </c>
      <c r="I3290" s="65">
        <f>IFERROR(VLOOKUP(A3290,'3. Call duration'!$A:$C,3,0),"--")</f>
        <v>24.808567</v>
      </c>
      <c r="J3290" s="65" t="str">
        <f t="array" ref="J3290">XLOOKUP(H3290,'2. Matching'!$A$2:$A$39,'2. Matching'!$B$2:$B$39,"--")</f>
        <v>Acquisition</v>
      </c>
      <c r="K3290" s="65" t="str">
        <f t="shared" si="1"/>
        <v>In</v>
      </c>
    </row>
    <row r="3291">
      <c r="A3291" s="62" t="s">
        <v>3429</v>
      </c>
      <c r="B3291" s="63">
        <v>44217.0</v>
      </c>
      <c r="C3291" s="62" t="s">
        <v>119</v>
      </c>
      <c r="D3291" s="64">
        <v>42.5</v>
      </c>
      <c r="E3291" s="62" t="s">
        <v>109</v>
      </c>
      <c r="F3291" s="62" t="s">
        <v>110</v>
      </c>
      <c r="G3291" s="64" t="s">
        <v>64</v>
      </c>
      <c r="H3291" s="3" t="s">
        <v>150</v>
      </c>
      <c r="I3291" s="65">
        <f>IFERROR(VLOOKUP(A3291,'3. Call duration'!$A:$C,3,0),"--")</f>
        <v>33.60984375</v>
      </c>
      <c r="J3291" s="65" t="str">
        <f t="array" ref="J3291">XLOOKUP(H3291,'2. Matching'!$A$2:$A$39,'2. Matching'!$B$2:$B$39,"--")</f>
        <v>SEO</v>
      </c>
      <c r="K3291" s="65" t="str">
        <f t="shared" si="1"/>
        <v>In</v>
      </c>
    </row>
    <row r="3292">
      <c r="A3292" s="62" t="s">
        <v>3430</v>
      </c>
      <c r="B3292" s="63">
        <v>44107.0</v>
      </c>
      <c r="C3292" s="62" t="s">
        <v>119</v>
      </c>
      <c r="D3292" s="64">
        <v>42.5</v>
      </c>
      <c r="E3292" s="62" t="s">
        <v>109</v>
      </c>
      <c r="F3292" s="62" t="s">
        <v>115</v>
      </c>
      <c r="G3292" s="64" t="s">
        <v>64</v>
      </c>
      <c r="H3292" s="3" t="s">
        <v>131</v>
      </c>
      <c r="I3292" s="65">
        <f>IFERROR(VLOOKUP(A3292,'3. Call duration'!$A:$C,3,0),"--")</f>
        <v>29.75060354</v>
      </c>
      <c r="J3292" s="65" t="str">
        <f t="array" ref="J3292">XLOOKUP(H3292,'2. Matching'!$A$2:$A$39,'2. Matching'!$B$2:$B$39,"--")</f>
        <v>Acquisition</v>
      </c>
      <c r="K3292" s="65" t="str">
        <f t="shared" si="1"/>
        <v>In</v>
      </c>
    </row>
    <row r="3293">
      <c r="A3293" s="62" t="s">
        <v>3431</v>
      </c>
      <c r="B3293" s="63">
        <v>44194.0</v>
      </c>
      <c r="C3293" s="62" t="s">
        <v>119</v>
      </c>
      <c r="D3293" s="64">
        <v>42.5</v>
      </c>
      <c r="E3293" s="62" t="s">
        <v>109</v>
      </c>
      <c r="F3293" s="62" t="s">
        <v>110</v>
      </c>
      <c r="G3293" s="64" t="s">
        <v>62</v>
      </c>
      <c r="H3293" s="3" t="s">
        <v>286</v>
      </c>
      <c r="I3293" s="65">
        <f>IFERROR(VLOOKUP(A3293,'3. Call duration'!$A:$C,3,0),"--")</f>
        <v>21.35038903</v>
      </c>
      <c r="J3293" s="65" t="str">
        <f t="array" ref="J3293">XLOOKUP(H3293,'2. Matching'!$A$2:$A$39,'2. Matching'!$B$2:$B$39,"--")</f>
        <v>Farming</v>
      </c>
      <c r="K3293" s="65" t="str">
        <f t="shared" si="1"/>
        <v>In</v>
      </c>
    </row>
    <row r="3294">
      <c r="A3294" s="62" t="s">
        <v>3432</v>
      </c>
      <c r="B3294" s="63">
        <v>44203.0</v>
      </c>
      <c r="C3294" s="62" t="s">
        <v>119</v>
      </c>
      <c r="D3294" s="64">
        <v>42.5</v>
      </c>
      <c r="E3294" s="62" t="s">
        <v>109</v>
      </c>
      <c r="F3294" s="62" t="s">
        <v>115</v>
      </c>
      <c r="G3294" s="64" t="s">
        <v>62</v>
      </c>
      <c r="H3294" s="3" t="s">
        <v>286</v>
      </c>
      <c r="I3294" s="65">
        <f>IFERROR(VLOOKUP(A3294,'3. Call duration'!$A:$C,3,0),"--")</f>
        <v>35.02010361</v>
      </c>
      <c r="J3294" s="65" t="str">
        <f t="array" ref="J3294">XLOOKUP(H3294,'2. Matching'!$A$2:$A$39,'2. Matching'!$B$2:$B$39,"--")</f>
        <v>Farming</v>
      </c>
      <c r="K3294" s="65" t="str">
        <f t="shared" si="1"/>
        <v>In</v>
      </c>
    </row>
    <row r="3295">
      <c r="A3295" s="62" t="s">
        <v>3433</v>
      </c>
      <c r="B3295" s="63">
        <v>44236.0</v>
      </c>
      <c r="C3295" s="62" t="s">
        <v>119</v>
      </c>
      <c r="D3295" s="64">
        <v>42.5</v>
      </c>
      <c r="E3295" s="62" t="s">
        <v>109</v>
      </c>
      <c r="F3295" s="62" t="s">
        <v>115</v>
      </c>
      <c r="G3295" s="64" t="s">
        <v>64</v>
      </c>
      <c r="H3295" s="3" t="s">
        <v>185</v>
      </c>
      <c r="I3295" s="65">
        <f>IFERROR(VLOOKUP(A3295,'3. Call duration'!$A:$C,3,0),"--")</f>
        <v>32.02494018</v>
      </c>
      <c r="J3295" s="65" t="str">
        <f t="array" ref="J3295">XLOOKUP(H3295,'2. Matching'!$A$2:$A$39,'2. Matching'!$B$2:$B$39,"--")</f>
        <v>SEO</v>
      </c>
      <c r="K3295" s="65" t="str">
        <f t="shared" si="1"/>
        <v>In</v>
      </c>
    </row>
    <row r="3296">
      <c r="A3296" s="62" t="s">
        <v>3434</v>
      </c>
      <c r="B3296" s="63">
        <v>44117.0</v>
      </c>
      <c r="C3296" s="62" t="s">
        <v>119</v>
      </c>
      <c r="D3296" s="64">
        <v>42.5</v>
      </c>
      <c r="E3296" s="62" t="s">
        <v>109</v>
      </c>
      <c r="F3296" s="62" t="s">
        <v>115</v>
      </c>
      <c r="G3296" s="64" t="s">
        <v>64</v>
      </c>
      <c r="H3296" s="3" t="s">
        <v>139</v>
      </c>
      <c r="I3296" s="65">
        <f>IFERROR(VLOOKUP(A3296,'3. Call duration'!$A:$C,3,0),"--")</f>
        <v>32.11349354</v>
      </c>
      <c r="J3296" s="65" t="str">
        <f t="array" ref="J3296">XLOOKUP(H3296,'2. Matching'!$A$2:$A$39,'2. Matching'!$B$2:$B$39,"--")</f>
        <v>Acquisition</v>
      </c>
      <c r="K3296" s="65" t="str">
        <f t="shared" si="1"/>
        <v>In</v>
      </c>
    </row>
    <row r="3297">
      <c r="A3297" s="62" t="s">
        <v>3435</v>
      </c>
      <c r="B3297" s="63">
        <v>44076.0</v>
      </c>
      <c r="C3297" s="62" t="s">
        <v>119</v>
      </c>
      <c r="D3297" s="64">
        <v>42.5</v>
      </c>
      <c r="E3297" s="62" t="s">
        <v>109</v>
      </c>
      <c r="F3297" s="62" t="s">
        <v>115</v>
      </c>
      <c r="G3297" s="64" t="s">
        <v>62</v>
      </c>
      <c r="H3297" s="3" t="s">
        <v>203</v>
      </c>
      <c r="I3297" s="65">
        <f>IFERROR(VLOOKUP(A3297,'3. Call duration'!$A:$C,3,0),"--")</f>
        <v>31.070103</v>
      </c>
      <c r="J3297" s="65" t="str">
        <f t="array" ref="J3297">XLOOKUP(H3297,'2. Matching'!$A$2:$A$39,'2. Matching'!$B$2:$B$39,"--")</f>
        <v>Farming</v>
      </c>
      <c r="K3297" s="65" t="str">
        <f t="shared" si="1"/>
        <v>In</v>
      </c>
    </row>
    <row r="3298">
      <c r="A3298" s="62" t="s">
        <v>3436</v>
      </c>
      <c r="B3298" s="63">
        <v>44218.0</v>
      </c>
      <c r="C3298" s="62" t="s">
        <v>119</v>
      </c>
      <c r="D3298" s="64">
        <v>42.5</v>
      </c>
      <c r="E3298" s="62" t="s">
        <v>109</v>
      </c>
      <c r="F3298" s="62" t="s">
        <v>115</v>
      </c>
      <c r="G3298" s="64" t="s">
        <v>64</v>
      </c>
      <c r="H3298" s="3" t="s">
        <v>139</v>
      </c>
      <c r="I3298" s="65">
        <f>IFERROR(VLOOKUP(A3298,'3. Call duration'!$A:$C,3,0),"--")</f>
        <v>31.95023682</v>
      </c>
      <c r="J3298" s="65" t="str">
        <f t="array" ref="J3298">XLOOKUP(H3298,'2. Matching'!$A$2:$A$39,'2. Matching'!$B$2:$B$39,"--")</f>
        <v>Acquisition</v>
      </c>
      <c r="K3298" s="65" t="str">
        <f t="shared" si="1"/>
        <v>In</v>
      </c>
    </row>
    <row r="3299">
      <c r="A3299" s="62" t="s">
        <v>3437</v>
      </c>
      <c r="B3299" s="63">
        <v>44222.0</v>
      </c>
      <c r="C3299" s="62" t="s">
        <v>119</v>
      </c>
      <c r="D3299" s="64">
        <v>42.5</v>
      </c>
      <c r="E3299" s="62" t="s">
        <v>109</v>
      </c>
      <c r="F3299" s="62" t="s">
        <v>110</v>
      </c>
      <c r="G3299" s="64" t="s">
        <v>64</v>
      </c>
      <c r="H3299" s="3" t="s">
        <v>145</v>
      </c>
      <c r="I3299" s="65">
        <f>IFERROR(VLOOKUP(A3299,'3. Call duration'!$A:$C,3,0),"--")</f>
        <v>40.02245645</v>
      </c>
      <c r="J3299" s="65" t="str">
        <f t="array" ref="J3299">XLOOKUP(H3299,'2. Matching'!$A$2:$A$39,'2. Matching'!$B$2:$B$39,"--")</f>
        <v>SEO</v>
      </c>
      <c r="K3299" s="65" t="str">
        <f t="shared" si="1"/>
        <v>In</v>
      </c>
    </row>
    <row r="3300">
      <c r="A3300" s="62" t="s">
        <v>3438</v>
      </c>
      <c r="B3300" s="63">
        <v>44111.0</v>
      </c>
      <c r="C3300" s="62" t="s">
        <v>119</v>
      </c>
      <c r="D3300" s="64">
        <v>42.5</v>
      </c>
      <c r="E3300" s="62" t="s">
        <v>109</v>
      </c>
      <c r="F3300" s="62" t="s">
        <v>115</v>
      </c>
      <c r="G3300" s="64" t="s">
        <v>64</v>
      </c>
      <c r="H3300" s="3" t="s">
        <v>139</v>
      </c>
      <c r="I3300" s="65">
        <f>IFERROR(VLOOKUP(A3300,'3. Call duration'!$A:$C,3,0),"--")</f>
        <v>36.45885038</v>
      </c>
      <c r="J3300" s="65" t="str">
        <f t="array" ref="J3300">XLOOKUP(H3300,'2. Matching'!$A$2:$A$39,'2. Matching'!$B$2:$B$39,"--")</f>
        <v>Acquisition</v>
      </c>
      <c r="K3300" s="65" t="str">
        <f t="shared" si="1"/>
        <v>In</v>
      </c>
    </row>
    <row r="3301">
      <c r="A3301" s="62" t="s">
        <v>3439</v>
      </c>
      <c r="B3301" s="63">
        <v>44207.0</v>
      </c>
      <c r="C3301" s="62" t="s">
        <v>119</v>
      </c>
      <c r="D3301" s="64">
        <v>42.5</v>
      </c>
      <c r="E3301" s="62" t="s">
        <v>109</v>
      </c>
      <c r="F3301" s="62" t="s">
        <v>110</v>
      </c>
      <c r="G3301" s="64" t="s">
        <v>64</v>
      </c>
      <c r="H3301" s="3" t="s">
        <v>169</v>
      </c>
      <c r="I3301" s="65">
        <f>IFERROR(VLOOKUP(A3301,'3. Call duration'!$A:$C,3,0),"--")</f>
        <v>26.72458842</v>
      </c>
      <c r="J3301" s="65" t="str">
        <f t="array" ref="J3301">XLOOKUP(H3301,'2. Matching'!$A$2:$A$39,'2. Matching'!$B$2:$B$39,"--")</f>
        <v>SEO</v>
      </c>
      <c r="K3301" s="65" t="str">
        <f t="shared" si="1"/>
        <v>In</v>
      </c>
    </row>
    <row r="3302">
      <c r="A3302" s="62" t="s">
        <v>3440</v>
      </c>
      <c r="B3302" s="63">
        <v>44113.0</v>
      </c>
      <c r="C3302" s="62" t="s">
        <v>119</v>
      </c>
      <c r="D3302" s="64">
        <v>42.5</v>
      </c>
      <c r="E3302" s="62" t="s">
        <v>109</v>
      </c>
      <c r="F3302" s="62" t="s">
        <v>115</v>
      </c>
      <c r="G3302" s="64" t="s">
        <v>64</v>
      </c>
      <c r="H3302" s="3" t="s">
        <v>169</v>
      </c>
      <c r="I3302" s="65">
        <f>IFERROR(VLOOKUP(A3302,'3. Call duration'!$A:$C,3,0),"--")</f>
        <v>13.77868437</v>
      </c>
      <c r="J3302" s="65" t="str">
        <f t="array" ref="J3302">XLOOKUP(H3302,'2. Matching'!$A$2:$A$39,'2. Matching'!$B$2:$B$39,"--")</f>
        <v>SEO</v>
      </c>
      <c r="K3302" s="65" t="str">
        <f t="shared" si="1"/>
        <v>In</v>
      </c>
    </row>
    <row r="3303">
      <c r="A3303" s="62" t="s">
        <v>3441</v>
      </c>
      <c r="B3303" s="63">
        <v>44107.0</v>
      </c>
      <c r="C3303" s="62" t="s">
        <v>119</v>
      </c>
      <c r="D3303" s="64">
        <v>42.5</v>
      </c>
      <c r="E3303" s="62" t="s">
        <v>109</v>
      </c>
      <c r="F3303" s="62" t="s">
        <v>115</v>
      </c>
      <c r="G3303" s="64" t="s">
        <v>64</v>
      </c>
      <c r="H3303" s="3" t="s">
        <v>139</v>
      </c>
      <c r="I3303" s="65">
        <f>IFERROR(VLOOKUP(A3303,'3. Call duration'!$A:$C,3,0),"--")</f>
        <v>30.51579689</v>
      </c>
      <c r="J3303" s="65" t="str">
        <f t="array" ref="J3303">XLOOKUP(H3303,'2. Matching'!$A$2:$A$39,'2. Matching'!$B$2:$B$39,"--")</f>
        <v>Acquisition</v>
      </c>
      <c r="K3303" s="65" t="str">
        <f t="shared" si="1"/>
        <v>In</v>
      </c>
    </row>
    <row r="3304">
      <c r="A3304" s="62" t="s">
        <v>3442</v>
      </c>
      <c r="B3304" s="63">
        <v>44230.0</v>
      </c>
      <c r="C3304" s="62" t="s">
        <v>119</v>
      </c>
      <c r="D3304" s="64">
        <v>42.5</v>
      </c>
      <c r="E3304" s="62" t="s">
        <v>109</v>
      </c>
      <c r="F3304" s="62" t="s">
        <v>115</v>
      </c>
      <c r="G3304" s="64" t="s">
        <v>64</v>
      </c>
      <c r="H3304" s="3" t="s">
        <v>185</v>
      </c>
      <c r="I3304" s="65">
        <f>IFERROR(VLOOKUP(A3304,'3. Call duration'!$A:$C,3,0),"--")</f>
        <v>29.0068253</v>
      </c>
      <c r="J3304" s="65" t="str">
        <f t="array" ref="J3304">XLOOKUP(H3304,'2. Matching'!$A$2:$A$39,'2. Matching'!$B$2:$B$39,"--")</f>
        <v>SEO</v>
      </c>
      <c r="K3304" s="65" t="str">
        <f t="shared" si="1"/>
        <v>In</v>
      </c>
    </row>
    <row r="3305">
      <c r="A3305" s="62" t="s">
        <v>3443</v>
      </c>
      <c r="B3305" s="63">
        <v>44238.0</v>
      </c>
      <c r="C3305" s="62" t="s">
        <v>119</v>
      </c>
      <c r="D3305" s="64">
        <v>42.5</v>
      </c>
      <c r="E3305" s="62" t="s">
        <v>109</v>
      </c>
      <c r="F3305" s="62" t="s">
        <v>115</v>
      </c>
      <c r="G3305" s="64" t="s">
        <v>64</v>
      </c>
      <c r="H3305" s="3" t="s">
        <v>139</v>
      </c>
      <c r="I3305" s="65">
        <f>IFERROR(VLOOKUP(A3305,'3. Call duration'!$A:$C,3,0),"--")</f>
        <v>29.16161658</v>
      </c>
      <c r="J3305" s="65" t="str">
        <f t="array" ref="J3305">XLOOKUP(H3305,'2. Matching'!$A$2:$A$39,'2. Matching'!$B$2:$B$39,"--")</f>
        <v>Acquisition</v>
      </c>
      <c r="K3305" s="65" t="str">
        <f t="shared" si="1"/>
        <v>In</v>
      </c>
    </row>
    <row r="3306">
      <c r="A3306" s="62" t="s">
        <v>3444</v>
      </c>
      <c r="B3306" s="63">
        <v>44166.0</v>
      </c>
      <c r="C3306" s="62" t="s">
        <v>119</v>
      </c>
      <c r="D3306" s="64">
        <v>42.5</v>
      </c>
      <c r="E3306" s="62" t="s">
        <v>109</v>
      </c>
      <c r="F3306" s="62" t="s">
        <v>115</v>
      </c>
      <c r="G3306" s="64" t="s">
        <v>64</v>
      </c>
      <c r="H3306" s="3" t="s">
        <v>169</v>
      </c>
      <c r="I3306" s="65">
        <f>IFERROR(VLOOKUP(A3306,'3. Call duration'!$A:$C,3,0),"--")</f>
        <v>26.8163835</v>
      </c>
      <c r="J3306" s="65" t="str">
        <f t="array" ref="J3306">XLOOKUP(H3306,'2. Matching'!$A$2:$A$39,'2. Matching'!$B$2:$B$39,"--")</f>
        <v>SEO</v>
      </c>
      <c r="K3306" s="65" t="str">
        <f t="shared" si="1"/>
        <v>In</v>
      </c>
    </row>
    <row r="3307">
      <c r="A3307" s="62" t="s">
        <v>3445</v>
      </c>
      <c r="B3307" s="63">
        <v>44210.0</v>
      </c>
      <c r="C3307" s="62" t="s">
        <v>119</v>
      </c>
      <c r="D3307" s="64">
        <v>42.5</v>
      </c>
      <c r="E3307" s="62" t="s">
        <v>109</v>
      </c>
      <c r="F3307" s="62" t="s">
        <v>115</v>
      </c>
      <c r="G3307" s="64" t="s">
        <v>64</v>
      </c>
      <c r="H3307" s="3" t="s">
        <v>139</v>
      </c>
      <c r="I3307" s="65">
        <f>IFERROR(VLOOKUP(A3307,'3. Call duration'!$A:$C,3,0),"--")</f>
        <v>26.6108314</v>
      </c>
      <c r="J3307" s="65" t="str">
        <f t="array" ref="J3307">XLOOKUP(H3307,'2. Matching'!$A$2:$A$39,'2. Matching'!$B$2:$B$39,"--")</f>
        <v>Acquisition</v>
      </c>
      <c r="K3307" s="65" t="str">
        <f t="shared" si="1"/>
        <v>In</v>
      </c>
    </row>
    <row r="3308">
      <c r="A3308" s="62" t="s">
        <v>3446</v>
      </c>
      <c r="B3308" s="63">
        <v>44245.0</v>
      </c>
      <c r="C3308" s="62" t="s">
        <v>119</v>
      </c>
      <c r="D3308" s="64">
        <v>42.5</v>
      </c>
      <c r="E3308" s="62" t="s">
        <v>109</v>
      </c>
      <c r="F3308" s="62" t="s">
        <v>110</v>
      </c>
      <c r="G3308" s="64" t="s">
        <v>64</v>
      </c>
      <c r="H3308" s="3" t="s">
        <v>131</v>
      </c>
      <c r="I3308" s="65">
        <f>IFERROR(VLOOKUP(A3308,'3. Call duration'!$A:$C,3,0),"--")</f>
        <v>24.73959047</v>
      </c>
      <c r="J3308" s="65" t="str">
        <f t="array" ref="J3308">XLOOKUP(H3308,'2. Matching'!$A$2:$A$39,'2. Matching'!$B$2:$B$39,"--")</f>
        <v>Acquisition</v>
      </c>
      <c r="K3308" s="65" t="str">
        <f t="shared" si="1"/>
        <v>In</v>
      </c>
    </row>
    <row r="3309">
      <c r="A3309" s="62" t="s">
        <v>3447</v>
      </c>
      <c r="B3309" s="63">
        <v>44211.0</v>
      </c>
      <c r="C3309" s="62" t="s">
        <v>119</v>
      </c>
      <c r="D3309" s="64">
        <v>42.5</v>
      </c>
      <c r="E3309" s="62" t="s">
        <v>109</v>
      </c>
      <c r="F3309" s="62" t="s">
        <v>115</v>
      </c>
      <c r="G3309" s="64" t="s">
        <v>64</v>
      </c>
      <c r="H3309" s="3" t="s">
        <v>139</v>
      </c>
      <c r="I3309" s="65">
        <f>IFERROR(VLOOKUP(A3309,'3. Call duration'!$A:$C,3,0),"--")</f>
        <v>28.4236911</v>
      </c>
      <c r="J3309" s="65" t="str">
        <f t="array" ref="J3309">XLOOKUP(H3309,'2. Matching'!$A$2:$A$39,'2. Matching'!$B$2:$B$39,"--")</f>
        <v>Acquisition</v>
      </c>
      <c r="K3309" s="65" t="str">
        <f t="shared" si="1"/>
        <v>In</v>
      </c>
    </row>
    <row r="3310">
      <c r="A3310" s="62" t="s">
        <v>3448</v>
      </c>
      <c r="B3310" s="63">
        <v>44229.0</v>
      </c>
      <c r="C3310" s="62" t="s">
        <v>119</v>
      </c>
      <c r="D3310" s="64">
        <v>42.5</v>
      </c>
      <c r="E3310" s="62" t="s">
        <v>109</v>
      </c>
      <c r="F3310" s="62" t="s">
        <v>115</v>
      </c>
      <c r="G3310" s="64" t="s">
        <v>64</v>
      </c>
      <c r="H3310" s="3" t="s">
        <v>116</v>
      </c>
      <c r="I3310" s="65">
        <f>IFERROR(VLOOKUP(A3310,'3. Call duration'!$A:$C,3,0),"--")</f>
        <v>30.42784009</v>
      </c>
      <c r="J3310" s="65" t="str">
        <f t="array" ref="J3310">XLOOKUP(H3310,'2. Matching'!$A$2:$A$39,'2. Matching'!$B$2:$B$39,"--")</f>
        <v>Acquisition</v>
      </c>
      <c r="K3310" s="65" t="str">
        <f t="shared" si="1"/>
        <v>In</v>
      </c>
    </row>
    <row r="3311">
      <c r="A3311" s="62" t="s">
        <v>3449</v>
      </c>
      <c r="B3311" s="63">
        <v>44161.0</v>
      </c>
      <c r="C3311" s="62" t="s">
        <v>119</v>
      </c>
      <c r="D3311" s="64">
        <v>42.5</v>
      </c>
      <c r="E3311" s="62" t="s">
        <v>109</v>
      </c>
      <c r="F3311" s="62" t="s">
        <v>115</v>
      </c>
      <c r="G3311" s="64" t="s">
        <v>64</v>
      </c>
      <c r="H3311" s="3" t="s">
        <v>155</v>
      </c>
      <c r="I3311" s="65">
        <f>IFERROR(VLOOKUP(A3311,'3. Call duration'!$A:$C,3,0),"--")</f>
        <v>14.63190108</v>
      </c>
      <c r="J3311" s="65" t="str">
        <f t="array" ref="J3311">XLOOKUP(H3311,'2. Matching'!$A$2:$A$39,'2. Matching'!$B$2:$B$39,"--")</f>
        <v>SEO</v>
      </c>
      <c r="K3311" s="65" t="str">
        <f t="shared" si="1"/>
        <v>In</v>
      </c>
    </row>
    <row r="3312">
      <c r="A3312" s="62" t="s">
        <v>3450</v>
      </c>
      <c r="B3312" s="63">
        <v>44093.0</v>
      </c>
      <c r="C3312" s="62" t="s">
        <v>119</v>
      </c>
      <c r="D3312" s="64">
        <v>42.5</v>
      </c>
      <c r="E3312" s="62" t="s">
        <v>109</v>
      </c>
      <c r="F3312" s="62" t="s">
        <v>115</v>
      </c>
      <c r="G3312" s="64" t="s">
        <v>112</v>
      </c>
      <c r="H3312" s="3"/>
      <c r="I3312" s="65">
        <f>IFERROR(VLOOKUP(A3312,'3. Call duration'!$A:$C,3,0),"--")</f>
        <v>24.72776829</v>
      </c>
      <c r="J3312" s="65" t="str">
        <f t="array" ref="J3312">XLOOKUP(H3312,'2. Matching'!$A$2:$A$39,'2. Matching'!$B$2:$B$39,"--")</f>
        <v>--</v>
      </c>
      <c r="K3312" s="65" t="str">
        <f t="shared" si="1"/>
        <v>In</v>
      </c>
    </row>
    <row r="3313">
      <c r="A3313" s="62" t="s">
        <v>3451</v>
      </c>
      <c r="B3313" s="63">
        <v>44121.0</v>
      </c>
      <c r="C3313" s="62" t="s">
        <v>119</v>
      </c>
      <c r="D3313" s="64">
        <v>42.5</v>
      </c>
      <c r="E3313" s="62" t="s">
        <v>109</v>
      </c>
      <c r="F3313" s="62" t="s">
        <v>115</v>
      </c>
      <c r="G3313" s="64" t="s">
        <v>64</v>
      </c>
      <c r="H3313" s="3" t="s">
        <v>139</v>
      </c>
      <c r="I3313" s="65">
        <f>IFERROR(VLOOKUP(A3313,'3. Call duration'!$A:$C,3,0),"--")</f>
        <v>27.90413012</v>
      </c>
      <c r="J3313" s="65" t="str">
        <f t="array" ref="J3313">XLOOKUP(H3313,'2. Matching'!$A$2:$A$39,'2. Matching'!$B$2:$B$39,"--")</f>
        <v>Acquisition</v>
      </c>
      <c r="K3313" s="65" t="str">
        <f t="shared" si="1"/>
        <v>In</v>
      </c>
    </row>
    <row r="3314">
      <c r="A3314" s="62" t="s">
        <v>3452</v>
      </c>
      <c r="B3314" s="63">
        <v>44095.0</v>
      </c>
      <c r="C3314" s="62" t="s">
        <v>119</v>
      </c>
      <c r="D3314" s="64">
        <v>42.5</v>
      </c>
      <c r="E3314" s="62" t="s">
        <v>109</v>
      </c>
      <c r="F3314" s="62" t="s">
        <v>115</v>
      </c>
      <c r="G3314" s="64" t="s">
        <v>64</v>
      </c>
      <c r="H3314" s="3" t="s">
        <v>169</v>
      </c>
      <c r="I3314" s="65">
        <f>IFERROR(VLOOKUP(A3314,'3. Call duration'!$A:$C,3,0),"--")</f>
        <v>28.1203039</v>
      </c>
      <c r="J3314" s="65" t="str">
        <f t="array" ref="J3314">XLOOKUP(H3314,'2. Matching'!$A$2:$A$39,'2. Matching'!$B$2:$B$39,"--")</f>
        <v>SEO</v>
      </c>
      <c r="K3314" s="65" t="str">
        <f t="shared" si="1"/>
        <v>In</v>
      </c>
    </row>
    <row r="3315">
      <c r="A3315" s="62" t="s">
        <v>3453</v>
      </c>
      <c r="B3315" s="63">
        <v>44205.0</v>
      </c>
      <c r="C3315" s="62" t="s">
        <v>119</v>
      </c>
      <c r="D3315" s="64">
        <v>42.5</v>
      </c>
      <c r="E3315" s="62" t="s">
        <v>109</v>
      </c>
      <c r="F3315" s="62" t="s">
        <v>115</v>
      </c>
      <c r="G3315" s="64" t="s">
        <v>64</v>
      </c>
      <c r="H3315" s="3" t="s">
        <v>150</v>
      </c>
      <c r="I3315" s="65">
        <f>IFERROR(VLOOKUP(A3315,'3. Call duration'!$A:$C,3,0),"--")</f>
        <v>30.13102913</v>
      </c>
      <c r="J3315" s="65" t="str">
        <f t="array" ref="J3315">XLOOKUP(H3315,'2. Matching'!$A$2:$A$39,'2. Matching'!$B$2:$B$39,"--")</f>
        <v>SEO</v>
      </c>
      <c r="K3315" s="65" t="str">
        <f t="shared" si="1"/>
        <v>In</v>
      </c>
    </row>
    <row r="3316">
      <c r="A3316" s="62" t="s">
        <v>3454</v>
      </c>
      <c r="B3316" s="63">
        <v>44153.0</v>
      </c>
      <c r="C3316" s="62" t="s">
        <v>119</v>
      </c>
      <c r="D3316" s="64">
        <v>42.5</v>
      </c>
      <c r="E3316" s="62" t="s">
        <v>109</v>
      </c>
      <c r="F3316" s="62" t="s">
        <v>115</v>
      </c>
      <c r="G3316" s="64" t="s">
        <v>64</v>
      </c>
      <c r="H3316" s="3" t="s">
        <v>169</v>
      </c>
      <c r="I3316" s="65">
        <f>IFERROR(VLOOKUP(A3316,'3. Call duration'!$A:$C,3,0),"--")</f>
        <v>32.26583424</v>
      </c>
      <c r="J3316" s="65" t="str">
        <f t="array" ref="J3316">XLOOKUP(H3316,'2. Matching'!$A$2:$A$39,'2. Matching'!$B$2:$B$39,"--")</f>
        <v>SEO</v>
      </c>
      <c r="K3316" s="65" t="str">
        <f t="shared" si="1"/>
        <v>In</v>
      </c>
    </row>
    <row r="3317">
      <c r="A3317" s="62" t="s">
        <v>3455</v>
      </c>
      <c r="B3317" s="63">
        <v>44105.0</v>
      </c>
      <c r="C3317" s="62" t="s">
        <v>119</v>
      </c>
      <c r="D3317" s="64">
        <v>42.5</v>
      </c>
      <c r="E3317" s="62" t="s">
        <v>109</v>
      </c>
      <c r="F3317" s="62" t="s">
        <v>115</v>
      </c>
      <c r="G3317" s="64" t="s">
        <v>64</v>
      </c>
      <c r="H3317" s="3" t="s">
        <v>131</v>
      </c>
      <c r="I3317" s="65">
        <f>IFERROR(VLOOKUP(A3317,'3. Call duration'!$A:$C,3,0),"--")</f>
        <v>25.34570357</v>
      </c>
      <c r="J3317" s="65" t="str">
        <f t="array" ref="J3317">XLOOKUP(H3317,'2. Matching'!$A$2:$A$39,'2. Matching'!$B$2:$B$39,"--")</f>
        <v>Acquisition</v>
      </c>
      <c r="K3317" s="65" t="str">
        <f t="shared" si="1"/>
        <v>In</v>
      </c>
    </row>
    <row r="3318">
      <c r="A3318" s="62" t="s">
        <v>3456</v>
      </c>
      <c r="B3318" s="63">
        <v>44093.0</v>
      </c>
      <c r="C3318" s="62" t="s">
        <v>119</v>
      </c>
      <c r="D3318" s="64">
        <v>42.5</v>
      </c>
      <c r="E3318" s="62" t="s">
        <v>109</v>
      </c>
      <c r="F3318" s="62" t="s">
        <v>110</v>
      </c>
      <c r="G3318" s="64" t="s">
        <v>64</v>
      </c>
      <c r="H3318" s="3" t="s">
        <v>139</v>
      </c>
      <c r="I3318" s="65">
        <f>IFERROR(VLOOKUP(A3318,'3. Call duration'!$A:$C,3,0),"--")</f>
        <v>32.66888905</v>
      </c>
      <c r="J3318" s="65" t="str">
        <f t="array" ref="J3318">XLOOKUP(H3318,'2. Matching'!$A$2:$A$39,'2. Matching'!$B$2:$B$39,"--")</f>
        <v>Acquisition</v>
      </c>
      <c r="K3318" s="65" t="str">
        <f t="shared" si="1"/>
        <v>In</v>
      </c>
    </row>
    <row r="3319">
      <c r="A3319" s="62" t="s">
        <v>3457</v>
      </c>
      <c r="B3319" s="63">
        <v>44249.0</v>
      </c>
      <c r="C3319" s="62" t="s">
        <v>119</v>
      </c>
      <c r="D3319" s="64">
        <v>42.5</v>
      </c>
      <c r="E3319" s="62" t="s">
        <v>109</v>
      </c>
      <c r="F3319" s="62" t="s">
        <v>115</v>
      </c>
      <c r="G3319" s="64" t="s">
        <v>64</v>
      </c>
      <c r="H3319" s="3" t="s">
        <v>221</v>
      </c>
      <c r="I3319" s="65">
        <f>IFERROR(VLOOKUP(A3319,'3. Call duration'!$A:$C,3,0),"--")</f>
        <v>30.48069025</v>
      </c>
      <c r="J3319" s="65" t="str">
        <f t="array" ref="J3319">XLOOKUP(H3319,'2. Matching'!$A$2:$A$39,'2. Matching'!$B$2:$B$39,"--")</f>
        <v>Farming</v>
      </c>
      <c r="K3319" s="65" t="str">
        <f t="shared" si="1"/>
        <v>In</v>
      </c>
    </row>
    <row r="3320">
      <c r="A3320" s="62" t="s">
        <v>3458</v>
      </c>
      <c r="B3320" s="63">
        <v>44140.0</v>
      </c>
      <c r="C3320" s="62" t="s">
        <v>119</v>
      </c>
      <c r="D3320" s="64">
        <v>42.5</v>
      </c>
      <c r="E3320" s="62" t="s">
        <v>109</v>
      </c>
      <c r="F3320" s="62" t="s">
        <v>115</v>
      </c>
      <c r="G3320" s="64" t="s">
        <v>64</v>
      </c>
      <c r="H3320" s="3" t="s">
        <v>139</v>
      </c>
      <c r="I3320" s="65">
        <f>IFERROR(VLOOKUP(A3320,'3. Call duration'!$A:$C,3,0),"--")</f>
        <v>30.0468835</v>
      </c>
      <c r="J3320" s="65" t="str">
        <f t="array" ref="J3320">XLOOKUP(H3320,'2. Matching'!$A$2:$A$39,'2. Matching'!$B$2:$B$39,"--")</f>
        <v>Acquisition</v>
      </c>
      <c r="K3320" s="65" t="str">
        <f t="shared" si="1"/>
        <v>In</v>
      </c>
    </row>
    <row r="3321">
      <c r="A3321" s="62" t="s">
        <v>3459</v>
      </c>
      <c r="B3321" s="63">
        <v>44249.0</v>
      </c>
      <c r="C3321" s="62" t="s">
        <v>119</v>
      </c>
      <c r="D3321" s="64">
        <v>42.5</v>
      </c>
      <c r="E3321" s="62" t="s">
        <v>109</v>
      </c>
      <c r="F3321" s="62" t="s">
        <v>115</v>
      </c>
      <c r="G3321" s="64" t="s">
        <v>64</v>
      </c>
      <c r="H3321" s="3" t="s">
        <v>150</v>
      </c>
      <c r="I3321" s="65">
        <f>IFERROR(VLOOKUP(A3321,'3. Call duration'!$A:$C,3,0),"--")</f>
        <v>25.67933135</v>
      </c>
      <c r="J3321" s="65" t="str">
        <f t="array" ref="J3321">XLOOKUP(H3321,'2. Matching'!$A$2:$A$39,'2. Matching'!$B$2:$B$39,"--")</f>
        <v>SEO</v>
      </c>
      <c r="K3321" s="65" t="str">
        <f t="shared" si="1"/>
        <v>In</v>
      </c>
    </row>
    <row r="3322">
      <c r="A3322" s="62" t="s">
        <v>3460</v>
      </c>
      <c r="B3322" s="63">
        <v>44224.0</v>
      </c>
      <c r="C3322" s="62" t="s">
        <v>119</v>
      </c>
      <c r="D3322" s="64">
        <v>42.5</v>
      </c>
      <c r="E3322" s="62" t="s">
        <v>109</v>
      </c>
      <c r="F3322" s="62" t="s">
        <v>115</v>
      </c>
      <c r="G3322" s="64" t="s">
        <v>64</v>
      </c>
      <c r="H3322" s="3" t="s">
        <v>169</v>
      </c>
      <c r="I3322" s="65">
        <f>IFERROR(VLOOKUP(A3322,'3. Call duration'!$A:$C,3,0),"--")</f>
        <v>32.29368848</v>
      </c>
      <c r="J3322" s="65" t="str">
        <f t="array" ref="J3322">XLOOKUP(H3322,'2. Matching'!$A$2:$A$39,'2. Matching'!$B$2:$B$39,"--")</f>
        <v>SEO</v>
      </c>
      <c r="K3322" s="65" t="str">
        <f t="shared" si="1"/>
        <v>In</v>
      </c>
    </row>
    <row r="3323">
      <c r="A3323" s="62" t="s">
        <v>3461</v>
      </c>
      <c r="B3323" s="63">
        <v>44141.0</v>
      </c>
      <c r="C3323" s="62" t="s">
        <v>119</v>
      </c>
      <c r="D3323" s="64">
        <v>42.5</v>
      </c>
      <c r="E3323" s="62" t="s">
        <v>109</v>
      </c>
      <c r="F3323" s="62" t="s">
        <v>115</v>
      </c>
      <c r="G3323" s="64" t="s">
        <v>64</v>
      </c>
      <c r="H3323" s="3" t="s">
        <v>185</v>
      </c>
      <c r="I3323" s="65">
        <f>IFERROR(VLOOKUP(A3323,'3. Call duration'!$A:$C,3,0),"--")</f>
        <v>33.22378612</v>
      </c>
      <c r="J3323" s="65" t="str">
        <f t="array" ref="J3323">XLOOKUP(H3323,'2. Matching'!$A$2:$A$39,'2. Matching'!$B$2:$B$39,"--")</f>
        <v>SEO</v>
      </c>
      <c r="K3323" s="65" t="str">
        <f t="shared" si="1"/>
        <v>In</v>
      </c>
    </row>
    <row r="3324">
      <c r="A3324" s="62" t="s">
        <v>3462</v>
      </c>
      <c r="B3324" s="63">
        <v>44203.0</v>
      </c>
      <c r="C3324" s="62" t="s">
        <v>119</v>
      </c>
      <c r="D3324" s="64">
        <v>42.5</v>
      </c>
      <c r="E3324" s="62" t="s">
        <v>109</v>
      </c>
      <c r="F3324" s="62" t="s">
        <v>115</v>
      </c>
      <c r="G3324" s="64" t="s">
        <v>64</v>
      </c>
      <c r="H3324" s="3" t="s">
        <v>169</v>
      </c>
      <c r="I3324" s="65">
        <f>IFERROR(VLOOKUP(A3324,'3. Call duration'!$A:$C,3,0),"--")</f>
        <v>27.50203753</v>
      </c>
      <c r="J3324" s="65" t="str">
        <f t="array" ref="J3324">XLOOKUP(H3324,'2. Matching'!$A$2:$A$39,'2. Matching'!$B$2:$B$39,"--")</f>
        <v>SEO</v>
      </c>
      <c r="K3324" s="65" t="str">
        <f t="shared" si="1"/>
        <v>In</v>
      </c>
    </row>
    <row r="3325">
      <c r="A3325" s="62" t="s">
        <v>3463</v>
      </c>
      <c r="B3325" s="63">
        <v>44111.0</v>
      </c>
      <c r="C3325" s="62" t="s">
        <v>119</v>
      </c>
      <c r="D3325" s="64">
        <v>42.5</v>
      </c>
      <c r="E3325" s="62" t="s">
        <v>109</v>
      </c>
      <c r="F3325" s="62" t="s">
        <v>110</v>
      </c>
      <c r="G3325" s="64" t="s">
        <v>64</v>
      </c>
      <c r="H3325" s="3" t="s">
        <v>139</v>
      </c>
      <c r="I3325" s="65">
        <f>IFERROR(VLOOKUP(A3325,'3. Call duration'!$A:$C,3,0),"--")</f>
        <v>32.57195217</v>
      </c>
      <c r="J3325" s="65" t="str">
        <f t="array" ref="J3325">XLOOKUP(H3325,'2. Matching'!$A$2:$A$39,'2. Matching'!$B$2:$B$39,"--")</f>
        <v>Acquisition</v>
      </c>
      <c r="K3325" s="65" t="str">
        <f t="shared" si="1"/>
        <v>In</v>
      </c>
    </row>
    <row r="3326">
      <c r="A3326" s="62" t="s">
        <v>3464</v>
      </c>
      <c r="B3326" s="63">
        <v>44217.0</v>
      </c>
      <c r="C3326" s="62" t="s">
        <v>119</v>
      </c>
      <c r="D3326" s="64">
        <v>42.5</v>
      </c>
      <c r="E3326" s="62" t="s">
        <v>109</v>
      </c>
      <c r="F3326" s="62" t="s">
        <v>115</v>
      </c>
      <c r="G3326" s="64" t="s">
        <v>64</v>
      </c>
      <c r="H3326" s="3" t="s">
        <v>150</v>
      </c>
      <c r="I3326" s="65">
        <f>IFERROR(VLOOKUP(A3326,'3. Call duration'!$A:$C,3,0),"--")</f>
        <v>26.68405603</v>
      </c>
      <c r="J3326" s="65" t="str">
        <f t="array" ref="J3326">XLOOKUP(H3326,'2. Matching'!$A$2:$A$39,'2. Matching'!$B$2:$B$39,"--")</f>
        <v>SEO</v>
      </c>
      <c r="K3326" s="65" t="str">
        <f t="shared" si="1"/>
        <v>In</v>
      </c>
    </row>
    <row r="3327">
      <c r="A3327" s="62" t="s">
        <v>3465</v>
      </c>
      <c r="B3327" s="63">
        <v>44172.0</v>
      </c>
      <c r="C3327" s="62" t="s">
        <v>119</v>
      </c>
      <c r="D3327" s="64">
        <v>42.5</v>
      </c>
      <c r="E3327" s="62" t="s">
        <v>109</v>
      </c>
      <c r="F3327" s="62" t="s">
        <v>115</v>
      </c>
      <c r="G3327" s="64" t="s">
        <v>64</v>
      </c>
      <c r="H3327" s="3" t="s">
        <v>131</v>
      </c>
      <c r="I3327" s="65">
        <f>IFERROR(VLOOKUP(A3327,'3. Call duration'!$A:$C,3,0),"--")</f>
        <v>26.58208513</v>
      </c>
      <c r="J3327" s="65" t="str">
        <f t="array" ref="J3327">XLOOKUP(H3327,'2. Matching'!$A$2:$A$39,'2. Matching'!$B$2:$B$39,"--")</f>
        <v>Acquisition</v>
      </c>
      <c r="K3327" s="65" t="str">
        <f t="shared" si="1"/>
        <v>In</v>
      </c>
    </row>
    <row r="3328">
      <c r="A3328" s="62" t="s">
        <v>3466</v>
      </c>
      <c r="B3328" s="63">
        <v>44237.0</v>
      </c>
      <c r="C3328" s="62" t="s">
        <v>119</v>
      </c>
      <c r="D3328" s="64">
        <v>42.5</v>
      </c>
      <c r="E3328" s="62" t="s">
        <v>109</v>
      </c>
      <c r="F3328" s="62" t="s">
        <v>115</v>
      </c>
      <c r="G3328" s="64" t="s">
        <v>64</v>
      </c>
      <c r="H3328" s="3" t="s">
        <v>221</v>
      </c>
      <c r="I3328" s="65">
        <f>IFERROR(VLOOKUP(A3328,'3. Call duration'!$A:$C,3,0),"--")</f>
        <v>46.74586049</v>
      </c>
      <c r="J3328" s="65" t="str">
        <f t="array" ref="J3328">XLOOKUP(H3328,'2. Matching'!$A$2:$A$39,'2. Matching'!$B$2:$B$39,"--")</f>
        <v>Farming</v>
      </c>
      <c r="K3328" s="65" t="str">
        <f t="shared" si="1"/>
        <v>In</v>
      </c>
    </row>
    <row r="3329">
      <c r="A3329" s="62" t="s">
        <v>3467</v>
      </c>
      <c r="B3329" s="63">
        <v>44093.0</v>
      </c>
      <c r="C3329" s="62" t="s">
        <v>119</v>
      </c>
      <c r="D3329" s="64">
        <v>42.5</v>
      </c>
      <c r="E3329" s="62" t="s">
        <v>109</v>
      </c>
      <c r="F3329" s="62" t="s">
        <v>115</v>
      </c>
      <c r="G3329" s="64" t="s">
        <v>64</v>
      </c>
      <c r="H3329" s="3" t="s">
        <v>139</v>
      </c>
      <c r="I3329" s="65">
        <f>IFERROR(VLOOKUP(A3329,'3. Call duration'!$A:$C,3,0),"--")</f>
        <v>30.07102092</v>
      </c>
      <c r="J3329" s="65" t="str">
        <f t="array" ref="J3329">XLOOKUP(H3329,'2. Matching'!$A$2:$A$39,'2. Matching'!$B$2:$B$39,"--")</f>
        <v>Acquisition</v>
      </c>
      <c r="K3329" s="65" t="str">
        <f t="shared" si="1"/>
        <v>In</v>
      </c>
    </row>
    <row r="3330">
      <c r="A3330" s="62" t="s">
        <v>3468</v>
      </c>
      <c r="B3330" s="63">
        <v>44221.0</v>
      </c>
      <c r="C3330" s="62" t="s">
        <v>119</v>
      </c>
      <c r="D3330" s="64">
        <v>42.5</v>
      </c>
      <c r="E3330" s="62" t="s">
        <v>109</v>
      </c>
      <c r="F3330" s="62" t="s">
        <v>115</v>
      </c>
      <c r="G3330" s="64" t="s">
        <v>64</v>
      </c>
      <c r="H3330" s="3" t="s">
        <v>175</v>
      </c>
      <c r="I3330" s="65">
        <f>IFERROR(VLOOKUP(A3330,'3. Call duration'!$A:$C,3,0),"--")</f>
        <v>32.292882</v>
      </c>
      <c r="J3330" s="65" t="str">
        <f t="array" ref="J3330">XLOOKUP(H3330,'2. Matching'!$A$2:$A$39,'2. Matching'!$B$2:$B$39,"--")</f>
        <v>SEO</v>
      </c>
      <c r="K3330" s="65" t="str">
        <f t="shared" si="1"/>
        <v>In</v>
      </c>
    </row>
    <row r="3331">
      <c r="A3331" s="62" t="s">
        <v>3469</v>
      </c>
      <c r="B3331" s="63">
        <v>44244.0</v>
      </c>
      <c r="C3331" s="62" t="s">
        <v>119</v>
      </c>
      <c r="D3331" s="64">
        <v>42.5</v>
      </c>
      <c r="E3331" s="62" t="s">
        <v>109</v>
      </c>
      <c r="F3331" s="62" t="s">
        <v>110</v>
      </c>
      <c r="G3331" s="64" t="s">
        <v>64</v>
      </c>
      <c r="H3331" s="3" t="s">
        <v>175</v>
      </c>
      <c r="I3331" s="65">
        <f>IFERROR(VLOOKUP(A3331,'3. Call duration'!$A:$C,3,0),"--")</f>
        <v>31.73393972</v>
      </c>
      <c r="J3331" s="65" t="str">
        <f t="array" ref="J3331">XLOOKUP(H3331,'2. Matching'!$A$2:$A$39,'2. Matching'!$B$2:$B$39,"--")</f>
        <v>SEO</v>
      </c>
      <c r="K3331" s="65" t="str">
        <f t="shared" si="1"/>
        <v>In</v>
      </c>
    </row>
    <row r="3332">
      <c r="A3332" s="62" t="s">
        <v>3470</v>
      </c>
      <c r="B3332" s="63">
        <v>44195.0</v>
      </c>
      <c r="C3332" s="62" t="s">
        <v>119</v>
      </c>
      <c r="D3332" s="64">
        <v>42.5</v>
      </c>
      <c r="E3332" s="62" t="s">
        <v>109</v>
      </c>
      <c r="F3332" s="62" t="s">
        <v>115</v>
      </c>
      <c r="G3332" s="64" t="s">
        <v>64</v>
      </c>
      <c r="H3332" s="3" t="s">
        <v>164</v>
      </c>
      <c r="I3332" s="65">
        <f>IFERROR(VLOOKUP(A3332,'3. Call duration'!$A:$C,3,0),"--")</f>
        <v>22.00212671</v>
      </c>
      <c r="J3332" s="65" t="str">
        <f t="array" ref="J3332">XLOOKUP(H3332,'2. Matching'!$A$2:$A$39,'2. Matching'!$B$2:$B$39,"--")</f>
        <v>SEO</v>
      </c>
      <c r="K3332" s="65" t="str">
        <f t="shared" si="1"/>
        <v>In</v>
      </c>
    </row>
    <row r="3333">
      <c r="A3333" s="62" t="s">
        <v>3471</v>
      </c>
      <c r="B3333" s="63">
        <v>44233.0</v>
      </c>
      <c r="C3333" s="62" t="s">
        <v>119</v>
      </c>
      <c r="D3333" s="64">
        <v>42.5</v>
      </c>
      <c r="E3333" s="62" t="s">
        <v>109</v>
      </c>
      <c r="F3333" s="62" t="s">
        <v>115</v>
      </c>
      <c r="G3333" s="64" t="s">
        <v>64</v>
      </c>
      <c r="H3333" s="3" t="s">
        <v>155</v>
      </c>
      <c r="I3333" s="65">
        <f>IFERROR(VLOOKUP(A3333,'3. Call duration'!$A:$C,3,0),"--")</f>
        <v>27.75868431</v>
      </c>
      <c r="J3333" s="65" t="str">
        <f t="array" ref="J3333">XLOOKUP(H3333,'2. Matching'!$A$2:$A$39,'2. Matching'!$B$2:$B$39,"--")</f>
        <v>SEO</v>
      </c>
      <c r="K3333" s="65" t="str">
        <f t="shared" si="1"/>
        <v>In</v>
      </c>
    </row>
    <row r="3334">
      <c r="A3334" s="62" t="s">
        <v>3472</v>
      </c>
      <c r="B3334" s="63">
        <v>44138.0</v>
      </c>
      <c r="C3334" s="62" t="s">
        <v>119</v>
      </c>
      <c r="D3334" s="64">
        <v>42.5</v>
      </c>
      <c r="E3334" s="62" t="s">
        <v>109</v>
      </c>
      <c r="F3334" s="62" t="s">
        <v>115</v>
      </c>
      <c r="G3334" s="64" t="s">
        <v>64</v>
      </c>
      <c r="H3334" s="3" t="s">
        <v>169</v>
      </c>
      <c r="I3334" s="65">
        <f>IFERROR(VLOOKUP(A3334,'3. Call duration'!$A:$C,3,0),"--")</f>
        <v>23.96870697</v>
      </c>
      <c r="J3334" s="65" t="str">
        <f t="array" ref="J3334">XLOOKUP(H3334,'2. Matching'!$A$2:$A$39,'2. Matching'!$B$2:$B$39,"--")</f>
        <v>SEO</v>
      </c>
      <c r="K3334" s="65" t="str">
        <f t="shared" si="1"/>
        <v>In</v>
      </c>
    </row>
    <row r="3335">
      <c r="A3335" s="62" t="s">
        <v>3473</v>
      </c>
      <c r="B3335" s="63">
        <v>44183.0</v>
      </c>
      <c r="C3335" s="62" t="s">
        <v>119</v>
      </c>
      <c r="D3335" s="64">
        <v>42.5</v>
      </c>
      <c r="E3335" s="62" t="s">
        <v>109</v>
      </c>
      <c r="F3335" s="62" t="s">
        <v>110</v>
      </c>
      <c r="G3335" s="64" t="s">
        <v>62</v>
      </c>
      <c r="H3335" s="3" t="s">
        <v>286</v>
      </c>
      <c r="I3335" s="65">
        <f>IFERROR(VLOOKUP(A3335,'3. Call duration'!$A:$C,3,0),"--")</f>
        <v>27.96557311</v>
      </c>
      <c r="J3335" s="65" t="str">
        <f t="array" ref="J3335">XLOOKUP(H3335,'2. Matching'!$A$2:$A$39,'2. Matching'!$B$2:$B$39,"--")</f>
        <v>Farming</v>
      </c>
      <c r="K3335" s="65" t="str">
        <f t="shared" si="1"/>
        <v>In</v>
      </c>
    </row>
    <row r="3336">
      <c r="A3336" s="62" t="s">
        <v>3474</v>
      </c>
      <c r="B3336" s="63">
        <v>44109.0</v>
      </c>
      <c r="C3336" s="62" t="s">
        <v>119</v>
      </c>
      <c r="D3336" s="64">
        <v>42.5</v>
      </c>
      <c r="E3336" s="62" t="s">
        <v>109</v>
      </c>
      <c r="F3336" s="62" t="s">
        <v>110</v>
      </c>
      <c r="G3336" s="64" t="s">
        <v>64</v>
      </c>
      <c r="H3336" s="3" t="s">
        <v>155</v>
      </c>
      <c r="I3336" s="65">
        <f>IFERROR(VLOOKUP(A3336,'3. Call duration'!$A:$C,3,0),"--")</f>
        <v>20.22758889</v>
      </c>
      <c r="J3336" s="65" t="str">
        <f t="array" ref="J3336">XLOOKUP(H3336,'2. Matching'!$A$2:$A$39,'2. Matching'!$B$2:$B$39,"--")</f>
        <v>SEO</v>
      </c>
      <c r="K3336" s="65" t="str">
        <f t="shared" si="1"/>
        <v>In</v>
      </c>
    </row>
    <row r="3337">
      <c r="A3337" s="62" t="s">
        <v>3475</v>
      </c>
      <c r="B3337" s="63">
        <v>44176.0</v>
      </c>
      <c r="C3337" s="62" t="s">
        <v>119</v>
      </c>
      <c r="D3337" s="64">
        <v>42.5</v>
      </c>
      <c r="E3337" s="62" t="s">
        <v>109</v>
      </c>
      <c r="F3337" s="62" t="s">
        <v>110</v>
      </c>
      <c r="G3337" s="64" t="s">
        <v>64</v>
      </c>
      <c r="H3337" s="3" t="s">
        <v>145</v>
      </c>
      <c r="I3337" s="65">
        <f>IFERROR(VLOOKUP(A3337,'3. Call duration'!$A:$C,3,0),"--")</f>
        <v>27.30832009</v>
      </c>
      <c r="J3337" s="65" t="str">
        <f t="array" ref="J3337">XLOOKUP(H3337,'2. Matching'!$A$2:$A$39,'2. Matching'!$B$2:$B$39,"--")</f>
        <v>SEO</v>
      </c>
      <c r="K3337" s="65" t="str">
        <f t="shared" si="1"/>
        <v>In</v>
      </c>
    </row>
    <row r="3338">
      <c r="A3338" s="62" t="s">
        <v>3476</v>
      </c>
      <c r="B3338" s="63">
        <v>44175.0</v>
      </c>
      <c r="C3338" s="62" t="s">
        <v>119</v>
      </c>
      <c r="D3338" s="64">
        <v>42.5</v>
      </c>
      <c r="E3338" s="62" t="s">
        <v>109</v>
      </c>
      <c r="F3338" s="62" t="s">
        <v>115</v>
      </c>
      <c r="G3338" s="64" t="s">
        <v>64</v>
      </c>
      <c r="H3338" s="3" t="s">
        <v>175</v>
      </c>
      <c r="I3338" s="65">
        <f>IFERROR(VLOOKUP(A3338,'3. Call duration'!$A:$C,3,0),"--")</f>
        <v>31.94902048</v>
      </c>
      <c r="J3338" s="65" t="str">
        <f t="array" ref="J3338">XLOOKUP(H3338,'2. Matching'!$A$2:$A$39,'2. Matching'!$B$2:$B$39,"--")</f>
        <v>SEO</v>
      </c>
      <c r="K3338" s="65" t="str">
        <f t="shared" si="1"/>
        <v>In</v>
      </c>
    </row>
    <row r="3339">
      <c r="A3339" s="62" t="s">
        <v>3477</v>
      </c>
      <c r="B3339" s="63">
        <v>44246.0</v>
      </c>
      <c r="C3339" s="62" t="s">
        <v>119</v>
      </c>
      <c r="D3339" s="64">
        <v>42.5</v>
      </c>
      <c r="E3339" s="62" t="s">
        <v>109</v>
      </c>
      <c r="F3339" s="62" t="s">
        <v>115</v>
      </c>
      <c r="G3339" s="64" t="s">
        <v>64</v>
      </c>
      <c r="H3339" s="3" t="s">
        <v>221</v>
      </c>
      <c r="I3339" s="65">
        <f>IFERROR(VLOOKUP(A3339,'3. Call duration'!$A:$C,3,0),"--")</f>
        <v>33.36393885</v>
      </c>
      <c r="J3339" s="65" t="str">
        <f t="array" ref="J3339">XLOOKUP(H3339,'2. Matching'!$A$2:$A$39,'2. Matching'!$B$2:$B$39,"--")</f>
        <v>Farming</v>
      </c>
      <c r="K3339" s="65" t="str">
        <f t="shared" si="1"/>
        <v>In</v>
      </c>
    </row>
    <row r="3340">
      <c r="A3340" s="62" t="s">
        <v>3478</v>
      </c>
      <c r="B3340" s="63">
        <v>44203.0</v>
      </c>
      <c r="C3340" s="62" t="s">
        <v>119</v>
      </c>
      <c r="D3340" s="64">
        <v>42.5</v>
      </c>
      <c r="E3340" s="62" t="s">
        <v>109</v>
      </c>
      <c r="F3340" s="62" t="s">
        <v>110</v>
      </c>
      <c r="G3340" s="64" t="s">
        <v>64</v>
      </c>
      <c r="H3340" s="3" t="s">
        <v>139</v>
      </c>
      <c r="I3340" s="65">
        <f>IFERROR(VLOOKUP(A3340,'3. Call duration'!$A:$C,3,0),"--")</f>
        <v>27.12279041</v>
      </c>
      <c r="J3340" s="65" t="str">
        <f t="array" ref="J3340">XLOOKUP(H3340,'2. Matching'!$A$2:$A$39,'2. Matching'!$B$2:$B$39,"--")</f>
        <v>Acquisition</v>
      </c>
      <c r="K3340" s="65" t="str">
        <f t="shared" si="1"/>
        <v>In</v>
      </c>
    </row>
    <row r="3341">
      <c r="A3341" s="62" t="s">
        <v>3479</v>
      </c>
      <c r="B3341" s="63">
        <v>44176.0</v>
      </c>
      <c r="C3341" s="62" t="s">
        <v>119</v>
      </c>
      <c r="D3341" s="64">
        <v>42.5</v>
      </c>
      <c r="E3341" s="62" t="s">
        <v>109</v>
      </c>
      <c r="F3341" s="62" t="s">
        <v>110</v>
      </c>
      <c r="G3341" s="64" t="s">
        <v>64</v>
      </c>
      <c r="H3341" s="3" t="s">
        <v>145</v>
      </c>
      <c r="I3341" s="65">
        <f>IFERROR(VLOOKUP(A3341,'3. Call duration'!$A:$C,3,0),"--")</f>
        <v>28.64219732</v>
      </c>
      <c r="J3341" s="65" t="str">
        <f t="array" ref="J3341">XLOOKUP(H3341,'2. Matching'!$A$2:$A$39,'2. Matching'!$B$2:$B$39,"--")</f>
        <v>SEO</v>
      </c>
      <c r="K3341" s="65" t="str">
        <f t="shared" si="1"/>
        <v>In</v>
      </c>
    </row>
    <row r="3342">
      <c r="A3342" s="62" t="s">
        <v>3480</v>
      </c>
      <c r="B3342" s="63">
        <v>44175.0</v>
      </c>
      <c r="C3342" s="62" t="s">
        <v>119</v>
      </c>
      <c r="D3342" s="64">
        <v>42.5</v>
      </c>
      <c r="E3342" s="62" t="s">
        <v>109</v>
      </c>
      <c r="F3342" s="62" t="s">
        <v>110</v>
      </c>
      <c r="G3342" s="64" t="s">
        <v>62</v>
      </c>
      <c r="H3342" s="3" t="s">
        <v>286</v>
      </c>
      <c r="I3342" s="65">
        <f>IFERROR(VLOOKUP(A3342,'3. Call duration'!$A:$C,3,0),"--")</f>
        <v>45.13174102</v>
      </c>
      <c r="J3342" s="65" t="str">
        <f t="array" ref="J3342">XLOOKUP(H3342,'2. Matching'!$A$2:$A$39,'2. Matching'!$B$2:$B$39,"--")</f>
        <v>Farming</v>
      </c>
      <c r="K3342" s="65" t="str">
        <f t="shared" si="1"/>
        <v>In</v>
      </c>
    </row>
    <row r="3343">
      <c r="A3343" s="62" t="s">
        <v>3481</v>
      </c>
      <c r="B3343" s="63">
        <v>44166.0</v>
      </c>
      <c r="C3343" s="62" t="s">
        <v>119</v>
      </c>
      <c r="D3343" s="64">
        <v>42.5</v>
      </c>
      <c r="E3343" s="62" t="s">
        <v>109</v>
      </c>
      <c r="F3343" s="62" t="s">
        <v>115</v>
      </c>
      <c r="G3343" s="64" t="s">
        <v>64</v>
      </c>
      <c r="H3343" s="3" t="s">
        <v>150</v>
      </c>
      <c r="I3343" s="65">
        <f>IFERROR(VLOOKUP(A3343,'3. Call duration'!$A:$C,3,0),"--")</f>
        <v>40.39886251</v>
      </c>
      <c r="J3343" s="65" t="str">
        <f t="array" ref="J3343">XLOOKUP(H3343,'2. Matching'!$A$2:$A$39,'2. Matching'!$B$2:$B$39,"--")</f>
        <v>SEO</v>
      </c>
      <c r="K3343" s="65" t="str">
        <f t="shared" si="1"/>
        <v>In</v>
      </c>
    </row>
    <row r="3344">
      <c r="A3344" s="62" t="s">
        <v>3482</v>
      </c>
      <c r="B3344" s="63">
        <v>44174.0</v>
      </c>
      <c r="C3344" s="62" t="s">
        <v>119</v>
      </c>
      <c r="D3344" s="64">
        <v>42.5</v>
      </c>
      <c r="E3344" s="62" t="s">
        <v>109</v>
      </c>
      <c r="F3344" s="62" t="s">
        <v>110</v>
      </c>
      <c r="G3344" s="64" t="s">
        <v>64</v>
      </c>
      <c r="H3344" s="3" t="s">
        <v>221</v>
      </c>
      <c r="I3344" s="65">
        <f>IFERROR(VLOOKUP(A3344,'3. Call duration'!$A:$C,3,0),"--")</f>
        <v>32.40682867</v>
      </c>
      <c r="J3344" s="65" t="str">
        <f t="array" ref="J3344">XLOOKUP(H3344,'2. Matching'!$A$2:$A$39,'2. Matching'!$B$2:$B$39,"--")</f>
        <v>Farming</v>
      </c>
      <c r="K3344" s="65" t="str">
        <f t="shared" si="1"/>
        <v>In</v>
      </c>
    </row>
    <row r="3345">
      <c r="A3345" s="62" t="s">
        <v>3483</v>
      </c>
      <c r="B3345" s="63">
        <v>44176.0</v>
      </c>
      <c r="C3345" s="62" t="s">
        <v>119</v>
      </c>
      <c r="D3345" s="64">
        <v>42.5</v>
      </c>
      <c r="E3345" s="62" t="s">
        <v>109</v>
      </c>
      <c r="F3345" s="62" t="s">
        <v>110</v>
      </c>
      <c r="G3345" s="64" t="s">
        <v>64</v>
      </c>
      <c r="H3345" s="3" t="s">
        <v>145</v>
      </c>
      <c r="I3345" s="65">
        <f>IFERROR(VLOOKUP(A3345,'3. Call duration'!$A:$C,3,0),"--")</f>
        <v>32.14756778</v>
      </c>
      <c r="J3345" s="65" t="str">
        <f t="array" ref="J3345">XLOOKUP(H3345,'2. Matching'!$A$2:$A$39,'2. Matching'!$B$2:$B$39,"--")</f>
        <v>SEO</v>
      </c>
      <c r="K3345" s="65" t="str">
        <f t="shared" si="1"/>
        <v>In</v>
      </c>
    </row>
    <row r="3346">
      <c r="A3346" s="62" t="s">
        <v>3484</v>
      </c>
      <c r="B3346" s="63">
        <v>44167.0</v>
      </c>
      <c r="C3346" s="62" t="s">
        <v>119</v>
      </c>
      <c r="D3346" s="64">
        <v>42.5</v>
      </c>
      <c r="E3346" s="62" t="s">
        <v>109</v>
      </c>
      <c r="F3346" s="62" t="s">
        <v>115</v>
      </c>
      <c r="G3346" s="64" t="s">
        <v>64</v>
      </c>
      <c r="H3346" s="3" t="s">
        <v>139</v>
      </c>
      <c r="I3346" s="65">
        <f>IFERROR(VLOOKUP(A3346,'3. Call duration'!$A:$C,3,0),"--")</f>
        <v>28.40288238</v>
      </c>
      <c r="J3346" s="65" t="str">
        <f t="array" ref="J3346">XLOOKUP(H3346,'2. Matching'!$A$2:$A$39,'2. Matching'!$B$2:$B$39,"--")</f>
        <v>Acquisition</v>
      </c>
      <c r="K3346" s="65" t="str">
        <f t="shared" si="1"/>
        <v>In</v>
      </c>
    </row>
    <row r="3347">
      <c r="A3347" s="62" t="s">
        <v>3485</v>
      </c>
      <c r="B3347" s="63">
        <v>44169.0</v>
      </c>
      <c r="C3347" s="62" t="s">
        <v>119</v>
      </c>
      <c r="D3347" s="64">
        <v>42.5</v>
      </c>
      <c r="E3347" s="62" t="s">
        <v>109</v>
      </c>
      <c r="F3347" s="62" t="s">
        <v>115</v>
      </c>
      <c r="G3347" s="64" t="s">
        <v>64</v>
      </c>
      <c r="H3347" s="3" t="s">
        <v>221</v>
      </c>
      <c r="I3347" s="65">
        <f>IFERROR(VLOOKUP(A3347,'3. Call duration'!$A:$C,3,0),"--")</f>
        <v>25.16859558</v>
      </c>
      <c r="J3347" s="65" t="str">
        <f t="array" ref="J3347">XLOOKUP(H3347,'2. Matching'!$A$2:$A$39,'2. Matching'!$B$2:$B$39,"--")</f>
        <v>Farming</v>
      </c>
      <c r="K3347" s="65" t="str">
        <f t="shared" si="1"/>
        <v>In</v>
      </c>
    </row>
    <row r="3348">
      <c r="A3348" s="62" t="s">
        <v>3486</v>
      </c>
      <c r="B3348" s="63">
        <v>44222.0</v>
      </c>
      <c r="C3348" s="62" t="s">
        <v>119</v>
      </c>
      <c r="D3348" s="64">
        <v>42.5</v>
      </c>
      <c r="E3348" s="62" t="s">
        <v>109</v>
      </c>
      <c r="F3348" s="62" t="s">
        <v>115</v>
      </c>
      <c r="G3348" s="64" t="s">
        <v>64</v>
      </c>
      <c r="H3348" s="3" t="s">
        <v>131</v>
      </c>
      <c r="I3348" s="65">
        <f>IFERROR(VLOOKUP(A3348,'3. Call duration'!$A:$C,3,0),"--")</f>
        <v>31.36096763</v>
      </c>
      <c r="J3348" s="65" t="str">
        <f t="array" ref="J3348">XLOOKUP(H3348,'2. Matching'!$A$2:$A$39,'2. Matching'!$B$2:$B$39,"--")</f>
        <v>Acquisition</v>
      </c>
      <c r="K3348" s="65" t="str">
        <f t="shared" si="1"/>
        <v>In</v>
      </c>
    </row>
    <row r="3349">
      <c r="A3349" s="62" t="s">
        <v>3487</v>
      </c>
      <c r="B3349" s="63">
        <v>44200.0</v>
      </c>
      <c r="C3349" s="62" t="s">
        <v>119</v>
      </c>
      <c r="D3349" s="64">
        <v>42.5</v>
      </c>
      <c r="E3349" s="62" t="s">
        <v>109</v>
      </c>
      <c r="F3349" s="62" t="s">
        <v>115</v>
      </c>
      <c r="G3349" s="64" t="s">
        <v>64</v>
      </c>
      <c r="H3349" s="3" t="s">
        <v>221</v>
      </c>
      <c r="I3349" s="65">
        <f>IFERROR(VLOOKUP(A3349,'3. Call duration'!$A:$C,3,0),"--")</f>
        <v>33.27217366</v>
      </c>
      <c r="J3349" s="65" t="str">
        <f t="array" ref="J3349">XLOOKUP(H3349,'2. Matching'!$A$2:$A$39,'2. Matching'!$B$2:$B$39,"--")</f>
        <v>Farming</v>
      </c>
      <c r="K3349" s="65" t="str">
        <f t="shared" si="1"/>
        <v>In</v>
      </c>
    </row>
    <row r="3350">
      <c r="A3350" s="62" t="s">
        <v>3488</v>
      </c>
      <c r="B3350" s="63">
        <v>44214.0</v>
      </c>
      <c r="C3350" s="62" t="s">
        <v>119</v>
      </c>
      <c r="D3350" s="64">
        <v>42.5</v>
      </c>
      <c r="E3350" s="62" t="s">
        <v>109</v>
      </c>
      <c r="F3350" s="62" t="s">
        <v>115</v>
      </c>
      <c r="G3350" s="64" t="s">
        <v>64</v>
      </c>
      <c r="H3350" s="3" t="s">
        <v>131</v>
      </c>
      <c r="I3350" s="65">
        <f>IFERROR(VLOOKUP(A3350,'3. Call duration'!$A:$C,3,0),"--")</f>
        <v>46.59232754</v>
      </c>
      <c r="J3350" s="65" t="str">
        <f t="array" ref="J3350">XLOOKUP(H3350,'2. Matching'!$A$2:$A$39,'2. Matching'!$B$2:$B$39,"--")</f>
        <v>Acquisition</v>
      </c>
      <c r="K3350" s="65" t="str">
        <f t="shared" si="1"/>
        <v>In</v>
      </c>
    </row>
    <row r="3351">
      <c r="A3351" s="62" t="s">
        <v>3489</v>
      </c>
      <c r="B3351" s="63">
        <v>44082.0</v>
      </c>
      <c r="C3351" s="62" t="s">
        <v>119</v>
      </c>
      <c r="D3351" s="64">
        <v>42.5</v>
      </c>
      <c r="E3351" s="62" t="s">
        <v>109</v>
      </c>
      <c r="F3351" s="62" t="s">
        <v>115</v>
      </c>
      <c r="G3351" s="64" t="s">
        <v>64</v>
      </c>
      <c r="H3351" s="3" t="s">
        <v>175</v>
      </c>
      <c r="I3351" s="65">
        <f>IFERROR(VLOOKUP(A3351,'3. Call duration'!$A:$C,3,0),"--")</f>
        <v>31.60034016</v>
      </c>
      <c r="J3351" s="65" t="str">
        <f t="array" ref="J3351">XLOOKUP(H3351,'2. Matching'!$A$2:$A$39,'2. Matching'!$B$2:$B$39,"--")</f>
        <v>SEO</v>
      </c>
      <c r="K3351" s="65" t="str">
        <f t="shared" si="1"/>
        <v>In</v>
      </c>
    </row>
    <row r="3352">
      <c r="A3352" s="62" t="s">
        <v>3490</v>
      </c>
      <c r="B3352" s="63">
        <v>44214.0</v>
      </c>
      <c r="C3352" s="62" t="s">
        <v>119</v>
      </c>
      <c r="D3352" s="64">
        <v>42.5</v>
      </c>
      <c r="E3352" s="62" t="s">
        <v>109</v>
      </c>
      <c r="F3352" s="62" t="s">
        <v>110</v>
      </c>
      <c r="G3352" s="64" t="s">
        <v>64</v>
      </c>
      <c r="H3352" s="3" t="s">
        <v>155</v>
      </c>
      <c r="I3352" s="65">
        <f>IFERROR(VLOOKUP(A3352,'3. Call duration'!$A:$C,3,0),"--")</f>
        <v>13.79127238</v>
      </c>
      <c r="J3352" s="65" t="str">
        <f t="array" ref="J3352">XLOOKUP(H3352,'2. Matching'!$A$2:$A$39,'2. Matching'!$B$2:$B$39,"--")</f>
        <v>SEO</v>
      </c>
      <c r="K3352" s="65" t="str">
        <f t="shared" si="1"/>
        <v>In</v>
      </c>
    </row>
    <row r="3353">
      <c r="A3353" s="62" t="s">
        <v>3491</v>
      </c>
      <c r="B3353" s="63">
        <v>44236.0</v>
      </c>
      <c r="C3353" s="62" t="s">
        <v>119</v>
      </c>
      <c r="D3353" s="64">
        <v>42.5</v>
      </c>
      <c r="E3353" s="62" t="s">
        <v>109</v>
      </c>
      <c r="F3353" s="62" t="s">
        <v>115</v>
      </c>
      <c r="G3353" s="64" t="s">
        <v>64</v>
      </c>
      <c r="H3353" s="3" t="s">
        <v>139</v>
      </c>
      <c r="I3353" s="65">
        <f>IFERROR(VLOOKUP(A3353,'3. Call duration'!$A:$C,3,0),"--")</f>
        <v>14.78632546</v>
      </c>
      <c r="J3353" s="65" t="str">
        <f t="array" ref="J3353">XLOOKUP(H3353,'2. Matching'!$A$2:$A$39,'2. Matching'!$B$2:$B$39,"--")</f>
        <v>Acquisition</v>
      </c>
      <c r="K3353" s="65" t="str">
        <f t="shared" si="1"/>
        <v>In</v>
      </c>
    </row>
    <row r="3354">
      <c r="A3354" s="62" t="s">
        <v>3492</v>
      </c>
      <c r="B3354" s="63">
        <v>44170.0</v>
      </c>
      <c r="C3354" s="62" t="s">
        <v>119</v>
      </c>
      <c r="D3354" s="64">
        <v>42.5</v>
      </c>
      <c r="E3354" s="62" t="s">
        <v>109</v>
      </c>
      <c r="F3354" s="62" t="s">
        <v>115</v>
      </c>
      <c r="G3354" s="64" t="s">
        <v>64</v>
      </c>
      <c r="H3354" s="3" t="s">
        <v>139</v>
      </c>
      <c r="I3354" s="65">
        <f>IFERROR(VLOOKUP(A3354,'3. Call duration'!$A:$C,3,0),"--")</f>
        <v>33.42461279</v>
      </c>
      <c r="J3354" s="65" t="str">
        <f t="array" ref="J3354">XLOOKUP(H3354,'2. Matching'!$A$2:$A$39,'2. Matching'!$B$2:$B$39,"--")</f>
        <v>Acquisition</v>
      </c>
      <c r="K3354" s="65" t="str">
        <f t="shared" si="1"/>
        <v>In</v>
      </c>
    </row>
    <row r="3355">
      <c r="A3355" s="62" t="s">
        <v>3493</v>
      </c>
      <c r="B3355" s="63">
        <v>44240.0</v>
      </c>
      <c r="C3355" s="62" t="s">
        <v>119</v>
      </c>
      <c r="D3355" s="64">
        <v>42.5</v>
      </c>
      <c r="E3355" s="62" t="s">
        <v>109</v>
      </c>
      <c r="F3355" s="62" t="s">
        <v>110</v>
      </c>
      <c r="G3355" s="64" t="s">
        <v>64</v>
      </c>
      <c r="H3355" s="3" t="s">
        <v>139</v>
      </c>
      <c r="I3355" s="65">
        <f>IFERROR(VLOOKUP(A3355,'3. Call duration'!$A:$C,3,0),"--")</f>
        <v>26.62593987</v>
      </c>
      <c r="J3355" s="65" t="str">
        <f t="array" ref="J3355">XLOOKUP(H3355,'2. Matching'!$A$2:$A$39,'2. Matching'!$B$2:$B$39,"--")</f>
        <v>Acquisition</v>
      </c>
      <c r="K3355" s="65" t="str">
        <f t="shared" si="1"/>
        <v>In</v>
      </c>
    </row>
    <row r="3356">
      <c r="A3356" s="62" t="s">
        <v>3494</v>
      </c>
      <c r="B3356" s="63">
        <v>44086.0</v>
      </c>
      <c r="C3356" s="62" t="s">
        <v>119</v>
      </c>
      <c r="D3356" s="64">
        <v>42.5</v>
      </c>
      <c r="E3356" s="62" t="s">
        <v>109</v>
      </c>
      <c r="F3356" s="62" t="s">
        <v>115</v>
      </c>
      <c r="G3356" s="64" t="s">
        <v>64</v>
      </c>
      <c r="H3356" s="3" t="s">
        <v>139</v>
      </c>
      <c r="I3356" s="65">
        <f>IFERROR(VLOOKUP(A3356,'3. Call duration'!$A:$C,3,0),"--")</f>
        <v>33.4005629</v>
      </c>
      <c r="J3356" s="65" t="str">
        <f t="array" ref="J3356">XLOOKUP(H3356,'2. Matching'!$A$2:$A$39,'2. Matching'!$B$2:$B$39,"--")</f>
        <v>Acquisition</v>
      </c>
      <c r="K3356" s="65" t="str">
        <f t="shared" si="1"/>
        <v>In</v>
      </c>
    </row>
    <row r="3357">
      <c r="A3357" s="62" t="s">
        <v>3495</v>
      </c>
      <c r="B3357" s="63">
        <v>44209.0</v>
      </c>
      <c r="C3357" s="62" t="s">
        <v>119</v>
      </c>
      <c r="D3357" s="64">
        <v>42.5</v>
      </c>
      <c r="E3357" s="62" t="s">
        <v>109</v>
      </c>
      <c r="F3357" s="62" t="s">
        <v>115</v>
      </c>
      <c r="G3357" s="64" t="s">
        <v>64</v>
      </c>
      <c r="H3357" s="3" t="s">
        <v>235</v>
      </c>
      <c r="I3357" s="65">
        <f>IFERROR(VLOOKUP(A3357,'3. Call duration'!$A:$C,3,0),"--")</f>
        <v>30.96297837</v>
      </c>
      <c r="J3357" s="65" t="str">
        <f t="array" ref="J3357">XLOOKUP(H3357,'2. Matching'!$A$2:$A$39,'2. Matching'!$B$2:$B$39,"--")</f>
        <v>Farming</v>
      </c>
      <c r="K3357" s="65" t="str">
        <f t="shared" si="1"/>
        <v>In</v>
      </c>
    </row>
    <row r="3358">
      <c r="A3358" s="62" t="s">
        <v>3496</v>
      </c>
      <c r="B3358" s="63">
        <v>44225.0</v>
      </c>
      <c r="C3358" s="62" t="s">
        <v>119</v>
      </c>
      <c r="D3358" s="64">
        <v>42.5</v>
      </c>
      <c r="E3358" s="62" t="s">
        <v>109</v>
      </c>
      <c r="F3358" s="62" t="s">
        <v>115</v>
      </c>
      <c r="G3358" s="64" t="s">
        <v>64</v>
      </c>
      <c r="H3358" s="3" t="s">
        <v>150</v>
      </c>
      <c r="I3358" s="65">
        <f>IFERROR(VLOOKUP(A3358,'3. Call duration'!$A:$C,3,0),"--")</f>
        <v>28.37120152</v>
      </c>
      <c r="J3358" s="65" t="str">
        <f t="array" ref="J3358">XLOOKUP(H3358,'2. Matching'!$A$2:$A$39,'2. Matching'!$B$2:$B$39,"--")</f>
        <v>SEO</v>
      </c>
      <c r="K3358" s="65" t="str">
        <f t="shared" si="1"/>
        <v>In</v>
      </c>
    </row>
    <row r="3359">
      <c r="A3359" s="62" t="s">
        <v>3497</v>
      </c>
      <c r="B3359" s="63">
        <v>44096.0</v>
      </c>
      <c r="C3359" s="62" t="s">
        <v>119</v>
      </c>
      <c r="D3359" s="64">
        <v>42.5</v>
      </c>
      <c r="E3359" s="62" t="s">
        <v>109</v>
      </c>
      <c r="F3359" s="62" t="s">
        <v>115</v>
      </c>
      <c r="G3359" s="64" t="s">
        <v>64</v>
      </c>
      <c r="H3359" s="3" t="s">
        <v>139</v>
      </c>
      <c r="I3359" s="65">
        <f>IFERROR(VLOOKUP(A3359,'3. Call duration'!$A:$C,3,0),"--")</f>
        <v>21.83542144</v>
      </c>
      <c r="J3359" s="65" t="str">
        <f t="array" ref="J3359">XLOOKUP(H3359,'2. Matching'!$A$2:$A$39,'2. Matching'!$B$2:$B$39,"--")</f>
        <v>Acquisition</v>
      </c>
      <c r="K3359" s="65" t="str">
        <f t="shared" si="1"/>
        <v>In</v>
      </c>
    </row>
    <row r="3360">
      <c r="A3360" s="62" t="s">
        <v>3498</v>
      </c>
      <c r="B3360" s="63">
        <v>44218.0</v>
      </c>
      <c r="C3360" s="62" t="s">
        <v>119</v>
      </c>
      <c r="D3360" s="64">
        <v>42.5</v>
      </c>
      <c r="E3360" s="62" t="s">
        <v>109</v>
      </c>
      <c r="F3360" s="62" t="s">
        <v>115</v>
      </c>
      <c r="G3360" s="64" t="s">
        <v>64</v>
      </c>
      <c r="H3360" s="3" t="s">
        <v>221</v>
      </c>
      <c r="I3360" s="65">
        <f>IFERROR(VLOOKUP(A3360,'3. Call duration'!$A:$C,3,0),"--")</f>
        <v>31.94620567</v>
      </c>
      <c r="J3360" s="65" t="str">
        <f t="array" ref="J3360">XLOOKUP(H3360,'2. Matching'!$A$2:$A$39,'2. Matching'!$B$2:$B$39,"--")</f>
        <v>Farming</v>
      </c>
      <c r="K3360" s="65" t="str">
        <f t="shared" si="1"/>
        <v>In</v>
      </c>
    </row>
    <row r="3361">
      <c r="A3361" s="62" t="s">
        <v>3499</v>
      </c>
      <c r="B3361" s="63">
        <v>44240.0</v>
      </c>
      <c r="C3361" s="62" t="s">
        <v>119</v>
      </c>
      <c r="D3361" s="64">
        <v>42.5</v>
      </c>
      <c r="E3361" s="62" t="s">
        <v>109</v>
      </c>
      <c r="F3361" s="62" t="s">
        <v>115</v>
      </c>
      <c r="G3361" s="64" t="s">
        <v>64</v>
      </c>
      <c r="H3361" s="3" t="s">
        <v>139</v>
      </c>
      <c r="I3361" s="65">
        <f>IFERROR(VLOOKUP(A3361,'3. Call duration'!$A:$C,3,0),"--")</f>
        <v>26.96913429</v>
      </c>
      <c r="J3361" s="65" t="str">
        <f t="array" ref="J3361">XLOOKUP(H3361,'2. Matching'!$A$2:$A$39,'2. Matching'!$B$2:$B$39,"--")</f>
        <v>Acquisition</v>
      </c>
      <c r="K3361" s="65" t="str">
        <f t="shared" si="1"/>
        <v>In</v>
      </c>
    </row>
    <row r="3362">
      <c r="A3362" s="62" t="s">
        <v>3500</v>
      </c>
      <c r="B3362" s="63">
        <v>44169.0</v>
      </c>
      <c r="C3362" s="62" t="s">
        <v>119</v>
      </c>
      <c r="D3362" s="64">
        <v>42.5</v>
      </c>
      <c r="E3362" s="62" t="s">
        <v>109</v>
      </c>
      <c r="F3362" s="62" t="s">
        <v>115</v>
      </c>
      <c r="G3362" s="64" t="s">
        <v>64</v>
      </c>
      <c r="H3362" s="3" t="s">
        <v>116</v>
      </c>
      <c r="I3362" s="65">
        <f>IFERROR(VLOOKUP(A3362,'3. Call duration'!$A:$C,3,0),"--")</f>
        <v>20.87372865</v>
      </c>
      <c r="J3362" s="65" t="str">
        <f t="array" ref="J3362">XLOOKUP(H3362,'2. Matching'!$A$2:$A$39,'2. Matching'!$B$2:$B$39,"--")</f>
        <v>Acquisition</v>
      </c>
      <c r="K3362" s="65" t="str">
        <f t="shared" si="1"/>
        <v>In</v>
      </c>
    </row>
    <row r="3363">
      <c r="A3363" s="62" t="s">
        <v>3501</v>
      </c>
      <c r="B3363" s="63">
        <v>44208.0</v>
      </c>
      <c r="C3363" s="62" t="s">
        <v>119</v>
      </c>
      <c r="D3363" s="64">
        <v>42.5</v>
      </c>
      <c r="E3363" s="62" t="s">
        <v>109</v>
      </c>
      <c r="F3363" s="62" t="s">
        <v>115</v>
      </c>
      <c r="G3363" s="64" t="s">
        <v>64</v>
      </c>
      <c r="H3363" s="3" t="s">
        <v>131</v>
      </c>
      <c r="I3363" s="65">
        <f>IFERROR(VLOOKUP(A3363,'3. Call duration'!$A:$C,3,0),"--")</f>
        <v>32.56785298</v>
      </c>
      <c r="J3363" s="65" t="str">
        <f t="array" ref="J3363">XLOOKUP(H3363,'2. Matching'!$A$2:$A$39,'2. Matching'!$B$2:$B$39,"--")</f>
        <v>Acquisition</v>
      </c>
      <c r="K3363" s="65" t="str">
        <f t="shared" si="1"/>
        <v>In</v>
      </c>
    </row>
    <row r="3364">
      <c r="A3364" s="62" t="s">
        <v>3502</v>
      </c>
      <c r="B3364" s="63">
        <v>44148.0</v>
      </c>
      <c r="C3364" s="62" t="s">
        <v>119</v>
      </c>
      <c r="D3364" s="64">
        <v>42.5</v>
      </c>
      <c r="E3364" s="62" t="s">
        <v>109</v>
      </c>
      <c r="F3364" s="62" t="s">
        <v>110</v>
      </c>
      <c r="G3364" s="64" t="s">
        <v>64</v>
      </c>
      <c r="H3364" s="3" t="s">
        <v>150</v>
      </c>
      <c r="I3364" s="65">
        <f>IFERROR(VLOOKUP(A3364,'3. Call duration'!$A:$C,3,0),"--")</f>
        <v>26.28380996</v>
      </c>
      <c r="J3364" s="65" t="str">
        <f t="array" ref="J3364">XLOOKUP(H3364,'2. Matching'!$A$2:$A$39,'2. Matching'!$B$2:$B$39,"--")</f>
        <v>SEO</v>
      </c>
      <c r="K3364" s="65" t="str">
        <f t="shared" si="1"/>
        <v>In</v>
      </c>
    </row>
    <row r="3365">
      <c r="A3365" s="62" t="s">
        <v>3503</v>
      </c>
      <c r="B3365" s="63">
        <v>44228.0</v>
      </c>
      <c r="C3365" s="62" t="s">
        <v>119</v>
      </c>
      <c r="D3365" s="64">
        <v>42.5</v>
      </c>
      <c r="E3365" s="62" t="s">
        <v>109</v>
      </c>
      <c r="F3365" s="62" t="s">
        <v>115</v>
      </c>
      <c r="G3365" s="64" t="s">
        <v>64</v>
      </c>
      <c r="H3365" s="3" t="s">
        <v>155</v>
      </c>
      <c r="I3365" s="65" t="str">
        <f>IFERROR(VLOOKUP(A3365,'3. Call duration'!$A:$C,3,0),"--")</f>
        <v>--</v>
      </c>
      <c r="J3365" s="65" t="str">
        <f t="array" ref="J3365">XLOOKUP(H3365,'2. Matching'!$A$2:$A$39,'2. Matching'!$B$2:$B$39,"--")</f>
        <v>SEO</v>
      </c>
      <c r="K3365" s="65" t="str">
        <f t="shared" si="1"/>
        <v>In</v>
      </c>
    </row>
    <row r="3366">
      <c r="A3366" s="62" t="s">
        <v>3504</v>
      </c>
      <c r="B3366" s="63">
        <v>44231.0</v>
      </c>
      <c r="C3366" s="62" t="s">
        <v>119</v>
      </c>
      <c r="D3366" s="64">
        <v>42.5</v>
      </c>
      <c r="E3366" s="62" t="s">
        <v>109</v>
      </c>
      <c r="F3366" s="62" t="s">
        <v>115</v>
      </c>
      <c r="G3366" s="64" t="s">
        <v>64</v>
      </c>
      <c r="H3366" s="3" t="s">
        <v>150</v>
      </c>
      <c r="I3366" s="65">
        <f>IFERROR(VLOOKUP(A3366,'3. Call duration'!$A:$C,3,0),"--")</f>
        <v>30.29102004</v>
      </c>
      <c r="J3366" s="65" t="str">
        <f t="array" ref="J3366">XLOOKUP(H3366,'2. Matching'!$A$2:$A$39,'2. Matching'!$B$2:$B$39,"--")</f>
        <v>SEO</v>
      </c>
      <c r="K3366" s="65" t="str">
        <f t="shared" si="1"/>
        <v>In</v>
      </c>
    </row>
    <row r="3367">
      <c r="A3367" s="62" t="s">
        <v>3505</v>
      </c>
      <c r="B3367" s="63">
        <v>44225.0</v>
      </c>
      <c r="C3367" s="62" t="s">
        <v>119</v>
      </c>
      <c r="D3367" s="64">
        <v>42.5</v>
      </c>
      <c r="E3367" s="62" t="s">
        <v>109</v>
      </c>
      <c r="F3367" s="62" t="s">
        <v>115</v>
      </c>
      <c r="G3367" s="64" t="s">
        <v>64</v>
      </c>
      <c r="H3367" s="3" t="s">
        <v>221</v>
      </c>
      <c r="I3367" s="65">
        <f>IFERROR(VLOOKUP(A3367,'3. Call duration'!$A:$C,3,0),"--")</f>
        <v>24.22242872</v>
      </c>
      <c r="J3367" s="65" t="str">
        <f t="array" ref="J3367">XLOOKUP(H3367,'2. Matching'!$A$2:$A$39,'2. Matching'!$B$2:$B$39,"--")</f>
        <v>Farming</v>
      </c>
      <c r="K3367" s="65" t="str">
        <f t="shared" si="1"/>
        <v>In</v>
      </c>
    </row>
    <row r="3368">
      <c r="A3368" s="62" t="s">
        <v>3506</v>
      </c>
      <c r="B3368" s="63">
        <v>44231.0</v>
      </c>
      <c r="C3368" s="62" t="s">
        <v>119</v>
      </c>
      <c r="D3368" s="64">
        <v>42.5</v>
      </c>
      <c r="E3368" s="62" t="s">
        <v>109</v>
      </c>
      <c r="F3368" s="62" t="s">
        <v>110</v>
      </c>
      <c r="G3368" s="64" t="s">
        <v>64</v>
      </c>
      <c r="H3368" s="3" t="s">
        <v>49</v>
      </c>
      <c r="I3368" s="65">
        <f>IFERROR(VLOOKUP(A3368,'3. Call duration'!$A:$C,3,0),"--")</f>
        <v>30.87416285</v>
      </c>
      <c r="J3368" s="65" t="str">
        <f t="array" ref="J3368">XLOOKUP(H3368,'2. Matching'!$A$2:$A$39,'2. Matching'!$B$2:$B$39,"--")</f>
        <v>Partnerships</v>
      </c>
      <c r="K3368" s="65" t="str">
        <f t="shared" si="1"/>
        <v>In</v>
      </c>
    </row>
    <row r="3369">
      <c r="A3369" s="62" t="s">
        <v>3507</v>
      </c>
      <c r="B3369" s="63">
        <v>44225.0</v>
      </c>
      <c r="C3369" s="62" t="s">
        <v>119</v>
      </c>
      <c r="D3369" s="64">
        <v>42.5</v>
      </c>
      <c r="E3369" s="62" t="s">
        <v>109</v>
      </c>
      <c r="F3369" s="62" t="s">
        <v>115</v>
      </c>
      <c r="G3369" s="64" t="s">
        <v>64</v>
      </c>
      <c r="H3369" s="3" t="s">
        <v>139</v>
      </c>
      <c r="I3369" s="65">
        <f>IFERROR(VLOOKUP(A3369,'3. Call duration'!$A:$C,3,0),"--")</f>
        <v>33.0651969</v>
      </c>
      <c r="J3369" s="65" t="str">
        <f t="array" ref="J3369">XLOOKUP(H3369,'2. Matching'!$A$2:$A$39,'2. Matching'!$B$2:$B$39,"--")</f>
        <v>Acquisition</v>
      </c>
      <c r="K3369" s="65" t="str">
        <f t="shared" si="1"/>
        <v>In</v>
      </c>
    </row>
    <row r="3370">
      <c r="A3370" s="62" t="s">
        <v>3508</v>
      </c>
      <c r="B3370" s="63">
        <v>44232.0</v>
      </c>
      <c r="C3370" s="62" t="s">
        <v>119</v>
      </c>
      <c r="D3370" s="64">
        <v>42.5</v>
      </c>
      <c r="E3370" s="62" t="s">
        <v>109</v>
      </c>
      <c r="F3370" s="62" t="s">
        <v>110</v>
      </c>
      <c r="G3370" s="64" t="s">
        <v>64</v>
      </c>
      <c r="H3370" s="3" t="s">
        <v>135</v>
      </c>
      <c r="I3370" s="65">
        <f>IFERROR(VLOOKUP(A3370,'3. Call duration'!$A:$C,3,0),"--")</f>
        <v>32.38907987</v>
      </c>
      <c r="J3370" s="65" t="str">
        <f t="array" ref="J3370">XLOOKUP(H3370,'2. Matching'!$A$2:$A$39,'2. Matching'!$B$2:$B$39,"--")</f>
        <v>Acquisition</v>
      </c>
      <c r="K3370" s="65" t="str">
        <f t="shared" si="1"/>
        <v>In</v>
      </c>
    </row>
    <row r="3371">
      <c r="A3371" s="62" t="s">
        <v>3509</v>
      </c>
      <c r="B3371" s="63">
        <v>44183.0</v>
      </c>
      <c r="C3371" s="62" t="s">
        <v>119</v>
      </c>
      <c r="D3371" s="64">
        <v>42.5</v>
      </c>
      <c r="E3371" s="62" t="s">
        <v>109</v>
      </c>
      <c r="F3371" s="62" t="s">
        <v>115</v>
      </c>
      <c r="G3371" s="64" t="s">
        <v>64</v>
      </c>
      <c r="H3371" s="3" t="s">
        <v>131</v>
      </c>
      <c r="I3371" s="65">
        <f>IFERROR(VLOOKUP(A3371,'3. Call duration'!$A:$C,3,0),"--")</f>
        <v>20.50278303</v>
      </c>
      <c r="J3371" s="65" t="str">
        <f t="array" ref="J3371">XLOOKUP(H3371,'2. Matching'!$A$2:$A$39,'2. Matching'!$B$2:$B$39,"--")</f>
        <v>Acquisition</v>
      </c>
      <c r="K3371" s="65" t="str">
        <f t="shared" si="1"/>
        <v>In</v>
      </c>
    </row>
    <row r="3372">
      <c r="A3372" s="62" t="s">
        <v>3510</v>
      </c>
      <c r="B3372" s="63">
        <v>44167.0</v>
      </c>
      <c r="C3372" s="62" t="s">
        <v>119</v>
      </c>
      <c r="D3372" s="64">
        <v>42.5</v>
      </c>
      <c r="E3372" s="62" t="s">
        <v>109</v>
      </c>
      <c r="F3372" s="62" t="s">
        <v>115</v>
      </c>
      <c r="G3372" s="64" t="s">
        <v>64</v>
      </c>
      <c r="H3372" s="3" t="s">
        <v>139</v>
      </c>
      <c r="I3372" s="65">
        <f>IFERROR(VLOOKUP(A3372,'3. Call duration'!$A:$C,3,0),"--")</f>
        <v>31.91553267</v>
      </c>
      <c r="J3372" s="65" t="str">
        <f t="array" ref="J3372">XLOOKUP(H3372,'2. Matching'!$A$2:$A$39,'2. Matching'!$B$2:$B$39,"--")</f>
        <v>Acquisition</v>
      </c>
      <c r="K3372" s="65" t="str">
        <f t="shared" si="1"/>
        <v>In</v>
      </c>
    </row>
    <row r="3373">
      <c r="A3373" s="62" t="s">
        <v>3511</v>
      </c>
      <c r="B3373" s="63">
        <v>44218.0</v>
      </c>
      <c r="C3373" s="62" t="s">
        <v>119</v>
      </c>
      <c r="D3373" s="64">
        <v>42.5</v>
      </c>
      <c r="E3373" s="62" t="s">
        <v>109</v>
      </c>
      <c r="F3373" s="62" t="s">
        <v>115</v>
      </c>
      <c r="G3373" s="64" t="s">
        <v>64</v>
      </c>
      <c r="H3373" s="3" t="s">
        <v>139</v>
      </c>
      <c r="I3373" s="65">
        <f>IFERROR(VLOOKUP(A3373,'3. Call duration'!$A:$C,3,0),"--")</f>
        <v>24.45940995</v>
      </c>
      <c r="J3373" s="65" t="str">
        <f t="array" ref="J3373">XLOOKUP(H3373,'2. Matching'!$A$2:$A$39,'2. Matching'!$B$2:$B$39,"--")</f>
        <v>Acquisition</v>
      </c>
      <c r="K3373" s="65" t="str">
        <f t="shared" si="1"/>
        <v>In</v>
      </c>
    </row>
    <row r="3374">
      <c r="A3374" s="62" t="s">
        <v>3512</v>
      </c>
      <c r="B3374" s="63">
        <v>44125.0</v>
      </c>
      <c r="C3374" s="62" t="s">
        <v>119</v>
      </c>
      <c r="D3374" s="64">
        <v>42.5</v>
      </c>
      <c r="E3374" s="62" t="s">
        <v>109</v>
      </c>
      <c r="F3374" s="62" t="s">
        <v>115</v>
      </c>
      <c r="G3374" s="64" t="s">
        <v>64</v>
      </c>
      <c r="H3374" s="3" t="s">
        <v>164</v>
      </c>
      <c r="I3374" s="65">
        <f>IFERROR(VLOOKUP(A3374,'3. Call duration'!$A:$C,3,0),"--")</f>
        <v>24.69544501</v>
      </c>
      <c r="J3374" s="65" t="str">
        <f t="array" ref="J3374">XLOOKUP(H3374,'2. Matching'!$A$2:$A$39,'2. Matching'!$B$2:$B$39,"--")</f>
        <v>SEO</v>
      </c>
      <c r="K3374" s="65" t="str">
        <f t="shared" si="1"/>
        <v>In</v>
      </c>
    </row>
    <row r="3375">
      <c r="A3375" s="62" t="s">
        <v>3513</v>
      </c>
      <c r="B3375" s="63">
        <v>44173.0</v>
      </c>
      <c r="C3375" s="62" t="s">
        <v>119</v>
      </c>
      <c r="D3375" s="64">
        <v>42.5</v>
      </c>
      <c r="E3375" s="62" t="s">
        <v>109</v>
      </c>
      <c r="F3375" s="62" t="s">
        <v>110</v>
      </c>
      <c r="G3375" s="64" t="s">
        <v>62</v>
      </c>
      <c r="H3375" s="3" t="s">
        <v>203</v>
      </c>
      <c r="I3375" s="65">
        <f>IFERROR(VLOOKUP(A3375,'3. Call duration'!$A:$C,3,0),"--")</f>
        <v>37.18566953</v>
      </c>
      <c r="J3375" s="65" t="str">
        <f t="array" ref="J3375">XLOOKUP(H3375,'2. Matching'!$A$2:$A$39,'2. Matching'!$B$2:$B$39,"--")</f>
        <v>Farming</v>
      </c>
      <c r="K3375" s="65" t="str">
        <f t="shared" si="1"/>
        <v>In</v>
      </c>
    </row>
    <row r="3376">
      <c r="A3376" s="62" t="s">
        <v>3514</v>
      </c>
      <c r="B3376" s="63">
        <v>44228.0</v>
      </c>
      <c r="C3376" s="62" t="s">
        <v>119</v>
      </c>
      <c r="D3376" s="64">
        <v>42.5</v>
      </c>
      <c r="E3376" s="62" t="s">
        <v>109</v>
      </c>
      <c r="F3376" s="62" t="s">
        <v>110</v>
      </c>
      <c r="G3376" s="64" t="s">
        <v>64</v>
      </c>
      <c r="H3376" s="3" t="s">
        <v>145</v>
      </c>
      <c r="I3376" s="65">
        <f>IFERROR(VLOOKUP(A3376,'3. Call duration'!$A:$C,3,0),"--")</f>
        <v>32.4280987</v>
      </c>
      <c r="J3376" s="65" t="str">
        <f t="array" ref="J3376">XLOOKUP(H3376,'2. Matching'!$A$2:$A$39,'2. Matching'!$B$2:$B$39,"--")</f>
        <v>SEO</v>
      </c>
      <c r="K3376" s="65" t="str">
        <f t="shared" si="1"/>
        <v>In</v>
      </c>
    </row>
    <row r="3377">
      <c r="A3377" s="62" t="s">
        <v>3515</v>
      </c>
      <c r="B3377" s="63">
        <v>44075.0</v>
      </c>
      <c r="C3377" s="62" t="s">
        <v>119</v>
      </c>
      <c r="D3377" s="64">
        <v>42.5</v>
      </c>
      <c r="E3377" s="62" t="s">
        <v>109</v>
      </c>
      <c r="F3377" s="62" t="s">
        <v>115</v>
      </c>
      <c r="G3377" s="64" t="s">
        <v>64</v>
      </c>
      <c r="H3377" s="3" t="s">
        <v>155</v>
      </c>
      <c r="I3377" s="65">
        <f>IFERROR(VLOOKUP(A3377,'3. Call duration'!$A:$C,3,0),"--")</f>
        <v>33.96694911</v>
      </c>
      <c r="J3377" s="65" t="str">
        <f t="array" ref="J3377">XLOOKUP(H3377,'2. Matching'!$A$2:$A$39,'2. Matching'!$B$2:$B$39,"--")</f>
        <v>SEO</v>
      </c>
      <c r="K3377" s="65" t="str">
        <f t="shared" si="1"/>
        <v>In</v>
      </c>
    </row>
    <row r="3378">
      <c r="A3378" s="62" t="s">
        <v>3516</v>
      </c>
      <c r="B3378" s="63">
        <v>44216.0</v>
      </c>
      <c r="C3378" s="62" t="s">
        <v>119</v>
      </c>
      <c r="D3378" s="64">
        <v>42.5</v>
      </c>
      <c r="E3378" s="62" t="s">
        <v>109</v>
      </c>
      <c r="F3378" s="62" t="s">
        <v>110</v>
      </c>
      <c r="G3378" s="64" t="s">
        <v>64</v>
      </c>
      <c r="H3378" s="3" t="s">
        <v>131</v>
      </c>
      <c r="I3378" s="65">
        <f>IFERROR(VLOOKUP(A3378,'3. Call duration'!$A:$C,3,0),"--")</f>
        <v>44.55688606</v>
      </c>
      <c r="J3378" s="65" t="str">
        <f t="array" ref="J3378">XLOOKUP(H3378,'2. Matching'!$A$2:$A$39,'2. Matching'!$B$2:$B$39,"--")</f>
        <v>Acquisition</v>
      </c>
      <c r="K3378" s="65" t="str">
        <f t="shared" si="1"/>
        <v>In</v>
      </c>
    </row>
    <row r="3379">
      <c r="A3379" s="62" t="s">
        <v>3517</v>
      </c>
      <c r="B3379" s="63">
        <v>44210.0</v>
      </c>
      <c r="C3379" s="62" t="s">
        <v>119</v>
      </c>
      <c r="D3379" s="64">
        <v>42.5</v>
      </c>
      <c r="E3379" s="62" t="s">
        <v>109</v>
      </c>
      <c r="F3379" s="62" t="s">
        <v>115</v>
      </c>
      <c r="G3379" s="64" t="s">
        <v>64</v>
      </c>
      <c r="H3379" s="3" t="s">
        <v>185</v>
      </c>
      <c r="I3379" s="65">
        <f>IFERROR(VLOOKUP(A3379,'3. Call duration'!$A:$C,3,0),"--")</f>
        <v>46.81120384</v>
      </c>
      <c r="J3379" s="65" t="str">
        <f t="array" ref="J3379">XLOOKUP(H3379,'2. Matching'!$A$2:$A$39,'2. Matching'!$B$2:$B$39,"--")</f>
        <v>SEO</v>
      </c>
      <c r="K3379" s="65" t="str">
        <f t="shared" si="1"/>
        <v>In</v>
      </c>
    </row>
    <row r="3380">
      <c r="A3380" s="62" t="s">
        <v>3518</v>
      </c>
      <c r="B3380" s="63">
        <v>44133.0</v>
      </c>
      <c r="C3380" s="62" t="s">
        <v>119</v>
      </c>
      <c r="D3380" s="64">
        <v>42.5</v>
      </c>
      <c r="E3380" s="62" t="s">
        <v>109</v>
      </c>
      <c r="F3380" s="62" t="s">
        <v>115</v>
      </c>
      <c r="G3380" s="64" t="s">
        <v>64</v>
      </c>
      <c r="H3380" s="3" t="s">
        <v>139</v>
      </c>
      <c r="I3380" s="65">
        <f>IFERROR(VLOOKUP(A3380,'3. Call duration'!$A:$C,3,0),"--")</f>
        <v>42.56732907</v>
      </c>
      <c r="J3380" s="65" t="str">
        <f t="array" ref="J3380">XLOOKUP(H3380,'2. Matching'!$A$2:$A$39,'2. Matching'!$B$2:$B$39,"--")</f>
        <v>Acquisition</v>
      </c>
      <c r="K3380" s="65" t="str">
        <f t="shared" si="1"/>
        <v>In</v>
      </c>
    </row>
    <row r="3381">
      <c r="A3381" s="62" t="s">
        <v>3519</v>
      </c>
      <c r="B3381" s="63">
        <v>44116.0</v>
      </c>
      <c r="C3381" s="62" t="s">
        <v>119</v>
      </c>
      <c r="D3381" s="64">
        <v>42.5</v>
      </c>
      <c r="E3381" s="62" t="s">
        <v>109</v>
      </c>
      <c r="F3381" s="62" t="s">
        <v>115</v>
      </c>
      <c r="G3381" s="64" t="s">
        <v>64</v>
      </c>
      <c r="H3381" s="3" t="s">
        <v>155</v>
      </c>
      <c r="I3381" s="65">
        <f>IFERROR(VLOOKUP(A3381,'3. Call duration'!$A:$C,3,0),"--")</f>
        <v>27.75790533</v>
      </c>
      <c r="J3381" s="65" t="str">
        <f t="array" ref="J3381">XLOOKUP(H3381,'2. Matching'!$A$2:$A$39,'2. Matching'!$B$2:$B$39,"--")</f>
        <v>SEO</v>
      </c>
      <c r="K3381" s="65" t="str">
        <f t="shared" si="1"/>
        <v>In</v>
      </c>
    </row>
    <row r="3382">
      <c r="A3382" s="62" t="s">
        <v>3520</v>
      </c>
      <c r="B3382" s="63">
        <v>44137.0</v>
      </c>
      <c r="C3382" s="62" t="s">
        <v>119</v>
      </c>
      <c r="D3382" s="64">
        <v>42.5</v>
      </c>
      <c r="E3382" s="62" t="s">
        <v>109</v>
      </c>
      <c r="F3382" s="62" t="s">
        <v>115</v>
      </c>
      <c r="G3382" s="64" t="s">
        <v>64</v>
      </c>
      <c r="H3382" s="3" t="s">
        <v>139</v>
      </c>
      <c r="I3382" s="65">
        <f>IFERROR(VLOOKUP(A3382,'3. Call duration'!$A:$C,3,0),"--")</f>
        <v>29.11165897</v>
      </c>
      <c r="J3382" s="65" t="str">
        <f t="array" ref="J3382">XLOOKUP(H3382,'2. Matching'!$A$2:$A$39,'2. Matching'!$B$2:$B$39,"--")</f>
        <v>Acquisition</v>
      </c>
      <c r="K3382" s="65" t="str">
        <f t="shared" si="1"/>
        <v>In</v>
      </c>
    </row>
    <row r="3383">
      <c r="A3383" s="62" t="s">
        <v>3521</v>
      </c>
      <c r="B3383" s="63">
        <v>44113.0</v>
      </c>
      <c r="C3383" s="62" t="s">
        <v>119</v>
      </c>
      <c r="D3383" s="64">
        <v>42.5</v>
      </c>
      <c r="E3383" s="62" t="s">
        <v>109</v>
      </c>
      <c r="F3383" s="62" t="s">
        <v>115</v>
      </c>
      <c r="G3383" s="64" t="s">
        <v>64</v>
      </c>
      <c r="H3383" s="3" t="s">
        <v>175</v>
      </c>
      <c r="I3383" s="65">
        <f>IFERROR(VLOOKUP(A3383,'3. Call duration'!$A:$C,3,0),"--")</f>
        <v>26.45702742</v>
      </c>
      <c r="J3383" s="65" t="str">
        <f t="array" ref="J3383">XLOOKUP(H3383,'2. Matching'!$A$2:$A$39,'2. Matching'!$B$2:$B$39,"--")</f>
        <v>SEO</v>
      </c>
      <c r="K3383" s="65" t="str">
        <f t="shared" si="1"/>
        <v>In</v>
      </c>
    </row>
    <row r="3384">
      <c r="A3384" s="62" t="s">
        <v>3522</v>
      </c>
      <c r="B3384" s="63">
        <v>44166.0</v>
      </c>
      <c r="C3384" s="62" t="s">
        <v>119</v>
      </c>
      <c r="D3384" s="64">
        <v>42.5</v>
      </c>
      <c r="E3384" s="62" t="s">
        <v>109</v>
      </c>
      <c r="F3384" s="62" t="s">
        <v>110</v>
      </c>
      <c r="G3384" s="64" t="s">
        <v>64</v>
      </c>
      <c r="H3384" s="3" t="s">
        <v>169</v>
      </c>
      <c r="I3384" s="65">
        <f>IFERROR(VLOOKUP(A3384,'3. Call duration'!$A:$C,3,0),"--")</f>
        <v>29.77155514</v>
      </c>
      <c r="J3384" s="65" t="str">
        <f t="array" ref="J3384">XLOOKUP(H3384,'2. Matching'!$A$2:$A$39,'2. Matching'!$B$2:$B$39,"--")</f>
        <v>SEO</v>
      </c>
      <c r="K3384" s="65" t="str">
        <f t="shared" si="1"/>
        <v>In</v>
      </c>
    </row>
    <row r="3385">
      <c r="A3385" s="62" t="s">
        <v>3523</v>
      </c>
      <c r="B3385" s="63">
        <v>44205.0</v>
      </c>
      <c r="C3385" s="62" t="s">
        <v>119</v>
      </c>
      <c r="D3385" s="64">
        <v>42.5</v>
      </c>
      <c r="E3385" s="62" t="s">
        <v>109</v>
      </c>
      <c r="F3385" s="62" t="s">
        <v>115</v>
      </c>
      <c r="G3385" s="64" t="s">
        <v>64</v>
      </c>
      <c r="H3385" s="3" t="s">
        <v>185</v>
      </c>
      <c r="I3385" s="65">
        <f>IFERROR(VLOOKUP(A3385,'3. Call duration'!$A:$C,3,0),"--")</f>
        <v>24.43602635</v>
      </c>
      <c r="J3385" s="65" t="str">
        <f t="array" ref="J3385">XLOOKUP(H3385,'2. Matching'!$A$2:$A$39,'2. Matching'!$B$2:$B$39,"--")</f>
        <v>SEO</v>
      </c>
      <c r="K3385" s="65" t="str">
        <f t="shared" si="1"/>
        <v>In</v>
      </c>
    </row>
    <row r="3386">
      <c r="A3386" s="62" t="s">
        <v>3524</v>
      </c>
      <c r="B3386" s="63">
        <v>44243.0</v>
      </c>
      <c r="C3386" s="62" t="s">
        <v>119</v>
      </c>
      <c r="D3386" s="64">
        <v>42.5</v>
      </c>
      <c r="E3386" s="62" t="s">
        <v>109</v>
      </c>
      <c r="F3386" s="62" t="s">
        <v>115</v>
      </c>
      <c r="G3386" s="64" t="s">
        <v>63</v>
      </c>
      <c r="H3386" s="3" t="s">
        <v>189</v>
      </c>
      <c r="I3386" s="65">
        <f>IFERROR(VLOOKUP(A3386,'3. Call duration'!$A:$C,3,0),"--")</f>
        <v>24.01096144</v>
      </c>
      <c r="J3386" s="65" t="str">
        <f t="array" ref="J3386">XLOOKUP(H3386,'2. Matching'!$A$2:$A$39,'2. Matching'!$B$2:$B$39,"--")</f>
        <v>SEO</v>
      </c>
      <c r="K3386" s="65" t="str">
        <f t="shared" si="1"/>
        <v>Out</v>
      </c>
    </row>
    <row r="3387">
      <c r="A3387" s="62" t="s">
        <v>3525</v>
      </c>
      <c r="B3387" s="63">
        <v>44206.0</v>
      </c>
      <c r="C3387" s="62" t="s">
        <v>119</v>
      </c>
      <c r="D3387" s="64">
        <v>42.5</v>
      </c>
      <c r="E3387" s="62" t="s">
        <v>109</v>
      </c>
      <c r="F3387" s="62" t="s">
        <v>110</v>
      </c>
      <c r="G3387" s="64" t="s">
        <v>64</v>
      </c>
      <c r="H3387" s="3" t="s">
        <v>139</v>
      </c>
      <c r="I3387" s="65">
        <f>IFERROR(VLOOKUP(A3387,'3. Call duration'!$A:$C,3,0),"--")</f>
        <v>41.72590049</v>
      </c>
      <c r="J3387" s="65" t="str">
        <f t="array" ref="J3387">XLOOKUP(H3387,'2. Matching'!$A$2:$A$39,'2. Matching'!$B$2:$B$39,"--")</f>
        <v>Acquisition</v>
      </c>
      <c r="K3387" s="65" t="str">
        <f t="shared" si="1"/>
        <v>In</v>
      </c>
    </row>
    <row r="3388">
      <c r="A3388" s="62" t="s">
        <v>3526</v>
      </c>
      <c r="B3388" s="63">
        <v>44180.0</v>
      </c>
      <c r="C3388" s="62" t="s">
        <v>119</v>
      </c>
      <c r="D3388" s="64">
        <v>42.5</v>
      </c>
      <c r="E3388" s="62" t="s">
        <v>109</v>
      </c>
      <c r="F3388" s="62" t="s">
        <v>115</v>
      </c>
      <c r="G3388" s="64" t="s">
        <v>64</v>
      </c>
      <c r="H3388" s="3" t="s">
        <v>139</v>
      </c>
      <c r="I3388" s="65">
        <f>IFERROR(VLOOKUP(A3388,'3. Call duration'!$A:$C,3,0),"--")</f>
        <v>12.75945263</v>
      </c>
      <c r="J3388" s="65" t="str">
        <f t="array" ref="J3388">XLOOKUP(H3388,'2. Matching'!$A$2:$A$39,'2. Matching'!$B$2:$B$39,"--")</f>
        <v>Acquisition</v>
      </c>
      <c r="K3388" s="65" t="str">
        <f t="shared" si="1"/>
        <v>In</v>
      </c>
    </row>
    <row r="3389">
      <c r="A3389" s="62" t="s">
        <v>3527</v>
      </c>
      <c r="B3389" s="63">
        <v>44124.0</v>
      </c>
      <c r="C3389" s="62" t="s">
        <v>119</v>
      </c>
      <c r="D3389" s="64">
        <v>42.5</v>
      </c>
      <c r="E3389" s="62" t="s">
        <v>109</v>
      </c>
      <c r="F3389" s="62" t="s">
        <v>115</v>
      </c>
      <c r="G3389" s="64" t="s">
        <v>64</v>
      </c>
      <c r="H3389" s="3" t="s">
        <v>235</v>
      </c>
      <c r="I3389" s="65">
        <f>IFERROR(VLOOKUP(A3389,'3. Call duration'!$A:$C,3,0),"--")</f>
        <v>29.04858739</v>
      </c>
      <c r="J3389" s="65" t="str">
        <f t="array" ref="J3389">XLOOKUP(H3389,'2. Matching'!$A$2:$A$39,'2. Matching'!$B$2:$B$39,"--")</f>
        <v>Farming</v>
      </c>
      <c r="K3389" s="65" t="str">
        <f t="shared" si="1"/>
        <v>In</v>
      </c>
    </row>
    <row r="3390">
      <c r="A3390" s="62" t="s">
        <v>3528</v>
      </c>
      <c r="B3390" s="63">
        <v>44162.0</v>
      </c>
      <c r="C3390" s="62" t="s">
        <v>119</v>
      </c>
      <c r="D3390" s="64">
        <v>42.5</v>
      </c>
      <c r="E3390" s="62" t="s">
        <v>109</v>
      </c>
      <c r="F3390" s="62" t="s">
        <v>115</v>
      </c>
      <c r="G3390" s="64" t="s">
        <v>64</v>
      </c>
      <c r="H3390" s="3" t="s">
        <v>131</v>
      </c>
      <c r="I3390" s="65">
        <f>IFERROR(VLOOKUP(A3390,'3. Call duration'!$A:$C,3,0),"--")</f>
        <v>32.83768981</v>
      </c>
      <c r="J3390" s="65" t="str">
        <f t="array" ref="J3390">XLOOKUP(H3390,'2. Matching'!$A$2:$A$39,'2. Matching'!$B$2:$B$39,"--")</f>
        <v>Acquisition</v>
      </c>
      <c r="K3390" s="65" t="str">
        <f t="shared" si="1"/>
        <v>In</v>
      </c>
    </row>
    <row r="3391">
      <c r="A3391" s="62" t="s">
        <v>3529</v>
      </c>
      <c r="B3391" s="63">
        <v>44144.0</v>
      </c>
      <c r="C3391" s="62" t="s">
        <v>119</v>
      </c>
      <c r="D3391" s="64">
        <v>42.5</v>
      </c>
      <c r="E3391" s="62" t="s">
        <v>109</v>
      </c>
      <c r="F3391" s="62" t="s">
        <v>115</v>
      </c>
      <c r="G3391" s="64" t="s">
        <v>64</v>
      </c>
      <c r="H3391" s="3" t="s">
        <v>175</v>
      </c>
      <c r="I3391" s="65">
        <f>IFERROR(VLOOKUP(A3391,'3. Call duration'!$A:$C,3,0),"--")</f>
        <v>24.84164384</v>
      </c>
      <c r="J3391" s="65" t="str">
        <f t="array" ref="J3391">XLOOKUP(H3391,'2. Matching'!$A$2:$A$39,'2. Matching'!$B$2:$B$39,"--")</f>
        <v>SEO</v>
      </c>
      <c r="K3391" s="65" t="str">
        <f t="shared" si="1"/>
        <v>In</v>
      </c>
    </row>
    <row r="3392">
      <c r="A3392" s="62" t="s">
        <v>3530</v>
      </c>
      <c r="B3392" s="63">
        <v>44165.0</v>
      </c>
      <c r="C3392" s="62" t="s">
        <v>119</v>
      </c>
      <c r="D3392" s="64">
        <v>42.5</v>
      </c>
      <c r="E3392" s="62" t="s">
        <v>109</v>
      </c>
      <c r="F3392" s="62" t="s">
        <v>115</v>
      </c>
      <c r="G3392" s="64" t="s">
        <v>64</v>
      </c>
      <c r="H3392" s="3" t="s">
        <v>175</v>
      </c>
      <c r="I3392" s="65">
        <f>IFERROR(VLOOKUP(A3392,'3. Call duration'!$A:$C,3,0),"--")</f>
        <v>30.06825202</v>
      </c>
      <c r="J3392" s="65" t="str">
        <f t="array" ref="J3392">XLOOKUP(H3392,'2. Matching'!$A$2:$A$39,'2. Matching'!$B$2:$B$39,"--")</f>
        <v>SEO</v>
      </c>
      <c r="K3392" s="65" t="str">
        <f t="shared" si="1"/>
        <v>In</v>
      </c>
    </row>
    <row r="3393">
      <c r="A3393" s="62" t="s">
        <v>3531</v>
      </c>
      <c r="B3393" s="63">
        <v>44245.0</v>
      </c>
      <c r="C3393" s="62" t="s">
        <v>119</v>
      </c>
      <c r="D3393" s="64">
        <v>42.5</v>
      </c>
      <c r="E3393" s="62" t="s">
        <v>109</v>
      </c>
      <c r="F3393" s="62" t="s">
        <v>115</v>
      </c>
      <c r="G3393" s="64" t="s">
        <v>64</v>
      </c>
      <c r="H3393" s="3" t="s">
        <v>169</v>
      </c>
      <c r="I3393" s="65">
        <f>IFERROR(VLOOKUP(A3393,'3. Call duration'!$A:$C,3,0),"--")</f>
        <v>20.24638546</v>
      </c>
      <c r="J3393" s="65" t="str">
        <f t="array" ref="J3393">XLOOKUP(H3393,'2. Matching'!$A$2:$A$39,'2. Matching'!$B$2:$B$39,"--")</f>
        <v>SEO</v>
      </c>
      <c r="K3393" s="65" t="str">
        <f t="shared" si="1"/>
        <v>In</v>
      </c>
    </row>
    <row r="3394">
      <c r="A3394" s="62" t="s">
        <v>3532</v>
      </c>
      <c r="B3394" s="63">
        <v>44083.0</v>
      </c>
      <c r="C3394" s="62" t="s">
        <v>119</v>
      </c>
      <c r="D3394" s="64">
        <v>42.5</v>
      </c>
      <c r="E3394" s="62" t="s">
        <v>109</v>
      </c>
      <c r="F3394" s="62" t="s">
        <v>115</v>
      </c>
      <c r="G3394" s="64" t="s">
        <v>64</v>
      </c>
      <c r="H3394" s="3" t="s">
        <v>175</v>
      </c>
      <c r="I3394" s="65">
        <f>IFERROR(VLOOKUP(A3394,'3. Call duration'!$A:$C,3,0),"--")</f>
        <v>25.18685202</v>
      </c>
      <c r="J3394" s="65" t="str">
        <f t="array" ref="J3394">XLOOKUP(H3394,'2. Matching'!$A$2:$A$39,'2. Matching'!$B$2:$B$39,"--")</f>
        <v>SEO</v>
      </c>
      <c r="K3394" s="65" t="str">
        <f t="shared" si="1"/>
        <v>In</v>
      </c>
    </row>
    <row r="3395">
      <c r="A3395" s="62" t="s">
        <v>3533</v>
      </c>
      <c r="B3395" s="63">
        <v>44119.0</v>
      </c>
      <c r="C3395" s="62" t="s">
        <v>119</v>
      </c>
      <c r="D3395" s="64">
        <v>42.5</v>
      </c>
      <c r="E3395" s="62" t="s">
        <v>109</v>
      </c>
      <c r="F3395" s="62" t="s">
        <v>115</v>
      </c>
      <c r="G3395" s="64" t="s">
        <v>64</v>
      </c>
      <c r="H3395" s="3" t="s">
        <v>139</v>
      </c>
      <c r="I3395" s="65">
        <f>IFERROR(VLOOKUP(A3395,'3. Call duration'!$A:$C,3,0),"--")</f>
        <v>14.51190759</v>
      </c>
      <c r="J3395" s="65" t="str">
        <f t="array" ref="J3395">XLOOKUP(H3395,'2. Matching'!$A$2:$A$39,'2. Matching'!$B$2:$B$39,"--")</f>
        <v>Acquisition</v>
      </c>
      <c r="K3395" s="65" t="str">
        <f t="shared" si="1"/>
        <v>In</v>
      </c>
    </row>
    <row r="3396">
      <c r="A3396" s="62" t="s">
        <v>3534</v>
      </c>
      <c r="B3396" s="63">
        <v>44232.0</v>
      </c>
      <c r="C3396" s="62" t="s">
        <v>119</v>
      </c>
      <c r="D3396" s="64">
        <v>42.5</v>
      </c>
      <c r="E3396" s="62" t="s">
        <v>109</v>
      </c>
      <c r="F3396" s="62" t="s">
        <v>115</v>
      </c>
      <c r="G3396" s="64" t="s">
        <v>64</v>
      </c>
      <c r="H3396" s="3" t="s">
        <v>145</v>
      </c>
      <c r="I3396" s="65">
        <f>IFERROR(VLOOKUP(A3396,'3. Call duration'!$A:$C,3,0),"--")</f>
        <v>22.19025297</v>
      </c>
      <c r="J3396" s="65" t="str">
        <f t="array" ref="J3396">XLOOKUP(H3396,'2. Matching'!$A$2:$A$39,'2. Matching'!$B$2:$B$39,"--")</f>
        <v>SEO</v>
      </c>
      <c r="K3396" s="65" t="str">
        <f t="shared" si="1"/>
        <v>In</v>
      </c>
    </row>
    <row r="3397">
      <c r="A3397" s="62" t="s">
        <v>3535</v>
      </c>
      <c r="B3397" s="63">
        <v>44119.0</v>
      </c>
      <c r="C3397" s="62" t="s">
        <v>119</v>
      </c>
      <c r="D3397" s="64">
        <v>42.5</v>
      </c>
      <c r="E3397" s="62" t="s">
        <v>109</v>
      </c>
      <c r="F3397" s="62" t="s">
        <v>115</v>
      </c>
      <c r="G3397" s="64" t="s">
        <v>64</v>
      </c>
      <c r="H3397" s="3" t="s">
        <v>150</v>
      </c>
      <c r="I3397" s="65">
        <f>IFERROR(VLOOKUP(A3397,'3. Call duration'!$A:$C,3,0),"--")</f>
        <v>26.13076834</v>
      </c>
      <c r="J3397" s="65" t="str">
        <f t="array" ref="J3397">XLOOKUP(H3397,'2. Matching'!$A$2:$A$39,'2. Matching'!$B$2:$B$39,"--")</f>
        <v>SEO</v>
      </c>
      <c r="K3397" s="65" t="str">
        <f t="shared" si="1"/>
        <v>In</v>
      </c>
    </row>
    <row r="3398">
      <c r="A3398" s="62" t="s">
        <v>3536</v>
      </c>
      <c r="B3398" s="63">
        <v>44236.0</v>
      </c>
      <c r="C3398" s="62" t="s">
        <v>119</v>
      </c>
      <c r="D3398" s="64">
        <v>42.5</v>
      </c>
      <c r="E3398" s="62" t="s">
        <v>109</v>
      </c>
      <c r="F3398" s="62" t="s">
        <v>115</v>
      </c>
      <c r="G3398" s="64" t="s">
        <v>64</v>
      </c>
      <c r="H3398" s="3" t="s">
        <v>145</v>
      </c>
      <c r="I3398" s="65">
        <f>IFERROR(VLOOKUP(A3398,'3. Call duration'!$A:$C,3,0),"--")</f>
        <v>24.37437369</v>
      </c>
      <c r="J3398" s="65" t="str">
        <f t="array" ref="J3398">XLOOKUP(H3398,'2. Matching'!$A$2:$A$39,'2. Matching'!$B$2:$B$39,"--")</f>
        <v>SEO</v>
      </c>
      <c r="K3398" s="65" t="str">
        <f t="shared" si="1"/>
        <v>In</v>
      </c>
    </row>
    <row r="3399">
      <c r="A3399" s="62" t="s">
        <v>3537</v>
      </c>
      <c r="B3399" s="63">
        <v>44175.0</v>
      </c>
      <c r="C3399" s="62" t="s">
        <v>119</v>
      </c>
      <c r="D3399" s="64">
        <v>42.5</v>
      </c>
      <c r="E3399" s="62" t="s">
        <v>109</v>
      </c>
      <c r="F3399" s="62" t="s">
        <v>115</v>
      </c>
      <c r="G3399" s="64" t="s">
        <v>64</v>
      </c>
      <c r="H3399" s="3" t="s">
        <v>150</v>
      </c>
      <c r="I3399" s="65">
        <f>IFERROR(VLOOKUP(A3399,'3. Call duration'!$A:$C,3,0),"--")</f>
        <v>25.19050861</v>
      </c>
      <c r="J3399" s="65" t="str">
        <f t="array" ref="J3399">XLOOKUP(H3399,'2. Matching'!$A$2:$A$39,'2. Matching'!$B$2:$B$39,"--")</f>
        <v>SEO</v>
      </c>
      <c r="K3399" s="65" t="str">
        <f t="shared" si="1"/>
        <v>In</v>
      </c>
    </row>
    <row r="3400">
      <c r="A3400" s="62" t="s">
        <v>3538</v>
      </c>
      <c r="B3400" s="63">
        <v>44109.0</v>
      </c>
      <c r="C3400" s="62" t="s">
        <v>119</v>
      </c>
      <c r="D3400" s="64">
        <v>42.5</v>
      </c>
      <c r="E3400" s="62" t="s">
        <v>109</v>
      </c>
      <c r="F3400" s="62" t="s">
        <v>115</v>
      </c>
      <c r="G3400" s="64" t="s">
        <v>64</v>
      </c>
      <c r="H3400" s="3" t="s">
        <v>139</v>
      </c>
      <c r="I3400" s="65">
        <f>IFERROR(VLOOKUP(A3400,'3. Call duration'!$A:$C,3,0),"--")</f>
        <v>26.71151762</v>
      </c>
      <c r="J3400" s="65" t="str">
        <f t="array" ref="J3400">XLOOKUP(H3400,'2. Matching'!$A$2:$A$39,'2. Matching'!$B$2:$B$39,"--")</f>
        <v>Acquisition</v>
      </c>
      <c r="K3400" s="65" t="str">
        <f t="shared" si="1"/>
        <v>In</v>
      </c>
    </row>
    <row r="3401">
      <c r="A3401" s="62" t="s">
        <v>3539</v>
      </c>
      <c r="B3401" s="63">
        <v>44200.0</v>
      </c>
      <c r="C3401" s="62" t="s">
        <v>119</v>
      </c>
      <c r="D3401" s="64">
        <v>42.5</v>
      </c>
      <c r="E3401" s="62" t="s">
        <v>109</v>
      </c>
      <c r="F3401" s="62" t="s">
        <v>115</v>
      </c>
      <c r="G3401" s="64" t="s">
        <v>64</v>
      </c>
      <c r="H3401" s="3" t="s">
        <v>175</v>
      </c>
      <c r="I3401" s="65">
        <f>IFERROR(VLOOKUP(A3401,'3. Call duration'!$A:$C,3,0),"--")</f>
        <v>29.62147629</v>
      </c>
      <c r="J3401" s="65" t="str">
        <f t="array" ref="J3401">XLOOKUP(H3401,'2. Matching'!$A$2:$A$39,'2. Matching'!$B$2:$B$39,"--")</f>
        <v>SEO</v>
      </c>
      <c r="K3401" s="65" t="str">
        <f t="shared" si="1"/>
        <v>In</v>
      </c>
    </row>
    <row r="3402">
      <c r="A3402" s="62" t="s">
        <v>3540</v>
      </c>
      <c r="B3402" s="63">
        <v>44120.0</v>
      </c>
      <c r="C3402" s="62" t="s">
        <v>119</v>
      </c>
      <c r="D3402" s="64">
        <v>42.5</v>
      </c>
      <c r="E3402" s="62" t="s">
        <v>109</v>
      </c>
      <c r="F3402" s="62" t="s">
        <v>110</v>
      </c>
      <c r="G3402" s="64" t="s">
        <v>64</v>
      </c>
      <c r="H3402" s="3" t="s">
        <v>131</v>
      </c>
      <c r="I3402" s="65">
        <f>IFERROR(VLOOKUP(A3402,'3. Call duration'!$A:$C,3,0),"--")</f>
        <v>23.11685785</v>
      </c>
      <c r="J3402" s="65" t="str">
        <f t="array" ref="J3402">XLOOKUP(H3402,'2. Matching'!$A$2:$A$39,'2. Matching'!$B$2:$B$39,"--")</f>
        <v>Acquisition</v>
      </c>
      <c r="K3402" s="65" t="str">
        <f t="shared" si="1"/>
        <v>In</v>
      </c>
    </row>
    <row r="3403">
      <c r="A3403" s="62" t="s">
        <v>3541</v>
      </c>
      <c r="B3403" s="63">
        <v>44118.0</v>
      </c>
      <c r="C3403" s="62" t="s">
        <v>119</v>
      </c>
      <c r="D3403" s="64">
        <v>42.5</v>
      </c>
      <c r="E3403" s="62" t="s">
        <v>109</v>
      </c>
      <c r="F3403" s="62" t="s">
        <v>115</v>
      </c>
      <c r="G3403" s="64" t="s">
        <v>64</v>
      </c>
      <c r="H3403" s="3" t="s">
        <v>155</v>
      </c>
      <c r="I3403" s="65">
        <f>IFERROR(VLOOKUP(A3403,'3. Call duration'!$A:$C,3,0),"--")</f>
        <v>27.96512283</v>
      </c>
      <c r="J3403" s="65" t="str">
        <f t="array" ref="J3403">XLOOKUP(H3403,'2. Matching'!$A$2:$A$39,'2. Matching'!$B$2:$B$39,"--")</f>
        <v>SEO</v>
      </c>
      <c r="K3403" s="65" t="str">
        <f t="shared" si="1"/>
        <v>In</v>
      </c>
    </row>
    <row r="3404">
      <c r="A3404" s="62" t="s">
        <v>3542</v>
      </c>
      <c r="B3404" s="63">
        <v>44113.0</v>
      </c>
      <c r="C3404" s="62" t="s">
        <v>119</v>
      </c>
      <c r="D3404" s="64">
        <v>42.5</v>
      </c>
      <c r="E3404" s="62" t="s">
        <v>109</v>
      </c>
      <c r="F3404" s="62" t="s">
        <v>115</v>
      </c>
      <c r="G3404" s="64" t="s">
        <v>64</v>
      </c>
      <c r="H3404" s="3" t="s">
        <v>155</v>
      </c>
      <c r="I3404" s="65">
        <f>IFERROR(VLOOKUP(A3404,'3. Call duration'!$A:$C,3,0),"--")</f>
        <v>34.33402719</v>
      </c>
      <c r="J3404" s="65" t="str">
        <f t="array" ref="J3404">XLOOKUP(H3404,'2. Matching'!$A$2:$A$39,'2. Matching'!$B$2:$B$39,"--")</f>
        <v>SEO</v>
      </c>
      <c r="K3404" s="65" t="str">
        <f t="shared" si="1"/>
        <v>In</v>
      </c>
    </row>
    <row r="3405">
      <c r="A3405" s="62" t="s">
        <v>3543</v>
      </c>
      <c r="B3405" s="63">
        <v>44252.0</v>
      </c>
      <c r="C3405" s="62" t="s">
        <v>119</v>
      </c>
      <c r="D3405" s="64">
        <v>42.5</v>
      </c>
      <c r="E3405" s="62" t="s">
        <v>109</v>
      </c>
      <c r="F3405" s="62" t="s">
        <v>115</v>
      </c>
      <c r="G3405" s="64" t="s">
        <v>64</v>
      </c>
      <c r="H3405" s="3" t="s">
        <v>155</v>
      </c>
      <c r="I3405" s="65">
        <f>IFERROR(VLOOKUP(A3405,'3. Call duration'!$A:$C,3,0),"--")</f>
        <v>21.17237912</v>
      </c>
      <c r="J3405" s="65" t="str">
        <f t="array" ref="J3405">XLOOKUP(H3405,'2. Matching'!$A$2:$A$39,'2. Matching'!$B$2:$B$39,"--")</f>
        <v>SEO</v>
      </c>
      <c r="K3405" s="65" t="str">
        <f t="shared" si="1"/>
        <v>In</v>
      </c>
    </row>
    <row r="3406">
      <c r="A3406" s="62" t="s">
        <v>3544</v>
      </c>
      <c r="B3406" s="63">
        <v>44088.0</v>
      </c>
      <c r="C3406" s="62" t="s">
        <v>119</v>
      </c>
      <c r="D3406" s="64">
        <v>42.5</v>
      </c>
      <c r="E3406" s="62" t="s">
        <v>109</v>
      </c>
      <c r="F3406" s="62" t="s">
        <v>115</v>
      </c>
      <c r="G3406" s="64" t="s">
        <v>64</v>
      </c>
      <c r="H3406" s="3" t="s">
        <v>131</v>
      </c>
      <c r="I3406" s="65">
        <f>IFERROR(VLOOKUP(A3406,'3. Call duration'!$A:$C,3,0),"--")</f>
        <v>26.63972602</v>
      </c>
      <c r="J3406" s="65" t="str">
        <f t="array" ref="J3406">XLOOKUP(H3406,'2. Matching'!$A$2:$A$39,'2. Matching'!$B$2:$B$39,"--")</f>
        <v>Acquisition</v>
      </c>
      <c r="K3406" s="65" t="str">
        <f t="shared" si="1"/>
        <v>In</v>
      </c>
    </row>
    <row r="3407">
      <c r="A3407" s="62" t="s">
        <v>3545</v>
      </c>
      <c r="B3407" s="63">
        <v>44077.0</v>
      </c>
      <c r="C3407" s="62" t="s">
        <v>119</v>
      </c>
      <c r="D3407" s="64">
        <v>42.5</v>
      </c>
      <c r="E3407" s="62" t="s">
        <v>109</v>
      </c>
      <c r="F3407" s="62" t="s">
        <v>115</v>
      </c>
      <c r="G3407" s="64" t="s">
        <v>64</v>
      </c>
      <c r="H3407" s="3" t="s">
        <v>139</v>
      </c>
      <c r="I3407" s="65">
        <f>IFERROR(VLOOKUP(A3407,'3. Call duration'!$A:$C,3,0),"--")</f>
        <v>20.25282237</v>
      </c>
      <c r="J3407" s="65" t="str">
        <f t="array" ref="J3407">XLOOKUP(H3407,'2. Matching'!$A$2:$A$39,'2. Matching'!$B$2:$B$39,"--")</f>
        <v>Acquisition</v>
      </c>
      <c r="K3407" s="65" t="str">
        <f t="shared" si="1"/>
        <v>In</v>
      </c>
    </row>
    <row r="3408">
      <c r="A3408" s="62" t="s">
        <v>3546</v>
      </c>
      <c r="B3408" s="63">
        <v>44204.0</v>
      </c>
      <c r="C3408" s="62" t="s">
        <v>119</v>
      </c>
      <c r="D3408" s="64">
        <v>42.5</v>
      </c>
      <c r="E3408" s="62" t="s">
        <v>109</v>
      </c>
      <c r="F3408" s="62" t="s">
        <v>115</v>
      </c>
      <c r="G3408" s="64" t="s">
        <v>62</v>
      </c>
      <c r="H3408" s="3" t="s">
        <v>294</v>
      </c>
      <c r="I3408" s="65">
        <f>IFERROR(VLOOKUP(A3408,'3. Call duration'!$A:$C,3,0),"--")</f>
        <v>40.01289895</v>
      </c>
      <c r="J3408" s="65" t="str">
        <f t="array" ref="J3408">XLOOKUP(H3408,'2. Matching'!$A$2:$A$39,'2. Matching'!$B$2:$B$39,"--")</f>
        <v>Farming</v>
      </c>
      <c r="K3408" s="65" t="str">
        <f t="shared" si="1"/>
        <v>In</v>
      </c>
    </row>
    <row r="3409">
      <c r="A3409" s="62" t="s">
        <v>3547</v>
      </c>
      <c r="B3409" s="63">
        <v>44089.0</v>
      </c>
      <c r="C3409" s="62" t="s">
        <v>119</v>
      </c>
      <c r="D3409" s="64">
        <v>42.5</v>
      </c>
      <c r="E3409" s="62" t="s">
        <v>109</v>
      </c>
      <c r="F3409" s="62" t="s">
        <v>115</v>
      </c>
      <c r="G3409" s="64" t="s">
        <v>64</v>
      </c>
      <c r="H3409" s="3" t="s">
        <v>164</v>
      </c>
      <c r="I3409" s="65">
        <f>IFERROR(VLOOKUP(A3409,'3. Call duration'!$A:$C,3,0),"--")</f>
        <v>26.48571306</v>
      </c>
      <c r="J3409" s="65" t="str">
        <f t="array" ref="J3409">XLOOKUP(H3409,'2. Matching'!$A$2:$A$39,'2. Matching'!$B$2:$B$39,"--")</f>
        <v>SEO</v>
      </c>
      <c r="K3409" s="65" t="str">
        <f t="shared" si="1"/>
        <v>In</v>
      </c>
    </row>
    <row r="3410">
      <c r="A3410" s="62" t="s">
        <v>3548</v>
      </c>
      <c r="B3410" s="63">
        <v>44093.0</v>
      </c>
      <c r="C3410" s="62" t="s">
        <v>119</v>
      </c>
      <c r="D3410" s="64">
        <v>42.5</v>
      </c>
      <c r="E3410" s="62" t="s">
        <v>109</v>
      </c>
      <c r="F3410" s="62" t="s">
        <v>115</v>
      </c>
      <c r="G3410" s="64" t="s">
        <v>64</v>
      </c>
      <c r="H3410" s="3" t="s">
        <v>169</v>
      </c>
      <c r="I3410" s="65">
        <f>IFERROR(VLOOKUP(A3410,'3. Call duration'!$A:$C,3,0),"--")</f>
        <v>20.21606432</v>
      </c>
      <c r="J3410" s="65" t="str">
        <f t="array" ref="J3410">XLOOKUP(H3410,'2. Matching'!$A$2:$A$39,'2. Matching'!$B$2:$B$39,"--")</f>
        <v>SEO</v>
      </c>
      <c r="K3410" s="65" t="str">
        <f t="shared" si="1"/>
        <v>In</v>
      </c>
    </row>
    <row r="3411">
      <c r="A3411" s="62" t="s">
        <v>3549</v>
      </c>
      <c r="B3411" s="63">
        <v>44235.0</v>
      </c>
      <c r="C3411" s="62" t="s">
        <v>119</v>
      </c>
      <c r="D3411" s="64">
        <v>42.5</v>
      </c>
      <c r="E3411" s="62" t="s">
        <v>109</v>
      </c>
      <c r="F3411" s="62" t="s">
        <v>115</v>
      </c>
      <c r="G3411" s="64" t="s">
        <v>64</v>
      </c>
      <c r="H3411" s="3" t="s">
        <v>164</v>
      </c>
      <c r="I3411" s="65">
        <f>IFERROR(VLOOKUP(A3411,'3. Call duration'!$A:$C,3,0),"--")</f>
        <v>20.23361657</v>
      </c>
      <c r="J3411" s="65" t="str">
        <f t="array" ref="J3411">XLOOKUP(H3411,'2. Matching'!$A$2:$A$39,'2. Matching'!$B$2:$B$39,"--")</f>
        <v>SEO</v>
      </c>
      <c r="K3411" s="65" t="str">
        <f t="shared" si="1"/>
        <v>In</v>
      </c>
    </row>
    <row r="3412">
      <c r="A3412" s="62" t="s">
        <v>3550</v>
      </c>
      <c r="B3412" s="63">
        <v>44229.0</v>
      </c>
      <c r="C3412" s="62" t="s">
        <v>119</v>
      </c>
      <c r="D3412" s="64">
        <v>42.5</v>
      </c>
      <c r="E3412" s="62" t="s">
        <v>109</v>
      </c>
      <c r="F3412" s="62" t="s">
        <v>115</v>
      </c>
      <c r="G3412" s="64" t="s">
        <v>64</v>
      </c>
      <c r="H3412" s="3" t="s">
        <v>150</v>
      </c>
      <c r="I3412" s="65">
        <f>IFERROR(VLOOKUP(A3412,'3. Call duration'!$A:$C,3,0),"--")</f>
        <v>26.01050705</v>
      </c>
      <c r="J3412" s="65" t="str">
        <f t="array" ref="J3412">XLOOKUP(H3412,'2. Matching'!$A$2:$A$39,'2. Matching'!$B$2:$B$39,"--")</f>
        <v>SEO</v>
      </c>
      <c r="K3412" s="65" t="str">
        <f t="shared" si="1"/>
        <v>In</v>
      </c>
    </row>
    <row r="3413">
      <c r="A3413" s="62" t="s">
        <v>3551</v>
      </c>
      <c r="B3413" s="63">
        <v>44125.0</v>
      </c>
      <c r="C3413" s="62" t="s">
        <v>119</v>
      </c>
      <c r="D3413" s="64">
        <v>42.5</v>
      </c>
      <c r="E3413" s="62" t="s">
        <v>109</v>
      </c>
      <c r="F3413" s="62" t="s">
        <v>115</v>
      </c>
      <c r="G3413" s="64" t="s">
        <v>64</v>
      </c>
      <c r="H3413" s="3" t="s">
        <v>139</v>
      </c>
      <c r="I3413" s="65">
        <f>IFERROR(VLOOKUP(A3413,'3. Call duration'!$A:$C,3,0),"--")</f>
        <v>40.63520879</v>
      </c>
      <c r="J3413" s="65" t="str">
        <f t="array" ref="J3413">XLOOKUP(H3413,'2. Matching'!$A$2:$A$39,'2. Matching'!$B$2:$B$39,"--")</f>
        <v>Acquisition</v>
      </c>
      <c r="K3413" s="65" t="str">
        <f t="shared" si="1"/>
        <v>In</v>
      </c>
    </row>
    <row r="3414">
      <c r="A3414" s="62" t="s">
        <v>3552</v>
      </c>
      <c r="B3414" s="63">
        <v>44230.0</v>
      </c>
      <c r="C3414" s="62" t="s">
        <v>119</v>
      </c>
      <c r="D3414" s="64">
        <v>42.5</v>
      </c>
      <c r="E3414" s="62" t="s">
        <v>109</v>
      </c>
      <c r="F3414" s="62" t="s">
        <v>115</v>
      </c>
      <c r="G3414" s="64" t="s">
        <v>64</v>
      </c>
      <c r="H3414" s="3" t="s">
        <v>155</v>
      </c>
      <c r="I3414" s="65">
        <f>IFERROR(VLOOKUP(A3414,'3. Call duration'!$A:$C,3,0),"--")</f>
        <v>33.36447353</v>
      </c>
      <c r="J3414" s="65" t="str">
        <f t="array" ref="J3414">XLOOKUP(H3414,'2. Matching'!$A$2:$A$39,'2. Matching'!$B$2:$B$39,"--")</f>
        <v>SEO</v>
      </c>
      <c r="K3414" s="65" t="str">
        <f t="shared" si="1"/>
        <v>In</v>
      </c>
    </row>
    <row r="3415">
      <c r="A3415" s="62" t="s">
        <v>3553</v>
      </c>
      <c r="B3415" s="63">
        <v>44188.0</v>
      </c>
      <c r="C3415" s="62" t="s">
        <v>119</v>
      </c>
      <c r="D3415" s="64">
        <v>42.5</v>
      </c>
      <c r="E3415" s="62" t="s">
        <v>109</v>
      </c>
      <c r="F3415" s="62" t="s">
        <v>115</v>
      </c>
      <c r="G3415" s="64" t="s">
        <v>64</v>
      </c>
      <c r="H3415" s="3" t="s">
        <v>139</v>
      </c>
      <c r="I3415" s="65" t="str">
        <f>IFERROR(VLOOKUP(A3415,'3. Call duration'!$A:$C,3,0),"--")</f>
        <v>--</v>
      </c>
      <c r="J3415" s="65" t="str">
        <f t="array" ref="J3415">XLOOKUP(H3415,'2. Matching'!$A$2:$A$39,'2. Matching'!$B$2:$B$39,"--")</f>
        <v>Acquisition</v>
      </c>
      <c r="K3415" s="65" t="str">
        <f t="shared" si="1"/>
        <v>In</v>
      </c>
    </row>
    <row r="3416">
      <c r="A3416" s="62" t="s">
        <v>3554</v>
      </c>
      <c r="B3416" s="63">
        <v>44238.0</v>
      </c>
      <c r="C3416" s="62" t="s">
        <v>119</v>
      </c>
      <c r="D3416" s="64">
        <v>42.5</v>
      </c>
      <c r="E3416" s="62" t="s">
        <v>109</v>
      </c>
      <c r="F3416" s="62" t="s">
        <v>115</v>
      </c>
      <c r="G3416" s="64" t="s">
        <v>64</v>
      </c>
      <c r="H3416" s="3" t="s">
        <v>155</v>
      </c>
      <c r="I3416" s="65">
        <f>IFERROR(VLOOKUP(A3416,'3. Call duration'!$A:$C,3,0),"--")</f>
        <v>28.72658187</v>
      </c>
      <c r="J3416" s="65" t="str">
        <f t="array" ref="J3416">XLOOKUP(H3416,'2. Matching'!$A$2:$A$39,'2. Matching'!$B$2:$B$39,"--")</f>
        <v>SEO</v>
      </c>
      <c r="K3416" s="65" t="str">
        <f t="shared" si="1"/>
        <v>In</v>
      </c>
    </row>
    <row r="3417">
      <c r="A3417" s="62" t="s">
        <v>3555</v>
      </c>
      <c r="B3417" s="63">
        <v>44082.0</v>
      </c>
      <c r="C3417" s="62" t="s">
        <v>119</v>
      </c>
      <c r="D3417" s="64">
        <v>42.5</v>
      </c>
      <c r="E3417" s="62" t="s">
        <v>109</v>
      </c>
      <c r="F3417" s="62" t="s">
        <v>115</v>
      </c>
      <c r="G3417" s="64" t="s">
        <v>64</v>
      </c>
      <c r="H3417" s="3" t="s">
        <v>135</v>
      </c>
      <c r="I3417" s="65">
        <f>IFERROR(VLOOKUP(A3417,'3. Call duration'!$A:$C,3,0),"--")</f>
        <v>29.47531102</v>
      </c>
      <c r="J3417" s="65" t="str">
        <f t="array" ref="J3417">XLOOKUP(H3417,'2. Matching'!$A$2:$A$39,'2. Matching'!$B$2:$B$39,"--")</f>
        <v>Acquisition</v>
      </c>
      <c r="K3417" s="65" t="str">
        <f t="shared" si="1"/>
        <v>In</v>
      </c>
    </row>
    <row r="3418">
      <c r="A3418" s="62" t="s">
        <v>3556</v>
      </c>
      <c r="B3418" s="63">
        <v>44222.0</v>
      </c>
      <c r="C3418" s="62" t="s">
        <v>119</v>
      </c>
      <c r="D3418" s="64">
        <v>42.5</v>
      </c>
      <c r="E3418" s="62" t="s">
        <v>109</v>
      </c>
      <c r="F3418" s="62" t="s">
        <v>115</v>
      </c>
      <c r="G3418" s="64" t="s">
        <v>64</v>
      </c>
      <c r="H3418" s="3" t="s">
        <v>131</v>
      </c>
      <c r="I3418" s="65">
        <f>IFERROR(VLOOKUP(A3418,'3. Call duration'!$A:$C,3,0),"--")</f>
        <v>33.59415381</v>
      </c>
      <c r="J3418" s="65" t="str">
        <f t="array" ref="J3418">XLOOKUP(H3418,'2. Matching'!$A$2:$A$39,'2. Matching'!$B$2:$B$39,"--")</f>
        <v>Acquisition</v>
      </c>
      <c r="K3418" s="65" t="str">
        <f t="shared" si="1"/>
        <v>In</v>
      </c>
    </row>
    <row r="3419">
      <c r="A3419" s="62" t="s">
        <v>3557</v>
      </c>
      <c r="B3419" s="63">
        <v>44168.0</v>
      </c>
      <c r="C3419" s="62" t="s">
        <v>119</v>
      </c>
      <c r="D3419" s="64">
        <v>42.5</v>
      </c>
      <c r="E3419" s="62" t="s">
        <v>109</v>
      </c>
      <c r="F3419" s="62" t="s">
        <v>110</v>
      </c>
      <c r="G3419" s="64" t="s">
        <v>64</v>
      </c>
      <c r="H3419" s="3" t="s">
        <v>135</v>
      </c>
      <c r="I3419" s="65">
        <f>IFERROR(VLOOKUP(A3419,'3. Call duration'!$A:$C,3,0),"--")</f>
        <v>29.72211257</v>
      </c>
      <c r="J3419" s="65" t="str">
        <f t="array" ref="J3419">XLOOKUP(H3419,'2. Matching'!$A$2:$A$39,'2. Matching'!$B$2:$B$39,"--")</f>
        <v>Acquisition</v>
      </c>
      <c r="K3419" s="65" t="str">
        <f t="shared" si="1"/>
        <v>In</v>
      </c>
    </row>
    <row r="3420">
      <c r="A3420" s="62" t="s">
        <v>3558</v>
      </c>
      <c r="B3420" s="63">
        <v>44214.0</v>
      </c>
      <c r="C3420" s="62" t="s">
        <v>119</v>
      </c>
      <c r="D3420" s="64">
        <v>42.5</v>
      </c>
      <c r="E3420" s="62" t="s">
        <v>109</v>
      </c>
      <c r="F3420" s="62" t="s">
        <v>115</v>
      </c>
      <c r="G3420" s="64" t="s">
        <v>64</v>
      </c>
      <c r="H3420" s="3" t="s">
        <v>164</v>
      </c>
      <c r="I3420" s="65">
        <f>IFERROR(VLOOKUP(A3420,'3. Call duration'!$A:$C,3,0),"--")</f>
        <v>20.72830077</v>
      </c>
      <c r="J3420" s="65" t="str">
        <f t="array" ref="J3420">XLOOKUP(H3420,'2. Matching'!$A$2:$A$39,'2. Matching'!$B$2:$B$39,"--")</f>
        <v>SEO</v>
      </c>
      <c r="K3420" s="65" t="str">
        <f t="shared" si="1"/>
        <v>In</v>
      </c>
    </row>
    <row r="3421">
      <c r="A3421" s="62" t="s">
        <v>3559</v>
      </c>
      <c r="B3421" s="63">
        <v>44242.0</v>
      </c>
      <c r="C3421" s="62" t="s">
        <v>119</v>
      </c>
      <c r="D3421" s="64">
        <v>42.5</v>
      </c>
      <c r="E3421" s="62" t="s">
        <v>109</v>
      </c>
      <c r="F3421" s="62" t="s">
        <v>115</v>
      </c>
      <c r="G3421" s="64" t="s">
        <v>64</v>
      </c>
      <c r="H3421" s="3" t="s">
        <v>139</v>
      </c>
      <c r="I3421" s="65">
        <f>IFERROR(VLOOKUP(A3421,'3. Call duration'!$A:$C,3,0),"--")</f>
        <v>24.07024411</v>
      </c>
      <c r="J3421" s="65" t="str">
        <f t="array" ref="J3421">XLOOKUP(H3421,'2. Matching'!$A$2:$A$39,'2. Matching'!$B$2:$B$39,"--")</f>
        <v>Acquisition</v>
      </c>
      <c r="K3421" s="65" t="str">
        <f t="shared" si="1"/>
        <v>In</v>
      </c>
    </row>
    <row r="3422">
      <c r="A3422" s="62" t="s">
        <v>3560</v>
      </c>
      <c r="B3422" s="63">
        <v>44075.0</v>
      </c>
      <c r="C3422" s="62" t="s">
        <v>119</v>
      </c>
      <c r="D3422" s="64">
        <v>42.5</v>
      </c>
      <c r="E3422" s="62" t="s">
        <v>109</v>
      </c>
      <c r="F3422" s="62" t="s">
        <v>115</v>
      </c>
      <c r="G3422" s="64" t="s">
        <v>64</v>
      </c>
      <c r="H3422" s="3" t="s">
        <v>175</v>
      </c>
      <c r="I3422" s="65">
        <f>IFERROR(VLOOKUP(A3422,'3. Call duration'!$A:$C,3,0),"--")</f>
        <v>25.55788278</v>
      </c>
      <c r="J3422" s="65" t="str">
        <f t="array" ref="J3422">XLOOKUP(H3422,'2. Matching'!$A$2:$A$39,'2. Matching'!$B$2:$B$39,"--")</f>
        <v>SEO</v>
      </c>
      <c r="K3422" s="65" t="str">
        <f t="shared" si="1"/>
        <v>In</v>
      </c>
    </row>
    <row r="3423">
      <c r="A3423" s="62" t="s">
        <v>3561</v>
      </c>
      <c r="B3423" s="63">
        <v>44133.0</v>
      </c>
      <c r="C3423" s="62" t="s">
        <v>119</v>
      </c>
      <c r="D3423" s="64">
        <v>42.5</v>
      </c>
      <c r="E3423" s="62" t="s">
        <v>109</v>
      </c>
      <c r="F3423" s="62" t="s">
        <v>115</v>
      </c>
      <c r="G3423" s="64" t="s">
        <v>64</v>
      </c>
      <c r="H3423" s="3" t="s">
        <v>221</v>
      </c>
      <c r="I3423" s="65">
        <f>IFERROR(VLOOKUP(A3423,'3. Call duration'!$A:$C,3,0),"--")</f>
        <v>32.06750752</v>
      </c>
      <c r="J3423" s="65" t="str">
        <f t="array" ref="J3423">XLOOKUP(H3423,'2. Matching'!$A$2:$A$39,'2. Matching'!$B$2:$B$39,"--")</f>
        <v>Farming</v>
      </c>
      <c r="K3423" s="65" t="str">
        <f t="shared" si="1"/>
        <v>In</v>
      </c>
    </row>
    <row r="3424">
      <c r="A3424" s="62" t="s">
        <v>3562</v>
      </c>
      <c r="B3424" s="63">
        <v>44136.0</v>
      </c>
      <c r="C3424" s="62" t="s">
        <v>119</v>
      </c>
      <c r="D3424" s="64">
        <v>42.5</v>
      </c>
      <c r="E3424" s="62" t="s">
        <v>109</v>
      </c>
      <c r="F3424" s="62" t="s">
        <v>115</v>
      </c>
      <c r="G3424" s="64" t="s">
        <v>64</v>
      </c>
      <c r="H3424" s="3" t="s">
        <v>139</v>
      </c>
      <c r="I3424" s="65">
        <f>IFERROR(VLOOKUP(A3424,'3. Call duration'!$A:$C,3,0),"--")</f>
        <v>31.5481428</v>
      </c>
      <c r="J3424" s="65" t="str">
        <f t="array" ref="J3424">XLOOKUP(H3424,'2. Matching'!$A$2:$A$39,'2. Matching'!$B$2:$B$39,"--")</f>
        <v>Acquisition</v>
      </c>
      <c r="K3424" s="65" t="str">
        <f t="shared" si="1"/>
        <v>In</v>
      </c>
    </row>
    <row r="3425">
      <c r="A3425" s="62" t="s">
        <v>3563</v>
      </c>
      <c r="B3425" s="63">
        <v>44201.0</v>
      </c>
      <c r="C3425" s="62" t="s">
        <v>119</v>
      </c>
      <c r="D3425" s="64">
        <v>42.5</v>
      </c>
      <c r="E3425" s="62" t="s">
        <v>109</v>
      </c>
      <c r="F3425" s="62" t="s">
        <v>115</v>
      </c>
      <c r="G3425" s="64" t="s">
        <v>64</v>
      </c>
      <c r="H3425" s="3" t="s">
        <v>185</v>
      </c>
      <c r="I3425" s="65" t="str">
        <f>IFERROR(VLOOKUP(A3425,'3. Call duration'!$A:$C,3,0),"--")</f>
        <v>--</v>
      </c>
      <c r="J3425" s="65" t="str">
        <f t="array" ref="J3425">XLOOKUP(H3425,'2. Matching'!$A$2:$A$39,'2. Matching'!$B$2:$B$39,"--")</f>
        <v>SEO</v>
      </c>
      <c r="K3425" s="65" t="str">
        <f t="shared" si="1"/>
        <v>In</v>
      </c>
    </row>
    <row r="3426">
      <c r="A3426" s="62" t="s">
        <v>3564</v>
      </c>
      <c r="B3426" s="63">
        <v>44195.0</v>
      </c>
      <c r="C3426" s="62" t="s">
        <v>119</v>
      </c>
      <c r="D3426" s="64">
        <v>42.5</v>
      </c>
      <c r="E3426" s="62" t="s">
        <v>109</v>
      </c>
      <c r="F3426" s="62" t="s">
        <v>115</v>
      </c>
      <c r="G3426" s="64" t="s">
        <v>64</v>
      </c>
      <c r="H3426" s="3" t="s">
        <v>185</v>
      </c>
      <c r="I3426" s="65">
        <f>IFERROR(VLOOKUP(A3426,'3. Call duration'!$A:$C,3,0),"--")</f>
        <v>29.14792194</v>
      </c>
      <c r="J3426" s="65" t="str">
        <f t="array" ref="J3426">XLOOKUP(H3426,'2. Matching'!$A$2:$A$39,'2. Matching'!$B$2:$B$39,"--")</f>
        <v>SEO</v>
      </c>
      <c r="K3426" s="65" t="str">
        <f t="shared" si="1"/>
        <v>In</v>
      </c>
    </row>
    <row r="3427">
      <c r="A3427" s="62" t="s">
        <v>3565</v>
      </c>
      <c r="B3427" s="63">
        <v>44236.0</v>
      </c>
      <c r="C3427" s="62" t="s">
        <v>119</v>
      </c>
      <c r="D3427" s="64">
        <v>42.5</v>
      </c>
      <c r="E3427" s="62" t="s">
        <v>109</v>
      </c>
      <c r="F3427" s="62" t="s">
        <v>115</v>
      </c>
      <c r="G3427" s="64" t="s">
        <v>64</v>
      </c>
      <c r="H3427" s="3" t="s">
        <v>185</v>
      </c>
      <c r="I3427" s="65">
        <f>IFERROR(VLOOKUP(A3427,'3. Call duration'!$A:$C,3,0),"--")</f>
        <v>44.97112557</v>
      </c>
      <c r="J3427" s="65" t="str">
        <f t="array" ref="J3427">XLOOKUP(H3427,'2. Matching'!$A$2:$A$39,'2. Matching'!$B$2:$B$39,"--")</f>
        <v>SEO</v>
      </c>
      <c r="K3427" s="65" t="str">
        <f t="shared" si="1"/>
        <v>In</v>
      </c>
    </row>
    <row r="3428">
      <c r="A3428" s="62" t="s">
        <v>3566</v>
      </c>
      <c r="B3428" s="63">
        <v>44237.0</v>
      </c>
      <c r="C3428" s="62" t="s">
        <v>119</v>
      </c>
      <c r="D3428" s="64">
        <v>42.5</v>
      </c>
      <c r="E3428" s="62" t="s">
        <v>109</v>
      </c>
      <c r="F3428" s="62" t="s">
        <v>115</v>
      </c>
      <c r="G3428" s="64" t="s">
        <v>64</v>
      </c>
      <c r="H3428" s="3" t="s">
        <v>221</v>
      </c>
      <c r="I3428" s="65" t="str">
        <f>IFERROR(VLOOKUP(A3428,'3. Call duration'!$A:$C,3,0),"--")</f>
        <v>--</v>
      </c>
      <c r="J3428" s="65" t="str">
        <f t="array" ref="J3428">XLOOKUP(H3428,'2. Matching'!$A$2:$A$39,'2. Matching'!$B$2:$B$39,"--")</f>
        <v>Farming</v>
      </c>
      <c r="K3428" s="65" t="str">
        <f t="shared" si="1"/>
        <v>In</v>
      </c>
    </row>
    <row r="3429">
      <c r="A3429" s="62" t="s">
        <v>3567</v>
      </c>
      <c r="B3429" s="63">
        <v>44203.0</v>
      </c>
      <c r="C3429" s="62" t="s">
        <v>119</v>
      </c>
      <c r="D3429" s="64">
        <v>42.5</v>
      </c>
      <c r="E3429" s="62" t="s">
        <v>109</v>
      </c>
      <c r="F3429" s="62" t="s">
        <v>115</v>
      </c>
      <c r="G3429" s="64" t="s">
        <v>64</v>
      </c>
      <c r="H3429" s="3" t="s">
        <v>131</v>
      </c>
      <c r="I3429" s="65">
        <f>IFERROR(VLOOKUP(A3429,'3. Call duration'!$A:$C,3,0),"--")</f>
        <v>25.74014025</v>
      </c>
      <c r="J3429" s="65" t="str">
        <f t="array" ref="J3429">XLOOKUP(H3429,'2. Matching'!$A$2:$A$39,'2. Matching'!$B$2:$B$39,"--")</f>
        <v>Acquisition</v>
      </c>
      <c r="K3429" s="65" t="str">
        <f t="shared" si="1"/>
        <v>In</v>
      </c>
    </row>
    <row r="3430">
      <c r="A3430" s="62" t="s">
        <v>3568</v>
      </c>
      <c r="B3430" s="63">
        <v>44236.0</v>
      </c>
      <c r="C3430" s="62" t="s">
        <v>119</v>
      </c>
      <c r="D3430" s="64">
        <v>42.5</v>
      </c>
      <c r="E3430" s="62" t="s">
        <v>109</v>
      </c>
      <c r="F3430" s="62" t="s">
        <v>110</v>
      </c>
      <c r="G3430" s="64" t="s">
        <v>64</v>
      </c>
      <c r="H3430" s="3" t="s">
        <v>297</v>
      </c>
      <c r="I3430" s="65">
        <f>IFERROR(VLOOKUP(A3430,'3. Call duration'!$A:$C,3,0),"--")</f>
        <v>25.74432759</v>
      </c>
      <c r="J3430" s="65" t="str">
        <f t="array" ref="J3430">XLOOKUP(H3430,'2. Matching'!$A$2:$A$39,'2. Matching'!$B$2:$B$39,"--")</f>
        <v>Farming</v>
      </c>
      <c r="K3430" s="65" t="str">
        <f t="shared" si="1"/>
        <v>In</v>
      </c>
    </row>
    <row r="3431">
      <c r="A3431" s="62" t="s">
        <v>3569</v>
      </c>
      <c r="B3431" s="63">
        <v>44091.0</v>
      </c>
      <c r="C3431" s="62" t="s">
        <v>119</v>
      </c>
      <c r="D3431" s="64">
        <v>42.5</v>
      </c>
      <c r="E3431" s="62" t="s">
        <v>109</v>
      </c>
      <c r="F3431" s="62" t="s">
        <v>115</v>
      </c>
      <c r="G3431" s="64" t="s">
        <v>64</v>
      </c>
      <c r="H3431" s="3" t="s">
        <v>175</v>
      </c>
      <c r="I3431" s="65">
        <f>IFERROR(VLOOKUP(A3431,'3. Call duration'!$A:$C,3,0),"--")</f>
        <v>21.48147218</v>
      </c>
      <c r="J3431" s="65" t="str">
        <f t="array" ref="J3431">XLOOKUP(H3431,'2. Matching'!$A$2:$A$39,'2. Matching'!$B$2:$B$39,"--")</f>
        <v>SEO</v>
      </c>
      <c r="K3431" s="65" t="str">
        <f t="shared" si="1"/>
        <v>In</v>
      </c>
    </row>
    <row r="3432">
      <c r="A3432" s="62" t="s">
        <v>3570</v>
      </c>
      <c r="B3432" s="63">
        <v>44222.0</v>
      </c>
      <c r="C3432" s="62" t="s">
        <v>119</v>
      </c>
      <c r="D3432" s="64">
        <v>42.5</v>
      </c>
      <c r="E3432" s="62" t="s">
        <v>109</v>
      </c>
      <c r="F3432" s="62" t="s">
        <v>110</v>
      </c>
      <c r="G3432" s="64" t="s">
        <v>64</v>
      </c>
      <c r="H3432" s="3" t="s">
        <v>131</v>
      </c>
      <c r="I3432" s="65">
        <f>IFERROR(VLOOKUP(A3432,'3. Call duration'!$A:$C,3,0),"--")</f>
        <v>26.03974541</v>
      </c>
      <c r="J3432" s="65" t="str">
        <f t="array" ref="J3432">XLOOKUP(H3432,'2. Matching'!$A$2:$A$39,'2. Matching'!$B$2:$B$39,"--")</f>
        <v>Acquisition</v>
      </c>
      <c r="K3432" s="65" t="str">
        <f t="shared" si="1"/>
        <v>In</v>
      </c>
    </row>
    <row r="3433">
      <c r="A3433" s="62" t="s">
        <v>3571</v>
      </c>
      <c r="B3433" s="63">
        <v>44182.0</v>
      </c>
      <c r="C3433" s="62" t="s">
        <v>119</v>
      </c>
      <c r="D3433" s="64">
        <v>42.5</v>
      </c>
      <c r="E3433" s="62" t="s">
        <v>109</v>
      </c>
      <c r="F3433" s="62" t="s">
        <v>110</v>
      </c>
      <c r="G3433" s="64" t="s">
        <v>64</v>
      </c>
      <c r="H3433" s="3" t="s">
        <v>169</v>
      </c>
      <c r="I3433" s="65">
        <f>IFERROR(VLOOKUP(A3433,'3. Call duration'!$A:$C,3,0),"--")</f>
        <v>31.75421773</v>
      </c>
      <c r="J3433" s="65" t="str">
        <f t="array" ref="J3433">XLOOKUP(H3433,'2. Matching'!$A$2:$A$39,'2. Matching'!$B$2:$B$39,"--")</f>
        <v>SEO</v>
      </c>
      <c r="K3433" s="65" t="str">
        <f t="shared" si="1"/>
        <v>In</v>
      </c>
    </row>
    <row r="3434">
      <c r="A3434" s="62" t="s">
        <v>3572</v>
      </c>
      <c r="B3434" s="63">
        <v>44181.0</v>
      </c>
      <c r="C3434" s="62" t="s">
        <v>119</v>
      </c>
      <c r="D3434" s="64">
        <v>42.5</v>
      </c>
      <c r="E3434" s="62" t="s">
        <v>109</v>
      </c>
      <c r="F3434" s="62" t="s">
        <v>115</v>
      </c>
      <c r="G3434" s="64" t="s">
        <v>64</v>
      </c>
      <c r="H3434" s="3" t="s">
        <v>164</v>
      </c>
      <c r="I3434" s="65">
        <f>IFERROR(VLOOKUP(A3434,'3. Call duration'!$A:$C,3,0),"--")</f>
        <v>20.74587997</v>
      </c>
      <c r="J3434" s="65" t="str">
        <f t="array" ref="J3434">XLOOKUP(H3434,'2. Matching'!$A$2:$A$39,'2. Matching'!$B$2:$B$39,"--")</f>
        <v>SEO</v>
      </c>
      <c r="K3434" s="65" t="str">
        <f t="shared" si="1"/>
        <v>In</v>
      </c>
    </row>
    <row r="3435">
      <c r="A3435" s="62" t="s">
        <v>3573</v>
      </c>
      <c r="B3435" s="63">
        <v>44139.0</v>
      </c>
      <c r="C3435" s="62" t="s">
        <v>119</v>
      </c>
      <c r="D3435" s="64">
        <v>42.5</v>
      </c>
      <c r="E3435" s="62" t="s">
        <v>109</v>
      </c>
      <c r="F3435" s="62" t="s">
        <v>115</v>
      </c>
      <c r="G3435" s="64" t="s">
        <v>64</v>
      </c>
      <c r="H3435" s="3" t="s">
        <v>139</v>
      </c>
      <c r="I3435" s="65">
        <f>IFERROR(VLOOKUP(A3435,'3. Call duration'!$A:$C,3,0),"--")</f>
        <v>20.83104097</v>
      </c>
      <c r="J3435" s="65" t="str">
        <f t="array" ref="J3435">XLOOKUP(H3435,'2. Matching'!$A$2:$A$39,'2. Matching'!$B$2:$B$39,"--")</f>
        <v>Acquisition</v>
      </c>
      <c r="K3435" s="65" t="str">
        <f t="shared" si="1"/>
        <v>In</v>
      </c>
    </row>
    <row r="3436">
      <c r="A3436" s="62" t="s">
        <v>3574</v>
      </c>
      <c r="B3436" s="63">
        <v>44235.0</v>
      </c>
      <c r="C3436" s="62" t="s">
        <v>119</v>
      </c>
      <c r="D3436" s="64">
        <v>42.5</v>
      </c>
      <c r="E3436" s="62" t="s">
        <v>109</v>
      </c>
      <c r="F3436" s="62" t="s">
        <v>115</v>
      </c>
      <c r="G3436" s="64" t="s">
        <v>64</v>
      </c>
      <c r="H3436" s="3" t="s">
        <v>145</v>
      </c>
      <c r="I3436" s="65">
        <f>IFERROR(VLOOKUP(A3436,'3. Call duration'!$A:$C,3,0),"--")</f>
        <v>32.30943075</v>
      </c>
      <c r="J3436" s="65" t="str">
        <f t="array" ref="J3436">XLOOKUP(H3436,'2. Matching'!$A$2:$A$39,'2. Matching'!$B$2:$B$39,"--")</f>
        <v>SEO</v>
      </c>
      <c r="K3436" s="65" t="str">
        <f t="shared" si="1"/>
        <v>In</v>
      </c>
    </row>
    <row r="3437">
      <c r="A3437" s="62" t="s">
        <v>3575</v>
      </c>
      <c r="B3437" s="63">
        <v>44252.0</v>
      </c>
      <c r="C3437" s="62" t="s">
        <v>119</v>
      </c>
      <c r="D3437" s="64">
        <v>42.5</v>
      </c>
      <c r="E3437" s="62" t="s">
        <v>109</v>
      </c>
      <c r="F3437" s="62" t="s">
        <v>115</v>
      </c>
      <c r="G3437" s="64" t="s">
        <v>64</v>
      </c>
      <c r="H3437" s="3" t="s">
        <v>155</v>
      </c>
      <c r="I3437" s="65">
        <f>IFERROR(VLOOKUP(A3437,'3. Call duration'!$A:$C,3,0),"--")</f>
        <v>28.93877595</v>
      </c>
      <c r="J3437" s="65" t="str">
        <f t="array" ref="J3437">XLOOKUP(H3437,'2. Matching'!$A$2:$A$39,'2. Matching'!$B$2:$B$39,"--")</f>
        <v>SEO</v>
      </c>
      <c r="K3437" s="65" t="str">
        <f t="shared" si="1"/>
        <v>In</v>
      </c>
    </row>
    <row r="3438">
      <c r="A3438" s="62" t="s">
        <v>3576</v>
      </c>
      <c r="B3438" s="63">
        <v>44175.0</v>
      </c>
      <c r="C3438" s="62" t="s">
        <v>119</v>
      </c>
      <c r="D3438" s="64">
        <v>42.5</v>
      </c>
      <c r="E3438" s="62" t="s">
        <v>109</v>
      </c>
      <c r="F3438" s="62" t="s">
        <v>115</v>
      </c>
      <c r="G3438" s="64" t="s">
        <v>64</v>
      </c>
      <c r="H3438" s="3" t="s">
        <v>139</v>
      </c>
      <c r="I3438" s="65">
        <f>IFERROR(VLOOKUP(A3438,'3. Call duration'!$A:$C,3,0),"--")</f>
        <v>32.99335107</v>
      </c>
      <c r="J3438" s="65" t="str">
        <f t="array" ref="J3438">XLOOKUP(H3438,'2. Matching'!$A$2:$A$39,'2. Matching'!$B$2:$B$39,"--")</f>
        <v>Acquisition</v>
      </c>
      <c r="K3438" s="65" t="str">
        <f t="shared" si="1"/>
        <v>In</v>
      </c>
    </row>
    <row r="3439">
      <c r="A3439" s="62" t="s">
        <v>3577</v>
      </c>
      <c r="B3439" s="63">
        <v>44140.0</v>
      </c>
      <c r="C3439" s="62" t="s">
        <v>119</v>
      </c>
      <c r="D3439" s="64">
        <v>42.5</v>
      </c>
      <c r="E3439" s="62" t="s">
        <v>109</v>
      </c>
      <c r="F3439" s="62" t="s">
        <v>115</v>
      </c>
      <c r="G3439" s="64" t="s">
        <v>64</v>
      </c>
      <c r="H3439" s="3" t="s">
        <v>150</v>
      </c>
      <c r="I3439" s="65" t="str">
        <f>IFERROR(VLOOKUP(A3439,'3. Call duration'!$A:$C,3,0),"--")</f>
        <v>--</v>
      </c>
      <c r="J3439" s="65" t="str">
        <f t="array" ref="J3439">XLOOKUP(H3439,'2. Matching'!$A$2:$A$39,'2. Matching'!$B$2:$B$39,"--")</f>
        <v>SEO</v>
      </c>
      <c r="K3439" s="65" t="str">
        <f t="shared" si="1"/>
        <v>In</v>
      </c>
    </row>
    <row r="3440">
      <c r="A3440" s="62" t="s">
        <v>3578</v>
      </c>
      <c r="B3440" s="63">
        <v>44097.0</v>
      </c>
      <c r="C3440" s="62" t="s">
        <v>119</v>
      </c>
      <c r="D3440" s="64">
        <v>42.5</v>
      </c>
      <c r="E3440" s="62" t="s">
        <v>109</v>
      </c>
      <c r="F3440" s="62" t="s">
        <v>115</v>
      </c>
      <c r="G3440" s="64" t="s">
        <v>64</v>
      </c>
      <c r="H3440" s="3" t="s">
        <v>169</v>
      </c>
      <c r="I3440" s="65">
        <f>IFERROR(VLOOKUP(A3440,'3. Call duration'!$A:$C,3,0),"--")</f>
        <v>14.98188825</v>
      </c>
      <c r="J3440" s="65" t="str">
        <f t="array" ref="J3440">XLOOKUP(H3440,'2. Matching'!$A$2:$A$39,'2. Matching'!$B$2:$B$39,"--")</f>
        <v>SEO</v>
      </c>
      <c r="K3440" s="65" t="str">
        <f t="shared" si="1"/>
        <v>In</v>
      </c>
    </row>
    <row r="3441">
      <c r="A3441" s="62" t="s">
        <v>3579</v>
      </c>
      <c r="B3441" s="63">
        <v>44197.0</v>
      </c>
      <c r="C3441" s="62" t="s">
        <v>119</v>
      </c>
      <c r="D3441" s="64">
        <v>42.5</v>
      </c>
      <c r="E3441" s="62" t="s">
        <v>109</v>
      </c>
      <c r="F3441" s="62" t="s">
        <v>115</v>
      </c>
      <c r="G3441" s="64" t="s">
        <v>64</v>
      </c>
      <c r="H3441" s="3" t="s">
        <v>139</v>
      </c>
      <c r="I3441" s="65">
        <f>IFERROR(VLOOKUP(A3441,'3. Call duration'!$A:$C,3,0),"--")</f>
        <v>13.43800962</v>
      </c>
      <c r="J3441" s="65" t="str">
        <f t="array" ref="J3441">XLOOKUP(H3441,'2. Matching'!$A$2:$A$39,'2. Matching'!$B$2:$B$39,"--")</f>
        <v>Acquisition</v>
      </c>
      <c r="K3441" s="65" t="str">
        <f t="shared" si="1"/>
        <v>In</v>
      </c>
    </row>
    <row r="3442">
      <c r="A3442" s="62" t="s">
        <v>3580</v>
      </c>
      <c r="B3442" s="63">
        <v>44208.0</v>
      </c>
      <c r="C3442" s="62" t="s">
        <v>119</v>
      </c>
      <c r="D3442" s="64">
        <v>42.5</v>
      </c>
      <c r="E3442" s="62" t="s">
        <v>109</v>
      </c>
      <c r="F3442" s="62" t="s">
        <v>115</v>
      </c>
      <c r="G3442" s="64" t="s">
        <v>64</v>
      </c>
      <c r="H3442" s="3" t="s">
        <v>139</v>
      </c>
      <c r="I3442" s="65">
        <f>IFERROR(VLOOKUP(A3442,'3. Call duration'!$A:$C,3,0),"--")</f>
        <v>26.29835711</v>
      </c>
      <c r="J3442" s="65" t="str">
        <f t="array" ref="J3442">XLOOKUP(H3442,'2. Matching'!$A$2:$A$39,'2. Matching'!$B$2:$B$39,"--")</f>
        <v>Acquisition</v>
      </c>
      <c r="K3442" s="65" t="str">
        <f t="shared" si="1"/>
        <v>In</v>
      </c>
    </row>
    <row r="3443">
      <c r="A3443" s="62" t="s">
        <v>3581</v>
      </c>
      <c r="B3443" s="63">
        <v>44231.0</v>
      </c>
      <c r="C3443" s="62" t="s">
        <v>119</v>
      </c>
      <c r="D3443" s="64">
        <v>42.5</v>
      </c>
      <c r="E3443" s="62" t="s">
        <v>109</v>
      </c>
      <c r="F3443" s="62" t="s">
        <v>110</v>
      </c>
      <c r="G3443" s="64" t="s">
        <v>64</v>
      </c>
      <c r="H3443" s="3" t="s">
        <v>155</v>
      </c>
      <c r="I3443" s="65">
        <f>IFERROR(VLOOKUP(A3443,'3. Call duration'!$A:$C,3,0),"--")</f>
        <v>21.76936951</v>
      </c>
      <c r="J3443" s="65" t="str">
        <f t="array" ref="J3443">XLOOKUP(H3443,'2. Matching'!$A$2:$A$39,'2. Matching'!$B$2:$B$39,"--")</f>
        <v>SEO</v>
      </c>
      <c r="K3443" s="65" t="str">
        <f t="shared" si="1"/>
        <v>In</v>
      </c>
    </row>
    <row r="3444">
      <c r="A3444" s="62" t="s">
        <v>3582</v>
      </c>
      <c r="B3444" s="63">
        <v>44222.0</v>
      </c>
      <c r="C3444" s="62" t="s">
        <v>119</v>
      </c>
      <c r="D3444" s="64">
        <v>42.5</v>
      </c>
      <c r="E3444" s="62" t="s">
        <v>109</v>
      </c>
      <c r="F3444" s="62" t="s">
        <v>115</v>
      </c>
      <c r="G3444" s="64" t="s">
        <v>64</v>
      </c>
      <c r="H3444" s="3" t="s">
        <v>175</v>
      </c>
      <c r="I3444" s="65">
        <f>IFERROR(VLOOKUP(A3444,'3. Call duration'!$A:$C,3,0),"--")</f>
        <v>30.15571506</v>
      </c>
      <c r="J3444" s="65" t="str">
        <f t="array" ref="J3444">XLOOKUP(H3444,'2. Matching'!$A$2:$A$39,'2. Matching'!$B$2:$B$39,"--")</f>
        <v>SEO</v>
      </c>
      <c r="K3444" s="65" t="str">
        <f t="shared" si="1"/>
        <v>In</v>
      </c>
    </row>
    <row r="3445">
      <c r="A3445" s="62" t="s">
        <v>3583</v>
      </c>
      <c r="B3445" s="63">
        <v>44161.0</v>
      </c>
      <c r="C3445" s="62" t="s">
        <v>119</v>
      </c>
      <c r="D3445" s="64">
        <v>42.5</v>
      </c>
      <c r="E3445" s="62" t="s">
        <v>109</v>
      </c>
      <c r="F3445" s="62" t="s">
        <v>115</v>
      </c>
      <c r="G3445" s="64" t="s">
        <v>64</v>
      </c>
      <c r="H3445" s="3" t="s">
        <v>131</v>
      </c>
      <c r="I3445" s="65">
        <f>IFERROR(VLOOKUP(A3445,'3. Call duration'!$A:$C,3,0),"--")</f>
        <v>25.04110051</v>
      </c>
      <c r="J3445" s="65" t="str">
        <f t="array" ref="J3445">XLOOKUP(H3445,'2. Matching'!$A$2:$A$39,'2. Matching'!$B$2:$B$39,"--")</f>
        <v>Acquisition</v>
      </c>
      <c r="K3445" s="65" t="str">
        <f t="shared" si="1"/>
        <v>In</v>
      </c>
    </row>
    <row r="3446">
      <c r="A3446" s="62" t="s">
        <v>3584</v>
      </c>
      <c r="B3446" s="63">
        <v>44215.0</v>
      </c>
      <c r="C3446" s="62" t="s">
        <v>119</v>
      </c>
      <c r="D3446" s="64">
        <v>42.5</v>
      </c>
      <c r="E3446" s="62" t="s">
        <v>109</v>
      </c>
      <c r="F3446" s="62" t="s">
        <v>115</v>
      </c>
      <c r="G3446" s="64" t="s">
        <v>64</v>
      </c>
      <c r="H3446" s="3" t="s">
        <v>139</v>
      </c>
      <c r="I3446" s="65">
        <f>IFERROR(VLOOKUP(A3446,'3. Call duration'!$A:$C,3,0),"--")</f>
        <v>25.93296595</v>
      </c>
      <c r="J3446" s="65" t="str">
        <f t="array" ref="J3446">XLOOKUP(H3446,'2. Matching'!$A$2:$A$39,'2. Matching'!$B$2:$B$39,"--")</f>
        <v>Acquisition</v>
      </c>
      <c r="K3446" s="65" t="str">
        <f t="shared" si="1"/>
        <v>In</v>
      </c>
    </row>
    <row r="3447">
      <c r="A3447" s="62" t="s">
        <v>3585</v>
      </c>
      <c r="B3447" s="63">
        <v>44209.0</v>
      </c>
      <c r="C3447" s="62" t="s">
        <v>119</v>
      </c>
      <c r="D3447" s="64">
        <v>42.5</v>
      </c>
      <c r="E3447" s="62" t="s">
        <v>109</v>
      </c>
      <c r="F3447" s="62" t="s">
        <v>115</v>
      </c>
      <c r="G3447" s="64" t="s">
        <v>64</v>
      </c>
      <c r="H3447" s="3" t="s">
        <v>164</v>
      </c>
      <c r="I3447" s="65">
        <f>IFERROR(VLOOKUP(A3447,'3. Call duration'!$A:$C,3,0),"--")</f>
        <v>29.17969114</v>
      </c>
      <c r="J3447" s="65" t="str">
        <f t="array" ref="J3447">XLOOKUP(H3447,'2. Matching'!$A$2:$A$39,'2. Matching'!$B$2:$B$39,"--")</f>
        <v>SEO</v>
      </c>
      <c r="K3447" s="65" t="str">
        <f t="shared" si="1"/>
        <v>In</v>
      </c>
    </row>
    <row r="3448">
      <c r="A3448" s="62" t="s">
        <v>3586</v>
      </c>
      <c r="B3448" s="63">
        <v>44207.0</v>
      </c>
      <c r="C3448" s="62" t="s">
        <v>119</v>
      </c>
      <c r="D3448" s="64">
        <v>42.5</v>
      </c>
      <c r="E3448" s="62" t="s">
        <v>109</v>
      </c>
      <c r="F3448" s="62" t="s">
        <v>115</v>
      </c>
      <c r="G3448" s="64" t="s">
        <v>64</v>
      </c>
      <c r="H3448" s="3" t="s">
        <v>131</v>
      </c>
      <c r="I3448" s="65">
        <f>IFERROR(VLOOKUP(A3448,'3. Call duration'!$A:$C,3,0),"--")</f>
        <v>20.61780206</v>
      </c>
      <c r="J3448" s="65" t="str">
        <f t="array" ref="J3448">XLOOKUP(H3448,'2. Matching'!$A$2:$A$39,'2. Matching'!$B$2:$B$39,"--")</f>
        <v>Acquisition</v>
      </c>
      <c r="K3448" s="65" t="str">
        <f t="shared" si="1"/>
        <v>In</v>
      </c>
    </row>
    <row r="3449">
      <c r="A3449" s="62" t="s">
        <v>3587</v>
      </c>
      <c r="B3449" s="63">
        <v>44203.0</v>
      </c>
      <c r="C3449" s="62" t="s">
        <v>119</v>
      </c>
      <c r="D3449" s="64">
        <v>42.5</v>
      </c>
      <c r="E3449" s="62" t="s">
        <v>109</v>
      </c>
      <c r="F3449" s="62" t="s">
        <v>115</v>
      </c>
      <c r="G3449" s="64" t="s">
        <v>64</v>
      </c>
      <c r="H3449" s="3" t="s">
        <v>164</v>
      </c>
      <c r="I3449" s="65">
        <f>IFERROR(VLOOKUP(A3449,'3. Call duration'!$A:$C,3,0),"--")</f>
        <v>26.11234093</v>
      </c>
      <c r="J3449" s="65" t="str">
        <f t="array" ref="J3449">XLOOKUP(H3449,'2. Matching'!$A$2:$A$39,'2. Matching'!$B$2:$B$39,"--")</f>
        <v>SEO</v>
      </c>
      <c r="K3449" s="65" t="str">
        <f t="shared" si="1"/>
        <v>In</v>
      </c>
    </row>
    <row r="3450">
      <c r="A3450" s="62" t="s">
        <v>3588</v>
      </c>
      <c r="B3450" s="63">
        <v>44137.0</v>
      </c>
      <c r="C3450" s="62" t="s">
        <v>119</v>
      </c>
      <c r="D3450" s="64">
        <v>42.5</v>
      </c>
      <c r="E3450" s="62" t="s">
        <v>109</v>
      </c>
      <c r="F3450" s="62" t="s">
        <v>115</v>
      </c>
      <c r="G3450" s="64" t="s">
        <v>64</v>
      </c>
      <c r="H3450" s="3" t="s">
        <v>135</v>
      </c>
      <c r="I3450" s="65">
        <f>IFERROR(VLOOKUP(A3450,'3. Call duration'!$A:$C,3,0),"--")</f>
        <v>25.62602085</v>
      </c>
      <c r="J3450" s="65" t="str">
        <f t="array" ref="J3450">XLOOKUP(H3450,'2. Matching'!$A$2:$A$39,'2. Matching'!$B$2:$B$39,"--")</f>
        <v>Acquisition</v>
      </c>
      <c r="K3450" s="65" t="str">
        <f t="shared" si="1"/>
        <v>In</v>
      </c>
    </row>
    <row r="3451">
      <c r="A3451" s="62" t="s">
        <v>3589</v>
      </c>
      <c r="B3451" s="63">
        <v>44120.0</v>
      </c>
      <c r="C3451" s="62" t="s">
        <v>119</v>
      </c>
      <c r="D3451" s="64">
        <v>42.5</v>
      </c>
      <c r="E3451" s="62" t="s">
        <v>109</v>
      </c>
      <c r="F3451" s="62" t="s">
        <v>115</v>
      </c>
      <c r="G3451" s="64" t="s">
        <v>64</v>
      </c>
      <c r="H3451" s="3" t="s">
        <v>139</v>
      </c>
      <c r="I3451" s="65">
        <f>IFERROR(VLOOKUP(A3451,'3. Call duration'!$A:$C,3,0),"--")</f>
        <v>22.59818097</v>
      </c>
      <c r="J3451" s="65" t="str">
        <f t="array" ref="J3451">XLOOKUP(H3451,'2. Matching'!$A$2:$A$39,'2. Matching'!$B$2:$B$39,"--")</f>
        <v>Acquisition</v>
      </c>
      <c r="K3451" s="65" t="str">
        <f t="shared" si="1"/>
        <v>In</v>
      </c>
    </row>
    <row r="3452">
      <c r="A3452" s="62" t="s">
        <v>3590</v>
      </c>
      <c r="B3452" s="63">
        <v>44238.0</v>
      </c>
      <c r="C3452" s="62" t="s">
        <v>119</v>
      </c>
      <c r="D3452" s="64">
        <v>42.5</v>
      </c>
      <c r="E3452" s="62" t="s">
        <v>109</v>
      </c>
      <c r="F3452" s="62" t="s">
        <v>115</v>
      </c>
      <c r="G3452" s="64" t="s">
        <v>64</v>
      </c>
      <c r="H3452" s="3" t="s">
        <v>169</v>
      </c>
      <c r="I3452" s="65">
        <f>IFERROR(VLOOKUP(A3452,'3. Call duration'!$A:$C,3,0),"--")</f>
        <v>31.5633755</v>
      </c>
      <c r="J3452" s="65" t="str">
        <f t="array" ref="J3452">XLOOKUP(H3452,'2. Matching'!$A$2:$A$39,'2. Matching'!$B$2:$B$39,"--")</f>
        <v>SEO</v>
      </c>
      <c r="K3452" s="65" t="str">
        <f t="shared" si="1"/>
        <v>In</v>
      </c>
    </row>
    <row r="3453">
      <c r="A3453" s="62" t="s">
        <v>3591</v>
      </c>
      <c r="B3453" s="63">
        <v>44098.0</v>
      </c>
      <c r="C3453" s="62" t="s">
        <v>119</v>
      </c>
      <c r="D3453" s="64">
        <v>42.5</v>
      </c>
      <c r="E3453" s="62" t="s">
        <v>109</v>
      </c>
      <c r="F3453" s="62" t="s">
        <v>115</v>
      </c>
      <c r="G3453" s="64" t="s">
        <v>64</v>
      </c>
      <c r="H3453" s="3" t="s">
        <v>49</v>
      </c>
      <c r="I3453" s="65">
        <f>IFERROR(VLOOKUP(A3453,'3. Call duration'!$A:$C,3,0),"--")</f>
        <v>14.14372006</v>
      </c>
      <c r="J3453" s="65" t="str">
        <f t="array" ref="J3453">XLOOKUP(H3453,'2. Matching'!$A$2:$A$39,'2. Matching'!$B$2:$B$39,"--")</f>
        <v>Partnerships</v>
      </c>
      <c r="K3453" s="65" t="str">
        <f t="shared" si="1"/>
        <v>In</v>
      </c>
    </row>
    <row r="3454">
      <c r="A3454" s="62" t="s">
        <v>3592</v>
      </c>
      <c r="B3454" s="63">
        <v>44229.0</v>
      </c>
      <c r="C3454" s="62" t="s">
        <v>119</v>
      </c>
      <c r="D3454" s="64">
        <v>42.5</v>
      </c>
      <c r="E3454" s="62" t="s">
        <v>109</v>
      </c>
      <c r="F3454" s="62" t="s">
        <v>115</v>
      </c>
      <c r="G3454" s="64" t="s">
        <v>64</v>
      </c>
      <c r="H3454" s="3" t="s">
        <v>171</v>
      </c>
      <c r="I3454" s="65">
        <f>IFERROR(VLOOKUP(A3454,'3. Call duration'!$A:$C,3,0),"--")</f>
        <v>27.79270524</v>
      </c>
      <c r="J3454" s="65" t="str">
        <f t="array" ref="J3454">XLOOKUP(H3454,'2. Matching'!$A$2:$A$39,'2. Matching'!$B$2:$B$39,"--")</f>
        <v>SEO</v>
      </c>
      <c r="K3454" s="65" t="str">
        <f t="shared" si="1"/>
        <v>In</v>
      </c>
    </row>
    <row r="3455">
      <c r="A3455" s="62" t="s">
        <v>3593</v>
      </c>
      <c r="B3455" s="63">
        <v>44127.0</v>
      </c>
      <c r="C3455" s="62" t="s">
        <v>119</v>
      </c>
      <c r="D3455" s="64">
        <v>42.5</v>
      </c>
      <c r="E3455" s="62" t="s">
        <v>109</v>
      </c>
      <c r="F3455" s="62" t="s">
        <v>110</v>
      </c>
      <c r="G3455" s="64" t="s">
        <v>64</v>
      </c>
      <c r="H3455" s="3" t="s">
        <v>221</v>
      </c>
      <c r="I3455" s="65">
        <f>IFERROR(VLOOKUP(A3455,'3. Call duration'!$A:$C,3,0),"--")</f>
        <v>33.20746727</v>
      </c>
      <c r="J3455" s="65" t="str">
        <f t="array" ref="J3455">XLOOKUP(H3455,'2. Matching'!$A$2:$A$39,'2. Matching'!$B$2:$B$39,"--")</f>
        <v>Farming</v>
      </c>
      <c r="K3455" s="65" t="str">
        <f t="shared" si="1"/>
        <v>In</v>
      </c>
    </row>
    <row r="3456">
      <c r="A3456" s="62" t="s">
        <v>3594</v>
      </c>
      <c r="B3456" s="63">
        <v>44141.0</v>
      </c>
      <c r="C3456" s="62" t="s">
        <v>119</v>
      </c>
      <c r="D3456" s="64">
        <v>42.5</v>
      </c>
      <c r="E3456" s="62" t="s">
        <v>109</v>
      </c>
      <c r="F3456" s="62" t="s">
        <v>110</v>
      </c>
      <c r="G3456" s="64" t="s">
        <v>64</v>
      </c>
      <c r="H3456" s="3" t="s">
        <v>175</v>
      </c>
      <c r="I3456" s="65">
        <f>IFERROR(VLOOKUP(A3456,'3. Call duration'!$A:$C,3,0),"--")</f>
        <v>26.14107129</v>
      </c>
      <c r="J3456" s="65" t="str">
        <f t="array" ref="J3456">XLOOKUP(H3456,'2. Matching'!$A$2:$A$39,'2. Matching'!$B$2:$B$39,"--")</f>
        <v>SEO</v>
      </c>
      <c r="K3456" s="65" t="str">
        <f t="shared" si="1"/>
        <v>In</v>
      </c>
    </row>
    <row r="3457">
      <c r="A3457" s="62" t="s">
        <v>3595</v>
      </c>
      <c r="B3457" s="63">
        <v>44235.0</v>
      </c>
      <c r="C3457" s="62" t="s">
        <v>119</v>
      </c>
      <c r="D3457" s="64">
        <v>42.5</v>
      </c>
      <c r="E3457" s="62" t="s">
        <v>109</v>
      </c>
      <c r="F3457" s="62" t="s">
        <v>115</v>
      </c>
      <c r="G3457" s="64" t="s">
        <v>64</v>
      </c>
      <c r="H3457" s="3" t="s">
        <v>221</v>
      </c>
      <c r="I3457" s="65">
        <f>IFERROR(VLOOKUP(A3457,'3. Call duration'!$A:$C,3,0),"--")</f>
        <v>26.1667407</v>
      </c>
      <c r="J3457" s="65" t="str">
        <f t="array" ref="J3457">XLOOKUP(H3457,'2. Matching'!$A$2:$A$39,'2. Matching'!$B$2:$B$39,"--")</f>
        <v>Farming</v>
      </c>
      <c r="K3457" s="65" t="str">
        <f t="shared" si="1"/>
        <v>In</v>
      </c>
    </row>
    <row r="3458">
      <c r="A3458" s="62" t="s">
        <v>3596</v>
      </c>
      <c r="B3458" s="63">
        <v>44242.0</v>
      </c>
      <c r="C3458" s="62" t="s">
        <v>119</v>
      </c>
      <c r="D3458" s="64">
        <v>42.5</v>
      </c>
      <c r="E3458" s="62" t="s">
        <v>109</v>
      </c>
      <c r="F3458" s="62" t="s">
        <v>115</v>
      </c>
      <c r="G3458" s="64" t="s">
        <v>64</v>
      </c>
      <c r="H3458" s="3" t="s">
        <v>155</v>
      </c>
      <c r="I3458" s="65">
        <f>IFERROR(VLOOKUP(A3458,'3. Call duration'!$A:$C,3,0),"--")</f>
        <v>24.59279508</v>
      </c>
      <c r="J3458" s="65" t="str">
        <f t="array" ref="J3458">XLOOKUP(H3458,'2. Matching'!$A$2:$A$39,'2. Matching'!$B$2:$B$39,"--")</f>
        <v>SEO</v>
      </c>
      <c r="K3458" s="65" t="str">
        <f t="shared" si="1"/>
        <v>In</v>
      </c>
    </row>
    <row r="3459">
      <c r="A3459" s="62" t="s">
        <v>3597</v>
      </c>
      <c r="B3459" s="63">
        <v>44209.0</v>
      </c>
      <c r="C3459" s="62" t="s">
        <v>119</v>
      </c>
      <c r="D3459" s="64">
        <v>42.5</v>
      </c>
      <c r="E3459" s="62" t="s">
        <v>109</v>
      </c>
      <c r="F3459" s="62" t="s">
        <v>115</v>
      </c>
      <c r="G3459" s="64" t="s">
        <v>64</v>
      </c>
      <c r="H3459" s="3" t="s">
        <v>185</v>
      </c>
      <c r="I3459" s="65">
        <f>IFERROR(VLOOKUP(A3459,'3. Call duration'!$A:$C,3,0),"--")</f>
        <v>33.44229987</v>
      </c>
      <c r="J3459" s="65" t="str">
        <f t="array" ref="J3459">XLOOKUP(H3459,'2. Matching'!$A$2:$A$39,'2. Matching'!$B$2:$B$39,"--")</f>
        <v>SEO</v>
      </c>
      <c r="K3459" s="65" t="str">
        <f t="shared" si="1"/>
        <v>In</v>
      </c>
    </row>
    <row r="3460">
      <c r="A3460" s="62" t="s">
        <v>3598</v>
      </c>
      <c r="B3460" s="63">
        <v>44088.0</v>
      </c>
      <c r="C3460" s="62" t="s">
        <v>119</v>
      </c>
      <c r="D3460" s="64">
        <v>42.5</v>
      </c>
      <c r="E3460" s="62" t="s">
        <v>109</v>
      </c>
      <c r="F3460" s="62" t="s">
        <v>115</v>
      </c>
      <c r="G3460" s="64" t="s">
        <v>64</v>
      </c>
      <c r="H3460" s="3" t="s">
        <v>235</v>
      </c>
      <c r="I3460" s="65">
        <f>IFERROR(VLOOKUP(A3460,'3. Call duration'!$A:$C,3,0),"--")</f>
        <v>28.22539869</v>
      </c>
      <c r="J3460" s="65" t="str">
        <f t="array" ref="J3460">XLOOKUP(H3460,'2. Matching'!$A$2:$A$39,'2. Matching'!$B$2:$B$39,"--")</f>
        <v>Farming</v>
      </c>
      <c r="K3460" s="65" t="str">
        <f t="shared" si="1"/>
        <v>In</v>
      </c>
    </row>
    <row r="3461">
      <c r="A3461" s="62" t="s">
        <v>3599</v>
      </c>
      <c r="B3461" s="63">
        <v>44087.0</v>
      </c>
      <c r="C3461" s="62" t="s">
        <v>119</v>
      </c>
      <c r="D3461" s="64">
        <v>42.5</v>
      </c>
      <c r="E3461" s="62" t="s">
        <v>109</v>
      </c>
      <c r="F3461" s="62" t="s">
        <v>115</v>
      </c>
      <c r="G3461" s="64" t="s">
        <v>64</v>
      </c>
      <c r="H3461" s="3" t="s">
        <v>139</v>
      </c>
      <c r="I3461" s="65">
        <f>IFERROR(VLOOKUP(A3461,'3. Call duration'!$A:$C,3,0),"--")</f>
        <v>28.7582478</v>
      </c>
      <c r="J3461" s="65" t="str">
        <f t="array" ref="J3461">XLOOKUP(H3461,'2. Matching'!$A$2:$A$39,'2. Matching'!$B$2:$B$39,"--")</f>
        <v>Acquisition</v>
      </c>
      <c r="K3461" s="65" t="str">
        <f t="shared" si="1"/>
        <v>In</v>
      </c>
    </row>
    <row r="3462">
      <c r="A3462" s="62" t="s">
        <v>3600</v>
      </c>
      <c r="B3462" s="63">
        <v>44223.0</v>
      </c>
      <c r="C3462" s="62" t="s">
        <v>119</v>
      </c>
      <c r="D3462" s="64">
        <v>42.5</v>
      </c>
      <c r="E3462" s="62" t="s">
        <v>109</v>
      </c>
      <c r="F3462" s="62" t="s">
        <v>115</v>
      </c>
      <c r="G3462" s="64" t="s">
        <v>62</v>
      </c>
      <c r="H3462" s="3" t="s">
        <v>286</v>
      </c>
      <c r="I3462" s="65">
        <f>IFERROR(VLOOKUP(A3462,'3. Call duration'!$A:$C,3,0),"--")</f>
        <v>21.44777842</v>
      </c>
      <c r="J3462" s="65" t="str">
        <f t="array" ref="J3462">XLOOKUP(H3462,'2. Matching'!$A$2:$A$39,'2. Matching'!$B$2:$B$39,"--")</f>
        <v>Farming</v>
      </c>
      <c r="K3462" s="65" t="str">
        <f t="shared" si="1"/>
        <v>In</v>
      </c>
    </row>
    <row r="3463">
      <c r="A3463" s="62" t="s">
        <v>3601</v>
      </c>
      <c r="B3463" s="63">
        <v>44223.0</v>
      </c>
      <c r="C3463" s="62" t="s">
        <v>119</v>
      </c>
      <c r="D3463" s="64">
        <v>42.5</v>
      </c>
      <c r="E3463" s="62" t="s">
        <v>109</v>
      </c>
      <c r="F3463" s="62" t="s">
        <v>110</v>
      </c>
      <c r="G3463" s="64" t="s">
        <v>62</v>
      </c>
      <c r="H3463" s="3" t="s">
        <v>294</v>
      </c>
      <c r="I3463" s="65">
        <f>IFERROR(VLOOKUP(A3463,'3. Call duration'!$A:$C,3,0),"--")</f>
        <v>45.02017076</v>
      </c>
      <c r="J3463" s="65" t="str">
        <f t="array" ref="J3463">XLOOKUP(H3463,'2. Matching'!$A$2:$A$39,'2. Matching'!$B$2:$B$39,"--")</f>
        <v>Farming</v>
      </c>
      <c r="K3463" s="65" t="str">
        <f t="shared" si="1"/>
        <v>In</v>
      </c>
    </row>
    <row r="3464">
      <c r="A3464" s="62" t="s">
        <v>3602</v>
      </c>
      <c r="B3464" s="63">
        <v>44225.0</v>
      </c>
      <c r="C3464" s="62" t="s">
        <v>119</v>
      </c>
      <c r="D3464" s="64">
        <v>42.5</v>
      </c>
      <c r="E3464" s="62" t="s">
        <v>109</v>
      </c>
      <c r="F3464" s="62" t="s">
        <v>115</v>
      </c>
      <c r="G3464" s="64" t="s">
        <v>64</v>
      </c>
      <c r="H3464" s="3" t="s">
        <v>155</v>
      </c>
      <c r="I3464" s="65">
        <f>IFERROR(VLOOKUP(A3464,'3. Call duration'!$A:$C,3,0),"--")</f>
        <v>28.13325825</v>
      </c>
      <c r="J3464" s="65" t="str">
        <f t="array" ref="J3464">XLOOKUP(H3464,'2. Matching'!$A$2:$A$39,'2. Matching'!$B$2:$B$39,"--")</f>
        <v>SEO</v>
      </c>
      <c r="K3464" s="65" t="str">
        <f t="shared" si="1"/>
        <v>In</v>
      </c>
    </row>
    <row r="3465">
      <c r="A3465" s="62" t="s">
        <v>3603</v>
      </c>
      <c r="B3465" s="63">
        <v>44075.0</v>
      </c>
      <c r="C3465" s="62" t="s">
        <v>119</v>
      </c>
      <c r="D3465" s="64">
        <v>42.5</v>
      </c>
      <c r="E3465" s="62" t="s">
        <v>109</v>
      </c>
      <c r="F3465" s="62" t="s">
        <v>110</v>
      </c>
      <c r="G3465" s="64" t="s">
        <v>112</v>
      </c>
      <c r="H3465" s="3"/>
      <c r="I3465" s="65">
        <f>IFERROR(VLOOKUP(A3465,'3. Call duration'!$A:$C,3,0),"--")</f>
        <v>29.15650868</v>
      </c>
      <c r="J3465" s="65" t="str">
        <f t="array" ref="J3465">XLOOKUP(H3465,'2. Matching'!$A$2:$A$39,'2. Matching'!$B$2:$B$39,"--")</f>
        <v>--</v>
      </c>
      <c r="K3465" s="65" t="str">
        <f t="shared" si="1"/>
        <v>In</v>
      </c>
    </row>
    <row r="3466">
      <c r="A3466" s="62" t="s">
        <v>3604</v>
      </c>
      <c r="B3466" s="63">
        <v>44221.0</v>
      </c>
      <c r="C3466" s="62" t="s">
        <v>119</v>
      </c>
      <c r="D3466" s="64">
        <v>42.5</v>
      </c>
      <c r="E3466" s="62" t="s">
        <v>109</v>
      </c>
      <c r="F3466" s="62" t="s">
        <v>115</v>
      </c>
      <c r="G3466" s="64" t="s">
        <v>64</v>
      </c>
      <c r="H3466" s="3" t="s">
        <v>169</v>
      </c>
      <c r="I3466" s="65">
        <f>IFERROR(VLOOKUP(A3466,'3. Call duration'!$A:$C,3,0),"--")</f>
        <v>10.93742826</v>
      </c>
      <c r="J3466" s="65" t="str">
        <f t="array" ref="J3466">XLOOKUP(H3466,'2. Matching'!$A$2:$A$39,'2. Matching'!$B$2:$B$39,"--")</f>
        <v>SEO</v>
      </c>
      <c r="K3466" s="65" t="str">
        <f t="shared" si="1"/>
        <v>In</v>
      </c>
    </row>
    <row r="3467">
      <c r="A3467" s="62" t="s">
        <v>3605</v>
      </c>
      <c r="B3467" s="63">
        <v>44119.0</v>
      </c>
      <c r="C3467" s="62" t="s">
        <v>119</v>
      </c>
      <c r="D3467" s="64">
        <v>42.5</v>
      </c>
      <c r="E3467" s="62" t="s">
        <v>109</v>
      </c>
      <c r="F3467" s="62" t="s">
        <v>115</v>
      </c>
      <c r="G3467" s="64" t="s">
        <v>64</v>
      </c>
      <c r="H3467" s="3" t="s">
        <v>155</v>
      </c>
      <c r="I3467" s="65">
        <f>IFERROR(VLOOKUP(A3467,'3. Call duration'!$A:$C,3,0),"--")</f>
        <v>21.22186556</v>
      </c>
      <c r="J3467" s="65" t="str">
        <f t="array" ref="J3467">XLOOKUP(H3467,'2. Matching'!$A$2:$A$39,'2. Matching'!$B$2:$B$39,"--")</f>
        <v>SEO</v>
      </c>
      <c r="K3467" s="65" t="str">
        <f t="shared" si="1"/>
        <v>In</v>
      </c>
    </row>
    <row r="3468">
      <c r="A3468" s="62" t="s">
        <v>3606</v>
      </c>
      <c r="B3468" s="63">
        <v>44230.0</v>
      </c>
      <c r="C3468" s="62" t="s">
        <v>119</v>
      </c>
      <c r="D3468" s="64">
        <v>42.5</v>
      </c>
      <c r="E3468" s="62" t="s">
        <v>109</v>
      </c>
      <c r="F3468" s="62" t="s">
        <v>115</v>
      </c>
      <c r="G3468" s="64" t="s">
        <v>64</v>
      </c>
      <c r="H3468" s="3" t="s">
        <v>150</v>
      </c>
      <c r="I3468" s="65">
        <f>IFERROR(VLOOKUP(A3468,'3. Call duration'!$A:$C,3,0),"--")</f>
        <v>29.51219227</v>
      </c>
      <c r="J3468" s="65" t="str">
        <f t="array" ref="J3468">XLOOKUP(H3468,'2. Matching'!$A$2:$A$39,'2. Matching'!$B$2:$B$39,"--")</f>
        <v>SEO</v>
      </c>
      <c r="K3468" s="65" t="str">
        <f t="shared" si="1"/>
        <v>In</v>
      </c>
    </row>
    <row r="3469">
      <c r="A3469" s="62" t="s">
        <v>3607</v>
      </c>
      <c r="B3469" s="63">
        <v>44208.0</v>
      </c>
      <c r="C3469" s="62" t="s">
        <v>119</v>
      </c>
      <c r="D3469" s="64">
        <v>42.5</v>
      </c>
      <c r="E3469" s="62" t="s">
        <v>109</v>
      </c>
      <c r="F3469" s="62" t="s">
        <v>115</v>
      </c>
      <c r="G3469" s="64" t="s">
        <v>64</v>
      </c>
      <c r="H3469" s="3" t="s">
        <v>235</v>
      </c>
      <c r="I3469" s="65">
        <f>IFERROR(VLOOKUP(A3469,'3. Call duration'!$A:$C,3,0),"--")</f>
        <v>33.51161703</v>
      </c>
      <c r="J3469" s="65" t="str">
        <f t="array" ref="J3469">XLOOKUP(H3469,'2. Matching'!$A$2:$A$39,'2. Matching'!$B$2:$B$39,"--")</f>
        <v>Farming</v>
      </c>
      <c r="K3469" s="65" t="str">
        <f t="shared" si="1"/>
        <v>In</v>
      </c>
    </row>
    <row r="3470">
      <c r="A3470" s="62" t="s">
        <v>3608</v>
      </c>
      <c r="B3470" s="63">
        <v>44166.0</v>
      </c>
      <c r="C3470" s="62" t="s">
        <v>119</v>
      </c>
      <c r="D3470" s="64">
        <v>42.5</v>
      </c>
      <c r="E3470" s="62" t="s">
        <v>109</v>
      </c>
      <c r="F3470" s="62" t="s">
        <v>115</v>
      </c>
      <c r="G3470" s="64" t="s">
        <v>62</v>
      </c>
      <c r="H3470" s="3" t="s">
        <v>294</v>
      </c>
      <c r="I3470" s="65">
        <f>IFERROR(VLOOKUP(A3470,'3. Call duration'!$A:$C,3,0),"--")</f>
        <v>29.68754246</v>
      </c>
      <c r="J3470" s="65" t="str">
        <f t="array" ref="J3470">XLOOKUP(H3470,'2. Matching'!$A$2:$A$39,'2. Matching'!$B$2:$B$39,"--")</f>
        <v>Farming</v>
      </c>
      <c r="K3470" s="65" t="str">
        <f t="shared" si="1"/>
        <v>In</v>
      </c>
    </row>
    <row r="3471">
      <c r="A3471" s="62" t="s">
        <v>3609</v>
      </c>
      <c r="B3471" s="63">
        <v>44203.0</v>
      </c>
      <c r="C3471" s="62" t="s">
        <v>119</v>
      </c>
      <c r="D3471" s="64">
        <v>42.5</v>
      </c>
      <c r="E3471" s="62" t="s">
        <v>109</v>
      </c>
      <c r="F3471" s="62" t="s">
        <v>115</v>
      </c>
      <c r="G3471" s="64" t="s">
        <v>64</v>
      </c>
      <c r="H3471" s="3" t="s">
        <v>155</v>
      </c>
      <c r="I3471" s="65">
        <f>IFERROR(VLOOKUP(A3471,'3. Call duration'!$A:$C,3,0),"--")</f>
        <v>26.47382331</v>
      </c>
      <c r="J3471" s="65" t="str">
        <f t="array" ref="J3471">XLOOKUP(H3471,'2. Matching'!$A$2:$A$39,'2. Matching'!$B$2:$B$39,"--")</f>
        <v>SEO</v>
      </c>
      <c r="K3471" s="65" t="str">
        <f t="shared" si="1"/>
        <v>In</v>
      </c>
    </row>
    <row r="3472">
      <c r="A3472" s="62" t="s">
        <v>3610</v>
      </c>
      <c r="B3472" s="63">
        <v>44220.0</v>
      </c>
      <c r="C3472" s="62" t="s">
        <v>119</v>
      </c>
      <c r="D3472" s="64">
        <v>42.5</v>
      </c>
      <c r="E3472" s="62" t="s">
        <v>109</v>
      </c>
      <c r="F3472" s="62" t="s">
        <v>115</v>
      </c>
      <c r="G3472" s="64" t="s">
        <v>64</v>
      </c>
      <c r="H3472" s="3" t="s">
        <v>139</v>
      </c>
      <c r="I3472" s="65">
        <f>IFERROR(VLOOKUP(A3472,'3. Call duration'!$A:$C,3,0),"--")</f>
        <v>31.95143296</v>
      </c>
      <c r="J3472" s="65" t="str">
        <f t="array" ref="J3472">XLOOKUP(H3472,'2. Matching'!$A$2:$A$39,'2. Matching'!$B$2:$B$39,"--")</f>
        <v>Acquisition</v>
      </c>
      <c r="K3472" s="65" t="str">
        <f t="shared" si="1"/>
        <v>In</v>
      </c>
    </row>
    <row r="3473">
      <c r="A3473" s="62" t="s">
        <v>3611</v>
      </c>
      <c r="B3473" s="63">
        <v>44113.0</v>
      </c>
      <c r="C3473" s="62" t="s">
        <v>119</v>
      </c>
      <c r="D3473" s="64">
        <v>42.5</v>
      </c>
      <c r="E3473" s="62" t="s">
        <v>109</v>
      </c>
      <c r="F3473" s="62" t="s">
        <v>115</v>
      </c>
      <c r="G3473" s="64" t="s">
        <v>64</v>
      </c>
      <c r="H3473" s="3" t="s">
        <v>49</v>
      </c>
      <c r="I3473" s="65" t="str">
        <f>IFERROR(VLOOKUP(A3473,'3. Call duration'!$A:$C,3,0),"--")</f>
        <v>--</v>
      </c>
      <c r="J3473" s="65" t="str">
        <f t="array" ref="J3473">XLOOKUP(H3473,'2. Matching'!$A$2:$A$39,'2. Matching'!$B$2:$B$39,"--")</f>
        <v>Partnerships</v>
      </c>
      <c r="K3473" s="65" t="str">
        <f t="shared" si="1"/>
        <v>In</v>
      </c>
    </row>
    <row r="3474">
      <c r="A3474" s="62" t="s">
        <v>3612</v>
      </c>
      <c r="B3474" s="63">
        <v>44204.0</v>
      </c>
      <c r="C3474" s="62" t="s">
        <v>119</v>
      </c>
      <c r="D3474" s="64">
        <v>42.5</v>
      </c>
      <c r="E3474" s="62" t="s">
        <v>109</v>
      </c>
      <c r="F3474" s="62" t="s">
        <v>115</v>
      </c>
      <c r="G3474" s="64" t="s">
        <v>64</v>
      </c>
      <c r="H3474" s="3" t="s">
        <v>185</v>
      </c>
      <c r="I3474" s="65">
        <f>IFERROR(VLOOKUP(A3474,'3. Call duration'!$A:$C,3,0),"--")</f>
        <v>24.85894496</v>
      </c>
      <c r="J3474" s="65" t="str">
        <f t="array" ref="J3474">XLOOKUP(H3474,'2. Matching'!$A$2:$A$39,'2. Matching'!$B$2:$B$39,"--")</f>
        <v>SEO</v>
      </c>
      <c r="K3474" s="65" t="str">
        <f t="shared" si="1"/>
        <v>In</v>
      </c>
    </row>
    <row r="3475">
      <c r="A3475" s="62" t="s">
        <v>3613</v>
      </c>
      <c r="B3475" s="63">
        <v>44208.0</v>
      </c>
      <c r="C3475" s="62" t="s">
        <v>119</v>
      </c>
      <c r="D3475" s="64">
        <v>42.5</v>
      </c>
      <c r="E3475" s="62" t="s">
        <v>109</v>
      </c>
      <c r="F3475" s="62" t="s">
        <v>110</v>
      </c>
      <c r="G3475" s="64" t="s">
        <v>64</v>
      </c>
      <c r="H3475" s="3" t="s">
        <v>221</v>
      </c>
      <c r="I3475" s="65">
        <f>IFERROR(VLOOKUP(A3475,'3. Call duration'!$A:$C,3,0),"--")</f>
        <v>33.13482753</v>
      </c>
      <c r="J3475" s="65" t="str">
        <f t="array" ref="J3475">XLOOKUP(H3475,'2. Matching'!$A$2:$A$39,'2. Matching'!$B$2:$B$39,"--")</f>
        <v>Farming</v>
      </c>
      <c r="K3475" s="65" t="str">
        <f t="shared" si="1"/>
        <v>In</v>
      </c>
    </row>
    <row r="3476">
      <c r="A3476" s="62" t="s">
        <v>3614</v>
      </c>
      <c r="B3476" s="63">
        <v>44082.0</v>
      </c>
      <c r="C3476" s="62" t="s">
        <v>119</v>
      </c>
      <c r="D3476" s="64">
        <v>42.5</v>
      </c>
      <c r="E3476" s="62" t="s">
        <v>109</v>
      </c>
      <c r="F3476" s="62" t="s">
        <v>115</v>
      </c>
      <c r="G3476" s="64" t="s">
        <v>64</v>
      </c>
      <c r="H3476" s="3" t="s">
        <v>139</v>
      </c>
      <c r="I3476" s="65">
        <f>IFERROR(VLOOKUP(A3476,'3. Call duration'!$A:$C,3,0),"--")</f>
        <v>21.89047998</v>
      </c>
      <c r="J3476" s="65" t="str">
        <f t="array" ref="J3476">XLOOKUP(H3476,'2. Matching'!$A$2:$A$39,'2. Matching'!$B$2:$B$39,"--")</f>
        <v>Acquisition</v>
      </c>
      <c r="K3476" s="65" t="str">
        <f t="shared" si="1"/>
        <v>In</v>
      </c>
    </row>
    <row r="3477">
      <c r="A3477" s="62" t="s">
        <v>3615</v>
      </c>
      <c r="B3477" s="63">
        <v>44141.0</v>
      </c>
      <c r="C3477" s="62" t="s">
        <v>119</v>
      </c>
      <c r="D3477" s="64">
        <v>42.5</v>
      </c>
      <c r="E3477" s="62" t="s">
        <v>109</v>
      </c>
      <c r="F3477" s="62" t="s">
        <v>115</v>
      </c>
      <c r="G3477" s="64" t="s">
        <v>60</v>
      </c>
      <c r="H3477" s="3" t="s">
        <v>69</v>
      </c>
      <c r="I3477" s="65">
        <f>IFERROR(VLOOKUP(A3477,'3. Call duration'!$A:$C,3,0),"--")</f>
        <v>29.66278044</v>
      </c>
      <c r="J3477" s="65" t="str">
        <f t="array" ref="J3477">XLOOKUP(H3477,'2. Matching'!$A$2:$A$39,'2. Matching'!$B$2:$B$39,"--")</f>
        <v>Acquisition</v>
      </c>
      <c r="K3477" s="65" t="str">
        <f t="shared" si="1"/>
        <v>In</v>
      </c>
    </row>
    <row r="3478">
      <c r="A3478" s="62" t="s">
        <v>3616</v>
      </c>
      <c r="B3478" s="63">
        <v>44076.0</v>
      </c>
      <c r="C3478" s="62" t="s">
        <v>119</v>
      </c>
      <c r="D3478" s="64">
        <v>42.5</v>
      </c>
      <c r="E3478" s="62" t="s">
        <v>109</v>
      </c>
      <c r="F3478" s="62" t="s">
        <v>115</v>
      </c>
      <c r="G3478" s="64" t="s">
        <v>64</v>
      </c>
      <c r="H3478" s="3" t="s">
        <v>150</v>
      </c>
      <c r="I3478" s="65">
        <f>IFERROR(VLOOKUP(A3478,'3. Call duration'!$A:$C,3,0),"--")</f>
        <v>29.73982172</v>
      </c>
      <c r="J3478" s="65" t="str">
        <f t="array" ref="J3478">XLOOKUP(H3478,'2. Matching'!$A$2:$A$39,'2. Matching'!$B$2:$B$39,"--")</f>
        <v>SEO</v>
      </c>
      <c r="K3478" s="65" t="str">
        <f t="shared" si="1"/>
        <v>In</v>
      </c>
    </row>
    <row r="3479">
      <c r="A3479" s="62" t="s">
        <v>3617</v>
      </c>
      <c r="B3479" s="63">
        <v>44150.0</v>
      </c>
      <c r="C3479" s="62" t="s">
        <v>119</v>
      </c>
      <c r="D3479" s="64">
        <v>42.5</v>
      </c>
      <c r="E3479" s="62" t="s">
        <v>109</v>
      </c>
      <c r="F3479" s="62" t="s">
        <v>115</v>
      </c>
      <c r="G3479" s="64" t="s">
        <v>64</v>
      </c>
      <c r="H3479" s="3" t="s">
        <v>139</v>
      </c>
      <c r="I3479" s="65">
        <f>IFERROR(VLOOKUP(A3479,'3. Call duration'!$A:$C,3,0),"--")</f>
        <v>22.993301</v>
      </c>
      <c r="J3479" s="65" t="str">
        <f t="array" ref="J3479">XLOOKUP(H3479,'2. Matching'!$A$2:$A$39,'2. Matching'!$B$2:$B$39,"--")</f>
        <v>Acquisition</v>
      </c>
      <c r="K3479" s="65" t="str">
        <f t="shared" si="1"/>
        <v>In</v>
      </c>
    </row>
    <row r="3480">
      <c r="A3480" s="62" t="s">
        <v>3618</v>
      </c>
      <c r="B3480" s="63">
        <v>44208.0</v>
      </c>
      <c r="C3480" s="62" t="s">
        <v>119</v>
      </c>
      <c r="D3480" s="64">
        <v>42.5</v>
      </c>
      <c r="E3480" s="62" t="s">
        <v>109</v>
      </c>
      <c r="F3480" s="62" t="s">
        <v>115</v>
      </c>
      <c r="G3480" s="64" t="s">
        <v>64</v>
      </c>
      <c r="H3480" s="3" t="s">
        <v>169</v>
      </c>
      <c r="I3480" s="65">
        <f>IFERROR(VLOOKUP(A3480,'3. Call duration'!$A:$C,3,0),"--")</f>
        <v>33.03592478</v>
      </c>
      <c r="J3480" s="65" t="str">
        <f t="array" ref="J3480">XLOOKUP(H3480,'2. Matching'!$A$2:$A$39,'2. Matching'!$B$2:$B$39,"--")</f>
        <v>SEO</v>
      </c>
      <c r="K3480" s="65" t="str">
        <f t="shared" si="1"/>
        <v>In</v>
      </c>
    </row>
    <row r="3481">
      <c r="A3481" s="62" t="s">
        <v>3619</v>
      </c>
      <c r="B3481" s="63">
        <v>44187.0</v>
      </c>
      <c r="C3481" s="62" t="s">
        <v>119</v>
      </c>
      <c r="D3481" s="64">
        <v>42.5</v>
      </c>
      <c r="E3481" s="62" t="s">
        <v>109</v>
      </c>
      <c r="F3481" s="62" t="s">
        <v>115</v>
      </c>
      <c r="G3481" s="64" t="s">
        <v>64</v>
      </c>
      <c r="H3481" s="3" t="s">
        <v>139</v>
      </c>
      <c r="I3481" s="65">
        <f>IFERROR(VLOOKUP(A3481,'3. Call duration'!$A:$C,3,0),"--")</f>
        <v>28.26496941</v>
      </c>
      <c r="J3481" s="65" t="str">
        <f t="array" ref="J3481">XLOOKUP(H3481,'2. Matching'!$A$2:$A$39,'2. Matching'!$B$2:$B$39,"--")</f>
        <v>Acquisition</v>
      </c>
      <c r="K3481" s="65" t="str">
        <f t="shared" si="1"/>
        <v>In</v>
      </c>
    </row>
    <row r="3482">
      <c r="A3482" s="62" t="s">
        <v>3620</v>
      </c>
      <c r="B3482" s="63">
        <v>44167.0</v>
      </c>
      <c r="C3482" s="62" t="s">
        <v>119</v>
      </c>
      <c r="D3482" s="64">
        <v>42.5</v>
      </c>
      <c r="E3482" s="62" t="s">
        <v>109</v>
      </c>
      <c r="F3482" s="62" t="s">
        <v>115</v>
      </c>
      <c r="G3482" s="64" t="s">
        <v>64</v>
      </c>
      <c r="H3482" s="3" t="s">
        <v>175</v>
      </c>
      <c r="I3482" s="65">
        <f>IFERROR(VLOOKUP(A3482,'3. Call duration'!$A:$C,3,0),"--")</f>
        <v>31.96323336</v>
      </c>
      <c r="J3482" s="65" t="str">
        <f t="array" ref="J3482">XLOOKUP(H3482,'2. Matching'!$A$2:$A$39,'2. Matching'!$B$2:$B$39,"--")</f>
        <v>SEO</v>
      </c>
      <c r="K3482" s="65" t="str">
        <f t="shared" si="1"/>
        <v>In</v>
      </c>
    </row>
    <row r="3483">
      <c r="A3483" s="62" t="s">
        <v>3621</v>
      </c>
      <c r="B3483" s="63">
        <v>44216.0</v>
      </c>
      <c r="C3483" s="62" t="s">
        <v>119</v>
      </c>
      <c r="D3483" s="64">
        <v>42.5</v>
      </c>
      <c r="E3483" s="62" t="s">
        <v>109</v>
      </c>
      <c r="F3483" s="62" t="s">
        <v>115</v>
      </c>
      <c r="G3483" s="64" t="s">
        <v>64</v>
      </c>
      <c r="H3483" s="3" t="s">
        <v>155</v>
      </c>
      <c r="I3483" s="65">
        <f>IFERROR(VLOOKUP(A3483,'3. Call duration'!$A:$C,3,0),"--")</f>
        <v>33.55945707</v>
      </c>
      <c r="J3483" s="65" t="str">
        <f t="array" ref="J3483">XLOOKUP(H3483,'2. Matching'!$A$2:$A$39,'2. Matching'!$B$2:$B$39,"--")</f>
        <v>SEO</v>
      </c>
      <c r="K3483" s="65" t="str">
        <f t="shared" si="1"/>
        <v>In</v>
      </c>
    </row>
    <row r="3484">
      <c r="A3484" s="62" t="s">
        <v>3622</v>
      </c>
      <c r="B3484" s="63">
        <v>44125.0</v>
      </c>
      <c r="C3484" s="62" t="s">
        <v>119</v>
      </c>
      <c r="D3484" s="64">
        <v>42.5</v>
      </c>
      <c r="E3484" s="62" t="s">
        <v>109</v>
      </c>
      <c r="F3484" s="62" t="s">
        <v>115</v>
      </c>
      <c r="G3484" s="64" t="s">
        <v>64</v>
      </c>
      <c r="H3484" s="3" t="s">
        <v>175</v>
      </c>
      <c r="I3484" s="65">
        <f>IFERROR(VLOOKUP(A3484,'3. Call duration'!$A:$C,3,0),"--")</f>
        <v>10.88800499</v>
      </c>
      <c r="J3484" s="65" t="str">
        <f t="array" ref="J3484">XLOOKUP(H3484,'2. Matching'!$A$2:$A$39,'2. Matching'!$B$2:$B$39,"--")</f>
        <v>SEO</v>
      </c>
      <c r="K3484" s="65" t="str">
        <f t="shared" si="1"/>
        <v>In</v>
      </c>
    </row>
    <row r="3485">
      <c r="A3485" s="62" t="s">
        <v>3623</v>
      </c>
      <c r="B3485" s="63">
        <v>44167.0</v>
      </c>
      <c r="C3485" s="62" t="s">
        <v>119</v>
      </c>
      <c r="D3485" s="64">
        <v>42.5</v>
      </c>
      <c r="E3485" s="62" t="s">
        <v>109</v>
      </c>
      <c r="F3485" s="62" t="s">
        <v>115</v>
      </c>
      <c r="G3485" s="64" t="s">
        <v>64</v>
      </c>
      <c r="H3485" s="3" t="s">
        <v>235</v>
      </c>
      <c r="I3485" s="65">
        <f>IFERROR(VLOOKUP(A3485,'3. Call duration'!$A:$C,3,0),"--")</f>
        <v>27.37893152</v>
      </c>
      <c r="J3485" s="65" t="str">
        <f t="array" ref="J3485">XLOOKUP(H3485,'2. Matching'!$A$2:$A$39,'2. Matching'!$B$2:$B$39,"--")</f>
        <v>Farming</v>
      </c>
      <c r="K3485" s="65" t="str">
        <f t="shared" si="1"/>
        <v>In</v>
      </c>
    </row>
    <row r="3486">
      <c r="A3486" s="62" t="s">
        <v>3624</v>
      </c>
      <c r="B3486" s="63">
        <v>44231.0</v>
      </c>
      <c r="C3486" s="62" t="s">
        <v>119</v>
      </c>
      <c r="D3486" s="64">
        <v>42.5</v>
      </c>
      <c r="E3486" s="62" t="s">
        <v>109</v>
      </c>
      <c r="F3486" s="62" t="s">
        <v>115</v>
      </c>
      <c r="G3486" s="64" t="s">
        <v>64</v>
      </c>
      <c r="H3486" s="3" t="s">
        <v>150</v>
      </c>
      <c r="I3486" s="65">
        <f>IFERROR(VLOOKUP(A3486,'3. Call duration'!$A:$C,3,0),"--")</f>
        <v>27.13100481</v>
      </c>
      <c r="J3486" s="65" t="str">
        <f t="array" ref="J3486">XLOOKUP(H3486,'2. Matching'!$A$2:$A$39,'2. Matching'!$B$2:$B$39,"--")</f>
        <v>SEO</v>
      </c>
      <c r="K3486" s="65" t="str">
        <f t="shared" si="1"/>
        <v>In</v>
      </c>
    </row>
    <row r="3487">
      <c r="A3487" s="62" t="s">
        <v>3625</v>
      </c>
      <c r="B3487" s="63">
        <v>44131.0</v>
      </c>
      <c r="C3487" s="62" t="s">
        <v>119</v>
      </c>
      <c r="D3487" s="64">
        <v>42.5</v>
      </c>
      <c r="E3487" s="62" t="s">
        <v>109</v>
      </c>
      <c r="F3487" s="62" t="s">
        <v>115</v>
      </c>
      <c r="G3487" s="64" t="s">
        <v>64</v>
      </c>
      <c r="H3487" s="3" t="s">
        <v>139</v>
      </c>
      <c r="I3487" s="65">
        <f>IFERROR(VLOOKUP(A3487,'3. Call duration'!$A:$C,3,0),"--")</f>
        <v>39.44322508</v>
      </c>
      <c r="J3487" s="65" t="str">
        <f t="array" ref="J3487">XLOOKUP(H3487,'2. Matching'!$A$2:$A$39,'2. Matching'!$B$2:$B$39,"--")</f>
        <v>Acquisition</v>
      </c>
      <c r="K3487" s="65" t="str">
        <f t="shared" si="1"/>
        <v>In</v>
      </c>
    </row>
    <row r="3488">
      <c r="A3488" s="62" t="s">
        <v>3626</v>
      </c>
      <c r="B3488" s="63">
        <v>44133.0</v>
      </c>
      <c r="C3488" s="62" t="s">
        <v>119</v>
      </c>
      <c r="D3488" s="64">
        <v>42.5</v>
      </c>
      <c r="E3488" s="62" t="s">
        <v>109</v>
      </c>
      <c r="F3488" s="62" t="s">
        <v>115</v>
      </c>
      <c r="G3488" s="64" t="s">
        <v>64</v>
      </c>
      <c r="H3488" s="3" t="s">
        <v>139</v>
      </c>
      <c r="I3488" s="65">
        <f>IFERROR(VLOOKUP(A3488,'3. Call duration'!$A:$C,3,0),"--")</f>
        <v>13.09563237</v>
      </c>
      <c r="J3488" s="65" t="str">
        <f t="array" ref="J3488">XLOOKUP(H3488,'2. Matching'!$A$2:$A$39,'2. Matching'!$B$2:$B$39,"--")</f>
        <v>Acquisition</v>
      </c>
      <c r="K3488" s="65" t="str">
        <f t="shared" si="1"/>
        <v>In</v>
      </c>
    </row>
    <row r="3489">
      <c r="A3489" s="62" t="s">
        <v>3627</v>
      </c>
      <c r="B3489" s="63">
        <v>44235.0</v>
      </c>
      <c r="C3489" s="62" t="s">
        <v>119</v>
      </c>
      <c r="D3489" s="64">
        <v>42.5</v>
      </c>
      <c r="E3489" s="62" t="s">
        <v>109</v>
      </c>
      <c r="F3489" s="62" t="s">
        <v>115</v>
      </c>
      <c r="G3489" s="64" t="s">
        <v>64</v>
      </c>
      <c r="H3489" s="3" t="s">
        <v>150</v>
      </c>
      <c r="I3489" s="65">
        <f>IFERROR(VLOOKUP(A3489,'3. Call duration'!$A:$C,3,0),"--")</f>
        <v>50.12932056</v>
      </c>
      <c r="J3489" s="65" t="str">
        <f t="array" ref="J3489">XLOOKUP(H3489,'2. Matching'!$A$2:$A$39,'2. Matching'!$B$2:$B$39,"--")</f>
        <v>SEO</v>
      </c>
      <c r="K3489" s="65" t="str">
        <f t="shared" si="1"/>
        <v>In</v>
      </c>
    </row>
    <row r="3490">
      <c r="A3490" s="62" t="s">
        <v>3628</v>
      </c>
      <c r="B3490" s="63">
        <v>44225.0</v>
      </c>
      <c r="C3490" s="62" t="s">
        <v>119</v>
      </c>
      <c r="D3490" s="64">
        <v>42.5</v>
      </c>
      <c r="E3490" s="62" t="s">
        <v>109</v>
      </c>
      <c r="F3490" s="62" t="s">
        <v>115</v>
      </c>
      <c r="G3490" s="64" t="s">
        <v>64</v>
      </c>
      <c r="H3490" s="3" t="s">
        <v>155</v>
      </c>
      <c r="I3490" s="65">
        <f>IFERROR(VLOOKUP(A3490,'3. Call duration'!$A:$C,3,0),"--")</f>
        <v>30.89527715</v>
      </c>
      <c r="J3490" s="65" t="str">
        <f t="array" ref="J3490">XLOOKUP(H3490,'2. Matching'!$A$2:$A$39,'2. Matching'!$B$2:$B$39,"--")</f>
        <v>SEO</v>
      </c>
      <c r="K3490" s="65" t="str">
        <f t="shared" si="1"/>
        <v>In</v>
      </c>
    </row>
    <row r="3491">
      <c r="A3491" s="62" t="s">
        <v>3629</v>
      </c>
      <c r="B3491" s="63">
        <v>44233.0</v>
      </c>
      <c r="C3491" s="62" t="s">
        <v>119</v>
      </c>
      <c r="D3491" s="64">
        <v>42.5</v>
      </c>
      <c r="E3491" s="62" t="s">
        <v>109</v>
      </c>
      <c r="F3491" s="62" t="s">
        <v>115</v>
      </c>
      <c r="G3491" s="64" t="s">
        <v>64</v>
      </c>
      <c r="H3491" s="3" t="s">
        <v>164</v>
      </c>
      <c r="I3491" s="65" t="str">
        <f>IFERROR(VLOOKUP(A3491,'3. Call duration'!$A:$C,3,0),"--")</f>
        <v>--</v>
      </c>
      <c r="J3491" s="65" t="str">
        <f t="array" ref="J3491">XLOOKUP(H3491,'2. Matching'!$A$2:$A$39,'2. Matching'!$B$2:$B$39,"--")</f>
        <v>SEO</v>
      </c>
      <c r="K3491" s="65" t="str">
        <f t="shared" si="1"/>
        <v>In</v>
      </c>
    </row>
    <row r="3492">
      <c r="A3492" s="62" t="s">
        <v>3630</v>
      </c>
      <c r="B3492" s="63">
        <v>44112.0</v>
      </c>
      <c r="C3492" s="62" t="s">
        <v>119</v>
      </c>
      <c r="D3492" s="64">
        <v>42.5</v>
      </c>
      <c r="E3492" s="62" t="s">
        <v>109</v>
      </c>
      <c r="F3492" s="62" t="s">
        <v>115</v>
      </c>
      <c r="G3492" s="64" t="s">
        <v>64</v>
      </c>
      <c r="H3492" s="3" t="s">
        <v>175</v>
      </c>
      <c r="I3492" s="65">
        <f>IFERROR(VLOOKUP(A3492,'3. Call duration'!$A:$C,3,0),"--")</f>
        <v>25.8477942</v>
      </c>
      <c r="J3492" s="65" t="str">
        <f t="array" ref="J3492">XLOOKUP(H3492,'2. Matching'!$A$2:$A$39,'2. Matching'!$B$2:$B$39,"--")</f>
        <v>SEO</v>
      </c>
      <c r="K3492" s="65" t="str">
        <f t="shared" si="1"/>
        <v>In</v>
      </c>
    </row>
    <row r="3493">
      <c r="A3493" s="62" t="s">
        <v>3631</v>
      </c>
      <c r="B3493" s="63">
        <v>44096.0</v>
      </c>
      <c r="C3493" s="62" t="s">
        <v>119</v>
      </c>
      <c r="D3493" s="64">
        <v>42.5</v>
      </c>
      <c r="E3493" s="62" t="s">
        <v>109</v>
      </c>
      <c r="F3493" s="62" t="s">
        <v>110</v>
      </c>
      <c r="G3493" s="64" t="s">
        <v>64</v>
      </c>
      <c r="H3493" s="3" t="s">
        <v>175</v>
      </c>
      <c r="I3493" s="65">
        <f>IFERROR(VLOOKUP(A3493,'3. Call duration'!$A:$C,3,0),"--")</f>
        <v>29.61140536</v>
      </c>
      <c r="J3493" s="65" t="str">
        <f t="array" ref="J3493">XLOOKUP(H3493,'2. Matching'!$A$2:$A$39,'2. Matching'!$B$2:$B$39,"--")</f>
        <v>SEO</v>
      </c>
      <c r="K3493" s="65" t="str">
        <f t="shared" si="1"/>
        <v>In</v>
      </c>
    </row>
    <row r="3494">
      <c r="A3494" s="62" t="s">
        <v>3632</v>
      </c>
      <c r="B3494" s="63">
        <v>44099.0</v>
      </c>
      <c r="C3494" s="62" t="s">
        <v>119</v>
      </c>
      <c r="D3494" s="64">
        <v>42.5</v>
      </c>
      <c r="E3494" s="62" t="s">
        <v>109</v>
      </c>
      <c r="F3494" s="62" t="s">
        <v>115</v>
      </c>
      <c r="G3494" s="64" t="s">
        <v>64</v>
      </c>
      <c r="H3494" s="3" t="s">
        <v>169</v>
      </c>
      <c r="I3494" s="65">
        <f>IFERROR(VLOOKUP(A3494,'3. Call duration'!$A:$C,3,0),"--")</f>
        <v>29.80241288</v>
      </c>
      <c r="J3494" s="65" t="str">
        <f t="array" ref="J3494">XLOOKUP(H3494,'2. Matching'!$A$2:$A$39,'2. Matching'!$B$2:$B$39,"--")</f>
        <v>SEO</v>
      </c>
      <c r="K3494" s="65" t="str">
        <f t="shared" si="1"/>
        <v>In</v>
      </c>
    </row>
    <row r="3495">
      <c r="A3495" s="62" t="s">
        <v>3633</v>
      </c>
      <c r="B3495" s="63">
        <v>44223.0</v>
      </c>
      <c r="C3495" s="62" t="s">
        <v>119</v>
      </c>
      <c r="D3495" s="64">
        <v>42.5</v>
      </c>
      <c r="E3495" s="62" t="s">
        <v>109</v>
      </c>
      <c r="F3495" s="62" t="s">
        <v>115</v>
      </c>
      <c r="G3495" s="64" t="s">
        <v>64</v>
      </c>
      <c r="H3495" s="3" t="s">
        <v>175</v>
      </c>
      <c r="I3495" s="65">
        <f>IFERROR(VLOOKUP(A3495,'3. Call duration'!$A:$C,3,0),"--")</f>
        <v>32.97973758</v>
      </c>
      <c r="J3495" s="65" t="str">
        <f t="array" ref="J3495">XLOOKUP(H3495,'2. Matching'!$A$2:$A$39,'2. Matching'!$B$2:$B$39,"--")</f>
        <v>SEO</v>
      </c>
      <c r="K3495" s="65" t="str">
        <f t="shared" si="1"/>
        <v>In</v>
      </c>
    </row>
    <row r="3496">
      <c r="A3496" s="62" t="s">
        <v>3634</v>
      </c>
      <c r="B3496" s="63">
        <v>44225.0</v>
      </c>
      <c r="C3496" s="62" t="s">
        <v>119</v>
      </c>
      <c r="D3496" s="64">
        <v>42.5</v>
      </c>
      <c r="E3496" s="62" t="s">
        <v>109</v>
      </c>
      <c r="F3496" s="62" t="s">
        <v>110</v>
      </c>
      <c r="G3496" s="64" t="s">
        <v>64</v>
      </c>
      <c r="H3496" s="3" t="s">
        <v>175</v>
      </c>
      <c r="I3496" s="65">
        <f>IFERROR(VLOOKUP(A3496,'3. Call duration'!$A:$C,3,0),"--")</f>
        <v>25.8156739</v>
      </c>
      <c r="J3496" s="65" t="str">
        <f t="array" ref="J3496">XLOOKUP(H3496,'2. Matching'!$A$2:$A$39,'2. Matching'!$B$2:$B$39,"--")</f>
        <v>SEO</v>
      </c>
      <c r="K3496" s="65" t="str">
        <f t="shared" si="1"/>
        <v>In</v>
      </c>
    </row>
    <row r="3497">
      <c r="A3497" s="62" t="s">
        <v>3635</v>
      </c>
      <c r="B3497" s="63">
        <v>44230.0</v>
      </c>
      <c r="C3497" s="62" t="s">
        <v>119</v>
      </c>
      <c r="D3497" s="64">
        <v>42.5</v>
      </c>
      <c r="E3497" s="62" t="s">
        <v>109</v>
      </c>
      <c r="F3497" s="62" t="s">
        <v>115</v>
      </c>
      <c r="G3497" s="64" t="s">
        <v>64</v>
      </c>
      <c r="H3497" s="3" t="s">
        <v>131</v>
      </c>
      <c r="I3497" s="65">
        <f>IFERROR(VLOOKUP(A3497,'3. Call duration'!$A:$C,3,0),"--")</f>
        <v>29.51681944</v>
      </c>
      <c r="J3497" s="65" t="str">
        <f t="array" ref="J3497">XLOOKUP(H3497,'2. Matching'!$A$2:$A$39,'2. Matching'!$B$2:$B$39,"--")</f>
        <v>Acquisition</v>
      </c>
      <c r="K3497" s="65" t="str">
        <f t="shared" si="1"/>
        <v>In</v>
      </c>
    </row>
    <row r="3498">
      <c r="A3498" s="62" t="s">
        <v>3636</v>
      </c>
      <c r="B3498" s="63">
        <v>44155.0</v>
      </c>
      <c r="C3498" s="62" t="s">
        <v>119</v>
      </c>
      <c r="D3498" s="64">
        <v>42.5</v>
      </c>
      <c r="E3498" s="62" t="s">
        <v>109</v>
      </c>
      <c r="F3498" s="62" t="s">
        <v>115</v>
      </c>
      <c r="G3498" s="64" t="s">
        <v>64</v>
      </c>
      <c r="H3498" s="3" t="s">
        <v>164</v>
      </c>
      <c r="I3498" s="65">
        <f>IFERROR(VLOOKUP(A3498,'3. Call duration'!$A:$C,3,0),"--")</f>
        <v>29.22667257</v>
      </c>
      <c r="J3498" s="65" t="str">
        <f t="array" ref="J3498">XLOOKUP(H3498,'2. Matching'!$A$2:$A$39,'2. Matching'!$B$2:$B$39,"--")</f>
        <v>SEO</v>
      </c>
      <c r="K3498" s="65" t="str">
        <f t="shared" si="1"/>
        <v>In</v>
      </c>
    </row>
    <row r="3499">
      <c r="A3499" s="62" t="s">
        <v>3637</v>
      </c>
      <c r="B3499" s="63">
        <v>44216.0</v>
      </c>
      <c r="C3499" s="62" t="s">
        <v>119</v>
      </c>
      <c r="D3499" s="64">
        <v>42.5</v>
      </c>
      <c r="E3499" s="62" t="s">
        <v>109</v>
      </c>
      <c r="F3499" s="62" t="s">
        <v>110</v>
      </c>
      <c r="G3499" s="64" t="s">
        <v>64</v>
      </c>
      <c r="H3499" s="3" t="s">
        <v>164</v>
      </c>
      <c r="I3499" s="65">
        <f>IFERROR(VLOOKUP(A3499,'3. Call duration'!$A:$C,3,0),"--")</f>
        <v>24.55732222</v>
      </c>
      <c r="J3499" s="65" t="str">
        <f t="array" ref="J3499">XLOOKUP(H3499,'2. Matching'!$A$2:$A$39,'2. Matching'!$B$2:$B$39,"--")</f>
        <v>SEO</v>
      </c>
      <c r="K3499" s="65" t="str">
        <f t="shared" si="1"/>
        <v>In</v>
      </c>
    </row>
    <row r="3500">
      <c r="A3500" s="62" t="s">
        <v>3638</v>
      </c>
      <c r="B3500" s="63">
        <v>44091.0</v>
      </c>
      <c r="C3500" s="62" t="s">
        <v>119</v>
      </c>
      <c r="D3500" s="64">
        <v>42.5</v>
      </c>
      <c r="E3500" s="62" t="s">
        <v>109</v>
      </c>
      <c r="F3500" s="62" t="s">
        <v>115</v>
      </c>
      <c r="G3500" s="64" t="s">
        <v>64</v>
      </c>
      <c r="H3500" s="3" t="s">
        <v>155</v>
      </c>
      <c r="I3500" s="65">
        <f>IFERROR(VLOOKUP(A3500,'3. Call duration'!$A:$C,3,0),"--")</f>
        <v>29.39851132</v>
      </c>
      <c r="J3500" s="65" t="str">
        <f t="array" ref="J3500">XLOOKUP(H3500,'2. Matching'!$A$2:$A$39,'2. Matching'!$B$2:$B$39,"--")</f>
        <v>SEO</v>
      </c>
      <c r="K3500" s="65" t="str">
        <f t="shared" si="1"/>
        <v>In</v>
      </c>
    </row>
    <row r="3501">
      <c r="A3501" s="62" t="s">
        <v>3639</v>
      </c>
      <c r="B3501" s="63">
        <v>44080.0</v>
      </c>
      <c r="C3501" s="62" t="s">
        <v>119</v>
      </c>
      <c r="D3501" s="64">
        <v>42.5</v>
      </c>
      <c r="E3501" s="62" t="s">
        <v>109</v>
      </c>
      <c r="F3501" s="62" t="s">
        <v>115</v>
      </c>
      <c r="G3501" s="64" t="s">
        <v>64</v>
      </c>
      <c r="H3501" s="3" t="s">
        <v>139</v>
      </c>
      <c r="I3501" s="65">
        <f>IFERROR(VLOOKUP(A3501,'3. Call duration'!$A:$C,3,0),"--")</f>
        <v>25.61511573</v>
      </c>
      <c r="J3501" s="65" t="str">
        <f t="array" ref="J3501">XLOOKUP(H3501,'2. Matching'!$A$2:$A$39,'2. Matching'!$B$2:$B$39,"--")</f>
        <v>Acquisition</v>
      </c>
      <c r="K3501" s="65" t="str">
        <f t="shared" si="1"/>
        <v>In</v>
      </c>
    </row>
    <row r="3502">
      <c r="A3502" s="62" t="s">
        <v>3640</v>
      </c>
      <c r="B3502" s="63">
        <v>44200.0</v>
      </c>
      <c r="C3502" s="62" t="s">
        <v>119</v>
      </c>
      <c r="D3502" s="64">
        <v>42.5</v>
      </c>
      <c r="E3502" s="62" t="s">
        <v>109</v>
      </c>
      <c r="F3502" s="62" t="s">
        <v>115</v>
      </c>
      <c r="G3502" s="64" t="s">
        <v>64</v>
      </c>
      <c r="H3502" s="3" t="s">
        <v>155</v>
      </c>
      <c r="I3502" s="65">
        <f>IFERROR(VLOOKUP(A3502,'3. Call duration'!$A:$C,3,0),"--")</f>
        <v>29.28948339</v>
      </c>
      <c r="J3502" s="65" t="str">
        <f t="array" ref="J3502">XLOOKUP(H3502,'2. Matching'!$A$2:$A$39,'2. Matching'!$B$2:$B$39,"--")</f>
        <v>SEO</v>
      </c>
      <c r="K3502" s="65" t="str">
        <f t="shared" si="1"/>
        <v>In</v>
      </c>
    </row>
    <row r="3503">
      <c r="A3503" s="62" t="s">
        <v>3641</v>
      </c>
      <c r="B3503" s="63">
        <v>44252.0</v>
      </c>
      <c r="C3503" s="62" t="s">
        <v>119</v>
      </c>
      <c r="D3503" s="64">
        <v>42.5</v>
      </c>
      <c r="E3503" s="62" t="s">
        <v>109</v>
      </c>
      <c r="F3503" s="62" t="s">
        <v>115</v>
      </c>
      <c r="G3503" s="64" t="s">
        <v>64</v>
      </c>
      <c r="H3503" s="3" t="s">
        <v>139</v>
      </c>
      <c r="I3503" s="65">
        <f>IFERROR(VLOOKUP(A3503,'3. Call duration'!$A:$C,3,0),"--")</f>
        <v>46.68414381</v>
      </c>
      <c r="J3503" s="65" t="str">
        <f t="array" ref="J3503">XLOOKUP(H3503,'2. Matching'!$A$2:$A$39,'2. Matching'!$B$2:$B$39,"--")</f>
        <v>Acquisition</v>
      </c>
      <c r="K3503" s="65" t="str">
        <f t="shared" si="1"/>
        <v>In</v>
      </c>
    </row>
    <row r="3504">
      <c r="A3504" s="62" t="s">
        <v>3642</v>
      </c>
      <c r="B3504" s="63">
        <v>44100.0</v>
      </c>
      <c r="C3504" s="62" t="s">
        <v>119</v>
      </c>
      <c r="D3504" s="64">
        <v>42.5</v>
      </c>
      <c r="E3504" s="62" t="s">
        <v>109</v>
      </c>
      <c r="F3504" s="62" t="s">
        <v>115</v>
      </c>
      <c r="G3504" s="64" t="s">
        <v>64</v>
      </c>
      <c r="H3504" s="3" t="s">
        <v>131</v>
      </c>
      <c r="I3504" s="65">
        <f>IFERROR(VLOOKUP(A3504,'3. Call duration'!$A:$C,3,0),"--")</f>
        <v>39.05262481</v>
      </c>
      <c r="J3504" s="65" t="str">
        <f t="array" ref="J3504">XLOOKUP(H3504,'2. Matching'!$A$2:$A$39,'2. Matching'!$B$2:$B$39,"--")</f>
        <v>Acquisition</v>
      </c>
      <c r="K3504" s="65" t="str">
        <f t="shared" si="1"/>
        <v>In</v>
      </c>
    </row>
    <row r="3505">
      <c r="A3505" s="62" t="s">
        <v>3643</v>
      </c>
      <c r="B3505" s="63">
        <v>44179.0</v>
      </c>
      <c r="C3505" s="62" t="s">
        <v>119</v>
      </c>
      <c r="D3505" s="64">
        <v>42.5</v>
      </c>
      <c r="E3505" s="62" t="s">
        <v>109</v>
      </c>
      <c r="F3505" s="62" t="s">
        <v>115</v>
      </c>
      <c r="G3505" s="64" t="s">
        <v>64</v>
      </c>
      <c r="H3505" s="3" t="s">
        <v>131</v>
      </c>
      <c r="I3505" s="65">
        <f>IFERROR(VLOOKUP(A3505,'3. Call duration'!$A:$C,3,0),"--")</f>
        <v>28.17383295</v>
      </c>
      <c r="J3505" s="65" t="str">
        <f t="array" ref="J3505">XLOOKUP(H3505,'2. Matching'!$A$2:$A$39,'2. Matching'!$B$2:$B$39,"--")</f>
        <v>Acquisition</v>
      </c>
      <c r="K3505" s="65" t="str">
        <f t="shared" si="1"/>
        <v>In</v>
      </c>
    </row>
    <row r="3506">
      <c r="A3506" s="62" t="s">
        <v>3644</v>
      </c>
      <c r="B3506" s="63">
        <v>44125.0</v>
      </c>
      <c r="C3506" s="62" t="s">
        <v>119</v>
      </c>
      <c r="D3506" s="64">
        <v>42.5</v>
      </c>
      <c r="E3506" s="62" t="s">
        <v>109</v>
      </c>
      <c r="F3506" s="62" t="s">
        <v>115</v>
      </c>
      <c r="G3506" s="64" t="s">
        <v>64</v>
      </c>
      <c r="H3506" s="3" t="s">
        <v>221</v>
      </c>
      <c r="I3506" s="65">
        <f>IFERROR(VLOOKUP(A3506,'3. Call duration'!$A:$C,3,0),"--")</f>
        <v>12.44155322</v>
      </c>
      <c r="J3506" s="65" t="str">
        <f t="array" ref="J3506">XLOOKUP(H3506,'2. Matching'!$A$2:$A$39,'2. Matching'!$B$2:$B$39,"--")</f>
        <v>Farming</v>
      </c>
      <c r="K3506" s="65" t="str">
        <f t="shared" si="1"/>
        <v>In</v>
      </c>
    </row>
    <row r="3507">
      <c r="A3507" s="62" t="s">
        <v>3645</v>
      </c>
      <c r="B3507" s="63">
        <v>44104.0</v>
      </c>
      <c r="C3507" s="62" t="s">
        <v>119</v>
      </c>
      <c r="D3507" s="64">
        <v>42.5</v>
      </c>
      <c r="E3507" s="62" t="s">
        <v>109</v>
      </c>
      <c r="F3507" s="62" t="s">
        <v>115</v>
      </c>
      <c r="G3507" s="64" t="s">
        <v>64</v>
      </c>
      <c r="H3507" s="3" t="s">
        <v>139</v>
      </c>
      <c r="I3507" s="65">
        <f>IFERROR(VLOOKUP(A3507,'3. Call duration'!$A:$C,3,0),"--")</f>
        <v>25.70821109</v>
      </c>
      <c r="J3507" s="65" t="str">
        <f t="array" ref="J3507">XLOOKUP(H3507,'2. Matching'!$A$2:$A$39,'2. Matching'!$B$2:$B$39,"--")</f>
        <v>Acquisition</v>
      </c>
      <c r="K3507" s="65" t="str">
        <f t="shared" si="1"/>
        <v>In</v>
      </c>
    </row>
    <row r="3508">
      <c r="A3508" s="62" t="s">
        <v>3646</v>
      </c>
      <c r="B3508" s="63">
        <v>44156.0</v>
      </c>
      <c r="C3508" s="62" t="s">
        <v>119</v>
      </c>
      <c r="D3508" s="64">
        <v>42.5</v>
      </c>
      <c r="E3508" s="62" t="s">
        <v>109</v>
      </c>
      <c r="F3508" s="62" t="s">
        <v>115</v>
      </c>
      <c r="G3508" s="64" t="s">
        <v>64</v>
      </c>
      <c r="H3508" s="3" t="s">
        <v>139</v>
      </c>
      <c r="I3508" s="65">
        <f>IFERROR(VLOOKUP(A3508,'3. Call duration'!$A:$C,3,0),"--")</f>
        <v>33.19651722</v>
      </c>
      <c r="J3508" s="65" t="str">
        <f t="array" ref="J3508">XLOOKUP(H3508,'2. Matching'!$A$2:$A$39,'2. Matching'!$B$2:$B$39,"--")</f>
        <v>Acquisition</v>
      </c>
      <c r="K3508" s="65" t="str">
        <f t="shared" si="1"/>
        <v>In</v>
      </c>
    </row>
    <row r="3509">
      <c r="A3509" s="62" t="s">
        <v>3647</v>
      </c>
      <c r="B3509" s="63">
        <v>44087.0</v>
      </c>
      <c r="C3509" s="62" t="s">
        <v>119</v>
      </c>
      <c r="D3509" s="64">
        <v>42.5</v>
      </c>
      <c r="E3509" s="62" t="s">
        <v>109</v>
      </c>
      <c r="F3509" s="62" t="s">
        <v>115</v>
      </c>
      <c r="G3509" s="64" t="s">
        <v>64</v>
      </c>
      <c r="H3509" s="3" t="s">
        <v>139</v>
      </c>
      <c r="I3509" s="65">
        <f>IFERROR(VLOOKUP(A3509,'3. Call duration'!$A:$C,3,0),"--")</f>
        <v>25.32098137</v>
      </c>
      <c r="J3509" s="65" t="str">
        <f t="array" ref="J3509">XLOOKUP(H3509,'2. Matching'!$A$2:$A$39,'2. Matching'!$B$2:$B$39,"--")</f>
        <v>Acquisition</v>
      </c>
      <c r="K3509" s="65" t="str">
        <f t="shared" si="1"/>
        <v>In</v>
      </c>
    </row>
    <row r="3510">
      <c r="A3510" s="62" t="s">
        <v>3648</v>
      </c>
      <c r="B3510" s="63">
        <v>44114.0</v>
      </c>
      <c r="C3510" s="62" t="s">
        <v>119</v>
      </c>
      <c r="D3510" s="64">
        <v>42.5</v>
      </c>
      <c r="E3510" s="62" t="s">
        <v>109</v>
      </c>
      <c r="F3510" s="62" t="s">
        <v>115</v>
      </c>
      <c r="G3510" s="64" t="s">
        <v>64</v>
      </c>
      <c r="H3510" s="3" t="s">
        <v>131</v>
      </c>
      <c r="I3510" s="65">
        <f>IFERROR(VLOOKUP(A3510,'3. Call duration'!$A:$C,3,0),"--")</f>
        <v>13.41500862</v>
      </c>
      <c r="J3510" s="65" t="str">
        <f t="array" ref="J3510">XLOOKUP(H3510,'2. Matching'!$A$2:$A$39,'2. Matching'!$B$2:$B$39,"--")</f>
        <v>Acquisition</v>
      </c>
      <c r="K3510" s="65" t="str">
        <f t="shared" si="1"/>
        <v>In</v>
      </c>
    </row>
    <row r="3511">
      <c r="A3511" s="62" t="s">
        <v>3649</v>
      </c>
      <c r="B3511" s="63">
        <v>44121.0</v>
      </c>
      <c r="C3511" s="62" t="s">
        <v>119</v>
      </c>
      <c r="D3511" s="64">
        <v>42.5</v>
      </c>
      <c r="E3511" s="62" t="s">
        <v>109</v>
      </c>
      <c r="F3511" s="62" t="s">
        <v>115</v>
      </c>
      <c r="G3511" s="64" t="s">
        <v>64</v>
      </c>
      <c r="H3511" s="3" t="s">
        <v>139</v>
      </c>
      <c r="I3511" s="65">
        <f>IFERROR(VLOOKUP(A3511,'3. Call duration'!$A:$C,3,0),"--")</f>
        <v>35.82207049</v>
      </c>
      <c r="J3511" s="65" t="str">
        <f t="array" ref="J3511">XLOOKUP(H3511,'2. Matching'!$A$2:$A$39,'2. Matching'!$B$2:$B$39,"--")</f>
        <v>Acquisition</v>
      </c>
      <c r="K3511" s="65" t="str">
        <f t="shared" si="1"/>
        <v>In</v>
      </c>
    </row>
    <row r="3512">
      <c r="A3512" s="62" t="s">
        <v>3650</v>
      </c>
      <c r="B3512" s="63">
        <v>44092.0</v>
      </c>
      <c r="C3512" s="62" t="s">
        <v>119</v>
      </c>
      <c r="D3512" s="64">
        <v>42.5</v>
      </c>
      <c r="E3512" s="62" t="s">
        <v>109</v>
      </c>
      <c r="F3512" s="62" t="s">
        <v>115</v>
      </c>
      <c r="G3512" s="64" t="s">
        <v>64</v>
      </c>
      <c r="H3512" s="3" t="s">
        <v>155</v>
      </c>
      <c r="I3512" s="65" t="str">
        <f>IFERROR(VLOOKUP(A3512,'3. Call duration'!$A:$C,3,0),"--")</f>
        <v>--</v>
      </c>
      <c r="J3512" s="65" t="str">
        <f t="array" ref="J3512">XLOOKUP(H3512,'2. Matching'!$A$2:$A$39,'2. Matching'!$B$2:$B$39,"--")</f>
        <v>SEO</v>
      </c>
      <c r="K3512" s="65" t="str">
        <f t="shared" si="1"/>
        <v>In</v>
      </c>
    </row>
    <row r="3513">
      <c r="A3513" s="62" t="s">
        <v>3651</v>
      </c>
      <c r="B3513" s="63">
        <v>44246.0</v>
      </c>
      <c r="C3513" s="62" t="s">
        <v>119</v>
      </c>
      <c r="D3513" s="64">
        <v>42.5</v>
      </c>
      <c r="E3513" s="62" t="s">
        <v>109</v>
      </c>
      <c r="F3513" s="62" t="s">
        <v>110</v>
      </c>
      <c r="G3513" s="64" t="s">
        <v>64</v>
      </c>
      <c r="H3513" s="3" t="s">
        <v>169</v>
      </c>
      <c r="I3513" s="65">
        <f>IFERROR(VLOOKUP(A3513,'3. Call duration'!$A:$C,3,0),"--")</f>
        <v>42.56206735</v>
      </c>
      <c r="J3513" s="65" t="str">
        <f t="array" ref="J3513">XLOOKUP(H3513,'2. Matching'!$A$2:$A$39,'2. Matching'!$B$2:$B$39,"--")</f>
        <v>SEO</v>
      </c>
      <c r="K3513" s="65" t="str">
        <f t="shared" si="1"/>
        <v>In</v>
      </c>
    </row>
    <row r="3514">
      <c r="A3514" s="62" t="s">
        <v>3652</v>
      </c>
      <c r="B3514" s="63">
        <v>44250.0</v>
      </c>
      <c r="C3514" s="62" t="s">
        <v>119</v>
      </c>
      <c r="D3514" s="64">
        <v>42.5</v>
      </c>
      <c r="E3514" s="62" t="s">
        <v>109</v>
      </c>
      <c r="F3514" s="62" t="s">
        <v>115</v>
      </c>
      <c r="G3514" s="64" t="s">
        <v>64</v>
      </c>
      <c r="H3514" s="3" t="s">
        <v>139</v>
      </c>
      <c r="I3514" s="65">
        <f>IFERROR(VLOOKUP(A3514,'3. Call duration'!$A:$C,3,0),"--")</f>
        <v>33.00231411</v>
      </c>
      <c r="J3514" s="65" t="str">
        <f t="array" ref="J3514">XLOOKUP(H3514,'2. Matching'!$A$2:$A$39,'2. Matching'!$B$2:$B$39,"--")</f>
        <v>Acquisition</v>
      </c>
      <c r="K3514" s="65" t="str">
        <f t="shared" si="1"/>
        <v>In</v>
      </c>
    </row>
    <row r="3515">
      <c r="A3515" s="62" t="s">
        <v>3653</v>
      </c>
      <c r="B3515" s="63">
        <v>44202.0</v>
      </c>
      <c r="C3515" s="62" t="s">
        <v>119</v>
      </c>
      <c r="D3515" s="64">
        <v>42.5</v>
      </c>
      <c r="E3515" s="62" t="s">
        <v>109</v>
      </c>
      <c r="F3515" s="62" t="s">
        <v>115</v>
      </c>
      <c r="G3515" s="64" t="s">
        <v>64</v>
      </c>
      <c r="H3515" s="3" t="s">
        <v>131</v>
      </c>
      <c r="I3515" s="65" t="str">
        <f>IFERROR(VLOOKUP(A3515,'3. Call duration'!$A:$C,3,0),"--")</f>
        <v>--</v>
      </c>
      <c r="J3515" s="65" t="str">
        <f t="array" ref="J3515">XLOOKUP(H3515,'2. Matching'!$A$2:$A$39,'2. Matching'!$B$2:$B$39,"--")</f>
        <v>Acquisition</v>
      </c>
      <c r="K3515" s="65" t="str">
        <f t="shared" si="1"/>
        <v>In</v>
      </c>
    </row>
    <row r="3516">
      <c r="A3516" s="62" t="s">
        <v>3654</v>
      </c>
      <c r="B3516" s="63">
        <v>44221.0</v>
      </c>
      <c r="C3516" s="62" t="s">
        <v>119</v>
      </c>
      <c r="D3516" s="64">
        <v>42.5</v>
      </c>
      <c r="E3516" s="62" t="s">
        <v>109</v>
      </c>
      <c r="F3516" s="62" t="s">
        <v>115</v>
      </c>
      <c r="G3516" s="64" t="s">
        <v>64</v>
      </c>
      <c r="H3516" s="3" t="s">
        <v>185</v>
      </c>
      <c r="I3516" s="65" t="str">
        <f>IFERROR(VLOOKUP(A3516,'3. Call duration'!$A:$C,3,0),"--")</f>
        <v>--</v>
      </c>
      <c r="J3516" s="65" t="str">
        <f t="array" ref="J3516">XLOOKUP(H3516,'2. Matching'!$A$2:$A$39,'2. Matching'!$B$2:$B$39,"--")</f>
        <v>SEO</v>
      </c>
      <c r="K3516" s="65" t="str">
        <f t="shared" si="1"/>
        <v>In</v>
      </c>
    </row>
    <row r="3517">
      <c r="A3517" s="62" t="s">
        <v>3655</v>
      </c>
      <c r="B3517" s="63">
        <v>44235.0</v>
      </c>
      <c r="C3517" s="62" t="s">
        <v>119</v>
      </c>
      <c r="D3517" s="64">
        <v>42.5</v>
      </c>
      <c r="E3517" s="62" t="s">
        <v>109</v>
      </c>
      <c r="F3517" s="62" t="s">
        <v>110</v>
      </c>
      <c r="G3517" s="64" t="s">
        <v>64</v>
      </c>
      <c r="H3517" s="3" t="s">
        <v>175</v>
      </c>
      <c r="I3517" s="65" t="str">
        <f>IFERROR(VLOOKUP(A3517,'3. Call duration'!$A:$C,3,0),"--")</f>
        <v>--</v>
      </c>
      <c r="J3517" s="65" t="str">
        <f t="array" ref="J3517">XLOOKUP(H3517,'2. Matching'!$A$2:$A$39,'2. Matching'!$B$2:$B$39,"--")</f>
        <v>SEO</v>
      </c>
      <c r="K3517" s="65" t="str">
        <f t="shared" si="1"/>
        <v>In</v>
      </c>
    </row>
    <row r="3518">
      <c r="A3518" s="62" t="s">
        <v>3656</v>
      </c>
      <c r="B3518" s="63">
        <v>44246.0</v>
      </c>
      <c r="C3518" s="62" t="s">
        <v>119</v>
      </c>
      <c r="D3518" s="64">
        <v>42.5</v>
      </c>
      <c r="E3518" s="62" t="s">
        <v>109</v>
      </c>
      <c r="F3518" s="62" t="s">
        <v>110</v>
      </c>
      <c r="G3518" s="64" t="s">
        <v>64</v>
      </c>
      <c r="H3518" s="3" t="s">
        <v>131</v>
      </c>
      <c r="I3518" s="65">
        <f>IFERROR(VLOOKUP(A3518,'3. Call duration'!$A:$C,3,0),"--")</f>
        <v>28.87273258</v>
      </c>
      <c r="J3518" s="65" t="str">
        <f t="array" ref="J3518">XLOOKUP(H3518,'2. Matching'!$A$2:$A$39,'2. Matching'!$B$2:$B$39,"--")</f>
        <v>Acquisition</v>
      </c>
      <c r="K3518" s="65" t="str">
        <f t="shared" si="1"/>
        <v>In</v>
      </c>
    </row>
    <row r="3519">
      <c r="A3519" s="62" t="s">
        <v>3657</v>
      </c>
      <c r="B3519" s="63">
        <v>44221.0</v>
      </c>
      <c r="C3519" s="62" t="s">
        <v>119</v>
      </c>
      <c r="D3519" s="64">
        <v>42.5</v>
      </c>
      <c r="E3519" s="62" t="s">
        <v>109</v>
      </c>
      <c r="F3519" s="62" t="s">
        <v>110</v>
      </c>
      <c r="G3519" s="64" t="s">
        <v>64</v>
      </c>
      <c r="H3519" s="3" t="s">
        <v>164</v>
      </c>
      <c r="I3519" s="65">
        <f>IFERROR(VLOOKUP(A3519,'3. Call duration'!$A:$C,3,0),"--")</f>
        <v>33.21125986</v>
      </c>
      <c r="J3519" s="65" t="str">
        <f t="array" ref="J3519">XLOOKUP(H3519,'2. Matching'!$A$2:$A$39,'2. Matching'!$B$2:$B$39,"--")</f>
        <v>SEO</v>
      </c>
      <c r="K3519" s="65" t="str">
        <f t="shared" si="1"/>
        <v>In</v>
      </c>
    </row>
    <row r="3520">
      <c r="A3520" s="62" t="s">
        <v>3658</v>
      </c>
      <c r="B3520" s="63">
        <v>44207.0</v>
      </c>
      <c r="C3520" s="62" t="s">
        <v>119</v>
      </c>
      <c r="D3520" s="64">
        <v>42.5</v>
      </c>
      <c r="E3520" s="62" t="s">
        <v>109</v>
      </c>
      <c r="F3520" s="62" t="s">
        <v>115</v>
      </c>
      <c r="G3520" s="64" t="s">
        <v>64</v>
      </c>
      <c r="H3520" s="3" t="s">
        <v>169</v>
      </c>
      <c r="I3520" s="65">
        <f>IFERROR(VLOOKUP(A3520,'3. Call duration'!$A:$C,3,0),"--")</f>
        <v>31.63058971</v>
      </c>
      <c r="J3520" s="65" t="str">
        <f t="array" ref="J3520">XLOOKUP(H3520,'2. Matching'!$A$2:$A$39,'2. Matching'!$B$2:$B$39,"--")</f>
        <v>SEO</v>
      </c>
      <c r="K3520" s="65" t="str">
        <f t="shared" si="1"/>
        <v>In</v>
      </c>
    </row>
    <row r="3521">
      <c r="A3521" s="62" t="s">
        <v>3659</v>
      </c>
      <c r="B3521" s="63">
        <v>44080.0</v>
      </c>
      <c r="C3521" s="62" t="s">
        <v>119</v>
      </c>
      <c r="D3521" s="64">
        <v>42.5</v>
      </c>
      <c r="E3521" s="62" t="s">
        <v>109</v>
      </c>
      <c r="F3521" s="62" t="s">
        <v>115</v>
      </c>
      <c r="G3521" s="64" t="s">
        <v>64</v>
      </c>
      <c r="H3521" s="3" t="s">
        <v>139</v>
      </c>
      <c r="I3521" s="65">
        <f>IFERROR(VLOOKUP(A3521,'3. Call duration'!$A:$C,3,0),"--")</f>
        <v>29.45121552</v>
      </c>
      <c r="J3521" s="65" t="str">
        <f t="array" ref="J3521">XLOOKUP(H3521,'2. Matching'!$A$2:$A$39,'2. Matching'!$B$2:$B$39,"--")</f>
        <v>Acquisition</v>
      </c>
      <c r="K3521" s="65" t="str">
        <f t="shared" si="1"/>
        <v>In</v>
      </c>
    </row>
    <row r="3522">
      <c r="A3522" s="62" t="s">
        <v>3660</v>
      </c>
      <c r="B3522" s="63">
        <v>44127.0</v>
      </c>
      <c r="C3522" s="62" t="s">
        <v>119</v>
      </c>
      <c r="D3522" s="64">
        <v>42.5</v>
      </c>
      <c r="E3522" s="62" t="s">
        <v>109</v>
      </c>
      <c r="F3522" s="62" t="s">
        <v>115</v>
      </c>
      <c r="G3522" s="64" t="s">
        <v>64</v>
      </c>
      <c r="H3522" s="3" t="s">
        <v>139</v>
      </c>
      <c r="I3522" s="65">
        <f>IFERROR(VLOOKUP(A3522,'3. Call duration'!$A:$C,3,0),"--")</f>
        <v>31.16663695</v>
      </c>
      <c r="J3522" s="65" t="str">
        <f t="array" ref="J3522">XLOOKUP(H3522,'2. Matching'!$A$2:$A$39,'2. Matching'!$B$2:$B$39,"--")</f>
        <v>Acquisition</v>
      </c>
      <c r="K3522" s="65" t="str">
        <f t="shared" si="1"/>
        <v>In</v>
      </c>
    </row>
    <row r="3523">
      <c r="A3523" s="62" t="s">
        <v>3661</v>
      </c>
      <c r="B3523" s="63">
        <v>44211.0</v>
      </c>
      <c r="C3523" s="62" t="s">
        <v>119</v>
      </c>
      <c r="D3523" s="64">
        <v>42.5</v>
      </c>
      <c r="E3523" s="62" t="s">
        <v>109</v>
      </c>
      <c r="F3523" s="62" t="s">
        <v>115</v>
      </c>
      <c r="G3523" s="64" t="s">
        <v>64</v>
      </c>
      <c r="H3523" s="3" t="s">
        <v>169</v>
      </c>
      <c r="I3523" s="65">
        <f>IFERROR(VLOOKUP(A3523,'3. Call duration'!$A:$C,3,0),"--")</f>
        <v>11.04670813</v>
      </c>
      <c r="J3523" s="65" t="str">
        <f t="array" ref="J3523">XLOOKUP(H3523,'2. Matching'!$A$2:$A$39,'2. Matching'!$B$2:$B$39,"--")</f>
        <v>SEO</v>
      </c>
      <c r="K3523" s="65" t="str">
        <f t="shared" si="1"/>
        <v>In</v>
      </c>
    </row>
    <row r="3524">
      <c r="A3524" s="62" t="s">
        <v>3662</v>
      </c>
      <c r="B3524" s="63">
        <v>44133.0</v>
      </c>
      <c r="C3524" s="62" t="s">
        <v>119</v>
      </c>
      <c r="D3524" s="64">
        <v>42.5</v>
      </c>
      <c r="E3524" s="62" t="s">
        <v>109</v>
      </c>
      <c r="F3524" s="62" t="s">
        <v>115</v>
      </c>
      <c r="G3524" s="64" t="s">
        <v>62</v>
      </c>
      <c r="H3524" s="3" t="s">
        <v>203</v>
      </c>
      <c r="I3524" s="65">
        <f>IFERROR(VLOOKUP(A3524,'3. Call duration'!$A:$C,3,0),"--")</f>
        <v>45.00141975</v>
      </c>
      <c r="J3524" s="65" t="str">
        <f t="array" ref="J3524">XLOOKUP(H3524,'2. Matching'!$A$2:$A$39,'2. Matching'!$B$2:$B$39,"--")</f>
        <v>Farming</v>
      </c>
      <c r="K3524" s="65" t="str">
        <f t="shared" si="1"/>
        <v>In</v>
      </c>
    </row>
    <row r="3525">
      <c r="A3525" s="62" t="s">
        <v>3663</v>
      </c>
      <c r="B3525" s="63">
        <v>44207.0</v>
      </c>
      <c r="C3525" s="62" t="s">
        <v>119</v>
      </c>
      <c r="D3525" s="64">
        <v>42.5</v>
      </c>
      <c r="E3525" s="62" t="s">
        <v>109</v>
      </c>
      <c r="F3525" s="62" t="s">
        <v>115</v>
      </c>
      <c r="G3525" s="64" t="s">
        <v>64</v>
      </c>
      <c r="H3525" s="3" t="s">
        <v>131</v>
      </c>
      <c r="I3525" s="65">
        <f>IFERROR(VLOOKUP(A3525,'3. Call duration'!$A:$C,3,0),"--")</f>
        <v>25.91517863</v>
      </c>
      <c r="J3525" s="65" t="str">
        <f t="array" ref="J3525">XLOOKUP(H3525,'2. Matching'!$A$2:$A$39,'2. Matching'!$B$2:$B$39,"--")</f>
        <v>Acquisition</v>
      </c>
      <c r="K3525" s="65" t="str">
        <f t="shared" si="1"/>
        <v>In</v>
      </c>
    </row>
    <row r="3526">
      <c r="A3526" s="62" t="s">
        <v>3664</v>
      </c>
      <c r="B3526" s="63">
        <v>44228.0</v>
      </c>
      <c r="C3526" s="62" t="s">
        <v>119</v>
      </c>
      <c r="D3526" s="64">
        <v>42.5</v>
      </c>
      <c r="E3526" s="62" t="s">
        <v>109</v>
      </c>
      <c r="F3526" s="62" t="s">
        <v>115</v>
      </c>
      <c r="G3526" s="64" t="s">
        <v>64</v>
      </c>
      <c r="H3526" s="3" t="s">
        <v>155</v>
      </c>
      <c r="I3526" s="65">
        <f>IFERROR(VLOOKUP(A3526,'3. Call duration'!$A:$C,3,0),"--")</f>
        <v>32.21167213</v>
      </c>
      <c r="J3526" s="65" t="str">
        <f t="array" ref="J3526">XLOOKUP(H3526,'2. Matching'!$A$2:$A$39,'2. Matching'!$B$2:$B$39,"--")</f>
        <v>SEO</v>
      </c>
      <c r="K3526" s="65" t="str">
        <f t="shared" si="1"/>
        <v>In</v>
      </c>
    </row>
    <row r="3527">
      <c r="A3527" s="62" t="s">
        <v>3665</v>
      </c>
      <c r="B3527" s="63">
        <v>44233.0</v>
      </c>
      <c r="C3527" s="62" t="s">
        <v>119</v>
      </c>
      <c r="D3527" s="64">
        <v>42.5</v>
      </c>
      <c r="E3527" s="62" t="s">
        <v>109</v>
      </c>
      <c r="F3527" s="62" t="s">
        <v>115</v>
      </c>
      <c r="G3527" s="64" t="s">
        <v>64</v>
      </c>
      <c r="H3527" s="3" t="s">
        <v>164</v>
      </c>
      <c r="I3527" s="65">
        <f>IFERROR(VLOOKUP(A3527,'3. Call duration'!$A:$C,3,0),"--")</f>
        <v>30.17424686</v>
      </c>
      <c r="J3527" s="65" t="str">
        <f t="array" ref="J3527">XLOOKUP(H3527,'2. Matching'!$A$2:$A$39,'2. Matching'!$B$2:$B$39,"--")</f>
        <v>SEO</v>
      </c>
      <c r="K3527" s="65" t="str">
        <f t="shared" si="1"/>
        <v>In</v>
      </c>
    </row>
    <row r="3528">
      <c r="A3528" s="62" t="s">
        <v>3666</v>
      </c>
      <c r="B3528" s="63">
        <v>44174.0</v>
      </c>
      <c r="C3528" s="62" t="s">
        <v>119</v>
      </c>
      <c r="D3528" s="64">
        <v>42.5</v>
      </c>
      <c r="E3528" s="62" t="s">
        <v>109</v>
      </c>
      <c r="F3528" s="62" t="s">
        <v>115</v>
      </c>
      <c r="G3528" s="64" t="s">
        <v>64</v>
      </c>
      <c r="H3528" s="3" t="s">
        <v>131</v>
      </c>
      <c r="I3528" s="65">
        <f>IFERROR(VLOOKUP(A3528,'3. Call duration'!$A:$C,3,0),"--")</f>
        <v>27.45835378</v>
      </c>
      <c r="J3528" s="65" t="str">
        <f t="array" ref="J3528">XLOOKUP(H3528,'2. Matching'!$A$2:$A$39,'2. Matching'!$B$2:$B$39,"--")</f>
        <v>Acquisition</v>
      </c>
      <c r="K3528" s="65" t="str">
        <f t="shared" si="1"/>
        <v>In</v>
      </c>
    </row>
    <row r="3529">
      <c r="A3529" s="62" t="s">
        <v>3667</v>
      </c>
      <c r="B3529" s="63">
        <v>44231.0</v>
      </c>
      <c r="C3529" s="62" t="s">
        <v>119</v>
      </c>
      <c r="D3529" s="64">
        <v>42.5</v>
      </c>
      <c r="E3529" s="62" t="s">
        <v>109</v>
      </c>
      <c r="F3529" s="62" t="s">
        <v>110</v>
      </c>
      <c r="G3529" s="64" t="s">
        <v>64</v>
      </c>
      <c r="H3529" s="3" t="s">
        <v>150</v>
      </c>
      <c r="I3529" s="65">
        <f>IFERROR(VLOOKUP(A3529,'3. Call duration'!$A:$C,3,0),"--")</f>
        <v>15.88629401</v>
      </c>
      <c r="J3529" s="65" t="str">
        <f t="array" ref="J3529">XLOOKUP(H3529,'2. Matching'!$A$2:$A$39,'2. Matching'!$B$2:$B$39,"--")</f>
        <v>SEO</v>
      </c>
      <c r="K3529" s="65" t="str">
        <f t="shared" si="1"/>
        <v>In</v>
      </c>
    </row>
    <row r="3530">
      <c r="A3530" s="62" t="s">
        <v>3668</v>
      </c>
      <c r="B3530" s="63">
        <v>44118.0</v>
      </c>
      <c r="C3530" s="62" t="s">
        <v>119</v>
      </c>
      <c r="D3530" s="64">
        <v>42.5</v>
      </c>
      <c r="E3530" s="62" t="s">
        <v>109</v>
      </c>
      <c r="F3530" s="62" t="s">
        <v>115</v>
      </c>
      <c r="G3530" s="64" t="s">
        <v>64</v>
      </c>
      <c r="H3530" s="3" t="s">
        <v>175</v>
      </c>
      <c r="I3530" s="65">
        <f>IFERROR(VLOOKUP(A3530,'3. Call duration'!$A:$C,3,0),"--")</f>
        <v>28.8064355</v>
      </c>
      <c r="J3530" s="65" t="str">
        <f t="array" ref="J3530">XLOOKUP(H3530,'2. Matching'!$A$2:$A$39,'2. Matching'!$B$2:$B$39,"--")</f>
        <v>SEO</v>
      </c>
      <c r="K3530" s="65" t="str">
        <f t="shared" si="1"/>
        <v>In</v>
      </c>
    </row>
    <row r="3531">
      <c r="A3531" s="62" t="s">
        <v>3669</v>
      </c>
      <c r="B3531" s="63">
        <v>44241.0</v>
      </c>
      <c r="C3531" s="62" t="s">
        <v>119</v>
      </c>
      <c r="D3531" s="64">
        <v>42.5</v>
      </c>
      <c r="E3531" s="62" t="s">
        <v>109</v>
      </c>
      <c r="F3531" s="62" t="s">
        <v>115</v>
      </c>
      <c r="G3531" s="64" t="s">
        <v>64</v>
      </c>
      <c r="H3531" s="3" t="s">
        <v>139</v>
      </c>
      <c r="I3531" s="65">
        <f>IFERROR(VLOOKUP(A3531,'3. Call duration'!$A:$C,3,0),"--")</f>
        <v>24.25749225</v>
      </c>
      <c r="J3531" s="65" t="str">
        <f t="array" ref="J3531">XLOOKUP(H3531,'2. Matching'!$A$2:$A$39,'2. Matching'!$B$2:$B$39,"--")</f>
        <v>Acquisition</v>
      </c>
      <c r="K3531" s="65" t="str">
        <f t="shared" si="1"/>
        <v>In</v>
      </c>
    </row>
    <row r="3532">
      <c r="A3532" s="62" t="s">
        <v>3670</v>
      </c>
      <c r="B3532" s="63">
        <v>44246.0</v>
      </c>
      <c r="C3532" s="62" t="s">
        <v>119</v>
      </c>
      <c r="D3532" s="64">
        <v>42.5</v>
      </c>
      <c r="E3532" s="62" t="s">
        <v>109</v>
      </c>
      <c r="F3532" s="62" t="s">
        <v>115</v>
      </c>
      <c r="G3532" s="64" t="s">
        <v>64</v>
      </c>
      <c r="H3532" s="3" t="s">
        <v>139</v>
      </c>
      <c r="I3532" s="65">
        <f>IFERROR(VLOOKUP(A3532,'3. Call duration'!$A:$C,3,0),"--")</f>
        <v>29.96154877</v>
      </c>
      <c r="J3532" s="65" t="str">
        <f t="array" ref="J3532">XLOOKUP(H3532,'2. Matching'!$A$2:$A$39,'2. Matching'!$B$2:$B$39,"--")</f>
        <v>Acquisition</v>
      </c>
      <c r="K3532" s="65" t="str">
        <f t="shared" si="1"/>
        <v>In</v>
      </c>
    </row>
    <row r="3533">
      <c r="A3533" s="62" t="s">
        <v>3671</v>
      </c>
      <c r="B3533" s="63">
        <v>44251.0</v>
      </c>
      <c r="C3533" s="62" t="s">
        <v>119</v>
      </c>
      <c r="D3533" s="64">
        <v>42.5</v>
      </c>
      <c r="E3533" s="62" t="s">
        <v>109</v>
      </c>
      <c r="F3533" s="62" t="s">
        <v>115</v>
      </c>
      <c r="G3533" s="64" t="s">
        <v>64</v>
      </c>
      <c r="H3533" s="3" t="s">
        <v>150</v>
      </c>
      <c r="I3533" s="65">
        <f>IFERROR(VLOOKUP(A3533,'3. Call duration'!$A:$C,3,0),"--")</f>
        <v>27.85662698</v>
      </c>
      <c r="J3533" s="65" t="str">
        <f t="array" ref="J3533">XLOOKUP(H3533,'2. Matching'!$A$2:$A$39,'2. Matching'!$B$2:$B$39,"--")</f>
        <v>SEO</v>
      </c>
      <c r="K3533" s="65" t="str">
        <f t="shared" si="1"/>
        <v>In</v>
      </c>
    </row>
    <row r="3534">
      <c r="A3534" s="62" t="s">
        <v>3672</v>
      </c>
      <c r="B3534" s="63">
        <v>44237.0</v>
      </c>
      <c r="C3534" s="62" t="s">
        <v>119</v>
      </c>
      <c r="D3534" s="64">
        <v>42.5</v>
      </c>
      <c r="E3534" s="62" t="s">
        <v>109</v>
      </c>
      <c r="F3534" s="62" t="s">
        <v>115</v>
      </c>
      <c r="G3534" s="64" t="s">
        <v>64</v>
      </c>
      <c r="H3534" s="3" t="s">
        <v>164</v>
      </c>
      <c r="I3534" s="65">
        <f>IFERROR(VLOOKUP(A3534,'3. Call duration'!$A:$C,3,0),"--")</f>
        <v>28.6539322</v>
      </c>
      <c r="J3534" s="65" t="str">
        <f t="array" ref="J3534">XLOOKUP(H3534,'2. Matching'!$A$2:$A$39,'2. Matching'!$B$2:$B$39,"--")</f>
        <v>SEO</v>
      </c>
      <c r="K3534" s="65" t="str">
        <f t="shared" si="1"/>
        <v>In</v>
      </c>
    </row>
    <row r="3535">
      <c r="A3535" s="62" t="s">
        <v>3673</v>
      </c>
      <c r="B3535" s="63">
        <v>44142.0</v>
      </c>
      <c r="C3535" s="62" t="s">
        <v>119</v>
      </c>
      <c r="D3535" s="64">
        <v>42.5</v>
      </c>
      <c r="E3535" s="62" t="s">
        <v>109</v>
      </c>
      <c r="F3535" s="62" t="s">
        <v>110</v>
      </c>
      <c r="G3535" s="64" t="s">
        <v>64</v>
      </c>
      <c r="H3535" s="3" t="s">
        <v>139</v>
      </c>
      <c r="I3535" s="65">
        <f>IFERROR(VLOOKUP(A3535,'3. Call duration'!$A:$C,3,0),"--")</f>
        <v>33.28403631</v>
      </c>
      <c r="J3535" s="65" t="str">
        <f t="array" ref="J3535">XLOOKUP(H3535,'2. Matching'!$A$2:$A$39,'2. Matching'!$B$2:$B$39,"--")</f>
        <v>Acquisition</v>
      </c>
      <c r="K3535" s="65" t="str">
        <f t="shared" si="1"/>
        <v>In</v>
      </c>
    </row>
    <row r="3536">
      <c r="A3536" s="62" t="s">
        <v>3674</v>
      </c>
      <c r="B3536" s="63">
        <v>44167.0</v>
      </c>
      <c r="C3536" s="62" t="s">
        <v>119</v>
      </c>
      <c r="D3536" s="64">
        <v>42.5</v>
      </c>
      <c r="E3536" s="62" t="s">
        <v>109</v>
      </c>
      <c r="F3536" s="62" t="s">
        <v>115</v>
      </c>
      <c r="G3536" s="64" t="s">
        <v>64</v>
      </c>
      <c r="H3536" s="3" t="s">
        <v>155</v>
      </c>
      <c r="I3536" s="65">
        <f>IFERROR(VLOOKUP(A3536,'3. Call duration'!$A:$C,3,0),"--")</f>
        <v>27.61877999</v>
      </c>
      <c r="J3536" s="65" t="str">
        <f t="array" ref="J3536">XLOOKUP(H3536,'2. Matching'!$A$2:$A$39,'2. Matching'!$B$2:$B$39,"--")</f>
        <v>SEO</v>
      </c>
      <c r="K3536" s="65" t="str">
        <f t="shared" si="1"/>
        <v>In</v>
      </c>
    </row>
    <row r="3537">
      <c r="A3537" s="62" t="s">
        <v>3675</v>
      </c>
      <c r="B3537" s="63">
        <v>44170.0</v>
      </c>
      <c r="C3537" s="62" t="s">
        <v>119</v>
      </c>
      <c r="D3537" s="64">
        <v>42.5</v>
      </c>
      <c r="E3537" s="62" t="s">
        <v>109</v>
      </c>
      <c r="F3537" s="62" t="s">
        <v>115</v>
      </c>
      <c r="G3537" s="64" t="s">
        <v>64</v>
      </c>
      <c r="H3537" s="3" t="s">
        <v>139</v>
      </c>
      <c r="I3537" s="65">
        <f>IFERROR(VLOOKUP(A3537,'3. Call duration'!$A:$C,3,0),"--")</f>
        <v>20.55646042</v>
      </c>
      <c r="J3537" s="65" t="str">
        <f t="array" ref="J3537">XLOOKUP(H3537,'2. Matching'!$A$2:$A$39,'2. Matching'!$B$2:$B$39,"--")</f>
        <v>Acquisition</v>
      </c>
      <c r="K3537" s="65" t="str">
        <f t="shared" si="1"/>
        <v>In</v>
      </c>
    </row>
    <row r="3538">
      <c r="A3538" s="62" t="s">
        <v>3676</v>
      </c>
      <c r="B3538" s="63">
        <v>44236.0</v>
      </c>
      <c r="C3538" s="62" t="s">
        <v>119</v>
      </c>
      <c r="D3538" s="64">
        <v>42.5</v>
      </c>
      <c r="E3538" s="62" t="s">
        <v>109</v>
      </c>
      <c r="F3538" s="62" t="s">
        <v>115</v>
      </c>
      <c r="G3538" s="64" t="s">
        <v>64</v>
      </c>
      <c r="H3538" s="3" t="s">
        <v>185</v>
      </c>
      <c r="I3538" s="65">
        <f>IFERROR(VLOOKUP(A3538,'3. Call duration'!$A:$C,3,0),"--")</f>
        <v>30.78944249</v>
      </c>
      <c r="J3538" s="65" t="str">
        <f t="array" ref="J3538">XLOOKUP(H3538,'2. Matching'!$A$2:$A$39,'2. Matching'!$B$2:$B$39,"--")</f>
        <v>SEO</v>
      </c>
      <c r="K3538" s="65" t="str">
        <f t="shared" si="1"/>
        <v>In</v>
      </c>
    </row>
    <row r="3539">
      <c r="A3539" s="62" t="s">
        <v>3677</v>
      </c>
      <c r="B3539" s="63">
        <v>44211.0</v>
      </c>
      <c r="C3539" s="62" t="s">
        <v>119</v>
      </c>
      <c r="D3539" s="64">
        <v>42.5</v>
      </c>
      <c r="E3539" s="62" t="s">
        <v>109</v>
      </c>
      <c r="F3539" s="62" t="s">
        <v>115</v>
      </c>
      <c r="G3539" s="64" t="s">
        <v>62</v>
      </c>
      <c r="H3539" s="3" t="s">
        <v>294</v>
      </c>
      <c r="I3539" s="65">
        <f>IFERROR(VLOOKUP(A3539,'3. Call duration'!$A:$C,3,0),"--")</f>
        <v>31.33672308</v>
      </c>
      <c r="J3539" s="65" t="str">
        <f t="array" ref="J3539">XLOOKUP(H3539,'2. Matching'!$A$2:$A$39,'2. Matching'!$B$2:$B$39,"--")</f>
        <v>Farming</v>
      </c>
      <c r="K3539" s="65" t="str">
        <f t="shared" si="1"/>
        <v>In</v>
      </c>
    </row>
    <row r="3540">
      <c r="A3540" s="62" t="s">
        <v>3678</v>
      </c>
      <c r="B3540" s="63">
        <v>44223.0</v>
      </c>
      <c r="C3540" s="62" t="s">
        <v>119</v>
      </c>
      <c r="D3540" s="64">
        <v>42.5</v>
      </c>
      <c r="E3540" s="62" t="s">
        <v>109</v>
      </c>
      <c r="F3540" s="62" t="s">
        <v>115</v>
      </c>
      <c r="G3540" s="64" t="s">
        <v>64</v>
      </c>
      <c r="H3540" s="3" t="s">
        <v>145</v>
      </c>
      <c r="I3540" s="65">
        <f>IFERROR(VLOOKUP(A3540,'3. Call duration'!$A:$C,3,0),"--")</f>
        <v>14.92040366</v>
      </c>
      <c r="J3540" s="65" t="str">
        <f t="array" ref="J3540">XLOOKUP(H3540,'2. Matching'!$A$2:$A$39,'2. Matching'!$B$2:$B$39,"--")</f>
        <v>SEO</v>
      </c>
      <c r="K3540" s="65" t="str">
        <f t="shared" si="1"/>
        <v>In</v>
      </c>
    </row>
    <row r="3541">
      <c r="A3541" s="62" t="s">
        <v>3679</v>
      </c>
      <c r="B3541" s="63">
        <v>44176.0</v>
      </c>
      <c r="C3541" s="62" t="s">
        <v>119</v>
      </c>
      <c r="D3541" s="64">
        <v>42.5</v>
      </c>
      <c r="E3541" s="62" t="s">
        <v>109</v>
      </c>
      <c r="F3541" s="62" t="s">
        <v>115</v>
      </c>
      <c r="G3541" s="64" t="s">
        <v>64</v>
      </c>
      <c r="H3541" s="3" t="s">
        <v>150</v>
      </c>
      <c r="I3541" s="65">
        <f>IFERROR(VLOOKUP(A3541,'3. Call duration'!$A:$C,3,0),"--")</f>
        <v>22.7627169</v>
      </c>
      <c r="J3541" s="65" t="str">
        <f t="array" ref="J3541">XLOOKUP(H3541,'2. Matching'!$A$2:$A$39,'2. Matching'!$B$2:$B$39,"--")</f>
        <v>SEO</v>
      </c>
      <c r="K3541" s="65" t="str">
        <f t="shared" si="1"/>
        <v>In</v>
      </c>
    </row>
    <row r="3542">
      <c r="A3542" s="62" t="s">
        <v>3680</v>
      </c>
      <c r="B3542" s="63">
        <v>44231.0</v>
      </c>
      <c r="C3542" s="62" t="s">
        <v>119</v>
      </c>
      <c r="D3542" s="64">
        <v>42.5</v>
      </c>
      <c r="E3542" s="62" t="s">
        <v>109</v>
      </c>
      <c r="F3542" s="62" t="s">
        <v>115</v>
      </c>
      <c r="G3542" s="64" t="s">
        <v>64</v>
      </c>
      <c r="H3542" s="3" t="s">
        <v>155</v>
      </c>
      <c r="I3542" s="65">
        <f>IFERROR(VLOOKUP(A3542,'3. Call duration'!$A:$C,3,0),"--")</f>
        <v>20.37840383</v>
      </c>
      <c r="J3542" s="65" t="str">
        <f t="array" ref="J3542">XLOOKUP(H3542,'2. Matching'!$A$2:$A$39,'2. Matching'!$B$2:$B$39,"--")</f>
        <v>SEO</v>
      </c>
      <c r="K3542" s="65" t="str">
        <f t="shared" si="1"/>
        <v>In</v>
      </c>
    </row>
    <row r="3543">
      <c r="A3543" s="62" t="s">
        <v>3681</v>
      </c>
      <c r="B3543" s="63">
        <v>44207.0</v>
      </c>
      <c r="C3543" s="62" t="s">
        <v>119</v>
      </c>
      <c r="D3543" s="64">
        <v>42.5</v>
      </c>
      <c r="E3543" s="62" t="s">
        <v>109</v>
      </c>
      <c r="F3543" s="62" t="s">
        <v>115</v>
      </c>
      <c r="G3543" s="64" t="s">
        <v>64</v>
      </c>
      <c r="H3543" s="3" t="s">
        <v>155</v>
      </c>
      <c r="I3543" s="65">
        <f>IFERROR(VLOOKUP(A3543,'3. Call duration'!$A:$C,3,0),"--")</f>
        <v>23.12091463</v>
      </c>
      <c r="J3543" s="65" t="str">
        <f t="array" ref="J3543">XLOOKUP(H3543,'2. Matching'!$A$2:$A$39,'2. Matching'!$B$2:$B$39,"--")</f>
        <v>SEO</v>
      </c>
      <c r="K3543" s="65" t="str">
        <f t="shared" si="1"/>
        <v>In</v>
      </c>
    </row>
    <row r="3544">
      <c r="A3544" s="62" t="s">
        <v>3682</v>
      </c>
      <c r="B3544" s="63">
        <v>44078.0</v>
      </c>
      <c r="C3544" s="62" t="s">
        <v>119</v>
      </c>
      <c r="D3544" s="64">
        <v>42.5</v>
      </c>
      <c r="E3544" s="62" t="s">
        <v>109</v>
      </c>
      <c r="F3544" s="62" t="s">
        <v>115</v>
      </c>
      <c r="G3544" s="64" t="s">
        <v>64</v>
      </c>
      <c r="H3544" s="3" t="s">
        <v>139</v>
      </c>
      <c r="I3544" s="65">
        <f>IFERROR(VLOOKUP(A3544,'3. Call duration'!$A:$C,3,0),"--")</f>
        <v>26.96867536</v>
      </c>
      <c r="J3544" s="65" t="str">
        <f t="array" ref="J3544">XLOOKUP(H3544,'2. Matching'!$A$2:$A$39,'2. Matching'!$B$2:$B$39,"--")</f>
        <v>Acquisition</v>
      </c>
      <c r="K3544" s="65" t="str">
        <f t="shared" si="1"/>
        <v>In</v>
      </c>
    </row>
    <row r="3545">
      <c r="A3545" s="62" t="s">
        <v>3683</v>
      </c>
      <c r="B3545" s="63">
        <v>44225.0</v>
      </c>
      <c r="C3545" s="62" t="s">
        <v>119</v>
      </c>
      <c r="D3545" s="64">
        <v>42.5</v>
      </c>
      <c r="E3545" s="62" t="s">
        <v>109</v>
      </c>
      <c r="F3545" s="62" t="s">
        <v>115</v>
      </c>
      <c r="G3545" s="64" t="s">
        <v>64</v>
      </c>
      <c r="H3545" s="3" t="s">
        <v>135</v>
      </c>
      <c r="I3545" s="65">
        <f>IFERROR(VLOOKUP(A3545,'3. Call duration'!$A:$C,3,0),"--")</f>
        <v>15.80083614</v>
      </c>
      <c r="J3545" s="65" t="str">
        <f t="array" ref="J3545">XLOOKUP(H3545,'2. Matching'!$A$2:$A$39,'2. Matching'!$B$2:$B$39,"--")</f>
        <v>Acquisition</v>
      </c>
      <c r="K3545" s="65" t="str">
        <f t="shared" si="1"/>
        <v>In</v>
      </c>
    </row>
    <row r="3546">
      <c r="A3546" s="62" t="s">
        <v>3684</v>
      </c>
      <c r="B3546" s="63">
        <v>44139.0</v>
      </c>
      <c r="C3546" s="62" t="s">
        <v>119</v>
      </c>
      <c r="D3546" s="64">
        <v>42.5</v>
      </c>
      <c r="E3546" s="62" t="s">
        <v>109</v>
      </c>
      <c r="F3546" s="62" t="s">
        <v>115</v>
      </c>
      <c r="G3546" s="64" t="s">
        <v>64</v>
      </c>
      <c r="H3546" s="3" t="s">
        <v>139</v>
      </c>
      <c r="I3546" s="65">
        <f>IFERROR(VLOOKUP(A3546,'3. Call duration'!$A:$C,3,0),"--")</f>
        <v>11.01526051</v>
      </c>
      <c r="J3546" s="65" t="str">
        <f t="array" ref="J3546">XLOOKUP(H3546,'2. Matching'!$A$2:$A$39,'2. Matching'!$B$2:$B$39,"--")</f>
        <v>Acquisition</v>
      </c>
      <c r="K3546" s="65" t="str">
        <f t="shared" si="1"/>
        <v>In</v>
      </c>
    </row>
    <row r="3547">
      <c r="A3547" s="62" t="s">
        <v>3685</v>
      </c>
      <c r="B3547" s="63">
        <v>44235.0</v>
      </c>
      <c r="C3547" s="62" t="s">
        <v>119</v>
      </c>
      <c r="D3547" s="64">
        <v>42.5</v>
      </c>
      <c r="E3547" s="62" t="s">
        <v>109</v>
      </c>
      <c r="F3547" s="62" t="s">
        <v>115</v>
      </c>
      <c r="G3547" s="64" t="s">
        <v>64</v>
      </c>
      <c r="H3547" s="3" t="s">
        <v>131</v>
      </c>
      <c r="I3547" s="65">
        <f>IFERROR(VLOOKUP(A3547,'3. Call duration'!$A:$C,3,0),"--")</f>
        <v>49.42102764</v>
      </c>
      <c r="J3547" s="65" t="str">
        <f t="array" ref="J3547">XLOOKUP(H3547,'2. Matching'!$A$2:$A$39,'2. Matching'!$B$2:$B$39,"--")</f>
        <v>Acquisition</v>
      </c>
      <c r="K3547" s="65" t="str">
        <f t="shared" si="1"/>
        <v>In</v>
      </c>
    </row>
    <row r="3548">
      <c r="A3548" s="62" t="s">
        <v>3686</v>
      </c>
      <c r="B3548" s="63">
        <v>44128.0</v>
      </c>
      <c r="C3548" s="62" t="s">
        <v>119</v>
      </c>
      <c r="D3548" s="64">
        <v>42.5</v>
      </c>
      <c r="E3548" s="62" t="s">
        <v>109</v>
      </c>
      <c r="F3548" s="62" t="s">
        <v>115</v>
      </c>
      <c r="G3548" s="64" t="s">
        <v>64</v>
      </c>
      <c r="H3548" s="3" t="s">
        <v>139</v>
      </c>
      <c r="I3548" s="65">
        <f>IFERROR(VLOOKUP(A3548,'3. Call duration'!$A:$C,3,0),"--")</f>
        <v>22.62329193</v>
      </c>
      <c r="J3548" s="65" t="str">
        <f t="array" ref="J3548">XLOOKUP(H3548,'2. Matching'!$A$2:$A$39,'2. Matching'!$B$2:$B$39,"--")</f>
        <v>Acquisition</v>
      </c>
      <c r="K3548" s="65" t="str">
        <f t="shared" si="1"/>
        <v>In</v>
      </c>
    </row>
    <row r="3549">
      <c r="A3549" s="62" t="s">
        <v>3687</v>
      </c>
      <c r="B3549" s="63">
        <v>44090.0</v>
      </c>
      <c r="C3549" s="62" t="s">
        <v>119</v>
      </c>
      <c r="D3549" s="64">
        <v>42.5</v>
      </c>
      <c r="E3549" s="62" t="s">
        <v>109</v>
      </c>
      <c r="F3549" s="62" t="s">
        <v>115</v>
      </c>
      <c r="G3549" s="64" t="s">
        <v>64</v>
      </c>
      <c r="H3549" s="3" t="s">
        <v>139</v>
      </c>
      <c r="I3549" s="65">
        <f>IFERROR(VLOOKUP(A3549,'3. Call duration'!$A:$C,3,0),"--")</f>
        <v>27.14770387</v>
      </c>
      <c r="J3549" s="65" t="str">
        <f t="array" ref="J3549">XLOOKUP(H3549,'2. Matching'!$A$2:$A$39,'2. Matching'!$B$2:$B$39,"--")</f>
        <v>Acquisition</v>
      </c>
      <c r="K3549" s="65" t="str">
        <f t="shared" si="1"/>
        <v>In</v>
      </c>
    </row>
    <row r="3550">
      <c r="A3550" s="62" t="s">
        <v>3688</v>
      </c>
      <c r="B3550" s="63">
        <v>44096.0</v>
      </c>
      <c r="C3550" s="62" t="s">
        <v>119</v>
      </c>
      <c r="D3550" s="64">
        <v>42.5</v>
      </c>
      <c r="E3550" s="62" t="s">
        <v>109</v>
      </c>
      <c r="F3550" s="62" t="s">
        <v>115</v>
      </c>
      <c r="G3550" s="64" t="s">
        <v>64</v>
      </c>
      <c r="H3550" s="3" t="s">
        <v>175</v>
      </c>
      <c r="I3550" s="65">
        <f>IFERROR(VLOOKUP(A3550,'3. Call duration'!$A:$C,3,0),"--")</f>
        <v>29.75266609</v>
      </c>
      <c r="J3550" s="65" t="str">
        <f t="array" ref="J3550">XLOOKUP(H3550,'2. Matching'!$A$2:$A$39,'2. Matching'!$B$2:$B$39,"--")</f>
        <v>SEO</v>
      </c>
      <c r="K3550" s="65" t="str">
        <f t="shared" si="1"/>
        <v>In</v>
      </c>
    </row>
    <row r="3551">
      <c r="A3551" s="62" t="s">
        <v>3689</v>
      </c>
      <c r="B3551" s="63">
        <v>44161.0</v>
      </c>
      <c r="C3551" s="62" t="s">
        <v>119</v>
      </c>
      <c r="D3551" s="64">
        <v>42.5</v>
      </c>
      <c r="E3551" s="62" t="s">
        <v>109</v>
      </c>
      <c r="F3551" s="62" t="s">
        <v>115</v>
      </c>
      <c r="G3551" s="64" t="s">
        <v>62</v>
      </c>
      <c r="H3551" s="3" t="s">
        <v>203</v>
      </c>
      <c r="I3551" s="65">
        <f>IFERROR(VLOOKUP(A3551,'3. Call duration'!$A:$C,3,0),"--")</f>
        <v>20.29757505</v>
      </c>
      <c r="J3551" s="65" t="str">
        <f t="array" ref="J3551">XLOOKUP(H3551,'2. Matching'!$A$2:$A$39,'2. Matching'!$B$2:$B$39,"--")</f>
        <v>Farming</v>
      </c>
      <c r="K3551" s="65" t="str">
        <f t="shared" si="1"/>
        <v>In</v>
      </c>
    </row>
    <row r="3552">
      <c r="A3552" s="62" t="s">
        <v>3690</v>
      </c>
      <c r="B3552" s="63">
        <v>44252.0</v>
      </c>
      <c r="C3552" s="62" t="s">
        <v>119</v>
      </c>
      <c r="D3552" s="64">
        <v>42.5</v>
      </c>
      <c r="E3552" s="62" t="s">
        <v>109</v>
      </c>
      <c r="F3552" s="62" t="s">
        <v>115</v>
      </c>
      <c r="G3552" s="64" t="s">
        <v>64</v>
      </c>
      <c r="H3552" s="3" t="s">
        <v>185</v>
      </c>
      <c r="I3552" s="65">
        <f>IFERROR(VLOOKUP(A3552,'3. Call duration'!$A:$C,3,0),"--")</f>
        <v>23.81114632</v>
      </c>
      <c r="J3552" s="65" t="str">
        <f t="array" ref="J3552">XLOOKUP(H3552,'2. Matching'!$A$2:$A$39,'2. Matching'!$B$2:$B$39,"--")</f>
        <v>SEO</v>
      </c>
      <c r="K3552" s="65" t="str">
        <f t="shared" si="1"/>
        <v>In</v>
      </c>
    </row>
    <row r="3553">
      <c r="A3553" s="62" t="s">
        <v>3691</v>
      </c>
      <c r="B3553" s="63">
        <v>44091.0</v>
      </c>
      <c r="C3553" s="62" t="s">
        <v>119</v>
      </c>
      <c r="D3553" s="64">
        <v>42.5</v>
      </c>
      <c r="E3553" s="62" t="s">
        <v>109</v>
      </c>
      <c r="F3553" s="62" t="s">
        <v>115</v>
      </c>
      <c r="G3553" s="64" t="s">
        <v>64</v>
      </c>
      <c r="H3553" s="3" t="s">
        <v>139</v>
      </c>
      <c r="I3553" s="65">
        <f>IFERROR(VLOOKUP(A3553,'3. Call duration'!$A:$C,3,0),"--")</f>
        <v>27.17534933</v>
      </c>
      <c r="J3553" s="65" t="str">
        <f t="array" ref="J3553">XLOOKUP(H3553,'2. Matching'!$A$2:$A$39,'2. Matching'!$B$2:$B$39,"--")</f>
        <v>Acquisition</v>
      </c>
      <c r="K3553" s="65" t="str">
        <f t="shared" si="1"/>
        <v>In</v>
      </c>
    </row>
    <row r="3554">
      <c r="A3554" s="62" t="s">
        <v>3692</v>
      </c>
      <c r="B3554" s="63">
        <v>44208.0</v>
      </c>
      <c r="C3554" s="62" t="s">
        <v>119</v>
      </c>
      <c r="D3554" s="64">
        <v>42.5</v>
      </c>
      <c r="E3554" s="62" t="s">
        <v>109</v>
      </c>
      <c r="F3554" s="62" t="s">
        <v>110</v>
      </c>
      <c r="G3554" s="64" t="s">
        <v>64</v>
      </c>
      <c r="H3554" s="3" t="s">
        <v>171</v>
      </c>
      <c r="I3554" s="65">
        <f>IFERROR(VLOOKUP(A3554,'3. Call duration'!$A:$C,3,0),"--")</f>
        <v>33.06695787</v>
      </c>
      <c r="J3554" s="65" t="str">
        <f t="array" ref="J3554">XLOOKUP(H3554,'2. Matching'!$A$2:$A$39,'2. Matching'!$B$2:$B$39,"--")</f>
        <v>SEO</v>
      </c>
      <c r="K3554" s="65" t="str">
        <f t="shared" si="1"/>
        <v>In</v>
      </c>
    </row>
    <row r="3555">
      <c r="A3555" s="62" t="s">
        <v>3693</v>
      </c>
      <c r="B3555" s="63">
        <v>44196.0</v>
      </c>
      <c r="C3555" s="62" t="s">
        <v>119</v>
      </c>
      <c r="D3555" s="64">
        <v>42.5</v>
      </c>
      <c r="E3555" s="62" t="s">
        <v>109</v>
      </c>
      <c r="F3555" s="62" t="s">
        <v>115</v>
      </c>
      <c r="G3555" s="64" t="s">
        <v>64</v>
      </c>
      <c r="H3555" s="3" t="s">
        <v>139</v>
      </c>
      <c r="I3555" s="65">
        <f>IFERROR(VLOOKUP(A3555,'3. Call duration'!$A:$C,3,0),"--")</f>
        <v>32.04395989</v>
      </c>
      <c r="J3555" s="65" t="str">
        <f t="array" ref="J3555">XLOOKUP(H3555,'2. Matching'!$A$2:$A$39,'2. Matching'!$B$2:$B$39,"--")</f>
        <v>Acquisition</v>
      </c>
      <c r="K3555" s="65" t="str">
        <f t="shared" si="1"/>
        <v>In</v>
      </c>
    </row>
    <row r="3556">
      <c r="A3556" s="62" t="s">
        <v>3694</v>
      </c>
      <c r="B3556" s="63">
        <v>44109.0</v>
      </c>
      <c r="C3556" s="62" t="s">
        <v>119</v>
      </c>
      <c r="D3556" s="64">
        <v>42.5</v>
      </c>
      <c r="E3556" s="62" t="s">
        <v>109</v>
      </c>
      <c r="F3556" s="62" t="s">
        <v>115</v>
      </c>
      <c r="G3556" s="64" t="s">
        <v>64</v>
      </c>
      <c r="H3556" s="3" t="s">
        <v>139</v>
      </c>
      <c r="I3556" s="65">
        <f>IFERROR(VLOOKUP(A3556,'3. Call duration'!$A:$C,3,0),"--")</f>
        <v>29.30001216</v>
      </c>
      <c r="J3556" s="65" t="str">
        <f t="array" ref="J3556">XLOOKUP(H3556,'2. Matching'!$A$2:$A$39,'2. Matching'!$B$2:$B$39,"--")</f>
        <v>Acquisition</v>
      </c>
      <c r="K3556" s="65" t="str">
        <f t="shared" si="1"/>
        <v>In</v>
      </c>
    </row>
    <row r="3557">
      <c r="A3557" s="62" t="s">
        <v>3695</v>
      </c>
      <c r="B3557" s="63">
        <v>44100.0</v>
      </c>
      <c r="C3557" s="62" t="s">
        <v>119</v>
      </c>
      <c r="D3557" s="64">
        <v>42.5</v>
      </c>
      <c r="E3557" s="62" t="s">
        <v>109</v>
      </c>
      <c r="F3557" s="62" t="s">
        <v>115</v>
      </c>
      <c r="G3557" s="64" t="s">
        <v>64</v>
      </c>
      <c r="H3557" s="3" t="s">
        <v>145</v>
      </c>
      <c r="I3557" s="65">
        <f>IFERROR(VLOOKUP(A3557,'3. Call duration'!$A:$C,3,0),"--")</f>
        <v>50.02804563</v>
      </c>
      <c r="J3557" s="65" t="str">
        <f t="array" ref="J3557">XLOOKUP(H3557,'2. Matching'!$A$2:$A$39,'2. Matching'!$B$2:$B$39,"--")</f>
        <v>SEO</v>
      </c>
      <c r="K3557" s="65" t="str">
        <f t="shared" si="1"/>
        <v>In</v>
      </c>
    </row>
    <row r="3558">
      <c r="A3558" s="62" t="s">
        <v>3696</v>
      </c>
      <c r="B3558" s="63">
        <v>44237.0</v>
      </c>
      <c r="C3558" s="62" t="s">
        <v>119</v>
      </c>
      <c r="D3558" s="64">
        <v>42.5</v>
      </c>
      <c r="E3558" s="62" t="s">
        <v>109</v>
      </c>
      <c r="F3558" s="62" t="s">
        <v>110</v>
      </c>
      <c r="G3558" s="64" t="s">
        <v>64</v>
      </c>
      <c r="H3558" s="3" t="s">
        <v>145</v>
      </c>
      <c r="I3558" s="65">
        <f>IFERROR(VLOOKUP(A3558,'3. Call duration'!$A:$C,3,0),"--")</f>
        <v>27.34170556</v>
      </c>
      <c r="J3558" s="65" t="str">
        <f t="array" ref="J3558">XLOOKUP(H3558,'2. Matching'!$A$2:$A$39,'2. Matching'!$B$2:$B$39,"--")</f>
        <v>SEO</v>
      </c>
      <c r="K3558" s="65" t="str">
        <f t="shared" si="1"/>
        <v>In</v>
      </c>
    </row>
    <row r="3559">
      <c r="A3559" s="62" t="s">
        <v>3697</v>
      </c>
      <c r="B3559" s="63">
        <v>44085.0</v>
      </c>
      <c r="C3559" s="62" t="s">
        <v>119</v>
      </c>
      <c r="D3559" s="64">
        <v>42.5</v>
      </c>
      <c r="E3559" s="62" t="s">
        <v>109</v>
      </c>
      <c r="F3559" s="62" t="s">
        <v>115</v>
      </c>
      <c r="G3559" s="64" t="s">
        <v>64</v>
      </c>
      <c r="H3559" s="3" t="s">
        <v>235</v>
      </c>
      <c r="I3559" s="65">
        <f>IFERROR(VLOOKUP(A3559,'3. Call duration'!$A:$C,3,0),"--")</f>
        <v>23.57843414</v>
      </c>
      <c r="J3559" s="65" t="str">
        <f t="array" ref="J3559">XLOOKUP(H3559,'2. Matching'!$A$2:$A$39,'2. Matching'!$B$2:$B$39,"--")</f>
        <v>Farming</v>
      </c>
      <c r="K3559" s="65" t="str">
        <f t="shared" si="1"/>
        <v>In</v>
      </c>
    </row>
    <row r="3560">
      <c r="A3560" s="62" t="s">
        <v>3698</v>
      </c>
      <c r="B3560" s="63">
        <v>44245.0</v>
      </c>
      <c r="C3560" s="62" t="s">
        <v>119</v>
      </c>
      <c r="D3560" s="64">
        <v>42.5</v>
      </c>
      <c r="E3560" s="62" t="s">
        <v>109</v>
      </c>
      <c r="F3560" s="62" t="s">
        <v>115</v>
      </c>
      <c r="G3560" s="64" t="s">
        <v>64</v>
      </c>
      <c r="H3560" s="3" t="s">
        <v>139</v>
      </c>
      <c r="I3560" s="65">
        <f>IFERROR(VLOOKUP(A3560,'3. Call duration'!$A:$C,3,0),"--")</f>
        <v>13.15275888</v>
      </c>
      <c r="J3560" s="65" t="str">
        <f t="array" ref="J3560">XLOOKUP(H3560,'2. Matching'!$A$2:$A$39,'2. Matching'!$B$2:$B$39,"--")</f>
        <v>Acquisition</v>
      </c>
      <c r="K3560" s="65" t="str">
        <f t="shared" si="1"/>
        <v>In</v>
      </c>
    </row>
    <row r="3561">
      <c r="A3561" s="62" t="s">
        <v>3699</v>
      </c>
      <c r="B3561" s="63">
        <v>44228.0</v>
      </c>
      <c r="C3561" s="62" t="s">
        <v>119</v>
      </c>
      <c r="D3561" s="64">
        <v>42.5</v>
      </c>
      <c r="E3561" s="62" t="s">
        <v>109</v>
      </c>
      <c r="F3561" s="62" t="s">
        <v>115</v>
      </c>
      <c r="G3561" s="64" t="s">
        <v>64</v>
      </c>
      <c r="H3561" s="3" t="s">
        <v>131</v>
      </c>
      <c r="I3561" s="65">
        <f>IFERROR(VLOOKUP(A3561,'3. Call duration'!$A:$C,3,0),"--")</f>
        <v>26.89165169</v>
      </c>
      <c r="J3561" s="65" t="str">
        <f t="array" ref="J3561">XLOOKUP(H3561,'2. Matching'!$A$2:$A$39,'2. Matching'!$B$2:$B$39,"--")</f>
        <v>Acquisition</v>
      </c>
      <c r="K3561" s="65" t="str">
        <f t="shared" si="1"/>
        <v>In</v>
      </c>
    </row>
    <row r="3562">
      <c r="A3562" s="62" t="s">
        <v>3700</v>
      </c>
      <c r="B3562" s="63">
        <v>44224.0</v>
      </c>
      <c r="C3562" s="62" t="s">
        <v>119</v>
      </c>
      <c r="D3562" s="64">
        <v>42.5</v>
      </c>
      <c r="E3562" s="62" t="s">
        <v>109</v>
      </c>
      <c r="F3562" s="62" t="s">
        <v>115</v>
      </c>
      <c r="G3562" s="64" t="s">
        <v>64</v>
      </c>
      <c r="H3562" s="3" t="s">
        <v>169</v>
      </c>
      <c r="I3562" s="65">
        <f>IFERROR(VLOOKUP(A3562,'3. Call duration'!$A:$C,3,0),"--")</f>
        <v>13.71528836</v>
      </c>
      <c r="J3562" s="65" t="str">
        <f t="array" ref="J3562">XLOOKUP(H3562,'2. Matching'!$A$2:$A$39,'2. Matching'!$B$2:$B$39,"--")</f>
        <v>SEO</v>
      </c>
      <c r="K3562" s="65" t="str">
        <f t="shared" si="1"/>
        <v>In</v>
      </c>
    </row>
    <row r="3563">
      <c r="A3563" s="62" t="s">
        <v>3701</v>
      </c>
      <c r="B3563" s="63">
        <v>44144.0</v>
      </c>
      <c r="C3563" s="62" t="s">
        <v>119</v>
      </c>
      <c r="D3563" s="64">
        <v>42.5</v>
      </c>
      <c r="E3563" s="62" t="s">
        <v>109</v>
      </c>
      <c r="F3563" s="62" t="s">
        <v>115</v>
      </c>
      <c r="G3563" s="64" t="s">
        <v>64</v>
      </c>
      <c r="H3563" s="3" t="s">
        <v>155</v>
      </c>
      <c r="I3563" s="65">
        <f>IFERROR(VLOOKUP(A3563,'3. Call duration'!$A:$C,3,0),"--")</f>
        <v>25.88714451</v>
      </c>
      <c r="J3563" s="65" t="str">
        <f t="array" ref="J3563">XLOOKUP(H3563,'2. Matching'!$A$2:$A$39,'2. Matching'!$B$2:$B$39,"--")</f>
        <v>SEO</v>
      </c>
      <c r="K3563" s="65" t="str">
        <f t="shared" si="1"/>
        <v>In</v>
      </c>
    </row>
    <row r="3564">
      <c r="A3564" s="62" t="s">
        <v>3702</v>
      </c>
      <c r="B3564" s="63">
        <v>44236.0</v>
      </c>
      <c r="C3564" s="62" t="s">
        <v>119</v>
      </c>
      <c r="D3564" s="64">
        <v>42.5</v>
      </c>
      <c r="E3564" s="62" t="s">
        <v>109</v>
      </c>
      <c r="F3564" s="62" t="s">
        <v>115</v>
      </c>
      <c r="G3564" s="64" t="s">
        <v>64</v>
      </c>
      <c r="H3564" s="3" t="s">
        <v>139</v>
      </c>
      <c r="I3564" s="65">
        <f>IFERROR(VLOOKUP(A3564,'3. Call duration'!$A:$C,3,0),"--")</f>
        <v>31.60447493</v>
      </c>
      <c r="J3564" s="65" t="str">
        <f t="array" ref="J3564">XLOOKUP(H3564,'2. Matching'!$A$2:$A$39,'2. Matching'!$B$2:$B$39,"--")</f>
        <v>Acquisition</v>
      </c>
      <c r="K3564" s="65" t="str">
        <f t="shared" si="1"/>
        <v>In</v>
      </c>
    </row>
    <row r="3565">
      <c r="A3565" s="62" t="s">
        <v>3703</v>
      </c>
      <c r="B3565" s="63">
        <v>44225.0</v>
      </c>
      <c r="C3565" s="62" t="s">
        <v>119</v>
      </c>
      <c r="D3565" s="64">
        <v>42.5</v>
      </c>
      <c r="E3565" s="62" t="s">
        <v>109</v>
      </c>
      <c r="F3565" s="62" t="s">
        <v>115</v>
      </c>
      <c r="G3565" s="64" t="s">
        <v>64</v>
      </c>
      <c r="H3565" s="3" t="s">
        <v>139</v>
      </c>
      <c r="I3565" s="65">
        <f>IFERROR(VLOOKUP(A3565,'3. Call duration'!$A:$C,3,0),"--")</f>
        <v>32.75776782</v>
      </c>
      <c r="J3565" s="65" t="str">
        <f t="array" ref="J3565">XLOOKUP(H3565,'2. Matching'!$A$2:$A$39,'2. Matching'!$B$2:$B$39,"--")</f>
        <v>Acquisition</v>
      </c>
      <c r="K3565" s="65" t="str">
        <f t="shared" si="1"/>
        <v>In</v>
      </c>
    </row>
    <row r="3566">
      <c r="A3566" s="62" t="s">
        <v>3704</v>
      </c>
      <c r="B3566" s="63">
        <v>44144.0</v>
      </c>
      <c r="C3566" s="62" t="s">
        <v>119</v>
      </c>
      <c r="D3566" s="64">
        <v>42.5</v>
      </c>
      <c r="E3566" s="62" t="s">
        <v>109</v>
      </c>
      <c r="F3566" s="62" t="s">
        <v>110</v>
      </c>
      <c r="G3566" s="64" t="s">
        <v>64</v>
      </c>
      <c r="H3566" s="3" t="s">
        <v>175</v>
      </c>
      <c r="I3566" s="65">
        <f>IFERROR(VLOOKUP(A3566,'3. Call duration'!$A:$C,3,0),"--")</f>
        <v>44.64294829</v>
      </c>
      <c r="J3566" s="65" t="str">
        <f t="array" ref="J3566">XLOOKUP(H3566,'2. Matching'!$A$2:$A$39,'2. Matching'!$B$2:$B$39,"--")</f>
        <v>SEO</v>
      </c>
      <c r="K3566" s="65" t="str">
        <f t="shared" si="1"/>
        <v>In</v>
      </c>
    </row>
    <row r="3567">
      <c r="A3567" s="62" t="s">
        <v>3705</v>
      </c>
      <c r="B3567" s="63">
        <v>44194.0</v>
      </c>
      <c r="C3567" s="62" t="s">
        <v>119</v>
      </c>
      <c r="D3567" s="64">
        <v>42.5</v>
      </c>
      <c r="E3567" s="62" t="s">
        <v>109</v>
      </c>
      <c r="F3567" s="62" t="s">
        <v>115</v>
      </c>
      <c r="G3567" s="64" t="s">
        <v>64</v>
      </c>
      <c r="H3567" s="3" t="s">
        <v>139</v>
      </c>
      <c r="I3567" s="65">
        <f>IFERROR(VLOOKUP(A3567,'3. Call duration'!$A:$C,3,0),"--")</f>
        <v>32.85379066</v>
      </c>
      <c r="J3567" s="65" t="str">
        <f t="array" ref="J3567">XLOOKUP(H3567,'2. Matching'!$A$2:$A$39,'2. Matching'!$B$2:$B$39,"--")</f>
        <v>Acquisition</v>
      </c>
      <c r="K3567" s="65" t="str">
        <f t="shared" si="1"/>
        <v>In</v>
      </c>
    </row>
    <row r="3568">
      <c r="A3568" s="62" t="s">
        <v>3706</v>
      </c>
      <c r="B3568" s="63">
        <v>44227.0</v>
      </c>
      <c r="C3568" s="62" t="s">
        <v>119</v>
      </c>
      <c r="D3568" s="64">
        <v>42.5</v>
      </c>
      <c r="E3568" s="62" t="s">
        <v>109</v>
      </c>
      <c r="F3568" s="62" t="s">
        <v>115</v>
      </c>
      <c r="G3568" s="64" t="s">
        <v>64</v>
      </c>
      <c r="H3568" s="3" t="s">
        <v>139</v>
      </c>
      <c r="I3568" s="65">
        <f>IFERROR(VLOOKUP(A3568,'3. Call duration'!$A:$C,3,0),"--")</f>
        <v>30.1059233</v>
      </c>
      <c r="J3568" s="65" t="str">
        <f t="array" ref="J3568">XLOOKUP(H3568,'2. Matching'!$A$2:$A$39,'2. Matching'!$B$2:$B$39,"--")</f>
        <v>Acquisition</v>
      </c>
      <c r="K3568" s="65" t="str">
        <f t="shared" si="1"/>
        <v>In</v>
      </c>
    </row>
    <row r="3569">
      <c r="A3569" s="62" t="s">
        <v>3707</v>
      </c>
      <c r="B3569" s="63">
        <v>44212.0</v>
      </c>
      <c r="C3569" s="62" t="s">
        <v>119</v>
      </c>
      <c r="D3569" s="64">
        <v>42.5</v>
      </c>
      <c r="E3569" s="62" t="s">
        <v>109</v>
      </c>
      <c r="F3569" s="62" t="s">
        <v>115</v>
      </c>
      <c r="G3569" s="64" t="s">
        <v>64</v>
      </c>
      <c r="H3569" s="3" t="s">
        <v>139</v>
      </c>
      <c r="I3569" s="65">
        <f>IFERROR(VLOOKUP(A3569,'3. Call duration'!$A:$C,3,0),"--")</f>
        <v>45.17369956</v>
      </c>
      <c r="J3569" s="65" t="str">
        <f t="array" ref="J3569">XLOOKUP(H3569,'2. Matching'!$A$2:$A$39,'2. Matching'!$B$2:$B$39,"--")</f>
        <v>Acquisition</v>
      </c>
      <c r="K3569" s="65" t="str">
        <f t="shared" si="1"/>
        <v>In</v>
      </c>
    </row>
    <row r="3570">
      <c r="A3570" s="62" t="s">
        <v>3708</v>
      </c>
      <c r="B3570" s="63">
        <v>44236.0</v>
      </c>
      <c r="C3570" s="62" t="s">
        <v>119</v>
      </c>
      <c r="D3570" s="64">
        <v>42.5</v>
      </c>
      <c r="E3570" s="62" t="s">
        <v>109</v>
      </c>
      <c r="F3570" s="62" t="s">
        <v>115</v>
      </c>
      <c r="G3570" s="64" t="s">
        <v>64</v>
      </c>
      <c r="H3570" s="3" t="s">
        <v>139</v>
      </c>
      <c r="I3570" s="65">
        <f>IFERROR(VLOOKUP(A3570,'3. Call duration'!$A:$C,3,0),"--")</f>
        <v>42.47993868</v>
      </c>
      <c r="J3570" s="65" t="str">
        <f t="array" ref="J3570">XLOOKUP(H3570,'2. Matching'!$A$2:$A$39,'2. Matching'!$B$2:$B$39,"--")</f>
        <v>Acquisition</v>
      </c>
      <c r="K3570" s="65" t="str">
        <f t="shared" si="1"/>
        <v>In</v>
      </c>
    </row>
    <row r="3571">
      <c r="A3571" s="62" t="s">
        <v>3709</v>
      </c>
      <c r="B3571" s="63">
        <v>44118.0</v>
      </c>
      <c r="C3571" s="62" t="s">
        <v>119</v>
      </c>
      <c r="D3571" s="64">
        <v>42.5</v>
      </c>
      <c r="E3571" s="62" t="s">
        <v>109</v>
      </c>
      <c r="F3571" s="62" t="s">
        <v>115</v>
      </c>
      <c r="G3571" s="64" t="s">
        <v>64</v>
      </c>
      <c r="H3571" s="3" t="s">
        <v>175</v>
      </c>
      <c r="I3571" s="65">
        <f>IFERROR(VLOOKUP(A3571,'3. Call duration'!$A:$C,3,0),"--")</f>
        <v>30.84398708</v>
      </c>
      <c r="J3571" s="65" t="str">
        <f t="array" ref="J3571">XLOOKUP(H3571,'2. Matching'!$A$2:$A$39,'2. Matching'!$B$2:$B$39,"--")</f>
        <v>SEO</v>
      </c>
      <c r="K3571" s="65" t="str">
        <f t="shared" si="1"/>
        <v>In</v>
      </c>
    </row>
    <row r="3572">
      <c r="A3572" s="62" t="s">
        <v>3710</v>
      </c>
      <c r="B3572" s="63">
        <v>44193.0</v>
      </c>
      <c r="C3572" s="62" t="s">
        <v>119</v>
      </c>
      <c r="D3572" s="64">
        <v>42.5</v>
      </c>
      <c r="E3572" s="62" t="s">
        <v>109</v>
      </c>
      <c r="F3572" s="62" t="s">
        <v>115</v>
      </c>
      <c r="G3572" s="64" t="s">
        <v>64</v>
      </c>
      <c r="H3572" s="3" t="s">
        <v>175</v>
      </c>
      <c r="I3572" s="65">
        <f>IFERROR(VLOOKUP(A3572,'3. Call duration'!$A:$C,3,0),"--")</f>
        <v>30.96185398</v>
      </c>
      <c r="J3572" s="65" t="str">
        <f t="array" ref="J3572">XLOOKUP(H3572,'2. Matching'!$A$2:$A$39,'2. Matching'!$B$2:$B$39,"--")</f>
        <v>SEO</v>
      </c>
      <c r="K3572" s="65" t="str">
        <f t="shared" si="1"/>
        <v>In</v>
      </c>
    </row>
    <row r="3573">
      <c r="A3573" s="62" t="s">
        <v>3711</v>
      </c>
      <c r="B3573" s="63">
        <v>44207.0</v>
      </c>
      <c r="C3573" s="62" t="s">
        <v>119</v>
      </c>
      <c r="D3573" s="64">
        <v>42.5</v>
      </c>
      <c r="E3573" s="62" t="s">
        <v>109</v>
      </c>
      <c r="F3573" s="62" t="s">
        <v>115</v>
      </c>
      <c r="G3573" s="64" t="s">
        <v>64</v>
      </c>
      <c r="H3573" s="3" t="s">
        <v>171</v>
      </c>
      <c r="I3573" s="65">
        <f>IFERROR(VLOOKUP(A3573,'3. Call duration'!$A:$C,3,0),"--")</f>
        <v>28.93092163</v>
      </c>
      <c r="J3573" s="65" t="str">
        <f t="array" ref="J3573">XLOOKUP(H3573,'2. Matching'!$A$2:$A$39,'2. Matching'!$B$2:$B$39,"--")</f>
        <v>SEO</v>
      </c>
      <c r="K3573" s="65" t="str">
        <f t="shared" si="1"/>
        <v>In</v>
      </c>
    </row>
    <row r="3574">
      <c r="A3574" s="62" t="s">
        <v>3712</v>
      </c>
      <c r="B3574" s="63">
        <v>44111.0</v>
      </c>
      <c r="C3574" s="62" t="s">
        <v>119</v>
      </c>
      <c r="D3574" s="64">
        <v>42.5</v>
      </c>
      <c r="E3574" s="62" t="s">
        <v>109</v>
      </c>
      <c r="F3574" s="62" t="s">
        <v>115</v>
      </c>
      <c r="G3574" s="64" t="s">
        <v>64</v>
      </c>
      <c r="H3574" s="3" t="s">
        <v>139</v>
      </c>
      <c r="I3574" s="65">
        <f>IFERROR(VLOOKUP(A3574,'3. Call duration'!$A:$C,3,0),"--")</f>
        <v>25.48520433</v>
      </c>
      <c r="J3574" s="65" t="str">
        <f t="array" ref="J3574">XLOOKUP(H3574,'2. Matching'!$A$2:$A$39,'2. Matching'!$B$2:$B$39,"--")</f>
        <v>Acquisition</v>
      </c>
      <c r="K3574" s="65" t="str">
        <f t="shared" si="1"/>
        <v>In</v>
      </c>
    </row>
    <row r="3575">
      <c r="A3575" s="62" t="s">
        <v>3713</v>
      </c>
      <c r="B3575" s="63">
        <v>44119.0</v>
      </c>
      <c r="C3575" s="62" t="s">
        <v>119</v>
      </c>
      <c r="D3575" s="64">
        <v>42.5</v>
      </c>
      <c r="E3575" s="62" t="s">
        <v>109</v>
      </c>
      <c r="F3575" s="62" t="s">
        <v>115</v>
      </c>
      <c r="G3575" s="64" t="s">
        <v>64</v>
      </c>
      <c r="H3575" s="3" t="s">
        <v>139</v>
      </c>
      <c r="I3575" s="65">
        <f>IFERROR(VLOOKUP(A3575,'3. Call duration'!$A:$C,3,0),"--")</f>
        <v>25.91796776</v>
      </c>
      <c r="J3575" s="65" t="str">
        <f t="array" ref="J3575">XLOOKUP(H3575,'2. Matching'!$A$2:$A$39,'2. Matching'!$B$2:$B$39,"--")</f>
        <v>Acquisition</v>
      </c>
      <c r="K3575" s="65" t="str">
        <f t="shared" si="1"/>
        <v>In</v>
      </c>
    </row>
    <row r="3576">
      <c r="A3576" s="62" t="s">
        <v>3714</v>
      </c>
      <c r="B3576" s="63">
        <v>44096.0</v>
      </c>
      <c r="C3576" s="62" t="s">
        <v>119</v>
      </c>
      <c r="D3576" s="64">
        <v>42.5</v>
      </c>
      <c r="E3576" s="62" t="s">
        <v>109</v>
      </c>
      <c r="F3576" s="62" t="s">
        <v>115</v>
      </c>
      <c r="G3576" s="64" t="s">
        <v>64</v>
      </c>
      <c r="H3576" s="3" t="s">
        <v>139</v>
      </c>
      <c r="I3576" s="65">
        <f>IFERROR(VLOOKUP(A3576,'3. Call duration'!$A:$C,3,0),"--")</f>
        <v>29.84984964</v>
      </c>
      <c r="J3576" s="65" t="str">
        <f t="array" ref="J3576">XLOOKUP(H3576,'2. Matching'!$A$2:$A$39,'2. Matching'!$B$2:$B$39,"--")</f>
        <v>Acquisition</v>
      </c>
      <c r="K3576" s="65" t="str">
        <f t="shared" si="1"/>
        <v>In</v>
      </c>
    </row>
    <row r="3577">
      <c r="A3577" s="62" t="s">
        <v>3715</v>
      </c>
      <c r="B3577" s="63">
        <v>44231.0</v>
      </c>
      <c r="C3577" s="62" t="s">
        <v>119</v>
      </c>
      <c r="D3577" s="64">
        <v>42.5</v>
      </c>
      <c r="E3577" s="62" t="s">
        <v>109</v>
      </c>
      <c r="F3577" s="62" t="s">
        <v>115</v>
      </c>
      <c r="G3577" s="64" t="s">
        <v>64</v>
      </c>
      <c r="H3577" s="3" t="s">
        <v>169</v>
      </c>
      <c r="I3577" s="65">
        <f>IFERROR(VLOOKUP(A3577,'3. Call duration'!$A:$C,3,0),"--")</f>
        <v>24.93742049</v>
      </c>
      <c r="J3577" s="65" t="str">
        <f t="array" ref="J3577">XLOOKUP(H3577,'2. Matching'!$A$2:$A$39,'2. Matching'!$B$2:$B$39,"--")</f>
        <v>SEO</v>
      </c>
      <c r="K3577" s="65" t="str">
        <f t="shared" si="1"/>
        <v>In</v>
      </c>
    </row>
    <row r="3578">
      <c r="A3578" s="62" t="s">
        <v>3716</v>
      </c>
      <c r="B3578" s="63">
        <v>44134.0</v>
      </c>
      <c r="C3578" s="62" t="s">
        <v>119</v>
      </c>
      <c r="D3578" s="64">
        <v>42.5</v>
      </c>
      <c r="E3578" s="62" t="s">
        <v>109</v>
      </c>
      <c r="F3578" s="62" t="s">
        <v>115</v>
      </c>
      <c r="G3578" s="64" t="s">
        <v>64</v>
      </c>
      <c r="H3578" s="3" t="s">
        <v>171</v>
      </c>
      <c r="I3578" s="65">
        <f>IFERROR(VLOOKUP(A3578,'3. Call duration'!$A:$C,3,0),"--")</f>
        <v>21.05717406</v>
      </c>
      <c r="J3578" s="65" t="str">
        <f t="array" ref="J3578">XLOOKUP(H3578,'2. Matching'!$A$2:$A$39,'2. Matching'!$B$2:$B$39,"--")</f>
        <v>SEO</v>
      </c>
      <c r="K3578" s="65" t="str">
        <f t="shared" si="1"/>
        <v>In</v>
      </c>
    </row>
    <row r="3579">
      <c r="A3579" s="62" t="s">
        <v>3717</v>
      </c>
      <c r="B3579" s="63">
        <v>44169.0</v>
      </c>
      <c r="C3579" s="62" t="s">
        <v>119</v>
      </c>
      <c r="D3579" s="64">
        <v>42.5</v>
      </c>
      <c r="E3579" s="62" t="s">
        <v>109</v>
      </c>
      <c r="F3579" s="62" t="s">
        <v>110</v>
      </c>
      <c r="G3579" s="64" t="s">
        <v>64</v>
      </c>
      <c r="H3579" s="3" t="s">
        <v>155</v>
      </c>
      <c r="I3579" s="65">
        <f>IFERROR(VLOOKUP(A3579,'3. Call duration'!$A:$C,3,0),"--")</f>
        <v>28.32186184</v>
      </c>
      <c r="J3579" s="65" t="str">
        <f t="array" ref="J3579">XLOOKUP(H3579,'2. Matching'!$A$2:$A$39,'2. Matching'!$B$2:$B$39,"--")</f>
        <v>SEO</v>
      </c>
      <c r="K3579" s="65" t="str">
        <f t="shared" si="1"/>
        <v>In</v>
      </c>
    </row>
    <row r="3580">
      <c r="A3580" s="62" t="s">
        <v>3718</v>
      </c>
      <c r="B3580" s="63">
        <v>44176.0</v>
      </c>
      <c r="C3580" s="62" t="s">
        <v>119</v>
      </c>
      <c r="D3580" s="64">
        <v>42.5</v>
      </c>
      <c r="E3580" s="62" t="s">
        <v>109</v>
      </c>
      <c r="F3580" s="62" t="s">
        <v>115</v>
      </c>
      <c r="G3580" s="64" t="s">
        <v>64</v>
      </c>
      <c r="H3580" s="3" t="s">
        <v>169</v>
      </c>
      <c r="I3580" s="65">
        <f>IFERROR(VLOOKUP(A3580,'3. Call duration'!$A:$C,3,0),"--")</f>
        <v>30.1209355</v>
      </c>
      <c r="J3580" s="65" t="str">
        <f t="array" ref="J3580">XLOOKUP(H3580,'2. Matching'!$A$2:$A$39,'2. Matching'!$B$2:$B$39,"--")</f>
        <v>SEO</v>
      </c>
      <c r="K3580" s="65" t="str">
        <f t="shared" si="1"/>
        <v>In</v>
      </c>
    </row>
    <row r="3581">
      <c r="A3581" s="62" t="s">
        <v>3719</v>
      </c>
      <c r="B3581" s="63">
        <v>44224.0</v>
      </c>
      <c r="C3581" s="62" t="s">
        <v>119</v>
      </c>
      <c r="D3581" s="64">
        <v>42.5</v>
      </c>
      <c r="E3581" s="62" t="s">
        <v>109</v>
      </c>
      <c r="F3581" s="62" t="s">
        <v>115</v>
      </c>
      <c r="G3581" s="64" t="s">
        <v>64</v>
      </c>
      <c r="H3581" s="3" t="s">
        <v>131</v>
      </c>
      <c r="I3581" s="65">
        <f>IFERROR(VLOOKUP(A3581,'3. Call duration'!$A:$C,3,0),"--")</f>
        <v>33.26231349</v>
      </c>
      <c r="J3581" s="65" t="str">
        <f t="array" ref="J3581">XLOOKUP(H3581,'2. Matching'!$A$2:$A$39,'2. Matching'!$B$2:$B$39,"--")</f>
        <v>Acquisition</v>
      </c>
      <c r="K3581" s="65" t="str">
        <f t="shared" si="1"/>
        <v>In</v>
      </c>
    </row>
    <row r="3582">
      <c r="A3582" s="62" t="s">
        <v>3720</v>
      </c>
      <c r="B3582" s="63">
        <v>44120.0</v>
      </c>
      <c r="C3582" s="62" t="s">
        <v>119</v>
      </c>
      <c r="D3582" s="64">
        <v>42.5</v>
      </c>
      <c r="E3582" s="62" t="s">
        <v>109</v>
      </c>
      <c r="F3582" s="62" t="s">
        <v>115</v>
      </c>
      <c r="G3582" s="64" t="s">
        <v>64</v>
      </c>
      <c r="H3582" s="3" t="s">
        <v>139</v>
      </c>
      <c r="I3582" s="65">
        <f>IFERROR(VLOOKUP(A3582,'3. Call duration'!$A:$C,3,0),"--")</f>
        <v>22.95742979</v>
      </c>
      <c r="J3582" s="65" t="str">
        <f t="array" ref="J3582">XLOOKUP(H3582,'2. Matching'!$A$2:$A$39,'2. Matching'!$B$2:$B$39,"--")</f>
        <v>Acquisition</v>
      </c>
      <c r="K3582" s="65" t="str">
        <f t="shared" si="1"/>
        <v>In</v>
      </c>
    </row>
    <row r="3583">
      <c r="A3583" s="62" t="s">
        <v>3721</v>
      </c>
      <c r="B3583" s="63">
        <v>44124.0</v>
      </c>
      <c r="C3583" s="62" t="s">
        <v>119</v>
      </c>
      <c r="D3583" s="64">
        <v>42.5</v>
      </c>
      <c r="E3583" s="62" t="s">
        <v>109</v>
      </c>
      <c r="F3583" s="62" t="s">
        <v>115</v>
      </c>
      <c r="G3583" s="64" t="s">
        <v>64</v>
      </c>
      <c r="H3583" s="3" t="s">
        <v>164</v>
      </c>
      <c r="I3583" s="65">
        <f>IFERROR(VLOOKUP(A3583,'3. Call duration'!$A:$C,3,0),"--")</f>
        <v>28.94698118</v>
      </c>
      <c r="J3583" s="65" t="str">
        <f t="array" ref="J3583">XLOOKUP(H3583,'2. Matching'!$A$2:$A$39,'2. Matching'!$B$2:$B$39,"--")</f>
        <v>SEO</v>
      </c>
      <c r="K3583" s="65" t="str">
        <f t="shared" si="1"/>
        <v>In</v>
      </c>
    </row>
    <row r="3584">
      <c r="A3584" s="62" t="s">
        <v>3722</v>
      </c>
      <c r="B3584" s="63">
        <v>44078.0</v>
      </c>
      <c r="C3584" s="62" t="s">
        <v>119</v>
      </c>
      <c r="D3584" s="64">
        <v>42.5</v>
      </c>
      <c r="E3584" s="62" t="s">
        <v>109</v>
      </c>
      <c r="F3584" s="62" t="s">
        <v>110</v>
      </c>
      <c r="G3584" s="64" t="s">
        <v>64</v>
      </c>
      <c r="H3584" s="3" t="s">
        <v>155</v>
      </c>
      <c r="I3584" s="65">
        <f>IFERROR(VLOOKUP(A3584,'3. Call duration'!$A:$C,3,0),"--")</f>
        <v>46.12572844</v>
      </c>
      <c r="J3584" s="65" t="str">
        <f t="array" ref="J3584">XLOOKUP(H3584,'2. Matching'!$A$2:$A$39,'2. Matching'!$B$2:$B$39,"--")</f>
        <v>SEO</v>
      </c>
      <c r="K3584" s="65" t="str">
        <f t="shared" si="1"/>
        <v>In</v>
      </c>
    </row>
    <row r="3585">
      <c r="A3585" s="62" t="s">
        <v>3723</v>
      </c>
      <c r="B3585" s="63">
        <v>44142.0</v>
      </c>
      <c r="C3585" s="62" t="s">
        <v>119</v>
      </c>
      <c r="D3585" s="64">
        <v>42.5</v>
      </c>
      <c r="E3585" s="62" t="s">
        <v>109</v>
      </c>
      <c r="F3585" s="62" t="s">
        <v>115</v>
      </c>
      <c r="G3585" s="64" t="s">
        <v>64</v>
      </c>
      <c r="H3585" s="3" t="s">
        <v>139</v>
      </c>
      <c r="I3585" s="65">
        <f>IFERROR(VLOOKUP(A3585,'3. Call duration'!$A:$C,3,0),"--")</f>
        <v>33.03728205</v>
      </c>
      <c r="J3585" s="65" t="str">
        <f t="array" ref="J3585">XLOOKUP(H3585,'2. Matching'!$A$2:$A$39,'2. Matching'!$B$2:$B$39,"--")</f>
        <v>Acquisition</v>
      </c>
      <c r="K3585" s="65" t="str">
        <f t="shared" si="1"/>
        <v>In</v>
      </c>
    </row>
    <row r="3586">
      <c r="A3586" s="62" t="s">
        <v>3724</v>
      </c>
      <c r="B3586" s="63">
        <v>44165.0</v>
      </c>
      <c r="C3586" s="62" t="s">
        <v>119</v>
      </c>
      <c r="D3586" s="64">
        <v>42.5</v>
      </c>
      <c r="E3586" s="62" t="s">
        <v>109</v>
      </c>
      <c r="F3586" s="62" t="s">
        <v>115</v>
      </c>
      <c r="G3586" s="64" t="s">
        <v>64</v>
      </c>
      <c r="H3586" s="3" t="s">
        <v>235</v>
      </c>
      <c r="I3586" s="65">
        <f>IFERROR(VLOOKUP(A3586,'3. Call duration'!$A:$C,3,0),"--")</f>
        <v>20.76386858</v>
      </c>
      <c r="J3586" s="65" t="str">
        <f t="array" ref="J3586">XLOOKUP(H3586,'2. Matching'!$A$2:$A$39,'2. Matching'!$B$2:$B$39,"--")</f>
        <v>Farming</v>
      </c>
      <c r="K3586" s="65" t="str">
        <f t="shared" si="1"/>
        <v>In</v>
      </c>
    </row>
    <row r="3587">
      <c r="A3587" s="62" t="s">
        <v>3725</v>
      </c>
      <c r="B3587" s="63">
        <v>44151.0</v>
      </c>
      <c r="C3587" s="62" t="s">
        <v>119</v>
      </c>
      <c r="D3587" s="64">
        <v>42.5</v>
      </c>
      <c r="E3587" s="62" t="s">
        <v>109</v>
      </c>
      <c r="F3587" s="62" t="s">
        <v>110</v>
      </c>
      <c r="G3587" s="64" t="s">
        <v>64</v>
      </c>
      <c r="H3587" s="3" t="s">
        <v>145</v>
      </c>
      <c r="I3587" s="65">
        <f>IFERROR(VLOOKUP(A3587,'3. Call duration'!$A:$C,3,0),"--")</f>
        <v>16.52763983</v>
      </c>
      <c r="J3587" s="65" t="str">
        <f t="array" ref="J3587">XLOOKUP(H3587,'2. Matching'!$A$2:$A$39,'2. Matching'!$B$2:$B$39,"--")</f>
        <v>SEO</v>
      </c>
      <c r="K3587" s="65" t="str">
        <f t="shared" si="1"/>
        <v>In</v>
      </c>
    </row>
    <row r="3588">
      <c r="A3588" s="62" t="s">
        <v>3726</v>
      </c>
      <c r="B3588" s="63">
        <v>44099.0</v>
      </c>
      <c r="C3588" s="62" t="s">
        <v>119</v>
      </c>
      <c r="D3588" s="64">
        <v>42.5</v>
      </c>
      <c r="E3588" s="62" t="s">
        <v>109</v>
      </c>
      <c r="F3588" s="62" t="s">
        <v>115</v>
      </c>
      <c r="G3588" s="64" t="s">
        <v>64</v>
      </c>
      <c r="H3588" s="3" t="s">
        <v>175</v>
      </c>
      <c r="I3588" s="65">
        <f>IFERROR(VLOOKUP(A3588,'3. Call duration'!$A:$C,3,0),"--")</f>
        <v>31.77659541</v>
      </c>
      <c r="J3588" s="65" t="str">
        <f t="array" ref="J3588">XLOOKUP(H3588,'2. Matching'!$A$2:$A$39,'2. Matching'!$B$2:$B$39,"--")</f>
        <v>SEO</v>
      </c>
      <c r="K3588" s="65" t="str">
        <f t="shared" si="1"/>
        <v>In</v>
      </c>
    </row>
    <row r="3589">
      <c r="A3589" s="62" t="s">
        <v>3727</v>
      </c>
      <c r="B3589" s="63">
        <v>44232.0</v>
      </c>
      <c r="C3589" s="62" t="s">
        <v>119</v>
      </c>
      <c r="D3589" s="64">
        <v>42.5</v>
      </c>
      <c r="E3589" s="62" t="s">
        <v>109</v>
      </c>
      <c r="F3589" s="62" t="s">
        <v>110</v>
      </c>
      <c r="G3589" s="64" t="s">
        <v>64</v>
      </c>
      <c r="H3589" s="3" t="s">
        <v>49</v>
      </c>
      <c r="I3589" s="65">
        <f>IFERROR(VLOOKUP(A3589,'3. Call duration'!$A:$C,3,0),"--")</f>
        <v>18.07145309</v>
      </c>
      <c r="J3589" s="65" t="str">
        <f t="array" ref="J3589">XLOOKUP(H3589,'2. Matching'!$A$2:$A$39,'2. Matching'!$B$2:$B$39,"--")</f>
        <v>Partnerships</v>
      </c>
      <c r="K3589" s="65" t="str">
        <f t="shared" si="1"/>
        <v>In</v>
      </c>
    </row>
    <row r="3590">
      <c r="A3590" s="62" t="s">
        <v>3728</v>
      </c>
      <c r="B3590" s="63">
        <v>44237.0</v>
      </c>
      <c r="C3590" s="62" t="s">
        <v>119</v>
      </c>
      <c r="D3590" s="64">
        <v>42.5</v>
      </c>
      <c r="E3590" s="62" t="s">
        <v>109</v>
      </c>
      <c r="F3590" s="62" t="s">
        <v>115</v>
      </c>
      <c r="G3590" s="64" t="s">
        <v>64</v>
      </c>
      <c r="H3590" s="3" t="s">
        <v>139</v>
      </c>
      <c r="I3590" s="65">
        <f>IFERROR(VLOOKUP(A3590,'3. Call duration'!$A:$C,3,0),"--")</f>
        <v>33.20284483</v>
      </c>
      <c r="J3590" s="65" t="str">
        <f t="array" ref="J3590">XLOOKUP(H3590,'2. Matching'!$A$2:$A$39,'2. Matching'!$B$2:$B$39,"--")</f>
        <v>Acquisition</v>
      </c>
      <c r="K3590" s="65" t="str">
        <f t="shared" si="1"/>
        <v>In</v>
      </c>
    </row>
    <row r="3591">
      <c r="A3591" s="62" t="s">
        <v>3729</v>
      </c>
      <c r="B3591" s="63">
        <v>44237.0</v>
      </c>
      <c r="C3591" s="62" t="s">
        <v>119</v>
      </c>
      <c r="D3591" s="64">
        <v>42.5</v>
      </c>
      <c r="E3591" s="62" t="s">
        <v>109</v>
      </c>
      <c r="F3591" s="62" t="s">
        <v>115</v>
      </c>
      <c r="G3591" s="64" t="s">
        <v>64</v>
      </c>
      <c r="H3591" s="3" t="s">
        <v>131</v>
      </c>
      <c r="I3591" s="65">
        <f>IFERROR(VLOOKUP(A3591,'3. Call duration'!$A:$C,3,0),"--")</f>
        <v>20.46139743</v>
      </c>
      <c r="J3591" s="65" t="str">
        <f t="array" ref="J3591">XLOOKUP(H3591,'2. Matching'!$A$2:$A$39,'2. Matching'!$B$2:$B$39,"--")</f>
        <v>Acquisition</v>
      </c>
      <c r="K3591" s="65" t="str">
        <f t="shared" si="1"/>
        <v>In</v>
      </c>
    </row>
    <row r="3592">
      <c r="A3592" s="62" t="s">
        <v>3730</v>
      </c>
      <c r="B3592" s="63">
        <v>44085.0</v>
      </c>
      <c r="C3592" s="62" t="s">
        <v>119</v>
      </c>
      <c r="D3592" s="64">
        <v>42.5</v>
      </c>
      <c r="E3592" s="62" t="s">
        <v>109</v>
      </c>
      <c r="F3592" s="62" t="s">
        <v>115</v>
      </c>
      <c r="G3592" s="64" t="s">
        <v>64</v>
      </c>
      <c r="H3592" s="3" t="s">
        <v>175</v>
      </c>
      <c r="I3592" s="65">
        <f>IFERROR(VLOOKUP(A3592,'3. Call duration'!$A:$C,3,0),"--")</f>
        <v>30.82468451</v>
      </c>
      <c r="J3592" s="65" t="str">
        <f t="array" ref="J3592">XLOOKUP(H3592,'2. Matching'!$A$2:$A$39,'2. Matching'!$B$2:$B$39,"--")</f>
        <v>SEO</v>
      </c>
      <c r="K3592" s="65" t="str">
        <f t="shared" si="1"/>
        <v>In</v>
      </c>
    </row>
    <row r="3593">
      <c r="A3593" s="62" t="s">
        <v>3731</v>
      </c>
      <c r="B3593" s="63">
        <v>44244.0</v>
      </c>
      <c r="C3593" s="62" t="s">
        <v>119</v>
      </c>
      <c r="D3593" s="64">
        <v>42.5</v>
      </c>
      <c r="E3593" s="62" t="s">
        <v>109</v>
      </c>
      <c r="F3593" s="62" t="s">
        <v>110</v>
      </c>
      <c r="G3593" s="64" t="s">
        <v>64</v>
      </c>
      <c r="H3593" s="3" t="s">
        <v>139</v>
      </c>
      <c r="I3593" s="65">
        <f>IFERROR(VLOOKUP(A3593,'3. Call duration'!$A:$C,3,0),"--")</f>
        <v>27.31130922</v>
      </c>
      <c r="J3593" s="65" t="str">
        <f t="array" ref="J3593">XLOOKUP(H3593,'2. Matching'!$A$2:$A$39,'2. Matching'!$B$2:$B$39,"--")</f>
        <v>Acquisition</v>
      </c>
      <c r="K3593" s="65" t="str">
        <f t="shared" si="1"/>
        <v>In</v>
      </c>
    </row>
    <row r="3594">
      <c r="A3594" s="62" t="s">
        <v>3732</v>
      </c>
      <c r="B3594" s="63">
        <v>44250.0</v>
      </c>
      <c r="C3594" s="62" t="s">
        <v>119</v>
      </c>
      <c r="D3594" s="64">
        <v>42.5</v>
      </c>
      <c r="E3594" s="62" t="s">
        <v>109</v>
      </c>
      <c r="F3594" s="62" t="s">
        <v>115</v>
      </c>
      <c r="G3594" s="64" t="s">
        <v>64</v>
      </c>
      <c r="H3594" s="3" t="s">
        <v>185</v>
      </c>
      <c r="I3594" s="65">
        <f>IFERROR(VLOOKUP(A3594,'3. Call duration'!$A:$C,3,0),"--")</f>
        <v>20.28184028</v>
      </c>
      <c r="J3594" s="65" t="str">
        <f t="array" ref="J3594">XLOOKUP(H3594,'2. Matching'!$A$2:$A$39,'2. Matching'!$B$2:$B$39,"--")</f>
        <v>SEO</v>
      </c>
      <c r="K3594" s="65" t="str">
        <f t="shared" si="1"/>
        <v>In</v>
      </c>
    </row>
    <row r="3595">
      <c r="A3595" s="62" t="s">
        <v>3733</v>
      </c>
      <c r="B3595" s="63">
        <v>44253.0</v>
      </c>
      <c r="C3595" s="62" t="s">
        <v>119</v>
      </c>
      <c r="D3595" s="64">
        <v>42.5</v>
      </c>
      <c r="E3595" s="62" t="s">
        <v>109</v>
      </c>
      <c r="F3595" s="62" t="s">
        <v>115</v>
      </c>
      <c r="G3595" s="64" t="s">
        <v>64</v>
      </c>
      <c r="H3595" s="3" t="s">
        <v>139</v>
      </c>
      <c r="I3595" s="65">
        <f>IFERROR(VLOOKUP(A3595,'3. Call duration'!$A:$C,3,0),"--")</f>
        <v>32.62008249</v>
      </c>
      <c r="J3595" s="65" t="str">
        <f t="array" ref="J3595">XLOOKUP(H3595,'2. Matching'!$A$2:$A$39,'2. Matching'!$B$2:$B$39,"--")</f>
        <v>Acquisition</v>
      </c>
      <c r="K3595" s="65" t="str">
        <f t="shared" si="1"/>
        <v>In</v>
      </c>
    </row>
    <row r="3596">
      <c r="A3596" s="62" t="s">
        <v>3734</v>
      </c>
      <c r="B3596" s="63">
        <v>44218.0</v>
      </c>
      <c r="C3596" s="62" t="s">
        <v>119</v>
      </c>
      <c r="D3596" s="64">
        <v>42.5</v>
      </c>
      <c r="E3596" s="62" t="s">
        <v>109</v>
      </c>
      <c r="F3596" s="62" t="s">
        <v>115</v>
      </c>
      <c r="G3596" s="64" t="s">
        <v>64</v>
      </c>
      <c r="H3596" s="3" t="s">
        <v>185</v>
      </c>
      <c r="I3596" s="65">
        <f>IFERROR(VLOOKUP(A3596,'3. Call duration'!$A:$C,3,0),"--")</f>
        <v>21.00840557</v>
      </c>
      <c r="J3596" s="65" t="str">
        <f t="array" ref="J3596">XLOOKUP(H3596,'2. Matching'!$A$2:$A$39,'2. Matching'!$B$2:$B$39,"--")</f>
        <v>SEO</v>
      </c>
      <c r="K3596" s="65" t="str">
        <f t="shared" si="1"/>
        <v>In</v>
      </c>
    </row>
    <row r="3597">
      <c r="A3597" s="62" t="s">
        <v>3735</v>
      </c>
      <c r="B3597" s="63">
        <v>44232.0</v>
      </c>
      <c r="C3597" s="62" t="s">
        <v>119</v>
      </c>
      <c r="D3597" s="64">
        <v>42.5</v>
      </c>
      <c r="E3597" s="62" t="s">
        <v>109</v>
      </c>
      <c r="F3597" s="62" t="s">
        <v>115</v>
      </c>
      <c r="G3597" s="64" t="s">
        <v>64</v>
      </c>
      <c r="H3597" s="3" t="s">
        <v>175</v>
      </c>
      <c r="I3597" s="65">
        <f>IFERROR(VLOOKUP(A3597,'3. Call duration'!$A:$C,3,0),"--")</f>
        <v>32.63725899</v>
      </c>
      <c r="J3597" s="65" t="str">
        <f t="array" ref="J3597">XLOOKUP(H3597,'2. Matching'!$A$2:$A$39,'2. Matching'!$B$2:$B$39,"--")</f>
        <v>SEO</v>
      </c>
      <c r="K3597" s="65" t="str">
        <f t="shared" si="1"/>
        <v>In</v>
      </c>
    </row>
    <row r="3598">
      <c r="A3598" s="62" t="s">
        <v>3736</v>
      </c>
      <c r="B3598" s="63">
        <v>44176.0</v>
      </c>
      <c r="C3598" s="62" t="s">
        <v>119</v>
      </c>
      <c r="D3598" s="64">
        <v>42.5</v>
      </c>
      <c r="E3598" s="62" t="s">
        <v>109</v>
      </c>
      <c r="F3598" s="62" t="s">
        <v>110</v>
      </c>
      <c r="G3598" s="64" t="s">
        <v>64</v>
      </c>
      <c r="H3598" s="3" t="s">
        <v>150</v>
      </c>
      <c r="I3598" s="65" t="str">
        <f>IFERROR(VLOOKUP(A3598,'3. Call duration'!$A:$C,3,0),"--")</f>
        <v>--</v>
      </c>
      <c r="J3598" s="65" t="str">
        <f t="array" ref="J3598">XLOOKUP(H3598,'2. Matching'!$A$2:$A$39,'2. Matching'!$B$2:$B$39,"--")</f>
        <v>SEO</v>
      </c>
      <c r="K3598" s="65" t="str">
        <f t="shared" si="1"/>
        <v>In</v>
      </c>
    </row>
    <row r="3599">
      <c r="A3599" s="62" t="s">
        <v>3737</v>
      </c>
      <c r="B3599" s="63">
        <v>44117.0</v>
      </c>
      <c r="C3599" s="62" t="s">
        <v>119</v>
      </c>
      <c r="D3599" s="64">
        <v>42.5</v>
      </c>
      <c r="E3599" s="62" t="s">
        <v>109</v>
      </c>
      <c r="F3599" s="62" t="s">
        <v>115</v>
      </c>
      <c r="G3599" s="64" t="s">
        <v>64</v>
      </c>
      <c r="H3599" s="3" t="s">
        <v>169</v>
      </c>
      <c r="I3599" s="65">
        <f>IFERROR(VLOOKUP(A3599,'3. Call duration'!$A:$C,3,0),"--")</f>
        <v>24.22600033</v>
      </c>
      <c r="J3599" s="65" t="str">
        <f t="array" ref="J3599">XLOOKUP(H3599,'2. Matching'!$A$2:$A$39,'2. Matching'!$B$2:$B$39,"--")</f>
        <v>SEO</v>
      </c>
      <c r="K3599" s="65" t="str">
        <f t="shared" si="1"/>
        <v>In</v>
      </c>
    </row>
    <row r="3600">
      <c r="A3600" s="62" t="s">
        <v>3738</v>
      </c>
      <c r="B3600" s="63">
        <v>44244.0</v>
      </c>
      <c r="C3600" s="62" t="s">
        <v>119</v>
      </c>
      <c r="D3600" s="64">
        <v>42.5</v>
      </c>
      <c r="E3600" s="62" t="s">
        <v>109</v>
      </c>
      <c r="F3600" s="62" t="s">
        <v>115</v>
      </c>
      <c r="G3600" s="64" t="s">
        <v>64</v>
      </c>
      <c r="H3600" s="3" t="s">
        <v>139</v>
      </c>
      <c r="I3600" s="65" t="str">
        <f>IFERROR(VLOOKUP(A3600,'3. Call duration'!$A:$C,3,0),"--")</f>
        <v>--</v>
      </c>
      <c r="J3600" s="65" t="str">
        <f t="array" ref="J3600">XLOOKUP(H3600,'2. Matching'!$A$2:$A$39,'2. Matching'!$B$2:$B$39,"--")</f>
        <v>Acquisition</v>
      </c>
      <c r="K3600" s="65" t="str">
        <f t="shared" si="1"/>
        <v>In</v>
      </c>
    </row>
    <row r="3601">
      <c r="A3601" s="62" t="s">
        <v>3739</v>
      </c>
      <c r="B3601" s="63">
        <v>44237.0</v>
      </c>
      <c r="C3601" s="62" t="s">
        <v>119</v>
      </c>
      <c r="D3601" s="64">
        <v>42.5</v>
      </c>
      <c r="E3601" s="62" t="s">
        <v>109</v>
      </c>
      <c r="F3601" s="62" t="s">
        <v>110</v>
      </c>
      <c r="G3601" s="64" t="s">
        <v>62</v>
      </c>
      <c r="H3601" s="3" t="s">
        <v>203</v>
      </c>
      <c r="I3601" s="65">
        <f>IFERROR(VLOOKUP(A3601,'3. Call duration'!$A:$C,3,0),"--")</f>
        <v>29.17176124</v>
      </c>
      <c r="J3601" s="65" t="str">
        <f t="array" ref="J3601">XLOOKUP(H3601,'2. Matching'!$A$2:$A$39,'2. Matching'!$B$2:$B$39,"--")</f>
        <v>Farming</v>
      </c>
      <c r="K3601" s="65" t="str">
        <f t="shared" si="1"/>
        <v>In</v>
      </c>
    </row>
    <row r="3602">
      <c r="A3602" s="62" t="s">
        <v>3740</v>
      </c>
      <c r="B3602" s="63">
        <v>44229.0</v>
      </c>
      <c r="C3602" s="62" t="s">
        <v>119</v>
      </c>
      <c r="D3602" s="64">
        <v>42.5</v>
      </c>
      <c r="E3602" s="62" t="s">
        <v>109</v>
      </c>
      <c r="F3602" s="62" t="s">
        <v>110</v>
      </c>
      <c r="G3602" s="64" t="s">
        <v>64</v>
      </c>
      <c r="H3602" s="3" t="s">
        <v>171</v>
      </c>
      <c r="I3602" s="65">
        <f>IFERROR(VLOOKUP(A3602,'3. Call duration'!$A:$C,3,0),"--")</f>
        <v>13.57244683</v>
      </c>
      <c r="J3602" s="65" t="str">
        <f t="array" ref="J3602">XLOOKUP(H3602,'2. Matching'!$A$2:$A$39,'2. Matching'!$B$2:$B$39,"--")</f>
        <v>SEO</v>
      </c>
      <c r="K3602" s="65" t="str">
        <f t="shared" si="1"/>
        <v>In</v>
      </c>
    </row>
    <row r="3603">
      <c r="A3603" s="62" t="s">
        <v>3741</v>
      </c>
      <c r="B3603" s="63">
        <v>44248.0</v>
      </c>
      <c r="C3603" s="62" t="s">
        <v>119</v>
      </c>
      <c r="D3603" s="64">
        <v>42.5</v>
      </c>
      <c r="E3603" s="62" t="s">
        <v>109</v>
      </c>
      <c r="F3603" s="62" t="s">
        <v>115</v>
      </c>
      <c r="G3603" s="64" t="s">
        <v>64</v>
      </c>
      <c r="H3603" s="3" t="s">
        <v>139</v>
      </c>
      <c r="I3603" s="65">
        <f>IFERROR(VLOOKUP(A3603,'3. Call duration'!$A:$C,3,0),"--")</f>
        <v>33.09537319</v>
      </c>
      <c r="J3603" s="65" t="str">
        <f t="array" ref="J3603">XLOOKUP(H3603,'2. Matching'!$A$2:$A$39,'2. Matching'!$B$2:$B$39,"--")</f>
        <v>Acquisition</v>
      </c>
      <c r="K3603" s="65" t="str">
        <f t="shared" si="1"/>
        <v>In</v>
      </c>
    </row>
    <row r="3604">
      <c r="A3604" s="62" t="s">
        <v>3742</v>
      </c>
      <c r="B3604" s="63">
        <v>44250.0</v>
      </c>
      <c r="C3604" s="62" t="s">
        <v>119</v>
      </c>
      <c r="D3604" s="64">
        <v>42.5</v>
      </c>
      <c r="E3604" s="62" t="s">
        <v>109</v>
      </c>
      <c r="F3604" s="62" t="s">
        <v>115</v>
      </c>
      <c r="G3604" s="64" t="s">
        <v>64</v>
      </c>
      <c r="H3604" s="3" t="s">
        <v>221</v>
      </c>
      <c r="I3604" s="65">
        <f>IFERROR(VLOOKUP(A3604,'3. Call duration'!$A:$C,3,0),"--")</f>
        <v>32.23840267</v>
      </c>
      <c r="J3604" s="65" t="str">
        <f t="array" ref="J3604">XLOOKUP(H3604,'2. Matching'!$A$2:$A$39,'2. Matching'!$B$2:$B$39,"--")</f>
        <v>Farming</v>
      </c>
      <c r="K3604" s="65" t="str">
        <f t="shared" si="1"/>
        <v>In</v>
      </c>
    </row>
    <row r="3605">
      <c r="A3605" s="62" t="s">
        <v>3743</v>
      </c>
      <c r="B3605" s="63">
        <v>44180.0</v>
      </c>
      <c r="C3605" s="62" t="s">
        <v>119</v>
      </c>
      <c r="D3605" s="64">
        <v>42.5</v>
      </c>
      <c r="E3605" s="62" t="s">
        <v>109</v>
      </c>
      <c r="F3605" s="62" t="s">
        <v>115</v>
      </c>
      <c r="G3605" s="64" t="s">
        <v>64</v>
      </c>
      <c r="H3605" s="3" t="s">
        <v>155</v>
      </c>
      <c r="I3605" s="65">
        <f>IFERROR(VLOOKUP(A3605,'3. Call duration'!$A:$C,3,0),"--")</f>
        <v>15.39617384</v>
      </c>
      <c r="J3605" s="65" t="str">
        <f t="array" ref="J3605">XLOOKUP(H3605,'2. Matching'!$A$2:$A$39,'2. Matching'!$B$2:$B$39,"--")</f>
        <v>SEO</v>
      </c>
      <c r="K3605" s="65" t="str">
        <f t="shared" si="1"/>
        <v>In</v>
      </c>
    </row>
    <row r="3606">
      <c r="A3606" s="62" t="s">
        <v>3744</v>
      </c>
      <c r="B3606" s="63">
        <v>44090.0</v>
      </c>
      <c r="C3606" s="62" t="s">
        <v>119</v>
      </c>
      <c r="D3606" s="64">
        <v>42.5</v>
      </c>
      <c r="E3606" s="62" t="s">
        <v>109</v>
      </c>
      <c r="F3606" s="62" t="s">
        <v>115</v>
      </c>
      <c r="G3606" s="64" t="s">
        <v>64</v>
      </c>
      <c r="H3606" s="3" t="s">
        <v>139</v>
      </c>
      <c r="I3606" s="65">
        <f>IFERROR(VLOOKUP(A3606,'3. Call duration'!$A:$C,3,0),"--")</f>
        <v>25.3326344</v>
      </c>
      <c r="J3606" s="65" t="str">
        <f t="array" ref="J3606">XLOOKUP(H3606,'2. Matching'!$A$2:$A$39,'2. Matching'!$B$2:$B$39,"--")</f>
        <v>Acquisition</v>
      </c>
      <c r="K3606" s="65" t="str">
        <f t="shared" si="1"/>
        <v>In</v>
      </c>
    </row>
    <row r="3607">
      <c r="A3607" s="62" t="s">
        <v>3745</v>
      </c>
      <c r="B3607" s="63">
        <v>44236.0</v>
      </c>
      <c r="C3607" s="62" t="s">
        <v>119</v>
      </c>
      <c r="D3607" s="64">
        <v>42.5</v>
      </c>
      <c r="E3607" s="62" t="s">
        <v>109</v>
      </c>
      <c r="F3607" s="62" t="s">
        <v>115</v>
      </c>
      <c r="G3607" s="64" t="s">
        <v>64</v>
      </c>
      <c r="H3607" s="3" t="s">
        <v>155</v>
      </c>
      <c r="I3607" s="65">
        <f>IFERROR(VLOOKUP(A3607,'3. Call duration'!$A:$C,3,0),"--")</f>
        <v>26.50202909</v>
      </c>
      <c r="J3607" s="65" t="str">
        <f t="array" ref="J3607">XLOOKUP(H3607,'2. Matching'!$A$2:$A$39,'2. Matching'!$B$2:$B$39,"--")</f>
        <v>SEO</v>
      </c>
      <c r="K3607" s="65" t="str">
        <f t="shared" si="1"/>
        <v>In</v>
      </c>
    </row>
    <row r="3608">
      <c r="A3608" s="62" t="s">
        <v>3746</v>
      </c>
      <c r="B3608" s="63">
        <v>44174.0</v>
      </c>
      <c r="C3608" s="62" t="s">
        <v>119</v>
      </c>
      <c r="D3608" s="64">
        <v>42.5</v>
      </c>
      <c r="E3608" s="62" t="s">
        <v>109</v>
      </c>
      <c r="F3608" s="62" t="s">
        <v>115</v>
      </c>
      <c r="G3608" s="64" t="s">
        <v>64</v>
      </c>
      <c r="H3608" s="3" t="s">
        <v>155</v>
      </c>
      <c r="I3608" s="65">
        <f>IFERROR(VLOOKUP(A3608,'3. Call duration'!$A:$C,3,0),"--")</f>
        <v>46.40222706</v>
      </c>
      <c r="J3608" s="65" t="str">
        <f t="array" ref="J3608">XLOOKUP(H3608,'2. Matching'!$A$2:$A$39,'2. Matching'!$B$2:$B$39,"--")</f>
        <v>SEO</v>
      </c>
      <c r="K3608" s="65" t="str">
        <f t="shared" si="1"/>
        <v>In</v>
      </c>
    </row>
    <row r="3609">
      <c r="A3609" s="62" t="s">
        <v>3747</v>
      </c>
      <c r="B3609" s="63">
        <v>44151.0</v>
      </c>
      <c r="C3609" s="62" t="s">
        <v>119</v>
      </c>
      <c r="D3609" s="64">
        <v>42.5</v>
      </c>
      <c r="E3609" s="62" t="s">
        <v>109</v>
      </c>
      <c r="F3609" s="62" t="s">
        <v>115</v>
      </c>
      <c r="G3609" s="64" t="s">
        <v>112</v>
      </c>
      <c r="H3609" s="3"/>
      <c r="I3609" s="65" t="str">
        <f>IFERROR(VLOOKUP(A3609,'3. Call duration'!$A:$C,3,0),"--")</f>
        <v>--</v>
      </c>
      <c r="J3609" s="65" t="str">
        <f t="array" ref="J3609">XLOOKUP(H3609,'2. Matching'!$A$2:$A$39,'2. Matching'!$B$2:$B$39,"--")</f>
        <v>--</v>
      </c>
      <c r="K3609" s="65" t="str">
        <f t="shared" si="1"/>
        <v>In</v>
      </c>
    </row>
    <row r="3610">
      <c r="A3610" s="62" t="s">
        <v>3748</v>
      </c>
      <c r="B3610" s="63">
        <v>44236.0</v>
      </c>
      <c r="C3610" s="62" t="s">
        <v>119</v>
      </c>
      <c r="D3610" s="64">
        <v>42.5</v>
      </c>
      <c r="E3610" s="62" t="s">
        <v>109</v>
      </c>
      <c r="F3610" s="62" t="s">
        <v>115</v>
      </c>
      <c r="G3610" s="64" t="s">
        <v>64</v>
      </c>
      <c r="H3610" s="3" t="s">
        <v>169</v>
      </c>
      <c r="I3610" s="65">
        <f>IFERROR(VLOOKUP(A3610,'3. Call duration'!$A:$C,3,0),"--")</f>
        <v>20.35757855</v>
      </c>
      <c r="J3610" s="65" t="str">
        <f t="array" ref="J3610">XLOOKUP(H3610,'2. Matching'!$A$2:$A$39,'2. Matching'!$B$2:$B$39,"--")</f>
        <v>SEO</v>
      </c>
      <c r="K3610" s="65" t="str">
        <f t="shared" si="1"/>
        <v>In</v>
      </c>
    </row>
    <row r="3611">
      <c r="A3611" s="62" t="s">
        <v>3749</v>
      </c>
      <c r="B3611" s="63">
        <v>44224.0</v>
      </c>
      <c r="C3611" s="62" t="s">
        <v>119</v>
      </c>
      <c r="D3611" s="64">
        <v>42.5</v>
      </c>
      <c r="E3611" s="62" t="s">
        <v>109</v>
      </c>
      <c r="F3611" s="62" t="s">
        <v>115</v>
      </c>
      <c r="G3611" s="64" t="s">
        <v>64</v>
      </c>
      <c r="H3611" s="3" t="s">
        <v>169</v>
      </c>
      <c r="I3611" s="65">
        <f>IFERROR(VLOOKUP(A3611,'3. Call duration'!$A:$C,3,0),"--")</f>
        <v>31.34393674</v>
      </c>
      <c r="J3611" s="65" t="str">
        <f t="array" ref="J3611">XLOOKUP(H3611,'2. Matching'!$A$2:$A$39,'2. Matching'!$B$2:$B$39,"--")</f>
        <v>SEO</v>
      </c>
      <c r="K3611" s="65" t="str">
        <f t="shared" si="1"/>
        <v>In</v>
      </c>
    </row>
    <row r="3612">
      <c r="A3612" s="62" t="s">
        <v>3750</v>
      </c>
      <c r="B3612" s="63">
        <v>44244.0</v>
      </c>
      <c r="C3612" s="62" t="s">
        <v>119</v>
      </c>
      <c r="D3612" s="64">
        <v>42.5</v>
      </c>
      <c r="E3612" s="62" t="s">
        <v>109</v>
      </c>
      <c r="F3612" s="62" t="s">
        <v>115</v>
      </c>
      <c r="G3612" s="64" t="s">
        <v>64</v>
      </c>
      <c r="H3612" s="3" t="s">
        <v>139</v>
      </c>
      <c r="I3612" s="65">
        <f>IFERROR(VLOOKUP(A3612,'3. Call duration'!$A:$C,3,0),"--")</f>
        <v>32.17530452</v>
      </c>
      <c r="J3612" s="65" t="str">
        <f t="array" ref="J3612">XLOOKUP(H3612,'2. Matching'!$A$2:$A$39,'2. Matching'!$B$2:$B$39,"--")</f>
        <v>Acquisition</v>
      </c>
      <c r="K3612" s="65" t="str">
        <f t="shared" si="1"/>
        <v>In</v>
      </c>
    </row>
    <row r="3613">
      <c r="A3613" s="62" t="s">
        <v>3751</v>
      </c>
      <c r="B3613" s="63">
        <v>44120.0</v>
      </c>
      <c r="C3613" s="62" t="s">
        <v>119</v>
      </c>
      <c r="D3613" s="64">
        <v>42.5</v>
      </c>
      <c r="E3613" s="62" t="s">
        <v>109</v>
      </c>
      <c r="F3613" s="62" t="s">
        <v>115</v>
      </c>
      <c r="G3613" s="64" t="s">
        <v>64</v>
      </c>
      <c r="H3613" s="3" t="s">
        <v>49</v>
      </c>
      <c r="I3613" s="65">
        <f>IFERROR(VLOOKUP(A3613,'3. Call duration'!$A:$C,3,0),"--")</f>
        <v>20.09582851</v>
      </c>
      <c r="J3613" s="65" t="str">
        <f t="array" ref="J3613">XLOOKUP(H3613,'2. Matching'!$A$2:$A$39,'2. Matching'!$B$2:$B$39,"--")</f>
        <v>Partnerships</v>
      </c>
      <c r="K3613" s="65" t="str">
        <f t="shared" si="1"/>
        <v>In</v>
      </c>
    </row>
    <row r="3614">
      <c r="A3614" s="62" t="s">
        <v>3752</v>
      </c>
      <c r="B3614" s="63">
        <v>44167.0</v>
      </c>
      <c r="C3614" s="62" t="s">
        <v>119</v>
      </c>
      <c r="D3614" s="64">
        <v>42.5</v>
      </c>
      <c r="E3614" s="62" t="s">
        <v>109</v>
      </c>
      <c r="F3614" s="62" t="s">
        <v>110</v>
      </c>
      <c r="G3614" s="64" t="s">
        <v>64</v>
      </c>
      <c r="H3614" s="3" t="s">
        <v>139</v>
      </c>
      <c r="I3614" s="65">
        <f>IFERROR(VLOOKUP(A3614,'3. Call duration'!$A:$C,3,0),"--")</f>
        <v>21.02947491</v>
      </c>
      <c r="J3614" s="65" t="str">
        <f t="array" ref="J3614">XLOOKUP(H3614,'2. Matching'!$A$2:$A$39,'2. Matching'!$B$2:$B$39,"--")</f>
        <v>Acquisition</v>
      </c>
      <c r="K3614" s="65" t="str">
        <f t="shared" si="1"/>
        <v>In</v>
      </c>
    </row>
    <row r="3615">
      <c r="A3615" s="62" t="s">
        <v>3753</v>
      </c>
      <c r="B3615" s="63">
        <v>44081.0</v>
      </c>
      <c r="C3615" s="62" t="s">
        <v>119</v>
      </c>
      <c r="D3615" s="64">
        <v>42.5</v>
      </c>
      <c r="E3615" s="62" t="s">
        <v>109</v>
      </c>
      <c r="F3615" s="62" t="s">
        <v>115</v>
      </c>
      <c r="G3615" s="64" t="s">
        <v>64</v>
      </c>
      <c r="H3615" s="3" t="s">
        <v>139</v>
      </c>
      <c r="I3615" s="65">
        <f>IFERROR(VLOOKUP(A3615,'3. Call duration'!$A:$C,3,0),"--")</f>
        <v>26.80423285</v>
      </c>
      <c r="J3615" s="65" t="str">
        <f t="array" ref="J3615">XLOOKUP(H3615,'2. Matching'!$A$2:$A$39,'2. Matching'!$B$2:$B$39,"--")</f>
        <v>Acquisition</v>
      </c>
      <c r="K3615" s="65" t="str">
        <f t="shared" si="1"/>
        <v>In</v>
      </c>
    </row>
    <row r="3616">
      <c r="A3616" s="62" t="s">
        <v>3754</v>
      </c>
      <c r="B3616" s="63">
        <v>44233.0</v>
      </c>
      <c r="C3616" s="62" t="s">
        <v>119</v>
      </c>
      <c r="D3616" s="64">
        <v>42.5</v>
      </c>
      <c r="E3616" s="62" t="s">
        <v>109</v>
      </c>
      <c r="F3616" s="62" t="s">
        <v>115</v>
      </c>
      <c r="G3616" s="64" t="s">
        <v>64</v>
      </c>
      <c r="H3616" s="3" t="s">
        <v>221</v>
      </c>
      <c r="I3616" s="65">
        <f>IFERROR(VLOOKUP(A3616,'3. Call duration'!$A:$C,3,0),"--")</f>
        <v>31.7137143</v>
      </c>
      <c r="J3616" s="65" t="str">
        <f t="array" ref="J3616">XLOOKUP(H3616,'2. Matching'!$A$2:$A$39,'2. Matching'!$B$2:$B$39,"--")</f>
        <v>Farming</v>
      </c>
      <c r="K3616" s="65" t="str">
        <f t="shared" si="1"/>
        <v>In</v>
      </c>
    </row>
    <row r="3617">
      <c r="A3617" s="62" t="s">
        <v>3755</v>
      </c>
      <c r="B3617" s="63">
        <v>44237.0</v>
      </c>
      <c r="C3617" s="62" t="s">
        <v>119</v>
      </c>
      <c r="D3617" s="64">
        <v>42.5</v>
      </c>
      <c r="E3617" s="62" t="s">
        <v>109</v>
      </c>
      <c r="F3617" s="62" t="s">
        <v>115</v>
      </c>
      <c r="G3617" s="64" t="s">
        <v>64</v>
      </c>
      <c r="H3617" s="3" t="s">
        <v>169</v>
      </c>
      <c r="I3617" s="65">
        <f>IFERROR(VLOOKUP(A3617,'3. Call duration'!$A:$C,3,0),"--")</f>
        <v>28.58101442</v>
      </c>
      <c r="J3617" s="65" t="str">
        <f t="array" ref="J3617">XLOOKUP(H3617,'2. Matching'!$A$2:$A$39,'2. Matching'!$B$2:$B$39,"--")</f>
        <v>SEO</v>
      </c>
      <c r="K3617" s="65" t="str">
        <f t="shared" si="1"/>
        <v>In</v>
      </c>
    </row>
    <row r="3618">
      <c r="A3618" s="62" t="s">
        <v>3756</v>
      </c>
      <c r="B3618" s="63">
        <v>44236.0</v>
      </c>
      <c r="C3618" s="62" t="s">
        <v>119</v>
      </c>
      <c r="D3618" s="64">
        <v>42.5</v>
      </c>
      <c r="E3618" s="62" t="s">
        <v>109</v>
      </c>
      <c r="F3618" s="62" t="s">
        <v>115</v>
      </c>
      <c r="G3618" s="64" t="s">
        <v>64</v>
      </c>
      <c r="H3618" s="3" t="s">
        <v>155</v>
      </c>
      <c r="I3618" s="65">
        <f>IFERROR(VLOOKUP(A3618,'3. Call duration'!$A:$C,3,0),"--")</f>
        <v>26.06545475</v>
      </c>
      <c r="J3618" s="65" t="str">
        <f t="array" ref="J3618">XLOOKUP(H3618,'2. Matching'!$A$2:$A$39,'2. Matching'!$B$2:$B$39,"--")</f>
        <v>SEO</v>
      </c>
      <c r="K3618" s="65" t="str">
        <f t="shared" si="1"/>
        <v>In</v>
      </c>
    </row>
    <row r="3619">
      <c r="A3619" s="62" t="s">
        <v>3757</v>
      </c>
      <c r="B3619" s="63">
        <v>44240.0</v>
      </c>
      <c r="C3619" s="62" t="s">
        <v>119</v>
      </c>
      <c r="D3619" s="64">
        <v>42.5</v>
      </c>
      <c r="E3619" s="62" t="s">
        <v>109</v>
      </c>
      <c r="F3619" s="62" t="s">
        <v>110</v>
      </c>
      <c r="G3619" s="64" t="s">
        <v>64</v>
      </c>
      <c r="H3619" s="3" t="s">
        <v>139</v>
      </c>
      <c r="I3619" s="65">
        <f>IFERROR(VLOOKUP(A3619,'3. Call duration'!$A:$C,3,0),"--")</f>
        <v>29.87174659</v>
      </c>
      <c r="J3619" s="65" t="str">
        <f t="array" ref="J3619">XLOOKUP(H3619,'2. Matching'!$A$2:$A$39,'2. Matching'!$B$2:$B$39,"--")</f>
        <v>Acquisition</v>
      </c>
      <c r="K3619" s="65" t="str">
        <f t="shared" si="1"/>
        <v>In</v>
      </c>
    </row>
    <row r="3620">
      <c r="A3620" s="62" t="s">
        <v>3758</v>
      </c>
      <c r="B3620" s="63">
        <v>44209.0</v>
      </c>
      <c r="C3620" s="62" t="s">
        <v>119</v>
      </c>
      <c r="D3620" s="64">
        <v>42.5</v>
      </c>
      <c r="E3620" s="62" t="s">
        <v>109</v>
      </c>
      <c r="F3620" s="62" t="s">
        <v>110</v>
      </c>
      <c r="G3620" s="64" t="s">
        <v>64</v>
      </c>
      <c r="H3620" s="3" t="s">
        <v>155</v>
      </c>
      <c r="I3620" s="65">
        <f>IFERROR(VLOOKUP(A3620,'3. Call duration'!$A:$C,3,0),"--")</f>
        <v>20.51147251</v>
      </c>
      <c r="J3620" s="65" t="str">
        <f t="array" ref="J3620">XLOOKUP(H3620,'2. Matching'!$A$2:$A$39,'2. Matching'!$B$2:$B$39,"--")</f>
        <v>SEO</v>
      </c>
      <c r="K3620" s="65" t="str">
        <f t="shared" si="1"/>
        <v>In</v>
      </c>
    </row>
    <row r="3621">
      <c r="A3621" s="62" t="s">
        <v>3759</v>
      </c>
      <c r="B3621" s="63">
        <v>44152.0</v>
      </c>
      <c r="C3621" s="62" t="s">
        <v>119</v>
      </c>
      <c r="D3621" s="64">
        <v>42.5</v>
      </c>
      <c r="E3621" s="62" t="s">
        <v>109</v>
      </c>
      <c r="F3621" s="62" t="s">
        <v>110</v>
      </c>
      <c r="G3621" s="64" t="s">
        <v>64</v>
      </c>
      <c r="H3621" s="3" t="s">
        <v>131</v>
      </c>
      <c r="I3621" s="65">
        <f>IFERROR(VLOOKUP(A3621,'3. Call duration'!$A:$C,3,0),"--")</f>
        <v>16.76653459</v>
      </c>
      <c r="J3621" s="65" t="str">
        <f t="array" ref="J3621">XLOOKUP(H3621,'2. Matching'!$A$2:$A$39,'2. Matching'!$B$2:$B$39,"--")</f>
        <v>Acquisition</v>
      </c>
      <c r="K3621" s="65" t="str">
        <f t="shared" si="1"/>
        <v>In</v>
      </c>
    </row>
    <row r="3622">
      <c r="A3622" s="62" t="s">
        <v>3760</v>
      </c>
      <c r="B3622" s="63">
        <v>44239.0</v>
      </c>
      <c r="C3622" s="62" t="s">
        <v>119</v>
      </c>
      <c r="D3622" s="64">
        <v>42.5</v>
      </c>
      <c r="E3622" s="62" t="s">
        <v>109</v>
      </c>
      <c r="F3622" s="62" t="s">
        <v>115</v>
      </c>
      <c r="G3622" s="64" t="s">
        <v>64</v>
      </c>
      <c r="H3622" s="3" t="s">
        <v>155</v>
      </c>
      <c r="I3622" s="65">
        <f>IFERROR(VLOOKUP(A3622,'3. Call duration'!$A:$C,3,0),"--")</f>
        <v>24.98087144</v>
      </c>
      <c r="J3622" s="65" t="str">
        <f t="array" ref="J3622">XLOOKUP(H3622,'2. Matching'!$A$2:$A$39,'2. Matching'!$B$2:$B$39,"--")</f>
        <v>SEO</v>
      </c>
      <c r="K3622" s="65" t="str">
        <f t="shared" si="1"/>
        <v>In</v>
      </c>
    </row>
    <row r="3623">
      <c r="A3623" s="62" t="s">
        <v>3761</v>
      </c>
      <c r="B3623" s="63">
        <v>44086.0</v>
      </c>
      <c r="C3623" s="62" t="s">
        <v>119</v>
      </c>
      <c r="D3623" s="64">
        <v>42.5</v>
      </c>
      <c r="E3623" s="62" t="s">
        <v>109</v>
      </c>
      <c r="F3623" s="62" t="s">
        <v>115</v>
      </c>
      <c r="G3623" s="64" t="s">
        <v>64</v>
      </c>
      <c r="H3623" s="3" t="s">
        <v>139</v>
      </c>
      <c r="I3623" s="65">
        <f>IFERROR(VLOOKUP(A3623,'3. Call duration'!$A:$C,3,0),"--")</f>
        <v>15.57099427</v>
      </c>
      <c r="J3623" s="65" t="str">
        <f t="array" ref="J3623">XLOOKUP(H3623,'2. Matching'!$A$2:$A$39,'2. Matching'!$B$2:$B$39,"--")</f>
        <v>Acquisition</v>
      </c>
      <c r="K3623" s="65" t="str">
        <f t="shared" si="1"/>
        <v>In</v>
      </c>
    </row>
    <row r="3624">
      <c r="A3624" s="62" t="s">
        <v>3762</v>
      </c>
      <c r="B3624" s="63">
        <v>44176.0</v>
      </c>
      <c r="C3624" s="62" t="s">
        <v>119</v>
      </c>
      <c r="D3624" s="64">
        <v>42.5</v>
      </c>
      <c r="E3624" s="62" t="s">
        <v>109</v>
      </c>
      <c r="F3624" s="62" t="s">
        <v>110</v>
      </c>
      <c r="G3624" s="64" t="s">
        <v>64</v>
      </c>
      <c r="H3624" s="3" t="s">
        <v>139</v>
      </c>
      <c r="I3624" s="65" t="str">
        <f>IFERROR(VLOOKUP(A3624,'3. Call duration'!$A:$C,3,0),"--")</f>
        <v>--</v>
      </c>
      <c r="J3624" s="65" t="str">
        <f t="array" ref="J3624">XLOOKUP(H3624,'2. Matching'!$A$2:$A$39,'2. Matching'!$B$2:$B$39,"--")</f>
        <v>Acquisition</v>
      </c>
      <c r="K3624" s="65" t="str">
        <f t="shared" si="1"/>
        <v>In</v>
      </c>
    </row>
    <row r="3625">
      <c r="A3625" s="62" t="s">
        <v>3763</v>
      </c>
      <c r="B3625" s="63">
        <v>44090.0</v>
      </c>
      <c r="C3625" s="62" t="s">
        <v>119</v>
      </c>
      <c r="D3625" s="64">
        <v>42.5</v>
      </c>
      <c r="E3625" s="62" t="s">
        <v>109</v>
      </c>
      <c r="F3625" s="62" t="s">
        <v>115</v>
      </c>
      <c r="G3625" s="64" t="s">
        <v>64</v>
      </c>
      <c r="H3625" s="3" t="s">
        <v>139</v>
      </c>
      <c r="I3625" s="65">
        <f>IFERROR(VLOOKUP(A3625,'3. Call duration'!$A:$C,3,0),"--")</f>
        <v>21.94196853</v>
      </c>
      <c r="J3625" s="65" t="str">
        <f t="array" ref="J3625">XLOOKUP(H3625,'2. Matching'!$A$2:$A$39,'2. Matching'!$B$2:$B$39,"--")</f>
        <v>Acquisition</v>
      </c>
      <c r="K3625" s="65" t="str">
        <f t="shared" si="1"/>
        <v>In</v>
      </c>
    </row>
    <row r="3626">
      <c r="A3626" s="62" t="s">
        <v>3764</v>
      </c>
      <c r="B3626" s="63">
        <v>44099.0</v>
      </c>
      <c r="C3626" s="62" t="s">
        <v>119</v>
      </c>
      <c r="D3626" s="64">
        <v>42.5</v>
      </c>
      <c r="E3626" s="62" t="s">
        <v>109</v>
      </c>
      <c r="F3626" s="62" t="s">
        <v>115</v>
      </c>
      <c r="G3626" s="64" t="s">
        <v>64</v>
      </c>
      <c r="H3626" s="3" t="s">
        <v>175</v>
      </c>
      <c r="I3626" s="65">
        <f>IFERROR(VLOOKUP(A3626,'3. Call duration'!$A:$C,3,0),"--")</f>
        <v>23.19403153</v>
      </c>
      <c r="J3626" s="65" t="str">
        <f t="array" ref="J3626">XLOOKUP(H3626,'2. Matching'!$A$2:$A$39,'2. Matching'!$B$2:$B$39,"--")</f>
        <v>SEO</v>
      </c>
      <c r="K3626" s="65" t="str">
        <f t="shared" si="1"/>
        <v>In</v>
      </c>
    </row>
    <row r="3627">
      <c r="A3627" s="62" t="s">
        <v>3765</v>
      </c>
      <c r="B3627" s="63">
        <v>44209.0</v>
      </c>
      <c r="C3627" s="62" t="s">
        <v>119</v>
      </c>
      <c r="D3627" s="64">
        <v>42.5</v>
      </c>
      <c r="E3627" s="62" t="s">
        <v>109</v>
      </c>
      <c r="F3627" s="62" t="s">
        <v>115</v>
      </c>
      <c r="G3627" s="64" t="s">
        <v>112</v>
      </c>
      <c r="H3627" s="3"/>
      <c r="I3627" s="65">
        <f>IFERROR(VLOOKUP(A3627,'3. Call duration'!$A:$C,3,0),"--")</f>
        <v>26.7913524</v>
      </c>
      <c r="J3627" s="65" t="str">
        <f t="array" ref="J3627">XLOOKUP(H3627,'2. Matching'!$A$2:$A$39,'2. Matching'!$B$2:$B$39,"--")</f>
        <v>--</v>
      </c>
      <c r="K3627" s="65" t="str">
        <f t="shared" si="1"/>
        <v>In</v>
      </c>
    </row>
    <row r="3628">
      <c r="A3628" s="62" t="s">
        <v>3766</v>
      </c>
      <c r="B3628" s="63">
        <v>44187.0</v>
      </c>
      <c r="C3628" s="62" t="s">
        <v>119</v>
      </c>
      <c r="D3628" s="64">
        <v>42.5</v>
      </c>
      <c r="E3628" s="62" t="s">
        <v>109</v>
      </c>
      <c r="F3628" s="62" t="s">
        <v>110</v>
      </c>
      <c r="G3628" s="64" t="s">
        <v>64</v>
      </c>
      <c r="H3628" s="3" t="s">
        <v>169</v>
      </c>
      <c r="I3628" s="65">
        <f>IFERROR(VLOOKUP(A3628,'3. Call duration'!$A:$C,3,0),"--")</f>
        <v>27.49193017</v>
      </c>
      <c r="J3628" s="65" t="str">
        <f t="array" ref="J3628">XLOOKUP(H3628,'2. Matching'!$A$2:$A$39,'2. Matching'!$B$2:$B$39,"--")</f>
        <v>SEO</v>
      </c>
      <c r="K3628" s="65" t="str">
        <f t="shared" si="1"/>
        <v>In</v>
      </c>
    </row>
    <row r="3629">
      <c r="A3629" s="62" t="s">
        <v>3767</v>
      </c>
      <c r="B3629" s="63">
        <v>44215.0</v>
      </c>
      <c r="C3629" s="62" t="s">
        <v>119</v>
      </c>
      <c r="D3629" s="64">
        <v>42.5</v>
      </c>
      <c r="E3629" s="62" t="s">
        <v>109</v>
      </c>
      <c r="F3629" s="62" t="s">
        <v>115</v>
      </c>
      <c r="G3629" s="64" t="s">
        <v>64</v>
      </c>
      <c r="H3629" s="3" t="s">
        <v>131</v>
      </c>
      <c r="I3629" s="65">
        <f>IFERROR(VLOOKUP(A3629,'3. Call duration'!$A:$C,3,0),"--")</f>
        <v>23.00207379</v>
      </c>
      <c r="J3629" s="65" t="str">
        <f t="array" ref="J3629">XLOOKUP(H3629,'2. Matching'!$A$2:$A$39,'2. Matching'!$B$2:$B$39,"--")</f>
        <v>Acquisition</v>
      </c>
      <c r="K3629" s="65" t="str">
        <f t="shared" si="1"/>
        <v>In</v>
      </c>
    </row>
    <row r="3630">
      <c r="A3630" s="62" t="s">
        <v>3768</v>
      </c>
      <c r="B3630" s="63">
        <v>44245.0</v>
      </c>
      <c r="C3630" s="62" t="s">
        <v>119</v>
      </c>
      <c r="D3630" s="64">
        <v>42.5</v>
      </c>
      <c r="E3630" s="62" t="s">
        <v>109</v>
      </c>
      <c r="F3630" s="62" t="s">
        <v>115</v>
      </c>
      <c r="G3630" s="64" t="s">
        <v>64</v>
      </c>
      <c r="H3630" s="3" t="s">
        <v>139</v>
      </c>
      <c r="I3630" s="65">
        <f>IFERROR(VLOOKUP(A3630,'3. Call duration'!$A:$C,3,0),"--")</f>
        <v>20.71136353</v>
      </c>
      <c r="J3630" s="65" t="str">
        <f t="array" ref="J3630">XLOOKUP(H3630,'2. Matching'!$A$2:$A$39,'2. Matching'!$B$2:$B$39,"--")</f>
        <v>Acquisition</v>
      </c>
      <c r="K3630" s="65" t="str">
        <f t="shared" si="1"/>
        <v>In</v>
      </c>
    </row>
    <row r="3631">
      <c r="A3631" s="62" t="s">
        <v>3769</v>
      </c>
      <c r="B3631" s="63">
        <v>44222.0</v>
      </c>
      <c r="C3631" s="62" t="s">
        <v>119</v>
      </c>
      <c r="D3631" s="64">
        <v>42.5</v>
      </c>
      <c r="E3631" s="62" t="s">
        <v>109</v>
      </c>
      <c r="F3631" s="62" t="s">
        <v>115</v>
      </c>
      <c r="G3631" s="64" t="s">
        <v>64</v>
      </c>
      <c r="H3631" s="3" t="s">
        <v>171</v>
      </c>
      <c r="I3631" s="65">
        <f>IFERROR(VLOOKUP(A3631,'3. Call duration'!$A:$C,3,0),"--")</f>
        <v>32.65999553</v>
      </c>
      <c r="J3631" s="65" t="str">
        <f t="array" ref="J3631">XLOOKUP(H3631,'2. Matching'!$A$2:$A$39,'2. Matching'!$B$2:$B$39,"--")</f>
        <v>SEO</v>
      </c>
      <c r="K3631" s="65" t="str">
        <f t="shared" si="1"/>
        <v>In</v>
      </c>
    </row>
    <row r="3632">
      <c r="A3632" s="62" t="s">
        <v>3770</v>
      </c>
      <c r="B3632" s="63">
        <v>44079.0</v>
      </c>
      <c r="C3632" s="62" t="s">
        <v>119</v>
      </c>
      <c r="D3632" s="64">
        <v>42.5</v>
      </c>
      <c r="E3632" s="62" t="s">
        <v>109</v>
      </c>
      <c r="F3632" s="62" t="s">
        <v>115</v>
      </c>
      <c r="G3632" s="64" t="s">
        <v>64</v>
      </c>
      <c r="H3632" s="3" t="s">
        <v>175</v>
      </c>
      <c r="I3632" s="65">
        <f>IFERROR(VLOOKUP(A3632,'3. Call duration'!$A:$C,3,0),"--")</f>
        <v>10.46503847</v>
      </c>
      <c r="J3632" s="65" t="str">
        <f t="array" ref="J3632">XLOOKUP(H3632,'2. Matching'!$A$2:$A$39,'2. Matching'!$B$2:$B$39,"--")</f>
        <v>SEO</v>
      </c>
      <c r="K3632" s="65" t="str">
        <f t="shared" si="1"/>
        <v>In</v>
      </c>
    </row>
    <row r="3633">
      <c r="A3633" s="62" t="s">
        <v>3771</v>
      </c>
      <c r="B3633" s="63">
        <v>44132.0</v>
      </c>
      <c r="C3633" s="62" t="s">
        <v>119</v>
      </c>
      <c r="D3633" s="64">
        <v>42.5</v>
      </c>
      <c r="E3633" s="62" t="s">
        <v>109</v>
      </c>
      <c r="F3633" s="62" t="s">
        <v>115</v>
      </c>
      <c r="G3633" s="64" t="s">
        <v>64</v>
      </c>
      <c r="H3633" s="3" t="s">
        <v>235</v>
      </c>
      <c r="I3633" s="65">
        <f>IFERROR(VLOOKUP(A3633,'3. Call duration'!$A:$C,3,0),"--")</f>
        <v>25.34848619</v>
      </c>
      <c r="J3633" s="65" t="str">
        <f t="array" ref="J3633">XLOOKUP(H3633,'2. Matching'!$A$2:$A$39,'2. Matching'!$B$2:$B$39,"--")</f>
        <v>Farming</v>
      </c>
      <c r="K3633" s="65" t="str">
        <f t="shared" si="1"/>
        <v>In</v>
      </c>
    </row>
    <row r="3634">
      <c r="A3634" s="62" t="s">
        <v>3772</v>
      </c>
      <c r="B3634" s="63">
        <v>44222.0</v>
      </c>
      <c r="C3634" s="62" t="s">
        <v>119</v>
      </c>
      <c r="D3634" s="64">
        <v>42.5</v>
      </c>
      <c r="E3634" s="62" t="s">
        <v>109</v>
      </c>
      <c r="F3634" s="62" t="s">
        <v>110</v>
      </c>
      <c r="G3634" s="64" t="s">
        <v>64</v>
      </c>
      <c r="H3634" s="3" t="s">
        <v>164</v>
      </c>
      <c r="I3634" s="65">
        <f>IFERROR(VLOOKUP(A3634,'3. Call duration'!$A:$C,3,0),"--")</f>
        <v>12.85547617</v>
      </c>
      <c r="J3634" s="65" t="str">
        <f t="array" ref="J3634">XLOOKUP(H3634,'2. Matching'!$A$2:$A$39,'2. Matching'!$B$2:$B$39,"--")</f>
        <v>SEO</v>
      </c>
      <c r="K3634" s="65" t="str">
        <f t="shared" si="1"/>
        <v>In</v>
      </c>
    </row>
    <row r="3635">
      <c r="A3635" s="62" t="s">
        <v>3773</v>
      </c>
      <c r="B3635" s="63">
        <v>44245.0</v>
      </c>
      <c r="C3635" s="62" t="s">
        <v>119</v>
      </c>
      <c r="D3635" s="64">
        <v>42.5</v>
      </c>
      <c r="E3635" s="62" t="s">
        <v>109</v>
      </c>
      <c r="F3635" s="62" t="s">
        <v>110</v>
      </c>
      <c r="G3635" s="64" t="s">
        <v>64</v>
      </c>
      <c r="H3635" s="3" t="s">
        <v>297</v>
      </c>
      <c r="I3635" s="65">
        <f>IFERROR(VLOOKUP(A3635,'3. Call duration'!$A:$C,3,0),"--")</f>
        <v>14.80039914</v>
      </c>
      <c r="J3635" s="65" t="str">
        <f t="array" ref="J3635">XLOOKUP(H3635,'2. Matching'!$A$2:$A$39,'2. Matching'!$B$2:$B$39,"--")</f>
        <v>Farming</v>
      </c>
      <c r="K3635" s="65" t="str">
        <f t="shared" si="1"/>
        <v>In</v>
      </c>
    </row>
    <row r="3636">
      <c r="A3636" s="62" t="s">
        <v>3774</v>
      </c>
      <c r="B3636" s="63">
        <v>44138.0</v>
      </c>
      <c r="C3636" s="62" t="s">
        <v>119</v>
      </c>
      <c r="D3636" s="64">
        <v>42.5</v>
      </c>
      <c r="E3636" s="62" t="s">
        <v>109</v>
      </c>
      <c r="F3636" s="62" t="s">
        <v>115</v>
      </c>
      <c r="G3636" s="64" t="s">
        <v>64</v>
      </c>
      <c r="H3636" s="3" t="s">
        <v>145</v>
      </c>
      <c r="I3636" s="65">
        <f>IFERROR(VLOOKUP(A3636,'3. Call duration'!$A:$C,3,0),"--")</f>
        <v>21.65303956</v>
      </c>
      <c r="J3636" s="65" t="str">
        <f t="array" ref="J3636">XLOOKUP(H3636,'2. Matching'!$A$2:$A$39,'2. Matching'!$B$2:$B$39,"--")</f>
        <v>SEO</v>
      </c>
      <c r="K3636" s="65" t="str">
        <f t="shared" si="1"/>
        <v>In</v>
      </c>
    </row>
    <row r="3637">
      <c r="A3637" s="62" t="s">
        <v>3775</v>
      </c>
      <c r="B3637" s="63">
        <v>44235.0</v>
      </c>
      <c r="C3637" s="62" t="s">
        <v>119</v>
      </c>
      <c r="D3637" s="64">
        <v>42.5</v>
      </c>
      <c r="E3637" s="62" t="s">
        <v>109</v>
      </c>
      <c r="F3637" s="62" t="s">
        <v>115</v>
      </c>
      <c r="G3637" s="64" t="s">
        <v>64</v>
      </c>
      <c r="H3637" s="3" t="s">
        <v>175</v>
      </c>
      <c r="I3637" s="65">
        <f>IFERROR(VLOOKUP(A3637,'3. Call duration'!$A:$C,3,0),"--")</f>
        <v>30.81555186</v>
      </c>
      <c r="J3637" s="65" t="str">
        <f t="array" ref="J3637">XLOOKUP(H3637,'2. Matching'!$A$2:$A$39,'2. Matching'!$B$2:$B$39,"--")</f>
        <v>SEO</v>
      </c>
      <c r="K3637" s="65" t="str">
        <f t="shared" si="1"/>
        <v>In</v>
      </c>
    </row>
    <row r="3638">
      <c r="A3638" s="62" t="s">
        <v>3776</v>
      </c>
      <c r="B3638" s="63">
        <v>44225.0</v>
      </c>
      <c r="C3638" s="62" t="s">
        <v>119</v>
      </c>
      <c r="D3638" s="64">
        <v>42.5</v>
      </c>
      <c r="E3638" s="62" t="s">
        <v>109</v>
      </c>
      <c r="F3638" s="62" t="s">
        <v>115</v>
      </c>
      <c r="G3638" s="64" t="s">
        <v>64</v>
      </c>
      <c r="H3638" s="3" t="s">
        <v>150</v>
      </c>
      <c r="I3638" s="65">
        <f>IFERROR(VLOOKUP(A3638,'3. Call duration'!$A:$C,3,0),"--")</f>
        <v>39.77827501</v>
      </c>
      <c r="J3638" s="65" t="str">
        <f t="array" ref="J3638">XLOOKUP(H3638,'2. Matching'!$A$2:$A$39,'2. Matching'!$B$2:$B$39,"--")</f>
        <v>SEO</v>
      </c>
      <c r="K3638" s="65" t="str">
        <f t="shared" si="1"/>
        <v>In</v>
      </c>
    </row>
    <row r="3639">
      <c r="A3639" s="62" t="s">
        <v>3777</v>
      </c>
      <c r="B3639" s="63">
        <v>44225.0</v>
      </c>
      <c r="C3639" s="62" t="s">
        <v>119</v>
      </c>
      <c r="D3639" s="64">
        <v>42.5</v>
      </c>
      <c r="E3639" s="62" t="s">
        <v>109</v>
      </c>
      <c r="F3639" s="62" t="s">
        <v>115</v>
      </c>
      <c r="G3639" s="64" t="s">
        <v>64</v>
      </c>
      <c r="H3639" s="3" t="s">
        <v>131</v>
      </c>
      <c r="I3639" s="65">
        <f>IFERROR(VLOOKUP(A3639,'3. Call duration'!$A:$C,3,0),"--")</f>
        <v>32.00662891</v>
      </c>
      <c r="J3639" s="65" t="str">
        <f t="array" ref="J3639">XLOOKUP(H3639,'2. Matching'!$A$2:$A$39,'2. Matching'!$B$2:$B$39,"--")</f>
        <v>Acquisition</v>
      </c>
      <c r="K3639" s="65" t="str">
        <f t="shared" si="1"/>
        <v>In</v>
      </c>
    </row>
    <row r="3640">
      <c r="A3640" s="62" t="s">
        <v>3778</v>
      </c>
      <c r="B3640" s="63">
        <v>44223.0</v>
      </c>
      <c r="C3640" s="62" t="s">
        <v>119</v>
      </c>
      <c r="D3640" s="64">
        <v>42.5</v>
      </c>
      <c r="E3640" s="62" t="s">
        <v>109</v>
      </c>
      <c r="F3640" s="62" t="s">
        <v>110</v>
      </c>
      <c r="G3640" s="64" t="s">
        <v>64</v>
      </c>
      <c r="H3640" s="3" t="s">
        <v>145</v>
      </c>
      <c r="I3640" s="65">
        <f>IFERROR(VLOOKUP(A3640,'3. Call duration'!$A:$C,3,0),"--")</f>
        <v>22.31092452</v>
      </c>
      <c r="J3640" s="65" t="str">
        <f t="array" ref="J3640">XLOOKUP(H3640,'2. Matching'!$A$2:$A$39,'2. Matching'!$B$2:$B$39,"--")</f>
        <v>SEO</v>
      </c>
      <c r="K3640" s="65" t="str">
        <f t="shared" si="1"/>
        <v>In</v>
      </c>
    </row>
    <row r="3641">
      <c r="A3641" s="62" t="s">
        <v>3779</v>
      </c>
      <c r="B3641" s="63">
        <v>44167.0</v>
      </c>
      <c r="C3641" s="62" t="s">
        <v>119</v>
      </c>
      <c r="D3641" s="64">
        <v>42.5</v>
      </c>
      <c r="E3641" s="62" t="s">
        <v>109</v>
      </c>
      <c r="F3641" s="62" t="s">
        <v>115</v>
      </c>
      <c r="G3641" s="64" t="s">
        <v>64</v>
      </c>
      <c r="H3641" s="3" t="s">
        <v>155</v>
      </c>
      <c r="I3641" s="65">
        <f>IFERROR(VLOOKUP(A3641,'3. Call duration'!$A:$C,3,0),"--")</f>
        <v>21.56156879</v>
      </c>
      <c r="J3641" s="65" t="str">
        <f t="array" ref="J3641">XLOOKUP(H3641,'2. Matching'!$A$2:$A$39,'2. Matching'!$B$2:$B$39,"--")</f>
        <v>SEO</v>
      </c>
      <c r="K3641" s="65" t="str">
        <f t="shared" si="1"/>
        <v>In</v>
      </c>
    </row>
    <row r="3642">
      <c r="A3642" s="62" t="s">
        <v>3780</v>
      </c>
      <c r="B3642" s="63">
        <v>44217.0</v>
      </c>
      <c r="C3642" s="62" t="s">
        <v>119</v>
      </c>
      <c r="D3642" s="64">
        <v>42.5</v>
      </c>
      <c r="E3642" s="62" t="s">
        <v>109</v>
      </c>
      <c r="F3642" s="62" t="s">
        <v>115</v>
      </c>
      <c r="G3642" s="64" t="s">
        <v>64</v>
      </c>
      <c r="H3642" s="3" t="s">
        <v>169</v>
      </c>
      <c r="I3642" s="65">
        <f>IFERROR(VLOOKUP(A3642,'3. Call duration'!$A:$C,3,0),"--")</f>
        <v>28.88868925</v>
      </c>
      <c r="J3642" s="65" t="str">
        <f t="array" ref="J3642">XLOOKUP(H3642,'2. Matching'!$A$2:$A$39,'2. Matching'!$B$2:$B$39,"--")</f>
        <v>SEO</v>
      </c>
      <c r="K3642" s="65" t="str">
        <f t="shared" si="1"/>
        <v>In</v>
      </c>
    </row>
    <row r="3643">
      <c r="A3643" s="62" t="s">
        <v>3781</v>
      </c>
      <c r="B3643" s="63">
        <v>44254.0</v>
      </c>
      <c r="C3643" s="62" t="s">
        <v>119</v>
      </c>
      <c r="D3643" s="64">
        <v>42.5</v>
      </c>
      <c r="E3643" s="62" t="s">
        <v>109</v>
      </c>
      <c r="F3643" s="62" t="s">
        <v>115</v>
      </c>
      <c r="G3643" s="64" t="s">
        <v>64</v>
      </c>
      <c r="H3643" s="3" t="s">
        <v>139</v>
      </c>
      <c r="I3643" s="65">
        <f>IFERROR(VLOOKUP(A3643,'3. Call duration'!$A:$C,3,0),"--")</f>
        <v>10.57179071</v>
      </c>
      <c r="J3643" s="65" t="str">
        <f t="array" ref="J3643">XLOOKUP(H3643,'2. Matching'!$A$2:$A$39,'2. Matching'!$B$2:$B$39,"--")</f>
        <v>Acquisition</v>
      </c>
      <c r="K3643" s="65" t="str">
        <f t="shared" si="1"/>
        <v>In</v>
      </c>
    </row>
    <row r="3644">
      <c r="A3644" s="62" t="s">
        <v>3782</v>
      </c>
      <c r="B3644" s="63">
        <v>44136.0</v>
      </c>
      <c r="C3644" s="62" t="s">
        <v>119</v>
      </c>
      <c r="D3644" s="64">
        <v>42.5</v>
      </c>
      <c r="E3644" s="62" t="s">
        <v>109</v>
      </c>
      <c r="F3644" s="62" t="s">
        <v>115</v>
      </c>
      <c r="G3644" s="64" t="s">
        <v>64</v>
      </c>
      <c r="H3644" s="3" t="s">
        <v>139</v>
      </c>
      <c r="I3644" s="65">
        <f>IFERROR(VLOOKUP(A3644,'3. Call duration'!$A:$C,3,0),"--")</f>
        <v>29.5949532</v>
      </c>
      <c r="J3644" s="65" t="str">
        <f t="array" ref="J3644">XLOOKUP(H3644,'2. Matching'!$A$2:$A$39,'2. Matching'!$B$2:$B$39,"--")</f>
        <v>Acquisition</v>
      </c>
      <c r="K3644" s="65" t="str">
        <f t="shared" si="1"/>
        <v>In</v>
      </c>
    </row>
    <row r="3645">
      <c r="A3645" s="62" t="s">
        <v>3783</v>
      </c>
      <c r="B3645" s="63">
        <v>44160.0</v>
      </c>
      <c r="C3645" s="62" t="s">
        <v>119</v>
      </c>
      <c r="D3645" s="64">
        <v>42.5</v>
      </c>
      <c r="E3645" s="62" t="s">
        <v>109</v>
      </c>
      <c r="F3645" s="62" t="s">
        <v>115</v>
      </c>
      <c r="G3645" s="64" t="s">
        <v>62</v>
      </c>
      <c r="H3645" s="3" t="s">
        <v>203</v>
      </c>
      <c r="I3645" s="65" t="str">
        <f>IFERROR(VLOOKUP(A3645,'3. Call duration'!$A:$C,3,0),"--")</f>
        <v>--</v>
      </c>
      <c r="J3645" s="65" t="str">
        <f t="array" ref="J3645">XLOOKUP(H3645,'2. Matching'!$A$2:$A$39,'2. Matching'!$B$2:$B$39,"--")</f>
        <v>Farming</v>
      </c>
      <c r="K3645" s="65" t="str">
        <f t="shared" si="1"/>
        <v>In</v>
      </c>
    </row>
    <row r="3646">
      <c r="A3646" s="62" t="s">
        <v>3784</v>
      </c>
      <c r="B3646" s="63">
        <v>44222.0</v>
      </c>
      <c r="C3646" s="62" t="s">
        <v>119</v>
      </c>
      <c r="D3646" s="64">
        <v>42.5</v>
      </c>
      <c r="E3646" s="62" t="s">
        <v>109</v>
      </c>
      <c r="F3646" s="62" t="s">
        <v>110</v>
      </c>
      <c r="G3646" s="64" t="s">
        <v>64</v>
      </c>
      <c r="H3646" s="3" t="s">
        <v>175</v>
      </c>
      <c r="I3646" s="65">
        <f>IFERROR(VLOOKUP(A3646,'3. Call duration'!$A:$C,3,0),"--")</f>
        <v>26.04548506</v>
      </c>
      <c r="J3646" s="65" t="str">
        <f t="array" ref="J3646">XLOOKUP(H3646,'2. Matching'!$A$2:$A$39,'2. Matching'!$B$2:$B$39,"--")</f>
        <v>SEO</v>
      </c>
      <c r="K3646" s="65" t="str">
        <f t="shared" si="1"/>
        <v>In</v>
      </c>
    </row>
    <row r="3647">
      <c r="A3647" s="62" t="s">
        <v>3785</v>
      </c>
      <c r="B3647" s="63">
        <v>44185.0</v>
      </c>
      <c r="C3647" s="62" t="s">
        <v>119</v>
      </c>
      <c r="D3647" s="64">
        <v>42.5</v>
      </c>
      <c r="E3647" s="62" t="s">
        <v>109</v>
      </c>
      <c r="F3647" s="62" t="s">
        <v>110</v>
      </c>
      <c r="G3647" s="64" t="s">
        <v>64</v>
      </c>
      <c r="H3647" s="3" t="s">
        <v>139</v>
      </c>
      <c r="I3647" s="65">
        <f>IFERROR(VLOOKUP(A3647,'3. Call duration'!$A:$C,3,0),"--")</f>
        <v>27.73303367</v>
      </c>
      <c r="J3647" s="65" t="str">
        <f t="array" ref="J3647">XLOOKUP(H3647,'2. Matching'!$A$2:$A$39,'2. Matching'!$B$2:$B$39,"--")</f>
        <v>Acquisition</v>
      </c>
      <c r="K3647" s="65" t="str">
        <f t="shared" si="1"/>
        <v>In</v>
      </c>
    </row>
    <row r="3648">
      <c r="A3648" s="62" t="s">
        <v>3786</v>
      </c>
      <c r="B3648" s="63">
        <v>44075.0</v>
      </c>
      <c r="C3648" s="62" t="s">
        <v>119</v>
      </c>
      <c r="D3648" s="64">
        <v>42.5</v>
      </c>
      <c r="E3648" s="62" t="s">
        <v>109</v>
      </c>
      <c r="F3648" s="62" t="s">
        <v>115</v>
      </c>
      <c r="G3648" s="64" t="s">
        <v>64</v>
      </c>
      <c r="H3648" s="3" t="s">
        <v>169</v>
      </c>
      <c r="I3648" s="65">
        <f>IFERROR(VLOOKUP(A3648,'3. Call duration'!$A:$C,3,0),"--")</f>
        <v>15.80769447</v>
      </c>
      <c r="J3648" s="65" t="str">
        <f t="array" ref="J3648">XLOOKUP(H3648,'2. Matching'!$A$2:$A$39,'2. Matching'!$B$2:$B$39,"--")</f>
        <v>SEO</v>
      </c>
      <c r="K3648" s="65" t="str">
        <f t="shared" si="1"/>
        <v>In</v>
      </c>
    </row>
    <row r="3649">
      <c r="A3649" s="62" t="s">
        <v>3787</v>
      </c>
      <c r="B3649" s="63">
        <v>44148.0</v>
      </c>
      <c r="C3649" s="62" t="s">
        <v>119</v>
      </c>
      <c r="D3649" s="64">
        <v>42.5</v>
      </c>
      <c r="E3649" s="62" t="s">
        <v>109</v>
      </c>
      <c r="F3649" s="62" t="s">
        <v>115</v>
      </c>
      <c r="G3649" s="64" t="s">
        <v>64</v>
      </c>
      <c r="H3649" s="3" t="s">
        <v>139</v>
      </c>
      <c r="I3649" s="65">
        <f>IFERROR(VLOOKUP(A3649,'3. Call duration'!$A:$C,3,0),"--")</f>
        <v>20.67139685</v>
      </c>
      <c r="J3649" s="65" t="str">
        <f t="array" ref="J3649">XLOOKUP(H3649,'2. Matching'!$A$2:$A$39,'2. Matching'!$B$2:$B$39,"--")</f>
        <v>Acquisition</v>
      </c>
      <c r="K3649" s="65" t="str">
        <f t="shared" si="1"/>
        <v>In</v>
      </c>
    </row>
    <row r="3650">
      <c r="A3650" s="62" t="s">
        <v>3788</v>
      </c>
      <c r="B3650" s="63">
        <v>44082.0</v>
      </c>
      <c r="C3650" s="62" t="s">
        <v>119</v>
      </c>
      <c r="D3650" s="64">
        <v>42.5</v>
      </c>
      <c r="E3650" s="62" t="s">
        <v>109</v>
      </c>
      <c r="F3650" s="62" t="s">
        <v>115</v>
      </c>
      <c r="G3650" s="64" t="s">
        <v>64</v>
      </c>
      <c r="H3650" s="3" t="s">
        <v>175</v>
      </c>
      <c r="I3650" s="65">
        <f>IFERROR(VLOOKUP(A3650,'3. Call duration'!$A:$C,3,0),"--")</f>
        <v>32.01028007</v>
      </c>
      <c r="J3650" s="65" t="str">
        <f t="array" ref="J3650">XLOOKUP(H3650,'2. Matching'!$A$2:$A$39,'2. Matching'!$B$2:$B$39,"--")</f>
        <v>SEO</v>
      </c>
      <c r="K3650" s="65" t="str">
        <f t="shared" si="1"/>
        <v>In</v>
      </c>
    </row>
    <row r="3651">
      <c r="A3651" s="62" t="s">
        <v>3789</v>
      </c>
      <c r="B3651" s="63">
        <v>44205.0</v>
      </c>
      <c r="C3651" s="62" t="s">
        <v>119</v>
      </c>
      <c r="D3651" s="64">
        <v>42.5</v>
      </c>
      <c r="E3651" s="62" t="s">
        <v>109</v>
      </c>
      <c r="F3651" s="62" t="s">
        <v>115</v>
      </c>
      <c r="G3651" s="64" t="s">
        <v>64</v>
      </c>
      <c r="H3651" s="3" t="s">
        <v>175</v>
      </c>
      <c r="I3651" s="65">
        <f>IFERROR(VLOOKUP(A3651,'3. Call duration'!$A:$C,3,0),"--")</f>
        <v>29.61661678</v>
      </c>
      <c r="J3651" s="65" t="str">
        <f t="array" ref="J3651">XLOOKUP(H3651,'2. Matching'!$A$2:$A$39,'2. Matching'!$B$2:$B$39,"--")</f>
        <v>SEO</v>
      </c>
      <c r="K3651" s="65" t="str">
        <f t="shared" si="1"/>
        <v>In</v>
      </c>
    </row>
    <row r="3652">
      <c r="A3652" s="62" t="s">
        <v>3790</v>
      </c>
      <c r="B3652" s="63">
        <v>44215.0</v>
      </c>
      <c r="C3652" s="62" t="s">
        <v>119</v>
      </c>
      <c r="D3652" s="64">
        <v>42.5</v>
      </c>
      <c r="E3652" s="62" t="s">
        <v>109</v>
      </c>
      <c r="F3652" s="62" t="s">
        <v>115</v>
      </c>
      <c r="G3652" s="64" t="s">
        <v>64</v>
      </c>
      <c r="H3652" s="3" t="s">
        <v>145</v>
      </c>
      <c r="I3652" s="65">
        <f>IFERROR(VLOOKUP(A3652,'3. Call duration'!$A:$C,3,0),"--")</f>
        <v>21.81394635</v>
      </c>
      <c r="J3652" s="65" t="str">
        <f t="array" ref="J3652">XLOOKUP(H3652,'2. Matching'!$A$2:$A$39,'2. Matching'!$B$2:$B$39,"--")</f>
        <v>SEO</v>
      </c>
      <c r="K3652" s="65" t="str">
        <f t="shared" si="1"/>
        <v>In</v>
      </c>
    </row>
    <row r="3653">
      <c r="A3653" s="62" t="s">
        <v>3791</v>
      </c>
      <c r="B3653" s="63">
        <v>44181.0</v>
      </c>
      <c r="C3653" s="62" t="s">
        <v>119</v>
      </c>
      <c r="D3653" s="64">
        <v>42.5</v>
      </c>
      <c r="E3653" s="62" t="s">
        <v>109</v>
      </c>
      <c r="F3653" s="62" t="s">
        <v>110</v>
      </c>
      <c r="G3653" s="64" t="s">
        <v>64</v>
      </c>
      <c r="H3653" s="3" t="s">
        <v>169</v>
      </c>
      <c r="I3653" s="65">
        <f>IFERROR(VLOOKUP(A3653,'3. Call duration'!$A:$C,3,0),"--")</f>
        <v>28.47349757</v>
      </c>
      <c r="J3653" s="65" t="str">
        <f t="array" ref="J3653">XLOOKUP(H3653,'2. Matching'!$A$2:$A$39,'2. Matching'!$B$2:$B$39,"--")</f>
        <v>SEO</v>
      </c>
      <c r="K3653" s="65" t="str">
        <f t="shared" si="1"/>
        <v>In</v>
      </c>
    </row>
    <row r="3654">
      <c r="A3654" s="62" t="s">
        <v>3792</v>
      </c>
      <c r="B3654" s="63">
        <v>44210.0</v>
      </c>
      <c r="C3654" s="62" t="s">
        <v>119</v>
      </c>
      <c r="D3654" s="64">
        <v>42.5</v>
      </c>
      <c r="E3654" s="62" t="s">
        <v>109</v>
      </c>
      <c r="F3654" s="62" t="s">
        <v>115</v>
      </c>
      <c r="G3654" s="64" t="s">
        <v>62</v>
      </c>
      <c r="H3654" s="3" t="s">
        <v>294</v>
      </c>
      <c r="I3654" s="65">
        <f>IFERROR(VLOOKUP(A3654,'3. Call duration'!$A:$C,3,0),"--")</f>
        <v>25.37258462</v>
      </c>
      <c r="J3654" s="65" t="str">
        <f t="array" ref="J3654">XLOOKUP(H3654,'2. Matching'!$A$2:$A$39,'2. Matching'!$B$2:$B$39,"--")</f>
        <v>Farming</v>
      </c>
      <c r="K3654" s="65" t="str">
        <f t="shared" si="1"/>
        <v>In</v>
      </c>
    </row>
    <row r="3655">
      <c r="A3655" s="62" t="s">
        <v>3793</v>
      </c>
      <c r="B3655" s="63">
        <v>44130.0</v>
      </c>
      <c r="C3655" s="62" t="s">
        <v>119</v>
      </c>
      <c r="D3655" s="64">
        <v>42.5</v>
      </c>
      <c r="E3655" s="62" t="s">
        <v>109</v>
      </c>
      <c r="F3655" s="62" t="s">
        <v>115</v>
      </c>
      <c r="G3655" s="64" t="s">
        <v>64</v>
      </c>
      <c r="H3655" s="3" t="s">
        <v>139</v>
      </c>
      <c r="I3655" s="65">
        <f>IFERROR(VLOOKUP(A3655,'3. Call duration'!$A:$C,3,0),"--")</f>
        <v>28.20915137</v>
      </c>
      <c r="J3655" s="65" t="str">
        <f t="array" ref="J3655">XLOOKUP(H3655,'2. Matching'!$A$2:$A$39,'2. Matching'!$B$2:$B$39,"--")</f>
        <v>Acquisition</v>
      </c>
      <c r="K3655" s="65" t="str">
        <f t="shared" si="1"/>
        <v>In</v>
      </c>
    </row>
    <row r="3656">
      <c r="A3656" s="62" t="s">
        <v>3794</v>
      </c>
      <c r="B3656" s="63">
        <v>44151.0</v>
      </c>
      <c r="C3656" s="62" t="s">
        <v>119</v>
      </c>
      <c r="D3656" s="64">
        <v>42.5</v>
      </c>
      <c r="E3656" s="62" t="s">
        <v>109</v>
      </c>
      <c r="F3656" s="62" t="s">
        <v>115</v>
      </c>
      <c r="G3656" s="64" t="s">
        <v>64</v>
      </c>
      <c r="H3656" s="3" t="s">
        <v>175</v>
      </c>
      <c r="I3656" s="65">
        <f>IFERROR(VLOOKUP(A3656,'3. Call duration'!$A:$C,3,0),"--")</f>
        <v>16.5151826</v>
      </c>
      <c r="J3656" s="65" t="str">
        <f t="array" ref="J3656">XLOOKUP(H3656,'2. Matching'!$A$2:$A$39,'2. Matching'!$B$2:$B$39,"--")</f>
        <v>SEO</v>
      </c>
      <c r="K3656" s="65" t="str">
        <f t="shared" si="1"/>
        <v>In</v>
      </c>
    </row>
    <row r="3657">
      <c r="A3657" s="62" t="s">
        <v>3795</v>
      </c>
      <c r="B3657" s="63">
        <v>44210.0</v>
      </c>
      <c r="C3657" s="62" t="s">
        <v>119</v>
      </c>
      <c r="D3657" s="64">
        <v>42.5</v>
      </c>
      <c r="E3657" s="62" t="s">
        <v>109</v>
      </c>
      <c r="F3657" s="62" t="s">
        <v>110</v>
      </c>
      <c r="G3657" s="64" t="s">
        <v>62</v>
      </c>
      <c r="H3657" s="3" t="s">
        <v>294</v>
      </c>
      <c r="I3657" s="65" t="str">
        <f>IFERROR(VLOOKUP(A3657,'3. Call duration'!$A:$C,3,0),"--")</f>
        <v>--</v>
      </c>
      <c r="J3657" s="65" t="str">
        <f t="array" ref="J3657">XLOOKUP(H3657,'2. Matching'!$A$2:$A$39,'2. Matching'!$B$2:$B$39,"--")</f>
        <v>Farming</v>
      </c>
      <c r="K3657" s="65" t="str">
        <f t="shared" si="1"/>
        <v>In</v>
      </c>
    </row>
    <row r="3658">
      <c r="A3658" s="62" t="s">
        <v>3796</v>
      </c>
      <c r="B3658" s="63">
        <v>44194.0</v>
      </c>
      <c r="C3658" s="62" t="s">
        <v>119</v>
      </c>
      <c r="D3658" s="64">
        <v>42.5</v>
      </c>
      <c r="E3658" s="62" t="s">
        <v>109</v>
      </c>
      <c r="F3658" s="62" t="s">
        <v>115</v>
      </c>
      <c r="G3658" s="64" t="s">
        <v>64</v>
      </c>
      <c r="H3658" s="3" t="s">
        <v>131</v>
      </c>
      <c r="I3658" s="65">
        <f>IFERROR(VLOOKUP(A3658,'3. Call duration'!$A:$C,3,0),"--")</f>
        <v>30.23580657</v>
      </c>
      <c r="J3658" s="65" t="str">
        <f t="array" ref="J3658">XLOOKUP(H3658,'2. Matching'!$A$2:$A$39,'2. Matching'!$B$2:$B$39,"--")</f>
        <v>Acquisition</v>
      </c>
      <c r="K3658" s="65" t="str">
        <f t="shared" si="1"/>
        <v>In</v>
      </c>
    </row>
    <row r="3659">
      <c r="A3659" s="62" t="s">
        <v>3797</v>
      </c>
      <c r="B3659" s="63">
        <v>44172.0</v>
      </c>
      <c r="C3659" s="62" t="s">
        <v>119</v>
      </c>
      <c r="D3659" s="64">
        <v>42.5</v>
      </c>
      <c r="E3659" s="62" t="s">
        <v>109</v>
      </c>
      <c r="F3659" s="62" t="s">
        <v>115</v>
      </c>
      <c r="G3659" s="64" t="s">
        <v>64</v>
      </c>
      <c r="H3659" s="3" t="s">
        <v>131</v>
      </c>
      <c r="I3659" s="65">
        <f>IFERROR(VLOOKUP(A3659,'3. Call duration'!$A:$C,3,0),"--")</f>
        <v>28.69461973</v>
      </c>
      <c r="J3659" s="65" t="str">
        <f t="array" ref="J3659">XLOOKUP(H3659,'2. Matching'!$A$2:$A$39,'2. Matching'!$B$2:$B$39,"--")</f>
        <v>Acquisition</v>
      </c>
      <c r="K3659" s="65" t="str">
        <f t="shared" si="1"/>
        <v>In</v>
      </c>
    </row>
    <row r="3660">
      <c r="A3660" s="62" t="s">
        <v>3798</v>
      </c>
      <c r="B3660" s="63">
        <v>44209.0</v>
      </c>
      <c r="C3660" s="62" t="s">
        <v>119</v>
      </c>
      <c r="D3660" s="64">
        <v>42.5</v>
      </c>
      <c r="E3660" s="62" t="s">
        <v>109</v>
      </c>
      <c r="F3660" s="62" t="s">
        <v>115</v>
      </c>
      <c r="G3660" s="64" t="s">
        <v>64</v>
      </c>
      <c r="H3660" s="3" t="s">
        <v>164</v>
      </c>
      <c r="I3660" s="65">
        <f>IFERROR(VLOOKUP(A3660,'3. Call duration'!$A:$C,3,0),"--")</f>
        <v>13.29641566</v>
      </c>
      <c r="J3660" s="65" t="str">
        <f t="array" ref="J3660">XLOOKUP(H3660,'2. Matching'!$A$2:$A$39,'2. Matching'!$B$2:$B$39,"--")</f>
        <v>SEO</v>
      </c>
      <c r="K3660" s="65" t="str">
        <f t="shared" si="1"/>
        <v>In</v>
      </c>
    </row>
    <row r="3661">
      <c r="A3661" s="62" t="s">
        <v>3799</v>
      </c>
      <c r="B3661" s="63">
        <v>44225.0</v>
      </c>
      <c r="C3661" s="62" t="s">
        <v>119</v>
      </c>
      <c r="D3661" s="64">
        <v>42.5</v>
      </c>
      <c r="E3661" s="62" t="s">
        <v>109</v>
      </c>
      <c r="F3661" s="62" t="s">
        <v>110</v>
      </c>
      <c r="G3661" s="64" t="s">
        <v>64</v>
      </c>
      <c r="H3661" s="3" t="s">
        <v>145</v>
      </c>
      <c r="I3661" s="65">
        <f>IFERROR(VLOOKUP(A3661,'3. Call duration'!$A:$C,3,0),"--")</f>
        <v>28.66119318</v>
      </c>
      <c r="J3661" s="65" t="str">
        <f t="array" ref="J3661">XLOOKUP(H3661,'2. Matching'!$A$2:$A$39,'2. Matching'!$B$2:$B$39,"--")</f>
        <v>SEO</v>
      </c>
      <c r="K3661" s="65" t="str">
        <f t="shared" si="1"/>
        <v>In</v>
      </c>
    </row>
    <row r="3662">
      <c r="A3662" s="62" t="s">
        <v>3800</v>
      </c>
      <c r="B3662" s="63">
        <v>44118.0</v>
      </c>
      <c r="C3662" s="62" t="s">
        <v>119</v>
      </c>
      <c r="D3662" s="64">
        <v>42.5</v>
      </c>
      <c r="E3662" s="62" t="s">
        <v>109</v>
      </c>
      <c r="F3662" s="62" t="s">
        <v>115</v>
      </c>
      <c r="G3662" s="64" t="s">
        <v>64</v>
      </c>
      <c r="H3662" s="3" t="s">
        <v>164</v>
      </c>
      <c r="I3662" s="65">
        <f>IFERROR(VLOOKUP(A3662,'3. Call duration'!$A:$C,3,0),"--")</f>
        <v>31.796784</v>
      </c>
      <c r="J3662" s="65" t="str">
        <f t="array" ref="J3662">XLOOKUP(H3662,'2. Matching'!$A$2:$A$39,'2. Matching'!$B$2:$B$39,"--")</f>
        <v>SEO</v>
      </c>
      <c r="K3662" s="65" t="str">
        <f t="shared" si="1"/>
        <v>In</v>
      </c>
    </row>
    <row r="3663">
      <c r="A3663" s="62" t="s">
        <v>3801</v>
      </c>
      <c r="B3663" s="63">
        <v>44128.0</v>
      </c>
      <c r="C3663" s="62" t="s">
        <v>119</v>
      </c>
      <c r="D3663" s="64">
        <v>42.5</v>
      </c>
      <c r="E3663" s="62" t="s">
        <v>109</v>
      </c>
      <c r="F3663" s="62" t="s">
        <v>115</v>
      </c>
      <c r="G3663" s="64" t="s">
        <v>64</v>
      </c>
      <c r="H3663" s="3" t="s">
        <v>139</v>
      </c>
      <c r="I3663" s="65">
        <f>IFERROR(VLOOKUP(A3663,'3. Call duration'!$A:$C,3,0),"--")</f>
        <v>22.61881752</v>
      </c>
      <c r="J3663" s="65" t="str">
        <f t="array" ref="J3663">XLOOKUP(H3663,'2. Matching'!$A$2:$A$39,'2. Matching'!$B$2:$B$39,"--")</f>
        <v>Acquisition</v>
      </c>
      <c r="K3663" s="65" t="str">
        <f t="shared" si="1"/>
        <v>In</v>
      </c>
    </row>
    <row r="3664">
      <c r="A3664" s="62" t="s">
        <v>3802</v>
      </c>
      <c r="B3664" s="63">
        <v>44242.0</v>
      </c>
      <c r="C3664" s="62" t="s">
        <v>119</v>
      </c>
      <c r="D3664" s="64">
        <v>42.5</v>
      </c>
      <c r="E3664" s="62" t="s">
        <v>109</v>
      </c>
      <c r="F3664" s="62" t="s">
        <v>115</v>
      </c>
      <c r="G3664" s="64" t="s">
        <v>64</v>
      </c>
      <c r="H3664" s="3" t="s">
        <v>164</v>
      </c>
      <c r="I3664" s="65">
        <f>IFERROR(VLOOKUP(A3664,'3. Call duration'!$A:$C,3,0),"--")</f>
        <v>31.31508387</v>
      </c>
      <c r="J3664" s="65" t="str">
        <f t="array" ref="J3664">XLOOKUP(H3664,'2. Matching'!$A$2:$A$39,'2. Matching'!$B$2:$B$39,"--")</f>
        <v>SEO</v>
      </c>
      <c r="K3664" s="65" t="str">
        <f t="shared" si="1"/>
        <v>In</v>
      </c>
    </row>
    <row r="3665">
      <c r="A3665" s="62" t="s">
        <v>3803</v>
      </c>
      <c r="B3665" s="63">
        <v>44237.0</v>
      </c>
      <c r="C3665" s="62" t="s">
        <v>119</v>
      </c>
      <c r="D3665" s="64">
        <v>42.5</v>
      </c>
      <c r="E3665" s="62" t="s">
        <v>109</v>
      </c>
      <c r="F3665" s="62" t="s">
        <v>115</v>
      </c>
      <c r="G3665" s="64" t="s">
        <v>64</v>
      </c>
      <c r="H3665" s="3" t="s">
        <v>116</v>
      </c>
      <c r="I3665" s="65">
        <f>IFERROR(VLOOKUP(A3665,'3. Call duration'!$A:$C,3,0),"--")</f>
        <v>26.66232678</v>
      </c>
      <c r="J3665" s="65" t="str">
        <f t="array" ref="J3665">XLOOKUP(H3665,'2. Matching'!$A$2:$A$39,'2. Matching'!$B$2:$B$39,"--")</f>
        <v>Acquisition</v>
      </c>
      <c r="K3665" s="65" t="str">
        <f t="shared" si="1"/>
        <v>In</v>
      </c>
    </row>
    <row r="3666">
      <c r="A3666" s="62" t="s">
        <v>3804</v>
      </c>
      <c r="B3666" s="63">
        <v>44230.0</v>
      </c>
      <c r="C3666" s="62" t="s">
        <v>119</v>
      </c>
      <c r="D3666" s="64">
        <v>42.5</v>
      </c>
      <c r="E3666" s="62" t="s">
        <v>109</v>
      </c>
      <c r="F3666" s="62" t="s">
        <v>115</v>
      </c>
      <c r="G3666" s="64" t="s">
        <v>64</v>
      </c>
      <c r="H3666" s="3" t="s">
        <v>150</v>
      </c>
      <c r="I3666" s="65">
        <f>IFERROR(VLOOKUP(A3666,'3. Call duration'!$A:$C,3,0),"--")</f>
        <v>32.90222064</v>
      </c>
      <c r="J3666" s="65" t="str">
        <f t="array" ref="J3666">XLOOKUP(H3666,'2. Matching'!$A$2:$A$39,'2. Matching'!$B$2:$B$39,"--")</f>
        <v>SEO</v>
      </c>
      <c r="K3666" s="65" t="str">
        <f t="shared" si="1"/>
        <v>In</v>
      </c>
    </row>
    <row r="3667">
      <c r="A3667" s="62" t="s">
        <v>3805</v>
      </c>
      <c r="B3667" s="63">
        <v>44210.0</v>
      </c>
      <c r="C3667" s="62" t="s">
        <v>119</v>
      </c>
      <c r="D3667" s="64">
        <v>42.5</v>
      </c>
      <c r="E3667" s="62" t="s">
        <v>109</v>
      </c>
      <c r="F3667" s="62" t="s">
        <v>115</v>
      </c>
      <c r="G3667" s="64" t="s">
        <v>64</v>
      </c>
      <c r="H3667" s="3" t="s">
        <v>131</v>
      </c>
      <c r="I3667" s="65">
        <f>IFERROR(VLOOKUP(A3667,'3. Call duration'!$A:$C,3,0),"--")</f>
        <v>21.71589871</v>
      </c>
      <c r="J3667" s="65" t="str">
        <f t="array" ref="J3667">XLOOKUP(H3667,'2. Matching'!$A$2:$A$39,'2. Matching'!$B$2:$B$39,"--")</f>
        <v>Acquisition</v>
      </c>
      <c r="K3667" s="65" t="str">
        <f t="shared" si="1"/>
        <v>In</v>
      </c>
    </row>
    <row r="3668">
      <c r="A3668" s="62" t="s">
        <v>3806</v>
      </c>
      <c r="B3668" s="63">
        <v>44249.0</v>
      </c>
      <c r="C3668" s="62" t="s">
        <v>119</v>
      </c>
      <c r="D3668" s="64">
        <v>42.5</v>
      </c>
      <c r="E3668" s="62" t="s">
        <v>109</v>
      </c>
      <c r="F3668" s="62" t="s">
        <v>110</v>
      </c>
      <c r="G3668" s="64" t="s">
        <v>64</v>
      </c>
      <c r="H3668" s="3" t="s">
        <v>297</v>
      </c>
      <c r="I3668" s="65">
        <f>IFERROR(VLOOKUP(A3668,'3. Call duration'!$A:$C,3,0),"--")</f>
        <v>29.61845426</v>
      </c>
      <c r="J3668" s="65" t="str">
        <f t="array" ref="J3668">XLOOKUP(H3668,'2. Matching'!$A$2:$A$39,'2. Matching'!$B$2:$B$39,"--")</f>
        <v>Farming</v>
      </c>
      <c r="K3668" s="65" t="str">
        <f t="shared" si="1"/>
        <v>In</v>
      </c>
    </row>
    <row r="3669">
      <c r="A3669" s="62" t="s">
        <v>3807</v>
      </c>
      <c r="B3669" s="63">
        <v>44204.0</v>
      </c>
      <c r="C3669" s="62" t="s">
        <v>119</v>
      </c>
      <c r="D3669" s="64">
        <v>42.5</v>
      </c>
      <c r="E3669" s="62" t="s">
        <v>109</v>
      </c>
      <c r="F3669" s="62" t="s">
        <v>115</v>
      </c>
      <c r="G3669" s="64" t="s">
        <v>64</v>
      </c>
      <c r="H3669" s="3" t="s">
        <v>169</v>
      </c>
      <c r="I3669" s="65">
        <f>IFERROR(VLOOKUP(A3669,'3. Call duration'!$A:$C,3,0),"--")</f>
        <v>23.95434087</v>
      </c>
      <c r="J3669" s="65" t="str">
        <f t="array" ref="J3669">XLOOKUP(H3669,'2. Matching'!$A$2:$A$39,'2. Matching'!$B$2:$B$39,"--")</f>
        <v>SEO</v>
      </c>
      <c r="K3669" s="65" t="str">
        <f t="shared" si="1"/>
        <v>In</v>
      </c>
    </row>
    <row r="3670">
      <c r="A3670" s="62" t="s">
        <v>3808</v>
      </c>
      <c r="B3670" s="63">
        <v>44161.0</v>
      </c>
      <c r="C3670" s="62" t="s">
        <v>119</v>
      </c>
      <c r="D3670" s="64">
        <v>42.5</v>
      </c>
      <c r="E3670" s="62" t="s">
        <v>109</v>
      </c>
      <c r="F3670" s="62" t="s">
        <v>110</v>
      </c>
      <c r="G3670" s="64" t="s">
        <v>64</v>
      </c>
      <c r="H3670" s="3" t="s">
        <v>175</v>
      </c>
      <c r="I3670" s="65">
        <f>IFERROR(VLOOKUP(A3670,'3. Call duration'!$A:$C,3,0),"--")</f>
        <v>25.04765268</v>
      </c>
      <c r="J3670" s="65" t="str">
        <f t="array" ref="J3670">XLOOKUP(H3670,'2. Matching'!$A$2:$A$39,'2. Matching'!$B$2:$B$39,"--")</f>
        <v>SEO</v>
      </c>
      <c r="K3670" s="65" t="str">
        <f t="shared" si="1"/>
        <v>In</v>
      </c>
    </row>
    <row r="3671">
      <c r="A3671" s="62" t="s">
        <v>3809</v>
      </c>
      <c r="B3671" s="63">
        <v>44104.0</v>
      </c>
      <c r="C3671" s="62" t="s">
        <v>119</v>
      </c>
      <c r="D3671" s="64">
        <v>42.5</v>
      </c>
      <c r="E3671" s="62" t="s">
        <v>109</v>
      </c>
      <c r="F3671" s="62" t="s">
        <v>115</v>
      </c>
      <c r="G3671" s="64" t="s">
        <v>64</v>
      </c>
      <c r="H3671" s="3" t="s">
        <v>139</v>
      </c>
      <c r="I3671" s="65">
        <f>IFERROR(VLOOKUP(A3671,'3. Call duration'!$A:$C,3,0),"--")</f>
        <v>33.05936852</v>
      </c>
      <c r="J3671" s="65" t="str">
        <f t="array" ref="J3671">XLOOKUP(H3671,'2. Matching'!$A$2:$A$39,'2. Matching'!$B$2:$B$39,"--")</f>
        <v>Acquisition</v>
      </c>
      <c r="K3671" s="65" t="str">
        <f t="shared" si="1"/>
        <v>In</v>
      </c>
    </row>
    <row r="3672">
      <c r="A3672" s="62" t="s">
        <v>3810</v>
      </c>
      <c r="B3672" s="63">
        <v>44223.0</v>
      </c>
      <c r="C3672" s="62" t="s">
        <v>119</v>
      </c>
      <c r="D3672" s="64">
        <v>42.5</v>
      </c>
      <c r="E3672" s="62" t="s">
        <v>109</v>
      </c>
      <c r="F3672" s="62" t="s">
        <v>115</v>
      </c>
      <c r="G3672" s="64" t="s">
        <v>64</v>
      </c>
      <c r="H3672" s="3" t="s">
        <v>164</v>
      </c>
      <c r="I3672" s="65">
        <f>IFERROR(VLOOKUP(A3672,'3. Call duration'!$A:$C,3,0),"--")</f>
        <v>22.04898989</v>
      </c>
      <c r="J3672" s="65" t="str">
        <f t="array" ref="J3672">XLOOKUP(H3672,'2. Matching'!$A$2:$A$39,'2. Matching'!$B$2:$B$39,"--")</f>
        <v>SEO</v>
      </c>
      <c r="K3672" s="65" t="str">
        <f t="shared" si="1"/>
        <v>In</v>
      </c>
    </row>
    <row r="3673">
      <c r="A3673" s="62" t="s">
        <v>3811</v>
      </c>
      <c r="B3673" s="63">
        <v>44109.0</v>
      </c>
      <c r="C3673" s="62" t="s">
        <v>119</v>
      </c>
      <c r="D3673" s="64">
        <v>42.5</v>
      </c>
      <c r="E3673" s="62" t="s">
        <v>109</v>
      </c>
      <c r="F3673" s="62" t="s">
        <v>115</v>
      </c>
      <c r="G3673" s="64" t="s">
        <v>64</v>
      </c>
      <c r="H3673" s="3" t="s">
        <v>49</v>
      </c>
      <c r="I3673" s="65">
        <f>IFERROR(VLOOKUP(A3673,'3. Call duration'!$A:$C,3,0),"--")</f>
        <v>16.1948676</v>
      </c>
      <c r="J3673" s="65" t="str">
        <f t="array" ref="J3673">XLOOKUP(H3673,'2. Matching'!$A$2:$A$39,'2. Matching'!$B$2:$B$39,"--")</f>
        <v>Partnerships</v>
      </c>
      <c r="K3673" s="65" t="str">
        <f t="shared" si="1"/>
        <v>In</v>
      </c>
    </row>
    <row r="3674">
      <c r="A3674" s="62" t="s">
        <v>3812</v>
      </c>
      <c r="B3674" s="63">
        <v>44141.0</v>
      </c>
      <c r="C3674" s="62" t="s">
        <v>119</v>
      </c>
      <c r="D3674" s="64">
        <v>42.5</v>
      </c>
      <c r="E3674" s="62" t="s">
        <v>109</v>
      </c>
      <c r="F3674" s="62" t="s">
        <v>115</v>
      </c>
      <c r="G3674" s="64" t="s">
        <v>64</v>
      </c>
      <c r="H3674" s="3" t="s">
        <v>235</v>
      </c>
      <c r="I3674" s="65" t="str">
        <f>IFERROR(VLOOKUP(A3674,'3. Call duration'!$A:$C,3,0),"--")</f>
        <v>--</v>
      </c>
      <c r="J3674" s="65" t="str">
        <f t="array" ref="J3674">XLOOKUP(H3674,'2. Matching'!$A$2:$A$39,'2. Matching'!$B$2:$B$39,"--")</f>
        <v>Farming</v>
      </c>
      <c r="K3674" s="65" t="str">
        <f t="shared" si="1"/>
        <v>In</v>
      </c>
    </row>
    <row r="3675">
      <c r="A3675" s="62" t="s">
        <v>3813</v>
      </c>
      <c r="B3675" s="63">
        <v>44168.0</v>
      </c>
      <c r="C3675" s="62" t="s">
        <v>119</v>
      </c>
      <c r="D3675" s="64">
        <v>42.5</v>
      </c>
      <c r="E3675" s="62" t="s">
        <v>109</v>
      </c>
      <c r="F3675" s="62" t="s">
        <v>115</v>
      </c>
      <c r="G3675" s="64" t="s">
        <v>64</v>
      </c>
      <c r="H3675" s="3" t="s">
        <v>155</v>
      </c>
      <c r="I3675" s="65">
        <f>IFERROR(VLOOKUP(A3675,'3. Call duration'!$A:$C,3,0),"--")</f>
        <v>25.47806716</v>
      </c>
      <c r="J3675" s="65" t="str">
        <f t="array" ref="J3675">XLOOKUP(H3675,'2. Matching'!$A$2:$A$39,'2. Matching'!$B$2:$B$39,"--")</f>
        <v>SEO</v>
      </c>
      <c r="K3675" s="65" t="str">
        <f t="shared" si="1"/>
        <v>In</v>
      </c>
    </row>
    <row r="3676">
      <c r="A3676" s="62" t="s">
        <v>3814</v>
      </c>
      <c r="B3676" s="63">
        <v>44216.0</v>
      </c>
      <c r="C3676" s="62" t="s">
        <v>119</v>
      </c>
      <c r="D3676" s="64">
        <v>42.5</v>
      </c>
      <c r="E3676" s="62" t="s">
        <v>109</v>
      </c>
      <c r="F3676" s="62" t="s">
        <v>115</v>
      </c>
      <c r="G3676" s="64" t="s">
        <v>64</v>
      </c>
      <c r="H3676" s="3" t="s">
        <v>185</v>
      </c>
      <c r="I3676" s="65" t="str">
        <f>IFERROR(VLOOKUP(A3676,'3. Call duration'!$A:$C,3,0),"--")</f>
        <v>--</v>
      </c>
      <c r="J3676" s="65" t="str">
        <f t="array" ref="J3676">XLOOKUP(H3676,'2. Matching'!$A$2:$A$39,'2. Matching'!$B$2:$B$39,"--")</f>
        <v>SEO</v>
      </c>
      <c r="K3676" s="65" t="str">
        <f t="shared" si="1"/>
        <v>In</v>
      </c>
    </row>
    <row r="3677">
      <c r="A3677" s="62" t="s">
        <v>3815</v>
      </c>
      <c r="B3677" s="63">
        <v>44236.0</v>
      </c>
      <c r="C3677" s="62" t="s">
        <v>119</v>
      </c>
      <c r="D3677" s="64">
        <v>42.5</v>
      </c>
      <c r="E3677" s="62" t="s">
        <v>109</v>
      </c>
      <c r="F3677" s="62" t="s">
        <v>110</v>
      </c>
      <c r="G3677" s="64" t="s">
        <v>62</v>
      </c>
      <c r="H3677" s="3" t="s">
        <v>286</v>
      </c>
      <c r="I3677" s="65">
        <f>IFERROR(VLOOKUP(A3677,'3. Call duration'!$A:$C,3,0),"--")</f>
        <v>29.83194201</v>
      </c>
      <c r="J3677" s="65" t="str">
        <f t="array" ref="J3677">XLOOKUP(H3677,'2. Matching'!$A$2:$A$39,'2. Matching'!$B$2:$B$39,"--")</f>
        <v>Farming</v>
      </c>
      <c r="K3677" s="65" t="str">
        <f t="shared" si="1"/>
        <v>In</v>
      </c>
    </row>
    <row r="3678">
      <c r="A3678" s="62" t="s">
        <v>3816</v>
      </c>
      <c r="B3678" s="63">
        <v>44139.0</v>
      </c>
      <c r="C3678" s="62" t="s">
        <v>119</v>
      </c>
      <c r="D3678" s="64">
        <v>42.5</v>
      </c>
      <c r="E3678" s="62" t="s">
        <v>109</v>
      </c>
      <c r="F3678" s="62" t="s">
        <v>110</v>
      </c>
      <c r="G3678" s="64" t="s">
        <v>64</v>
      </c>
      <c r="H3678" s="3" t="s">
        <v>139</v>
      </c>
      <c r="I3678" s="65">
        <f>IFERROR(VLOOKUP(A3678,'3. Call duration'!$A:$C,3,0),"--")</f>
        <v>28.75268046</v>
      </c>
      <c r="J3678" s="65" t="str">
        <f t="array" ref="J3678">XLOOKUP(H3678,'2. Matching'!$A$2:$A$39,'2. Matching'!$B$2:$B$39,"--")</f>
        <v>Acquisition</v>
      </c>
      <c r="K3678" s="65" t="str">
        <f t="shared" si="1"/>
        <v>In</v>
      </c>
    </row>
    <row r="3679">
      <c r="A3679" s="62" t="s">
        <v>3817</v>
      </c>
      <c r="B3679" s="63">
        <v>44166.0</v>
      </c>
      <c r="C3679" s="62" t="s">
        <v>119</v>
      </c>
      <c r="D3679" s="64">
        <v>42.5</v>
      </c>
      <c r="E3679" s="62" t="s">
        <v>109</v>
      </c>
      <c r="F3679" s="62" t="s">
        <v>115</v>
      </c>
      <c r="G3679" s="64" t="s">
        <v>64</v>
      </c>
      <c r="H3679" s="3" t="s">
        <v>150</v>
      </c>
      <c r="I3679" s="65" t="str">
        <f>IFERROR(VLOOKUP(A3679,'3. Call duration'!$A:$C,3,0),"--")</f>
        <v>--</v>
      </c>
      <c r="J3679" s="65" t="str">
        <f t="array" ref="J3679">XLOOKUP(H3679,'2. Matching'!$A$2:$A$39,'2. Matching'!$B$2:$B$39,"--")</f>
        <v>SEO</v>
      </c>
      <c r="K3679" s="65" t="str">
        <f t="shared" si="1"/>
        <v>In</v>
      </c>
    </row>
    <row r="3680">
      <c r="A3680" s="62" t="s">
        <v>3818</v>
      </c>
      <c r="B3680" s="63">
        <v>44155.0</v>
      </c>
      <c r="C3680" s="62" t="s">
        <v>119</v>
      </c>
      <c r="D3680" s="64">
        <v>42.5</v>
      </c>
      <c r="E3680" s="62" t="s">
        <v>109</v>
      </c>
      <c r="F3680" s="62" t="s">
        <v>115</v>
      </c>
      <c r="G3680" s="64" t="s">
        <v>64</v>
      </c>
      <c r="H3680" s="3" t="s">
        <v>164</v>
      </c>
      <c r="I3680" s="65">
        <f>IFERROR(VLOOKUP(A3680,'3. Call duration'!$A:$C,3,0),"--")</f>
        <v>26.01333333</v>
      </c>
      <c r="J3680" s="65" t="str">
        <f t="array" ref="J3680">XLOOKUP(H3680,'2. Matching'!$A$2:$A$39,'2. Matching'!$B$2:$B$39,"--")</f>
        <v>SEO</v>
      </c>
      <c r="K3680" s="65" t="str">
        <f t="shared" si="1"/>
        <v>In</v>
      </c>
    </row>
    <row r="3681">
      <c r="A3681" s="62" t="s">
        <v>3819</v>
      </c>
      <c r="B3681" s="63">
        <v>44251.0</v>
      </c>
      <c r="C3681" s="62" t="s">
        <v>119</v>
      </c>
      <c r="D3681" s="64">
        <v>42.5</v>
      </c>
      <c r="E3681" s="62" t="s">
        <v>109</v>
      </c>
      <c r="F3681" s="62" t="s">
        <v>115</v>
      </c>
      <c r="G3681" s="64" t="s">
        <v>64</v>
      </c>
      <c r="H3681" s="3" t="s">
        <v>169</v>
      </c>
      <c r="I3681" s="65">
        <f>IFERROR(VLOOKUP(A3681,'3. Call duration'!$A:$C,3,0),"--")</f>
        <v>25.81889668</v>
      </c>
      <c r="J3681" s="65" t="str">
        <f t="array" ref="J3681">XLOOKUP(H3681,'2. Matching'!$A$2:$A$39,'2. Matching'!$B$2:$B$39,"--")</f>
        <v>SEO</v>
      </c>
      <c r="K3681" s="65" t="str">
        <f t="shared" si="1"/>
        <v>In</v>
      </c>
    </row>
    <row r="3682">
      <c r="A3682" s="62" t="s">
        <v>3820</v>
      </c>
      <c r="B3682" s="63">
        <v>44187.0</v>
      </c>
      <c r="C3682" s="62" t="s">
        <v>119</v>
      </c>
      <c r="D3682" s="64">
        <v>42.5</v>
      </c>
      <c r="E3682" s="62" t="s">
        <v>109</v>
      </c>
      <c r="F3682" s="62" t="s">
        <v>115</v>
      </c>
      <c r="G3682" s="64" t="s">
        <v>64</v>
      </c>
      <c r="H3682" s="3" t="s">
        <v>164</v>
      </c>
      <c r="I3682" s="65">
        <f>IFERROR(VLOOKUP(A3682,'3. Call duration'!$A:$C,3,0),"--")</f>
        <v>25.14810545</v>
      </c>
      <c r="J3682" s="65" t="str">
        <f t="array" ref="J3682">XLOOKUP(H3682,'2. Matching'!$A$2:$A$39,'2. Matching'!$B$2:$B$39,"--")</f>
        <v>SEO</v>
      </c>
      <c r="K3682" s="65" t="str">
        <f t="shared" si="1"/>
        <v>In</v>
      </c>
    </row>
    <row r="3683">
      <c r="A3683" s="62" t="s">
        <v>3821</v>
      </c>
      <c r="B3683" s="63">
        <v>44221.0</v>
      </c>
      <c r="C3683" s="62" t="s">
        <v>119</v>
      </c>
      <c r="D3683" s="64">
        <v>42.5</v>
      </c>
      <c r="E3683" s="62" t="s">
        <v>109</v>
      </c>
      <c r="F3683" s="62" t="s">
        <v>115</v>
      </c>
      <c r="G3683" s="64" t="s">
        <v>64</v>
      </c>
      <c r="H3683" s="3" t="s">
        <v>139</v>
      </c>
      <c r="I3683" s="65">
        <f>IFERROR(VLOOKUP(A3683,'3. Call duration'!$A:$C,3,0),"--")</f>
        <v>33.31150949</v>
      </c>
      <c r="J3683" s="65" t="str">
        <f t="array" ref="J3683">XLOOKUP(H3683,'2. Matching'!$A$2:$A$39,'2. Matching'!$B$2:$B$39,"--")</f>
        <v>Acquisition</v>
      </c>
      <c r="K3683" s="65" t="str">
        <f t="shared" si="1"/>
        <v>In</v>
      </c>
    </row>
    <row r="3684">
      <c r="A3684" s="62" t="s">
        <v>3822</v>
      </c>
      <c r="B3684" s="63">
        <v>44249.0</v>
      </c>
      <c r="C3684" s="62" t="s">
        <v>119</v>
      </c>
      <c r="D3684" s="64">
        <v>42.5</v>
      </c>
      <c r="E3684" s="62" t="s">
        <v>109</v>
      </c>
      <c r="F3684" s="62" t="s">
        <v>110</v>
      </c>
      <c r="G3684" s="64" t="s">
        <v>64</v>
      </c>
      <c r="H3684" s="3" t="s">
        <v>131</v>
      </c>
      <c r="I3684" s="65" t="str">
        <f>IFERROR(VLOOKUP(A3684,'3. Call duration'!$A:$C,3,0),"--")</f>
        <v>--</v>
      </c>
      <c r="J3684" s="65" t="str">
        <f t="array" ref="J3684">XLOOKUP(H3684,'2. Matching'!$A$2:$A$39,'2. Matching'!$B$2:$B$39,"--")</f>
        <v>Acquisition</v>
      </c>
      <c r="K3684" s="65" t="str">
        <f t="shared" si="1"/>
        <v>In</v>
      </c>
    </row>
    <row r="3685">
      <c r="A3685" s="62" t="s">
        <v>3823</v>
      </c>
      <c r="B3685" s="63">
        <v>44125.0</v>
      </c>
      <c r="C3685" s="62" t="s">
        <v>119</v>
      </c>
      <c r="D3685" s="64">
        <v>42.5</v>
      </c>
      <c r="E3685" s="62" t="s">
        <v>109</v>
      </c>
      <c r="F3685" s="62" t="s">
        <v>115</v>
      </c>
      <c r="G3685" s="64" t="s">
        <v>64</v>
      </c>
      <c r="H3685" s="3" t="s">
        <v>169</v>
      </c>
      <c r="I3685" s="65">
        <f>IFERROR(VLOOKUP(A3685,'3. Call duration'!$A:$C,3,0),"--")</f>
        <v>25.34659059</v>
      </c>
      <c r="J3685" s="65" t="str">
        <f t="array" ref="J3685">XLOOKUP(H3685,'2. Matching'!$A$2:$A$39,'2. Matching'!$B$2:$B$39,"--")</f>
        <v>SEO</v>
      </c>
      <c r="K3685" s="65" t="str">
        <f t="shared" si="1"/>
        <v>In</v>
      </c>
    </row>
    <row r="3686">
      <c r="A3686" s="62" t="s">
        <v>3824</v>
      </c>
      <c r="B3686" s="63">
        <v>44211.0</v>
      </c>
      <c r="C3686" s="62" t="s">
        <v>119</v>
      </c>
      <c r="D3686" s="64">
        <v>42.5</v>
      </c>
      <c r="E3686" s="62" t="s">
        <v>109</v>
      </c>
      <c r="F3686" s="62" t="s">
        <v>110</v>
      </c>
      <c r="G3686" s="64" t="s">
        <v>64</v>
      </c>
      <c r="H3686" s="3" t="s">
        <v>139</v>
      </c>
      <c r="I3686" s="65">
        <f>IFERROR(VLOOKUP(A3686,'3. Call duration'!$A:$C,3,0),"--")</f>
        <v>33.44515332</v>
      </c>
      <c r="J3686" s="65" t="str">
        <f t="array" ref="J3686">XLOOKUP(H3686,'2. Matching'!$A$2:$A$39,'2. Matching'!$B$2:$B$39,"--")</f>
        <v>Acquisition</v>
      </c>
      <c r="K3686" s="65" t="str">
        <f t="shared" si="1"/>
        <v>In</v>
      </c>
    </row>
    <row r="3687">
      <c r="A3687" s="62" t="s">
        <v>3825</v>
      </c>
      <c r="B3687" s="63">
        <v>44205.0</v>
      </c>
      <c r="C3687" s="62" t="s">
        <v>119</v>
      </c>
      <c r="D3687" s="64">
        <v>42.5</v>
      </c>
      <c r="E3687" s="62" t="s">
        <v>109</v>
      </c>
      <c r="F3687" s="62" t="s">
        <v>115</v>
      </c>
      <c r="G3687" s="64" t="s">
        <v>64</v>
      </c>
      <c r="H3687" s="3" t="s">
        <v>139</v>
      </c>
      <c r="I3687" s="65">
        <f>IFERROR(VLOOKUP(A3687,'3. Call duration'!$A:$C,3,0),"--")</f>
        <v>25.62843117</v>
      </c>
      <c r="J3687" s="65" t="str">
        <f t="array" ref="J3687">XLOOKUP(H3687,'2. Matching'!$A$2:$A$39,'2. Matching'!$B$2:$B$39,"--")</f>
        <v>Acquisition</v>
      </c>
      <c r="K3687" s="65" t="str">
        <f t="shared" si="1"/>
        <v>In</v>
      </c>
    </row>
    <row r="3688">
      <c r="A3688" s="62" t="s">
        <v>3826</v>
      </c>
      <c r="B3688" s="63">
        <v>44175.0</v>
      </c>
      <c r="C3688" s="62" t="s">
        <v>119</v>
      </c>
      <c r="D3688" s="64">
        <v>42.5</v>
      </c>
      <c r="E3688" s="62" t="s">
        <v>109</v>
      </c>
      <c r="F3688" s="62" t="s">
        <v>115</v>
      </c>
      <c r="G3688" s="64" t="s">
        <v>64</v>
      </c>
      <c r="H3688" s="3" t="s">
        <v>164</v>
      </c>
      <c r="I3688" s="65">
        <f>IFERROR(VLOOKUP(A3688,'3. Call duration'!$A:$C,3,0),"--")</f>
        <v>33.49449789</v>
      </c>
      <c r="J3688" s="65" t="str">
        <f t="array" ref="J3688">XLOOKUP(H3688,'2. Matching'!$A$2:$A$39,'2. Matching'!$B$2:$B$39,"--")</f>
        <v>SEO</v>
      </c>
      <c r="K3688" s="65" t="str">
        <f t="shared" si="1"/>
        <v>In</v>
      </c>
    </row>
    <row r="3689">
      <c r="A3689" s="62" t="s">
        <v>3827</v>
      </c>
      <c r="B3689" s="63">
        <v>44228.0</v>
      </c>
      <c r="C3689" s="62" t="s">
        <v>119</v>
      </c>
      <c r="D3689" s="64">
        <v>42.5</v>
      </c>
      <c r="E3689" s="62" t="s">
        <v>109</v>
      </c>
      <c r="F3689" s="62" t="s">
        <v>115</v>
      </c>
      <c r="G3689" s="64" t="s">
        <v>64</v>
      </c>
      <c r="H3689" s="3" t="s">
        <v>169</v>
      </c>
      <c r="I3689" s="65">
        <f>IFERROR(VLOOKUP(A3689,'3. Call duration'!$A:$C,3,0),"--")</f>
        <v>27.8660158</v>
      </c>
      <c r="J3689" s="65" t="str">
        <f t="array" ref="J3689">XLOOKUP(H3689,'2. Matching'!$A$2:$A$39,'2. Matching'!$B$2:$B$39,"--")</f>
        <v>SEO</v>
      </c>
      <c r="K3689" s="65" t="str">
        <f t="shared" si="1"/>
        <v>In</v>
      </c>
    </row>
    <row r="3690">
      <c r="A3690" s="62" t="s">
        <v>3828</v>
      </c>
      <c r="B3690" s="63">
        <v>44110.0</v>
      </c>
      <c r="C3690" s="62" t="s">
        <v>119</v>
      </c>
      <c r="D3690" s="64">
        <v>42.5</v>
      </c>
      <c r="E3690" s="62" t="s">
        <v>109</v>
      </c>
      <c r="F3690" s="62" t="s">
        <v>115</v>
      </c>
      <c r="G3690" s="64" t="s">
        <v>64</v>
      </c>
      <c r="H3690" s="3" t="s">
        <v>175</v>
      </c>
      <c r="I3690" s="65">
        <f>IFERROR(VLOOKUP(A3690,'3. Call duration'!$A:$C,3,0),"--")</f>
        <v>25.71897073</v>
      </c>
      <c r="J3690" s="65" t="str">
        <f t="array" ref="J3690">XLOOKUP(H3690,'2. Matching'!$A$2:$A$39,'2. Matching'!$B$2:$B$39,"--")</f>
        <v>SEO</v>
      </c>
      <c r="K3690" s="65" t="str">
        <f t="shared" si="1"/>
        <v>In</v>
      </c>
    </row>
    <row r="3691">
      <c r="A3691" s="62" t="s">
        <v>3829</v>
      </c>
      <c r="B3691" s="63">
        <v>44190.0</v>
      </c>
      <c r="C3691" s="62" t="s">
        <v>119</v>
      </c>
      <c r="D3691" s="64">
        <v>42.5</v>
      </c>
      <c r="E3691" s="62" t="s">
        <v>109</v>
      </c>
      <c r="F3691" s="62" t="s">
        <v>115</v>
      </c>
      <c r="G3691" s="64" t="s">
        <v>64</v>
      </c>
      <c r="H3691" s="3" t="s">
        <v>131</v>
      </c>
      <c r="I3691" s="65">
        <f>IFERROR(VLOOKUP(A3691,'3. Call duration'!$A:$C,3,0),"--")</f>
        <v>30.84481294</v>
      </c>
      <c r="J3691" s="65" t="str">
        <f t="array" ref="J3691">XLOOKUP(H3691,'2. Matching'!$A$2:$A$39,'2. Matching'!$B$2:$B$39,"--")</f>
        <v>Acquisition</v>
      </c>
      <c r="K3691" s="65" t="str">
        <f t="shared" si="1"/>
        <v>In</v>
      </c>
    </row>
    <row r="3692">
      <c r="A3692" s="62" t="s">
        <v>3830</v>
      </c>
      <c r="B3692" s="63">
        <v>44216.0</v>
      </c>
      <c r="C3692" s="62" t="s">
        <v>119</v>
      </c>
      <c r="D3692" s="64">
        <v>42.5</v>
      </c>
      <c r="E3692" s="62" t="s">
        <v>109</v>
      </c>
      <c r="F3692" s="62" t="s">
        <v>115</v>
      </c>
      <c r="G3692" s="64" t="s">
        <v>64</v>
      </c>
      <c r="H3692" s="3" t="s">
        <v>164</v>
      </c>
      <c r="I3692" s="65">
        <f>IFERROR(VLOOKUP(A3692,'3. Call duration'!$A:$C,3,0),"--")</f>
        <v>20.70670463</v>
      </c>
      <c r="J3692" s="65" t="str">
        <f t="array" ref="J3692">XLOOKUP(H3692,'2. Matching'!$A$2:$A$39,'2. Matching'!$B$2:$B$39,"--")</f>
        <v>SEO</v>
      </c>
      <c r="K3692" s="65" t="str">
        <f t="shared" si="1"/>
        <v>In</v>
      </c>
    </row>
    <row r="3693">
      <c r="A3693" s="62" t="s">
        <v>3831</v>
      </c>
      <c r="B3693" s="63">
        <v>44218.0</v>
      </c>
      <c r="C3693" s="62" t="s">
        <v>119</v>
      </c>
      <c r="D3693" s="64">
        <v>42.5</v>
      </c>
      <c r="E3693" s="62" t="s">
        <v>109</v>
      </c>
      <c r="F3693" s="62" t="s">
        <v>115</v>
      </c>
      <c r="G3693" s="64" t="s">
        <v>64</v>
      </c>
      <c r="H3693" s="3" t="s">
        <v>169</v>
      </c>
      <c r="I3693" s="65">
        <f>IFERROR(VLOOKUP(A3693,'3. Call duration'!$A:$C,3,0),"--")</f>
        <v>32.64825474</v>
      </c>
      <c r="J3693" s="65" t="str">
        <f t="array" ref="J3693">XLOOKUP(H3693,'2. Matching'!$A$2:$A$39,'2. Matching'!$B$2:$B$39,"--")</f>
        <v>SEO</v>
      </c>
      <c r="K3693" s="65" t="str">
        <f t="shared" si="1"/>
        <v>In</v>
      </c>
    </row>
    <row r="3694">
      <c r="A3694" s="62" t="s">
        <v>3832</v>
      </c>
      <c r="B3694" s="63">
        <v>44118.0</v>
      </c>
      <c r="C3694" s="62" t="s">
        <v>119</v>
      </c>
      <c r="D3694" s="64">
        <v>42.5</v>
      </c>
      <c r="E3694" s="62" t="s">
        <v>109</v>
      </c>
      <c r="F3694" s="62" t="s">
        <v>110</v>
      </c>
      <c r="G3694" s="64" t="s">
        <v>64</v>
      </c>
      <c r="H3694" s="3" t="s">
        <v>139</v>
      </c>
      <c r="I3694" s="65">
        <f>IFERROR(VLOOKUP(A3694,'3. Call duration'!$A:$C,3,0),"--")</f>
        <v>32.58692134</v>
      </c>
      <c r="J3694" s="65" t="str">
        <f t="array" ref="J3694">XLOOKUP(H3694,'2. Matching'!$A$2:$A$39,'2. Matching'!$B$2:$B$39,"--")</f>
        <v>Acquisition</v>
      </c>
      <c r="K3694" s="65" t="str">
        <f t="shared" si="1"/>
        <v>In</v>
      </c>
    </row>
    <row r="3695">
      <c r="A3695" s="62" t="s">
        <v>3833</v>
      </c>
      <c r="B3695" s="63">
        <v>44112.0</v>
      </c>
      <c r="C3695" s="62" t="s">
        <v>119</v>
      </c>
      <c r="D3695" s="64">
        <v>42.5</v>
      </c>
      <c r="E3695" s="62" t="s">
        <v>109</v>
      </c>
      <c r="F3695" s="62" t="s">
        <v>115</v>
      </c>
      <c r="G3695" s="64" t="s">
        <v>64</v>
      </c>
      <c r="H3695" s="3" t="s">
        <v>155</v>
      </c>
      <c r="I3695" s="65">
        <f>IFERROR(VLOOKUP(A3695,'3. Call duration'!$A:$C,3,0),"--")</f>
        <v>25.021726</v>
      </c>
      <c r="J3695" s="65" t="str">
        <f t="array" ref="J3695">XLOOKUP(H3695,'2. Matching'!$A$2:$A$39,'2. Matching'!$B$2:$B$39,"--")</f>
        <v>SEO</v>
      </c>
      <c r="K3695" s="65" t="str">
        <f t="shared" si="1"/>
        <v>In</v>
      </c>
    </row>
    <row r="3696">
      <c r="A3696" s="62" t="s">
        <v>3834</v>
      </c>
      <c r="B3696" s="63">
        <v>44222.0</v>
      </c>
      <c r="C3696" s="62" t="s">
        <v>119</v>
      </c>
      <c r="D3696" s="64">
        <v>42.5</v>
      </c>
      <c r="E3696" s="62" t="s">
        <v>109</v>
      </c>
      <c r="F3696" s="62" t="s">
        <v>110</v>
      </c>
      <c r="G3696" s="64" t="s">
        <v>64</v>
      </c>
      <c r="H3696" s="3" t="s">
        <v>164</v>
      </c>
      <c r="I3696" s="65">
        <f>IFERROR(VLOOKUP(A3696,'3. Call duration'!$A:$C,3,0),"--")</f>
        <v>31.15665843</v>
      </c>
      <c r="J3696" s="65" t="str">
        <f t="array" ref="J3696">XLOOKUP(H3696,'2. Matching'!$A$2:$A$39,'2. Matching'!$B$2:$B$39,"--")</f>
        <v>SEO</v>
      </c>
      <c r="K3696" s="65" t="str">
        <f t="shared" si="1"/>
        <v>In</v>
      </c>
    </row>
    <row r="3697">
      <c r="A3697" s="62" t="s">
        <v>3835</v>
      </c>
      <c r="B3697" s="63">
        <v>44145.0</v>
      </c>
      <c r="C3697" s="62" t="s">
        <v>119</v>
      </c>
      <c r="D3697" s="64">
        <v>42.5</v>
      </c>
      <c r="E3697" s="62" t="s">
        <v>109</v>
      </c>
      <c r="F3697" s="62" t="s">
        <v>115</v>
      </c>
      <c r="G3697" s="64" t="s">
        <v>64</v>
      </c>
      <c r="H3697" s="3" t="s">
        <v>175</v>
      </c>
      <c r="I3697" s="65">
        <f>IFERROR(VLOOKUP(A3697,'3. Call duration'!$A:$C,3,0),"--")</f>
        <v>25.30093784</v>
      </c>
      <c r="J3697" s="65" t="str">
        <f t="array" ref="J3697">XLOOKUP(H3697,'2. Matching'!$A$2:$A$39,'2. Matching'!$B$2:$B$39,"--")</f>
        <v>SEO</v>
      </c>
      <c r="K3697" s="65" t="str">
        <f t="shared" si="1"/>
        <v>In</v>
      </c>
    </row>
    <row r="3698">
      <c r="A3698" s="62" t="s">
        <v>3836</v>
      </c>
      <c r="B3698" s="63">
        <v>44102.0</v>
      </c>
      <c r="C3698" s="62" t="s">
        <v>119</v>
      </c>
      <c r="D3698" s="64">
        <v>42.5</v>
      </c>
      <c r="E3698" s="62" t="s">
        <v>109</v>
      </c>
      <c r="F3698" s="62" t="s">
        <v>115</v>
      </c>
      <c r="G3698" s="64" t="s">
        <v>64</v>
      </c>
      <c r="H3698" s="3" t="s">
        <v>139</v>
      </c>
      <c r="I3698" s="65">
        <f>IFERROR(VLOOKUP(A3698,'3. Call duration'!$A:$C,3,0),"--")</f>
        <v>13.78227396</v>
      </c>
      <c r="J3698" s="65" t="str">
        <f t="array" ref="J3698">XLOOKUP(H3698,'2. Matching'!$A$2:$A$39,'2. Matching'!$B$2:$B$39,"--")</f>
        <v>Acquisition</v>
      </c>
      <c r="K3698" s="65" t="str">
        <f t="shared" si="1"/>
        <v>In</v>
      </c>
    </row>
    <row r="3699">
      <c r="A3699" s="62" t="s">
        <v>3837</v>
      </c>
      <c r="B3699" s="63">
        <v>44091.0</v>
      </c>
      <c r="C3699" s="62" t="s">
        <v>119</v>
      </c>
      <c r="D3699" s="64">
        <v>42.5</v>
      </c>
      <c r="E3699" s="62" t="s">
        <v>109</v>
      </c>
      <c r="F3699" s="62" t="s">
        <v>115</v>
      </c>
      <c r="G3699" s="64" t="s">
        <v>64</v>
      </c>
      <c r="H3699" s="3" t="s">
        <v>139</v>
      </c>
      <c r="I3699" s="65">
        <f>IFERROR(VLOOKUP(A3699,'3. Call duration'!$A:$C,3,0),"--")</f>
        <v>25.0635867</v>
      </c>
      <c r="J3699" s="65" t="str">
        <f t="array" ref="J3699">XLOOKUP(H3699,'2. Matching'!$A$2:$A$39,'2. Matching'!$B$2:$B$39,"--")</f>
        <v>Acquisition</v>
      </c>
      <c r="K3699" s="65" t="str">
        <f t="shared" si="1"/>
        <v>In</v>
      </c>
    </row>
    <row r="3700">
      <c r="A3700" s="62" t="s">
        <v>3838</v>
      </c>
      <c r="B3700" s="63">
        <v>44176.0</v>
      </c>
      <c r="C3700" s="62" t="s">
        <v>119</v>
      </c>
      <c r="D3700" s="64">
        <v>42.5</v>
      </c>
      <c r="E3700" s="62" t="s">
        <v>109</v>
      </c>
      <c r="F3700" s="62" t="s">
        <v>110</v>
      </c>
      <c r="G3700" s="64" t="s">
        <v>64</v>
      </c>
      <c r="H3700" s="3" t="s">
        <v>169</v>
      </c>
      <c r="I3700" s="65">
        <f>IFERROR(VLOOKUP(A3700,'3. Call duration'!$A:$C,3,0),"--")</f>
        <v>28.47381937</v>
      </c>
      <c r="J3700" s="65" t="str">
        <f t="array" ref="J3700">XLOOKUP(H3700,'2. Matching'!$A$2:$A$39,'2. Matching'!$B$2:$B$39,"--")</f>
        <v>SEO</v>
      </c>
      <c r="K3700" s="65" t="str">
        <f t="shared" si="1"/>
        <v>In</v>
      </c>
    </row>
    <row r="3701">
      <c r="A3701" s="62" t="s">
        <v>3839</v>
      </c>
      <c r="B3701" s="63">
        <v>44214.0</v>
      </c>
      <c r="C3701" s="62" t="s">
        <v>119</v>
      </c>
      <c r="D3701" s="64">
        <v>42.5</v>
      </c>
      <c r="E3701" s="62" t="s">
        <v>109</v>
      </c>
      <c r="F3701" s="62" t="s">
        <v>115</v>
      </c>
      <c r="G3701" s="64" t="s">
        <v>64</v>
      </c>
      <c r="H3701" s="3" t="s">
        <v>175</v>
      </c>
      <c r="I3701" s="65">
        <f>IFERROR(VLOOKUP(A3701,'3. Call duration'!$A:$C,3,0),"--")</f>
        <v>23.63864989</v>
      </c>
      <c r="J3701" s="65" t="str">
        <f t="array" ref="J3701">XLOOKUP(H3701,'2. Matching'!$A$2:$A$39,'2. Matching'!$B$2:$B$39,"--")</f>
        <v>SEO</v>
      </c>
      <c r="K3701" s="65" t="str">
        <f t="shared" si="1"/>
        <v>In</v>
      </c>
    </row>
    <row r="3702">
      <c r="A3702" s="62" t="s">
        <v>3840</v>
      </c>
      <c r="B3702" s="63">
        <v>44193.0</v>
      </c>
      <c r="C3702" s="62" t="s">
        <v>119</v>
      </c>
      <c r="D3702" s="64">
        <v>42.5</v>
      </c>
      <c r="E3702" s="62" t="s">
        <v>109</v>
      </c>
      <c r="F3702" s="62" t="s">
        <v>110</v>
      </c>
      <c r="G3702" s="64" t="s">
        <v>64</v>
      </c>
      <c r="H3702" s="3" t="s">
        <v>131</v>
      </c>
      <c r="I3702" s="65">
        <f>IFERROR(VLOOKUP(A3702,'3. Call duration'!$A:$C,3,0),"--")</f>
        <v>21.96115408</v>
      </c>
      <c r="J3702" s="65" t="str">
        <f t="array" ref="J3702">XLOOKUP(H3702,'2. Matching'!$A$2:$A$39,'2. Matching'!$B$2:$B$39,"--")</f>
        <v>Acquisition</v>
      </c>
      <c r="K3702" s="65" t="str">
        <f t="shared" si="1"/>
        <v>In</v>
      </c>
    </row>
    <row r="3703">
      <c r="A3703" s="62" t="s">
        <v>3841</v>
      </c>
      <c r="B3703" s="63">
        <v>44231.0</v>
      </c>
      <c r="C3703" s="62" t="s">
        <v>119</v>
      </c>
      <c r="D3703" s="64">
        <v>42.5</v>
      </c>
      <c r="E3703" s="62" t="s">
        <v>109</v>
      </c>
      <c r="F3703" s="62" t="s">
        <v>115</v>
      </c>
      <c r="G3703" s="64" t="s">
        <v>64</v>
      </c>
      <c r="H3703" s="3" t="s">
        <v>139</v>
      </c>
      <c r="I3703" s="65">
        <f>IFERROR(VLOOKUP(A3703,'3. Call duration'!$A:$C,3,0),"--")</f>
        <v>32.48952384</v>
      </c>
      <c r="J3703" s="65" t="str">
        <f t="array" ref="J3703">XLOOKUP(H3703,'2. Matching'!$A$2:$A$39,'2. Matching'!$B$2:$B$39,"--")</f>
        <v>Acquisition</v>
      </c>
      <c r="K3703" s="65" t="str">
        <f t="shared" si="1"/>
        <v>In</v>
      </c>
    </row>
    <row r="3704">
      <c r="A3704" s="62" t="s">
        <v>3842</v>
      </c>
      <c r="B3704" s="63">
        <v>44142.0</v>
      </c>
      <c r="C3704" s="62" t="s">
        <v>119</v>
      </c>
      <c r="D3704" s="64">
        <v>42.5</v>
      </c>
      <c r="E3704" s="62" t="s">
        <v>109</v>
      </c>
      <c r="F3704" s="62" t="s">
        <v>110</v>
      </c>
      <c r="G3704" s="64" t="s">
        <v>64</v>
      </c>
      <c r="H3704" s="3" t="s">
        <v>139</v>
      </c>
      <c r="I3704" s="65">
        <f>IFERROR(VLOOKUP(A3704,'3. Call duration'!$A:$C,3,0),"--")</f>
        <v>12.55190721</v>
      </c>
      <c r="J3704" s="65" t="str">
        <f t="array" ref="J3704">XLOOKUP(H3704,'2. Matching'!$A$2:$A$39,'2. Matching'!$B$2:$B$39,"--")</f>
        <v>Acquisition</v>
      </c>
      <c r="K3704" s="65" t="str">
        <f t="shared" si="1"/>
        <v>In</v>
      </c>
    </row>
    <row r="3705">
      <c r="A3705" s="62" t="s">
        <v>3843</v>
      </c>
      <c r="B3705" s="63">
        <v>44231.0</v>
      </c>
      <c r="C3705" s="62" t="s">
        <v>119</v>
      </c>
      <c r="D3705" s="64">
        <v>42.5</v>
      </c>
      <c r="E3705" s="62" t="s">
        <v>109</v>
      </c>
      <c r="F3705" s="62" t="s">
        <v>115</v>
      </c>
      <c r="G3705" s="64" t="s">
        <v>63</v>
      </c>
      <c r="H3705" s="3" t="s">
        <v>189</v>
      </c>
      <c r="I3705" s="65">
        <f>IFERROR(VLOOKUP(A3705,'3. Call duration'!$A:$C,3,0),"--")</f>
        <v>25.22696498</v>
      </c>
      <c r="J3705" s="65" t="str">
        <f t="array" ref="J3705">XLOOKUP(H3705,'2. Matching'!$A$2:$A$39,'2. Matching'!$B$2:$B$39,"--")</f>
        <v>SEO</v>
      </c>
      <c r="K3705" s="65" t="str">
        <f t="shared" si="1"/>
        <v>Out</v>
      </c>
    </row>
    <row r="3706">
      <c r="A3706" s="62" t="s">
        <v>3844</v>
      </c>
      <c r="B3706" s="63">
        <v>44182.0</v>
      </c>
      <c r="C3706" s="62" t="s">
        <v>119</v>
      </c>
      <c r="D3706" s="64">
        <v>42.5</v>
      </c>
      <c r="E3706" s="62" t="s">
        <v>109</v>
      </c>
      <c r="F3706" s="62" t="s">
        <v>115</v>
      </c>
      <c r="G3706" s="64" t="s">
        <v>64</v>
      </c>
      <c r="H3706" s="3" t="s">
        <v>221</v>
      </c>
      <c r="I3706" s="65">
        <f>IFERROR(VLOOKUP(A3706,'3. Call duration'!$A:$C,3,0),"--")</f>
        <v>27.54118585</v>
      </c>
      <c r="J3706" s="65" t="str">
        <f t="array" ref="J3706">XLOOKUP(H3706,'2. Matching'!$A$2:$A$39,'2. Matching'!$B$2:$B$39,"--")</f>
        <v>Farming</v>
      </c>
      <c r="K3706" s="65" t="str">
        <f t="shared" si="1"/>
        <v>In</v>
      </c>
    </row>
    <row r="3707">
      <c r="A3707" s="62" t="s">
        <v>3845</v>
      </c>
      <c r="B3707" s="63">
        <v>44137.0</v>
      </c>
      <c r="C3707" s="62" t="s">
        <v>119</v>
      </c>
      <c r="D3707" s="64">
        <v>42.5</v>
      </c>
      <c r="E3707" s="62" t="s">
        <v>109</v>
      </c>
      <c r="F3707" s="62" t="s">
        <v>115</v>
      </c>
      <c r="G3707" s="64" t="s">
        <v>64</v>
      </c>
      <c r="H3707" s="3" t="s">
        <v>150</v>
      </c>
      <c r="I3707" s="65">
        <f>IFERROR(VLOOKUP(A3707,'3. Call duration'!$A:$C,3,0),"--")</f>
        <v>28.89581753</v>
      </c>
      <c r="J3707" s="65" t="str">
        <f t="array" ref="J3707">XLOOKUP(H3707,'2. Matching'!$A$2:$A$39,'2. Matching'!$B$2:$B$39,"--")</f>
        <v>SEO</v>
      </c>
      <c r="K3707" s="65" t="str">
        <f t="shared" si="1"/>
        <v>In</v>
      </c>
    </row>
    <row r="3708">
      <c r="A3708" s="62" t="s">
        <v>3846</v>
      </c>
      <c r="B3708" s="63">
        <v>44239.0</v>
      </c>
      <c r="C3708" s="62" t="s">
        <v>119</v>
      </c>
      <c r="D3708" s="64">
        <v>42.5</v>
      </c>
      <c r="E3708" s="62" t="s">
        <v>109</v>
      </c>
      <c r="F3708" s="62" t="s">
        <v>115</v>
      </c>
      <c r="G3708" s="64" t="s">
        <v>64</v>
      </c>
      <c r="H3708" s="3" t="s">
        <v>164</v>
      </c>
      <c r="I3708" s="65">
        <f>IFERROR(VLOOKUP(A3708,'3. Call duration'!$A:$C,3,0),"--")</f>
        <v>20.91123491</v>
      </c>
      <c r="J3708" s="65" t="str">
        <f t="array" ref="J3708">XLOOKUP(H3708,'2. Matching'!$A$2:$A$39,'2. Matching'!$B$2:$B$39,"--")</f>
        <v>SEO</v>
      </c>
      <c r="K3708" s="65" t="str">
        <f t="shared" si="1"/>
        <v>In</v>
      </c>
    </row>
    <row r="3709">
      <c r="A3709" s="62" t="s">
        <v>3847</v>
      </c>
      <c r="B3709" s="63">
        <v>44222.0</v>
      </c>
      <c r="C3709" s="62" t="s">
        <v>119</v>
      </c>
      <c r="D3709" s="64">
        <v>42.5</v>
      </c>
      <c r="E3709" s="62" t="s">
        <v>109</v>
      </c>
      <c r="F3709" s="62" t="s">
        <v>115</v>
      </c>
      <c r="G3709" s="64" t="s">
        <v>64</v>
      </c>
      <c r="H3709" s="3" t="s">
        <v>139</v>
      </c>
      <c r="I3709" s="65">
        <f>IFERROR(VLOOKUP(A3709,'3. Call duration'!$A:$C,3,0),"--")</f>
        <v>22.21097769</v>
      </c>
      <c r="J3709" s="65" t="str">
        <f t="array" ref="J3709">XLOOKUP(H3709,'2. Matching'!$A$2:$A$39,'2. Matching'!$B$2:$B$39,"--")</f>
        <v>Acquisition</v>
      </c>
      <c r="K3709" s="65" t="str">
        <f t="shared" si="1"/>
        <v>In</v>
      </c>
    </row>
    <row r="3710">
      <c r="A3710" s="62" t="s">
        <v>3848</v>
      </c>
      <c r="B3710" s="63">
        <v>44085.0</v>
      </c>
      <c r="C3710" s="62" t="s">
        <v>119</v>
      </c>
      <c r="D3710" s="64">
        <v>42.5</v>
      </c>
      <c r="E3710" s="62" t="s">
        <v>109</v>
      </c>
      <c r="F3710" s="62" t="s">
        <v>110</v>
      </c>
      <c r="G3710" s="64" t="s">
        <v>64</v>
      </c>
      <c r="H3710" s="3" t="s">
        <v>175</v>
      </c>
      <c r="I3710" s="65">
        <f>IFERROR(VLOOKUP(A3710,'3. Call duration'!$A:$C,3,0),"--")</f>
        <v>30.78840773</v>
      </c>
      <c r="J3710" s="65" t="str">
        <f t="array" ref="J3710">XLOOKUP(H3710,'2. Matching'!$A$2:$A$39,'2. Matching'!$B$2:$B$39,"--")</f>
        <v>SEO</v>
      </c>
      <c r="K3710" s="65" t="str">
        <f t="shared" si="1"/>
        <v>In</v>
      </c>
    </row>
    <row r="3711">
      <c r="A3711" s="62" t="s">
        <v>3849</v>
      </c>
      <c r="B3711" s="63">
        <v>44169.0</v>
      </c>
      <c r="C3711" s="62" t="s">
        <v>119</v>
      </c>
      <c r="D3711" s="64">
        <v>42.5</v>
      </c>
      <c r="E3711" s="62" t="s">
        <v>109</v>
      </c>
      <c r="F3711" s="62" t="s">
        <v>115</v>
      </c>
      <c r="G3711" s="64" t="s">
        <v>64</v>
      </c>
      <c r="H3711" s="3" t="s">
        <v>175</v>
      </c>
      <c r="I3711" s="65">
        <f>IFERROR(VLOOKUP(A3711,'3. Call duration'!$A:$C,3,0),"--")</f>
        <v>25.19174804</v>
      </c>
      <c r="J3711" s="65" t="str">
        <f t="array" ref="J3711">XLOOKUP(H3711,'2. Matching'!$A$2:$A$39,'2. Matching'!$B$2:$B$39,"--")</f>
        <v>SEO</v>
      </c>
      <c r="K3711" s="65" t="str">
        <f t="shared" si="1"/>
        <v>In</v>
      </c>
    </row>
    <row r="3712">
      <c r="A3712" s="62" t="s">
        <v>3850</v>
      </c>
      <c r="B3712" s="63">
        <v>44208.0</v>
      </c>
      <c r="C3712" s="62" t="s">
        <v>119</v>
      </c>
      <c r="D3712" s="64">
        <v>42.5</v>
      </c>
      <c r="E3712" s="62" t="s">
        <v>109</v>
      </c>
      <c r="F3712" s="62" t="s">
        <v>115</v>
      </c>
      <c r="G3712" s="64" t="s">
        <v>64</v>
      </c>
      <c r="H3712" s="3" t="s">
        <v>169</v>
      </c>
      <c r="I3712" s="65">
        <f>IFERROR(VLOOKUP(A3712,'3. Call duration'!$A:$C,3,0),"--")</f>
        <v>26.12273109</v>
      </c>
      <c r="J3712" s="65" t="str">
        <f t="array" ref="J3712">XLOOKUP(H3712,'2. Matching'!$A$2:$A$39,'2. Matching'!$B$2:$B$39,"--")</f>
        <v>SEO</v>
      </c>
      <c r="K3712" s="65" t="str">
        <f t="shared" si="1"/>
        <v>In</v>
      </c>
    </row>
    <row r="3713">
      <c r="A3713" s="62" t="s">
        <v>3851</v>
      </c>
      <c r="B3713" s="63">
        <v>44215.0</v>
      </c>
      <c r="C3713" s="62" t="s">
        <v>119</v>
      </c>
      <c r="D3713" s="64">
        <v>42.5</v>
      </c>
      <c r="E3713" s="62" t="s">
        <v>109</v>
      </c>
      <c r="F3713" s="62" t="s">
        <v>115</v>
      </c>
      <c r="G3713" s="64" t="s">
        <v>64</v>
      </c>
      <c r="H3713" s="3" t="s">
        <v>155</v>
      </c>
      <c r="I3713" s="65">
        <f>IFERROR(VLOOKUP(A3713,'3. Call duration'!$A:$C,3,0),"--")</f>
        <v>13.444093</v>
      </c>
      <c r="J3713" s="65" t="str">
        <f t="array" ref="J3713">XLOOKUP(H3713,'2. Matching'!$A$2:$A$39,'2. Matching'!$B$2:$B$39,"--")</f>
        <v>SEO</v>
      </c>
      <c r="K3713" s="65" t="str">
        <f t="shared" si="1"/>
        <v>In</v>
      </c>
    </row>
    <row r="3714">
      <c r="A3714" s="62" t="s">
        <v>3852</v>
      </c>
      <c r="B3714" s="63">
        <v>44141.0</v>
      </c>
      <c r="C3714" s="62" t="s">
        <v>119</v>
      </c>
      <c r="D3714" s="64">
        <v>42.5</v>
      </c>
      <c r="E3714" s="62" t="s">
        <v>109</v>
      </c>
      <c r="F3714" s="62" t="s">
        <v>115</v>
      </c>
      <c r="G3714" s="64" t="s">
        <v>64</v>
      </c>
      <c r="H3714" s="3" t="s">
        <v>155</v>
      </c>
      <c r="I3714" s="65">
        <f>IFERROR(VLOOKUP(A3714,'3. Call duration'!$A:$C,3,0),"--")</f>
        <v>49.16358746</v>
      </c>
      <c r="J3714" s="65" t="str">
        <f t="array" ref="J3714">XLOOKUP(H3714,'2. Matching'!$A$2:$A$39,'2. Matching'!$B$2:$B$39,"--")</f>
        <v>SEO</v>
      </c>
      <c r="K3714" s="65" t="str">
        <f t="shared" si="1"/>
        <v>In</v>
      </c>
    </row>
    <row r="3715">
      <c r="A3715" s="62" t="s">
        <v>3853</v>
      </c>
      <c r="B3715" s="63">
        <v>44232.0</v>
      </c>
      <c r="C3715" s="62" t="s">
        <v>119</v>
      </c>
      <c r="D3715" s="64">
        <v>42.5</v>
      </c>
      <c r="E3715" s="62" t="s">
        <v>109</v>
      </c>
      <c r="F3715" s="62" t="s">
        <v>110</v>
      </c>
      <c r="G3715" s="64" t="s">
        <v>64</v>
      </c>
      <c r="H3715" s="3" t="s">
        <v>175</v>
      </c>
      <c r="I3715" s="65">
        <f>IFERROR(VLOOKUP(A3715,'3. Call duration'!$A:$C,3,0),"--")</f>
        <v>27.70091197</v>
      </c>
      <c r="J3715" s="65" t="str">
        <f t="array" ref="J3715">XLOOKUP(H3715,'2. Matching'!$A$2:$A$39,'2. Matching'!$B$2:$B$39,"--")</f>
        <v>SEO</v>
      </c>
      <c r="K3715" s="65" t="str">
        <f t="shared" si="1"/>
        <v>In</v>
      </c>
    </row>
    <row r="3716">
      <c r="A3716" s="62" t="s">
        <v>3854</v>
      </c>
      <c r="B3716" s="63">
        <v>44218.0</v>
      </c>
      <c r="C3716" s="62" t="s">
        <v>119</v>
      </c>
      <c r="D3716" s="64">
        <v>42.5</v>
      </c>
      <c r="E3716" s="62" t="s">
        <v>109</v>
      </c>
      <c r="F3716" s="62" t="s">
        <v>115</v>
      </c>
      <c r="G3716" s="64" t="s">
        <v>64</v>
      </c>
      <c r="H3716" s="3" t="s">
        <v>169</v>
      </c>
      <c r="I3716" s="65">
        <f>IFERROR(VLOOKUP(A3716,'3. Call duration'!$A:$C,3,0),"--")</f>
        <v>26.76392347</v>
      </c>
      <c r="J3716" s="65" t="str">
        <f t="array" ref="J3716">XLOOKUP(H3716,'2. Matching'!$A$2:$A$39,'2. Matching'!$B$2:$B$39,"--")</f>
        <v>SEO</v>
      </c>
      <c r="K3716" s="65" t="str">
        <f t="shared" si="1"/>
        <v>In</v>
      </c>
    </row>
    <row r="3717">
      <c r="A3717" s="62" t="s">
        <v>3855</v>
      </c>
      <c r="B3717" s="63">
        <v>44082.0</v>
      </c>
      <c r="C3717" s="62" t="s">
        <v>119</v>
      </c>
      <c r="D3717" s="64">
        <v>42.5</v>
      </c>
      <c r="E3717" s="62" t="s">
        <v>109</v>
      </c>
      <c r="F3717" s="62" t="s">
        <v>115</v>
      </c>
      <c r="G3717" s="64" t="s">
        <v>64</v>
      </c>
      <c r="H3717" s="3" t="s">
        <v>155</v>
      </c>
      <c r="I3717" s="65">
        <f>IFERROR(VLOOKUP(A3717,'3. Call duration'!$A:$C,3,0),"--")</f>
        <v>27.8264836</v>
      </c>
      <c r="J3717" s="65" t="str">
        <f t="array" ref="J3717">XLOOKUP(H3717,'2. Matching'!$A$2:$A$39,'2. Matching'!$B$2:$B$39,"--")</f>
        <v>SEO</v>
      </c>
      <c r="K3717" s="65" t="str">
        <f t="shared" si="1"/>
        <v>In</v>
      </c>
    </row>
    <row r="3718">
      <c r="A3718" s="62" t="s">
        <v>3856</v>
      </c>
      <c r="B3718" s="63">
        <v>44244.0</v>
      </c>
      <c r="C3718" s="62" t="s">
        <v>119</v>
      </c>
      <c r="D3718" s="64">
        <v>42.5</v>
      </c>
      <c r="E3718" s="62" t="s">
        <v>109</v>
      </c>
      <c r="F3718" s="62" t="s">
        <v>115</v>
      </c>
      <c r="G3718" s="64" t="s">
        <v>64</v>
      </c>
      <c r="H3718" s="3" t="s">
        <v>221</v>
      </c>
      <c r="I3718" s="65">
        <f>IFERROR(VLOOKUP(A3718,'3. Call duration'!$A:$C,3,0),"--")</f>
        <v>20.13496049</v>
      </c>
      <c r="J3718" s="65" t="str">
        <f t="array" ref="J3718">XLOOKUP(H3718,'2. Matching'!$A$2:$A$39,'2. Matching'!$B$2:$B$39,"--")</f>
        <v>Farming</v>
      </c>
      <c r="K3718" s="65" t="str">
        <f t="shared" si="1"/>
        <v>In</v>
      </c>
    </row>
    <row r="3719">
      <c r="A3719" s="62" t="s">
        <v>3857</v>
      </c>
      <c r="B3719" s="63">
        <v>44085.0</v>
      </c>
      <c r="C3719" s="62" t="s">
        <v>119</v>
      </c>
      <c r="D3719" s="64">
        <v>42.5</v>
      </c>
      <c r="E3719" s="62" t="s">
        <v>109</v>
      </c>
      <c r="F3719" s="62" t="s">
        <v>115</v>
      </c>
      <c r="G3719" s="64" t="s">
        <v>64</v>
      </c>
      <c r="H3719" s="3" t="s">
        <v>139</v>
      </c>
      <c r="I3719" s="65" t="str">
        <f>IFERROR(VLOOKUP(A3719,'3. Call duration'!$A:$C,3,0),"--")</f>
        <v>--</v>
      </c>
      <c r="J3719" s="65" t="str">
        <f t="array" ref="J3719">XLOOKUP(H3719,'2. Matching'!$A$2:$A$39,'2. Matching'!$B$2:$B$39,"--")</f>
        <v>Acquisition</v>
      </c>
      <c r="K3719" s="65" t="str">
        <f t="shared" si="1"/>
        <v>In</v>
      </c>
    </row>
    <row r="3720">
      <c r="A3720" s="62" t="s">
        <v>3858</v>
      </c>
      <c r="B3720" s="63">
        <v>44179.0</v>
      </c>
      <c r="C3720" s="62" t="s">
        <v>119</v>
      </c>
      <c r="D3720" s="64">
        <v>42.5</v>
      </c>
      <c r="E3720" s="62" t="s">
        <v>109</v>
      </c>
      <c r="F3720" s="62" t="s">
        <v>110</v>
      </c>
      <c r="G3720" s="64" t="s">
        <v>64</v>
      </c>
      <c r="H3720" s="3" t="s">
        <v>131</v>
      </c>
      <c r="I3720" s="65">
        <f>IFERROR(VLOOKUP(A3720,'3. Call duration'!$A:$C,3,0),"--")</f>
        <v>31.61002938</v>
      </c>
      <c r="J3720" s="65" t="str">
        <f t="array" ref="J3720">XLOOKUP(H3720,'2. Matching'!$A$2:$A$39,'2. Matching'!$B$2:$B$39,"--")</f>
        <v>Acquisition</v>
      </c>
      <c r="K3720" s="65" t="str">
        <f t="shared" si="1"/>
        <v>In</v>
      </c>
    </row>
    <row r="3721">
      <c r="A3721" s="62" t="s">
        <v>3859</v>
      </c>
      <c r="B3721" s="63">
        <v>44235.0</v>
      </c>
      <c r="C3721" s="62" t="s">
        <v>119</v>
      </c>
      <c r="D3721" s="64">
        <v>42.5</v>
      </c>
      <c r="E3721" s="62" t="s">
        <v>109</v>
      </c>
      <c r="F3721" s="62" t="s">
        <v>115</v>
      </c>
      <c r="G3721" s="64" t="s">
        <v>64</v>
      </c>
      <c r="H3721" s="3" t="s">
        <v>164</v>
      </c>
      <c r="I3721" s="65">
        <f>IFERROR(VLOOKUP(A3721,'3. Call duration'!$A:$C,3,0),"--")</f>
        <v>28.15666164</v>
      </c>
      <c r="J3721" s="65" t="str">
        <f t="array" ref="J3721">XLOOKUP(H3721,'2. Matching'!$A$2:$A$39,'2. Matching'!$B$2:$B$39,"--")</f>
        <v>SEO</v>
      </c>
      <c r="K3721" s="65" t="str">
        <f t="shared" si="1"/>
        <v>In</v>
      </c>
    </row>
    <row r="3722">
      <c r="A3722" s="62" t="s">
        <v>3860</v>
      </c>
      <c r="B3722" s="63">
        <v>44235.0</v>
      </c>
      <c r="C3722" s="62" t="s">
        <v>119</v>
      </c>
      <c r="D3722" s="64">
        <v>42.5</v>
      </c>
      <c r="E3722" s="62" t="s">
        <v>109</v>
      </c>
      <c r="F3722" s="62" t="s">
        <v>115</v>
      </c>
      <c r="G3722" s="64" t="s">
        <v>64</v>
      </c>
      <c r="H3722" s="3" t="s">
        <v>171</v>
      </c>
      <c r="I3722" s="65">
        <f>IFERROR(VLOOKUP(A3722,'3. Call duration'!$A:$C,3,0),"--")</f>
        <v>22.16973356</v>
      </c>
      <c r="J3722" s="65" t="str">
        <f t="array" ref="J3722">XLOOKUP(H3722,'2. Matching'!$A$2:$A$39,'2. Matching'!$B$2:$B$39,"--")</f>
        <v>SEO</v>
      </c>
      <c r="K3722" s="65" t="str">
        <f t="shared" si="1"/>
        <v>In</v>
      </c>
    </row>
    <row r="3723">
      <c r="A3723" s="62" t="s">
        <v>3861</v>
      </c>
      <c r="B3723" s="63">
        <v>44211.0</v>
      </c>
      <c r="C3723" s="62" t="s">
        <v>119</v>
      </c>
      <c r="D3723" s="64">
        <v>42.5</v>
      </c>
      <c r="E3723" s="62" t="s">
        <v>109</v>
      </c>
      <c r="F3723" s="62" t="s">
        <v>115</v>
      </c>
      <c r="G3723" s="64" t="s">
        <v>64</v>
      </c>
      <c r="H3723" s="3" t="s">
        <v>150</v>
      </c>
      <c r="I3723" s="65">
        <f>IFERROR(VLOOKUP(A3723,'3. Call duration'!$A:$C,3,0),"--")</f>
        <v>26.02463379</v>
      </c>
      <c r="J3723" s="65" t="str">
        <f t="array" ref="J3723">XLOOKUP(H3723,'2. Matching'!$A$2:$A$39,'2. Matching'!$B$2:$B$39,"--")</f>
        <v>SEO</v>
      </c>
      <c r="K3723" s="65" t="str">
        <f t="shared" si="1"/>
        <v>In</v>
      </c>
    </row>
    <row r="3724">
      <c r="A3724" s="62" t="s">
        <v>3862</v>
      </c>
      <c r="B3724" s="63">
        <v>44112.0</v>
      </c>
      <c r="C3724" s="62" t="s">
        <v>119</v>
      </c>
      <c r="D3724" s="64">
        <v>42.5</v>
      </c>
      <c r="E3724" s="62" t="s">
        <v>109</v>
      </c>
      <c r="F3724" s="62" t="s">
        <v>115</v>
      </c>
      <c r="G3724" s="64" t="s">
        <v>64</v>
      </c>
      <c r="H3724" s="3" t="s">
        <v>139</v>
      </c>
      <c r="I3724" s="65">
        <f>IFERROR(VLOOKUP(A3724,'3. Call duration'!$A:$C,3,0),"--")</f>
        <v>21.84639757</v>
      </c>
      <c r="J3724" s="65" t="str">
        <f t="array" ref="J3724">XLOOKUP(H3724,'2. Matching'!$A$2:$A$39,'2. Matching'!$B$2:$B$39,"--")</f>
        <v>Acquisition</v>
      </c>
      <c r="K3724" s="65" t="str">
        <f t="shared" si="1"/>
        <v>In</v>
      </c>
    </row>
    <row r="3725">
      <c r="A3725" s="62" t="s">
        <v>3863</v>
      </c>
      <c r="B3725" s="63">
        <v>44225.0</v>
      </c>
      <c r="C3725" s="62" t="s">
        <v>119</v>
      </c>
      <c r="D3725" s="64">
        <v>42.5</v>
      </c>
      <c r="E3725" s="62" t="s">
        <v>109</v>
      </c>
      <c r="F3725" s="62" t="s">
        <v>115</v>
      </c>
      <c r="G3725" s="64" t="s">
        <v>64</v>
      </c>
      <c r="H3725" s="3" t="s">
        <v>175</v>
      </c>
      <c r="I3725" s="65">
        <f>IFERROR(VLOOKUP(A3725,'3. Call duration'!$A:$C,3,0),"--")</f>
        <v>12.41173825</v>
      </c>
      <c r="J3725" s="65" t="str">
        <f t="array" ref="J3725">XLOOKUP(H3725,'2. Matching'!$A$2:$A$39,'2. Matching'!$B$2:$B$39,"--")</f>
        <v>SEO</v>
      </c>
      <c r="K3725" s="65" t="str">
        <f t="shared" si="1"/>
        <v>In</v>
      </c>
    </row>
    <row r="3726">
      <c r="A3726" s="62" t="s">
        <v>3864</v>
      </c>
      <c r="B3726" s="63">
        <v>44165.0</v>
      </c>
      <c r="C3726" s="62" t="s">
        <v>119</v>
      </c>
      <c r="D3726" s="64">
        <v>42.5</v>
      </c>
      <c r="E3726" s="62" t="s">
        <v>109</v>
      </c>
      <c r="F3726" s="62" t="s">
        <v>110</v>
      </c>
      <c r="G3726" s="64" t="s">
        <v>64</v>
      </c>
      <c r="H3726" s="3" t="s">
        <v>185</v>
      </c>
      <c r="I3726" s="65">
        <f>IFERROR(VLOOKUP(A3726,'3. Call duration'!$A:$C,3,0),"--")</f>
        <v>23.5427984</v>
      </c>
      <c r="J3726" s="65" t="str">
        <f t="array" ref="J3726">XLOOKUP(H3726,'2. Matching'!$A$2:$A$39,'2. Matching'!$B$2:$B$39,"--")</f>
        <v>SEO</v>
      </c>
      <c r="K3726" s="65" t="str">
        <f t="shared" si="1"/>
        <v>In</v>
      </c>
    </row>
    <row r="3727">
      <c r="A3727" s="62" t="s">
        <v>3865</v>
      </c>
      <c r="B3727" s="63">
        <v>44147.0</v>
      </c>
      <c r="C3727" s="62" t="s">
        <v>119</v>
      </c>
      <c r="D3727" s="64">
        <v>42.5</v>
      </c>
      <c r="E3727" s="62" t="s">
        <v>109</v>
      </c>
      <c r="F3727" s="62" t="s">
        <v>110</v>
      </c>
      <c r="G3727" s="64" t="s">
        <v>64</v>
      </c>
      <c r="H3727" s="3" t="s">
        <v>139</v>
      </c>
      <c r="I3727" s="65">
        <f>IFERROR(VLOOKUP(A3727,'3. Call duration'!$A:$C,3,0),"--")</f>
        <v>21.67492311</v>
      </c>
      <c r="J3727" s="65" t="str">
        <f t="array" ref="J3727">XLOOKUP(H3727,'2. Matching'!$A$2:$A$39,'2. Matching'!$B$2:$B$39,"--")</f>
        <v>Acquisition</v>
      </c>
      <c r="K3727" s="65" t="str">
        <f t="shared" si="1"/>
        <v>In</v>
      </c>
    </row>
    <row r="3728">
      <c r="A3728" s="62" t="s">
        <v>3866</v>
      </c>
      <c r="B3728" s="63">
        <v>44180.0</v>
      </c>
      <c r="C3728" s="62" t="s">
        <v>119</v>
      </c>
      <c r="D3728" s="64">
        <v>42.5</v>
      </c>
      <c r="E3728" s="62" t="s">
        <v>109</v>
      </c>
      <c r="F3728" s="62" t="s">
        <v>115</v>
      </c>
      <c r="G3728" s="64" t="s">
        <v>64</v>
      </c>
      <c r="H3728" s="3" t="s">
        <v>150</v>
      </c>
      <c r="I3728" s="65">
        <f>IFERROR(VLOOKUP(A3728,'3. Call duration'!$A:$C,3,0),"--")</f>
        <v>14.75604765</v>
      </c>
      <c r="J3728" s="65" t="str">
        <f t="array" ref="J3728">XLOOKUP(H3728,'2. Matching'!$A$2:$A$39,'2. Matching'!$B$2:$B$39,"--")</f>
        <v>SEO</v>
      </c>
      <c r="K3728" s="65" t="str">
        <f t="shared" si="1"/>
        <v>In</v>
      </c>
    </row>
    <row r="3729">
      <c r="A3729" s="62" t="s">
        <v>3867</v>
      </c>
      <c r="B3729" s="63">
        <v>44172.0</v>
      </c>
      <c r="C3729" s="62" t="s">
        <v>119</v>
      </c>
      <c r="D3729" s="64">
        <v>42.5</v>
      </c>
      <c r="E3729" s="62" t="s">
        <v>109</v>
      </c>
      <c r="F3729" s="62" t="s">
        <v>115</v>
      </c>
      <c r="G3729" s="64" t="s">
        <v>64</v>
      </c>
      <c r="H3729" s="3" t="s">
        <v>139</v>
      </c>
      <c r="I3729" s="65">
        <f>IFERROR(VLOOKUP(A3729,'3. Call duration'!$A:$C,3,0),"--")</f>
        <v>14.28306905</v>
      </c>
      <c r="J3729" s="65" t="str">
        <f t="array" ref="J3729">XLOOKUP(H3729,'2. Matching'!$A$2:$A$39,'2. Matching'!$B$2:$B$39,"--")</f>
        <v>Acquisition</v>
      </c>
      <c r="K3729" s="65" t="str">
        <f t="shared" si="1"/>
        <v>In</v>
      </c>
    </row>
    <row r="3730">
      <c r="A3730" s="62" t="s">
        <v>3868</v>
      </c>
      <c r="B3730" s="63">
        <v>44232.0</v>
      </c>
      <c r="C3730" s="62" t="s">
        <v>119</v>
      </c>
      <c r="D3730" s="64">
        <v>42.5</v>
      </c>
      <c r="E3730" s="62" t="s">
        <v>109</v>
      </c>
      <c r="F3730" s="62" t="s">
        <v>110</v>
      </c>
      <c r="G3730" s="64" t="s">
        <v>62</v>
      </c>
      <c r="H3730" s="3" t="s">
        <v>50</v>
      </c>
      <c r="I3730" s="65">
        <f>IFERROR(VLOOKUP(A3730,'3. Call duration'!$A:$C,3,0),"--")</f>
        <v>16.65584743</v>
      </c>
      <c r="J3730" s="65" t="str">
        <f t="array" ref="J3730">XLOOKUP(H3730,'2. Matching'!$A$2:$A$39,'2. Matching'!$B$2:$B$39,"--")</f>
        <v>Partnerships</v>
      </c>
      <c r="K3730" s="65" t="str">
        <f t="shared" si="1"/>
        <v>In</v>
      </c>
    </row>
    <row r="3731">
      <c r="A3731" s="62" t="s">
        <v>3869</v>
      </c>
      <c r="B3731" s="63">
        <v>44224.0</v>
      </c>
      <c r="C3731" s="62" t="s">
        <v>119</v>
      </c>
      <c r="D3731" s="64">
        <v>42.5</v>
      </c>
      <c r="E3731" s="62" t="s">
        <v>109</v>
      </c>
      <c r="F3731" s="62" t="s">
        <v>110</v>
      </c>
      <c r="G3731" s="64" t="s">
        <v>64</v>
      </c>
      <c r="H3731" s="3" t="s">
        <v>164</v>
      </c>
      <c r="I3731" s="65">
        <f>IFERROR(VLOOKUP(A3731,'3. Call duration'!$A:$C,3,0),"--")</f>
        <v>33.17770843</v>
      </c>
      <c r="J3731" s="65" t="str">
        <f t="array" ref="J3731">XLOOKUP(H3731,'2. Matching'!$A$2:$A$39,'2. Matching'!$B$2:$B$39,"--")</f>
        <v>SEO</v>
      </c>
      <c r="K3731" s="65" t="str">
        <f t="shared" si="1"/>
        <v>In</v>
      </c>
    </row>
    <row r="3732">
      <c r="A3732" s="62" t="s">
        <v>3870</v>
      </c>
      <c r="B3732" s="63">
        <v>44224.0</v>
      </c>
      <c r="C3732" s="62" t="s">
        <v>119</v>
      </c>
      <c r="D3732" s="64">
        <v>42.5</v>
      </c>
      <c r="E3732" s="62" t="s">
        <v>109</v>
      </c>
      <c r="F3732" s="62" t="s">
        <v>115</v>
      </c>
      <c r="G3732" s="64" t="s">
        <v>64</v>
      </c>
      <c r="H3732" s="3" t="s">
        <v>155</v>
      </c>
      <c r="I3732" s="65">
        <f>IFERROR(VLOOKUP(A3732,'3. Call duration'!$A:$C,3,0),"--")</f>
        <v>32.75958139</v>
      </c>
      <c r="J3732" s="65" t="str">
        <f t="array" ref="J3732">XLOOKUP(H3732,'2. Matching'!$A$2:$A$39,'2. Matching'!$B$2:$B$39,"--")</f>
        <v>SEO</v>
      </c>
      <c r="K3732" s="65" t="str">
        <f t="shared" si="1"/>
        <v>In</v>
      </c>
    </row>
    <row r="3733">
      <c r="A3733" s="62" t="s">
        <v>3871</v>
      </c>
      <c r="B3733" s="63">
        <v>44110.0</v>
      </c>
      <c r="C3733" s="62" t="s">
        <v>119</v>
      </c>
      <c r="D3733" s="64">
        <v>42.5</v>
      </c>
      <c r="E3733" s="62" t="s">
        <v>109</v>
      </c>
      <c r="F3733" s="62" t="s">
        <v>115</v>
      </c>
      <c r="G3733" s="64" t="s">
        <v>64</v>
      </c>
      <c r="H3733" s="3" t="s">
        <v>139</v>
      </c>
      <c r="I3733" s="65">
        <f>IFERROR(VLOOKUP(A3733,'3. Call duration'!$A:$C,3,0),"--")</f>
        <v>33.50888367</v>
      </c>
      <c r="J3733" s="65" t="str">
        <f t="array" ref="J3733">XLOOKUP(H3733,'2. Matching'!$A$2:$A$39,'2. Matching'!$B$2:$B$39,"--")</f>
        <v>Acquisition</v>
      </c>
      <c r="K3733" s="65" t="str">
        <f t="shared" si="1"/>
        <v>In</v>
      </c>
    </row>
    <row r="3734">
      <c r="A3734" s="62" t="s">
        <v>3872</v>
      </c>
      <c r="B3734" s="63">
        <v>44210.0</v>
      </c>
      <c r="C3734" s="62" t="s">
        <v>119</v>
      </c>
      <c r="D3734" s="64">
        <v>42.5</v>
      </c>
      <c r="E3734" s="62" t="s">
        <v>109</v>
      </c>
      <c r="F3734" s="62" t="s">
        <v>115</v>
      </c>
      <c r="G3734" s="64" t="s">
        <v>64</v>
      </c>
      <c r="H3734" s="3" t="s">
        <v>131</v>
      </c>
      <c r="I3734" s="65" t="str">
        <f>IFERROR(VLOOKUP(A3734,'3. Call duration'!$A:$C,3,0),"--")</f>
        <v>--</v>
      </c>
      <c r="J3734" s="65" t="str">
        <f t="array" ref="J3734">XLOOKUP(H3734,'2. Matching'!$A$2:$A$39,'2. Matching'!$B$2:$B$39,"--")</f>
        <v>Acquisition</v>
      </c>
      <c r="K3734" s="65" t="str">
        <f t="shared" si="1"/>
        <v>In</v>
      </c>
    </row>
    <row r="3735">
      <c r="A3735" s="62" t="s">
        <v>3873</v>
      </c>
      <c r="B3735" s="63">
        <v>44218.0</v>
      </c>
      <c r="C3735" s="62" t="s">
        <v>119</v>
      </c>
      <c r="D3735" s="64">
        <v>42.5</v>
      </c>
      <c r="E3735" s="62" t="s">
        <v>109</v>
      </c>
      <c r="F3735" s="62" t="s">
        <v>110</v>
      </c>
      <c r="G3735" s="64" t="s">
        <v>64</v>
      </c>
      <c r="H3735" s="3" t="s">
        <v>221</v>
      </c>
      <c r="I3735" s="65">
        <f>IFERROR(VLOOKUP(A3735,'3. Call duration'!$A:$C,3,0),"--")</f>
        <v>21.53357209</v>
      </c>
      <c r="J3735" s="65" t="str">
        <f t="array" ref="J3735">XLOOKUP(H3735,'2. Matching'!$A$2:$A$39,'2. Matching'!$B$2:$B$39,"--")</f>
        <v>Farming</v>
      </c>
      <c r="K3735" s="65" t="str">
        <f t="shared" si="1"/>
        <v>In</v>
      </c>
    </row>
    <row r="3736">
      <c r="A3736" s="62" t="s">
        <v>3874</v>
      </c>
      <c r="B3736" s="63">
        <v>44232.0</v>
      </c>
      <c r="C3736" s="62" t="s">
        <v>119</v>
      </c>
      <c r="D3736" s="64">
        <v>42.5</v>
      </c>
      <c r="E3736" s="62" t="s">
        <v>109</v>
      </c>
      <c r="F3736" s="62" t="s">
        <v>115</v>
      </c>
      <c r="G3736" s="64" t="s">
        <v>64</v>
      </c>
      <c r="H3736" s="3" t="s">
        <v>297</v>
      </c>
      <c r="I3736" s="65">
        <f>IFERROR(VLOOKUP(A3736,'3. Call duration'!$A:$C,3,0),"--")</f>
        <v>13.49437239</v>
      </c>
      <c r="J3736" s="65" t="str">
        <f t="array" ref="J3736">XLOOKUP(H3736,'2. Matching'!$A$2:$A$39,'2. Matching'!$B$2:$B$39,"--")</f>
        <v>Farming</v>
      </c>
      <c r="K3736" s="65" t="str">
        <f t="shared" si="1"/>
        <v>In</v>
      </c>
    </row>
    <row r="3737">
      <c r="A3737" s="62" t="s">
        <v>3875</v>
      </c>
      <c r="B3737" s="63">
        <v>44222.0</v>
      </c>
      <c r="C3737" s="62" t="s">
        <v>119</v>
      </c>
      <c r="D3737" s="64">
        <v>42.5</v>
      </c>
      <c r="E3737" s="62" t="s">
        <v>109</v>
      </c>
      <c r="F3737" s="62" t="s">
        <v>110</v>
      </c>
      <c r="G3737" s="64" t="s">
        <v>64</v>
      </c>
      <c r="H3737" s="3" t="s">
        <v>221</v>
      </c>
      <c r="I3737" s="65">
        <f>IFERROR(VLOOKUP(A3737,'3. Call duration'!$A:$C,3,0),"--")</f>
        <v>15.33533437</v>
      </c>
      <c r="J3737" s="65" t="str">
        <f t="array" ref="J3737">XLOOKUP(H3737,'2. Matching'!$A$2:$A$39,'2. Matching'!$B$2:$B$39,"--")</f>
        <v>Farming</v>
      </c>
      <c r="K3737" s="65" t="str">
        <f t="shared" si="1"/>
        <v>In</v>
      </c>
    </row>
    <row r="3738">
      <c r="A3738" s="62" t="s">
        <v>3876</v>
      </c>
      <c r="B3738" s="63">
        <v>44237.0</v>
      </c>
      <c r="C3738" s="62" t="s">
        <v>119</v>
      </c>
      <c r="D3738" s="64">
        <v>42.5</v>
      </c>
      <c r="E3738" s="62" t="s">
        <v>109</v>
      </c>
      <c r="F3738" s="62" t="s">
        <v>115</v>
      </c>
      <c r="G3738" s="64" t="s">
        <v>64</v>
      </c>
      <c r="H3738" s="3" t="s">
        <v>169</v>
      </c>
      <c r="I3738" s="65">
        <f>IFERROR(VLOOKUP(A3738,'3. Call duration'!$A:$C,3,0),"--")</f>
        <v>13.29811429</v>
      </c>
      <c r="J3738" s="65" t="str">
        <f t="array" ref="J3738">XLOOKUP(H3738,'2. Matching'!$A$2:$A$39,'2. Matching'!$B$2:$B$39,"--")</f>
        <v>SEO</v>
      </c>
      <c r="K3738" s="65" t="str">
        <f t="shared" si="1"/>
        <v>In</v>
      </c>
    </row>
    <row r="3739">
      <c r="A3739" s="62" t="s">
        <v>3877</v>
      </c>
      <c r="B3739" s="63">
        <v>44214.0</v>
      </c>
      <c r="C3739" s="62" t="s">
        <v>119</v>
      </c>
      <c r="D3739" s="64">
        <v>42.5</v>
      </c>
      <c r="E3739" s="62" t="s">
        <v>109</v>
      </c>
      <c r="F3739" s="62" t="s">
        <v>115</v>
      </c>
      <c r="G3739" s="64" t="s">
        <v>62</v>
      </c>
      <c r="H3739" s="3" t="s">
        <v>286</v>
      </c>
      <c r="I3739" s="65">
        <f>IFERROR(VLOOKUP(A3739,'3. Call duration'!$A:$C,3,0),"--")</f>
        <v>28.49122812</v>
      </c>
      <c r="J3739" s="65" t="str">
        <f t="array" ref="J3739">XLOOKUP(H3739,'2. Matching'!$A$2:$A$39,'2. Matching'!$B$2:$B$39,"--")</f>
        <v>Farming</v>
      </c>
      <c r="K3739" s="65" t="str">
        <f t="shared" si="1"/>
        <v>In</v>
      </c>
    </row>
    <row r="3740">
      <c r="A3740" s="62" t="s">
        <v>3878</v>
      </c>
      <c r="B3740" s="63">
        <v>44232.0</v>
      </c>
      <c r="C3740" s="62" t="s">
        <v>119</v>
      </c>
      <c r="D3740" s="64">
        <v>42.5</v>
      </c>
      <c r="E3740" s="62" t="s">
        <v>109</v>
      </c>
      <c r="F3740" s="62" t="s">
        <v>115</v>
      </c>
      <c r="G3740" s="64" t="s">
        <v>64</v>
      </c>
      <c r="H3740" s="3" t="s">
        <v>155</v>
      </c>
      <c r="I3740" s="65">
        <f>IFERROR(VLOOKUP(A3740,'3. Call duration'!$A:$C,3,0),"--")</f>
        <v>27.46726295</v>
      </c>
      <c r="J3740" s="65" t="str">
        <f t="array" ref="J3740">XLOOKUP(H3740,'2. Matching'!$A$2:$A$39,'2. Matching'!$B$2:$B$39,"--")</f>
        <v>SEO</v>
      </c>
      <c r="K3740" s="65" t="str">
        <f t="shared" si="1"/>
        <v>In</v>
      </c>
    </row>
    <row r="3741">
      <c r="A3741" s="62" t="s">
        <v>3879</v>
      </c>
      <c r="B3741" s="63">
        <v>44216.0</v>
      </c>
      <c r="C3741" s="62" t="s">
        <v>119</v>
      </c>
      <c r="D3741" s="64">
        <v>42.5</v>
      </c>
      <c r="E3741" s="62" t="s">
        <v>109</v>
      </c>
      <c r="F3741" s="62" t="s">
        <v>110</v>
      </c>
      <c r="G3741" s="64" t="s">
        <v>62</v>
      </c>
      <c r="H3741" s="3" t="s">
        <v>203</v>
      </c>
      <c r="I3741" s="65">
        <f>IFERROR(VLOOKUP(A3741,'3. Call duration'!$A:$C,3,0),"--")</f>
        <v>23.163325</v>
      </c>
      <c r="J3741" s="65" t="str">
        <f t="array" ref="J3741">XLOOKUP(H3741,'2. Matching'!$A$2:$A$39,'2. Matching'!$B$2:$B$39,"--")</f>
        <v>Farming</v>
      </c>
      <c r="K3741" s="65" t="str">
        <f t="shared" si="1"/>
        <v>In</v>
      </c>
    </row>
    <row r="3742">
      <c r="A3742" s="62" t="s">
        <v>3880</v>
      </c>
      <c r="B3742" s="63">
        <v>44137.0</v>
      </c>
      <c r="C3742" s="62" t="s">
        <v>119</v>
      </c>
      <c r="D3742" s="64">
        <v>42.5</v>
      </c>
      <c r="E3742" s="62" t="s">
        <v>109</v>
      </c>
      <c r="F3742" s="62" t="s">
        <v>115</v>
      </c>
      <c r="G3742" s="64" t="s">
        <v>64</v>
      </c>
      <c r="H3742" s="3" t="s">
        <v>164</v>
      </c>
      <c r="I3742" s="65">
        <f>IFERROR(VLOOKUP(A3742,'3. Call duration'!$A:$C,3,0),"--")</f>
        <v>23.95040755</v>
      </c>
      <c r="J3742" s="65" t="str">
        <f t="array" ref="J3742">XLOOKUP(H3742,'2. Matching'!$A$2:$A$39,'2. Matching'!$B$2:$B$39,"--")</f>
        <v>SEO</v>
      </c>
      <c r="K3742" s="65" t="str">
        <f t="shared" si="1"/>
        <v>In</v>
      </c>
    </row>
    <row r="3743">
      <c r="A3743" s="62" t="s">
        <v>3881</v>
      </c>
      <c r="B3743" s="63">
        <v>44253.0</v>
      </c>
      <c r="C3743" s="62" t="s">
        <v>119</v>
      </c>
      <c r="D3743" s="64">
        <v>42.5</v>
      </c>
      <c r="E3743" s="62" t="s">
        <v>109</v>
      </c>
      <c r="F3743" s="62" t="s">
        <v>115</v>
      </c>
      <c r="G3743" s="64" t="s">
        <v>64</v>
      </c>
      <c r="H3743" s="3" t="s">
        <v>131</v>
      </c>
      <c r="I3743" s="65">
        <f>IFERROR(VLOOKUP(A3743,'3. Call duration'!$A:$C,3,0),"--")</f>
        <v>24.21744375</v>
      </c>
      <c r="J3743" s="65" t="str">
        <f t="array" ref="J3743">XLOOKUP(H3743,'2. Matching'!$A$2:$A$39,'2. Matching'!$B$2:$B$39,"--")</f>
        <v>Acquisition</v>
      </c>
      <c r="K3743" s="65" t="str">
        <f t="shared" si="1"/>
        <v>In</v>
      </c>
    </row>
    <row r="3744">
      <c r="A3744" s="62" t="s">
        <v>3882</v>
      </c>
      <c r="B3744" s="63">
        <v>44230.0</v>
      </c>
      <c r="C3744" s="62" t="s">
        <v>119</v>
      </c>
      <c r="D3744" s="64">
        <v>42.5</v>
      </c>
      <c r="E3744" s="62" t="s">
        <v>109</v>
      </c>
      <c r="F3744" s="62" t="s">
        <v>110</v>
      </c>
      <c r="G3744" s="64" t="s">
        <v>64</v>
      </c>
      <c r="H3744" s="3" t="s">
        <v>145</v>
      </c>
      <c r="I3744" s="65">
        <f>IFERROR(VLOOKUP(A3744,'3. Call duration'!$A:$C,3,0),"--")</f>
        <v>32.59678753</v>
      </c>
      <c r="J3744" s="65" t="str">
        <f t="array" ref="J3744">XLOOKUP(H3744,'2. Matching'!$A$2:$A$39,'2. Matching'!$B$2:$B$39,"--")</f>
        <v>SEO</v>
      </c>
      <c r="K3744" s="65" t="str">
        <f t="shared" si="1"/>
        <v>In</v>
      </c>
    </row>
    <row r="3745">
      <c r="A3745" s="62" t="s">
        <v>3883</v>
      </c>
      <c r="B3745" s="63">
        <v>44237.0</v>
      </c>
      <c r="C3745" s="62" t="s">
        <v>119</v>
      </c>
      <c r="D3745" s="64">
        <v>42.5</v>
      </c>
      <c r="E3745" s="62" t="s">
        <v>109</v>
      </c>
      <c r="F3745" s="62" t="s">
        <v>115</v>
      </c>
      <c r="G3745" s="64" t="s">
        <v>64</v>
      </c>
      <c r="H3745" s="3" t="s">
        <v>169</v>
      </c>
      <c r="I3745" s="65">
        <f>IFERROR(VLOOKUP(A3745,'3. Call duration'!$A:$C,3,0),"--")</f>
        <v>33.3440645</v>
      </c>
      <c r="J3745" s="65" t="str">
        <f t="array" ref="J3745">XLOOKUP(H3745,'2. Matching'!$A$2:$A$39,'2. Matching'!$B$2:$B$39,"--")</f>
        <v>SEO</v>
      </c>
      <c r="K3745" s="65" t="str">
        <f t="shared" si="1"/>
        <v>In</v>
      </c>
    </row>
    <row r="3746">
      <c r="A3746" s="62" t="s">
        <v>3884</v>
      </c>
      <c r="B3746" s="63">
        <v>44203.0</v>
      </c>
      <c r="C3746" s="62" t="s">
        <v>119</v>
      </c>
      <c r="D3746" s="64">
        <v>42.5</v>
      </c>
      <c r="E3746" s="62" t="s">
        <v>109</v>
      </c>
      <c r="F3746" s="62" t="s">
        <v>115</v>
      </c>
      <c r="G3746" s="64" t="s">
        <v>62</v>
      </c>
      <c r="H3746" s="3" t="s">
        <v>294</v>
      </c>
      <c r="I3746" s="65">
        <f>IFERROR(VLOOKUP(A3746,'3. Call duration'!$A:$C,3,0),"--")</f>
        <v>33.49552951</v>
      </c>
      <c r="J3746" s="65" t="str">
        <f t="array" ref="J3746">XLOOKUP(H3746,'2. Matching'!$A$2:$A$39,'2. Matching'!$B$2:$B$39,"--")</f>
        <v>Farming</v>
      </c>
      <c r="K3746" s="65" t="str">
        <f t="shared" si="1"/>
        <v>In</v>
      </c>
    </row>
    <row r="3747">
      <c r="A3747" s="62" t="s">
        <v>3885</v>
      </c>
      <c r="B3747" s="63">
        <v>44237.0</v>
      </c>
      <c r="C3747" s="62" t="s">
        <v>119</v>
      </c>
      <c r="D3747" s="64">
        <v>42.5</v>
      </c>
      <c r="E3747" s="62" t="s">
        <v>109</v>
      </c>
      <c r="F3747" s="62" t="s">
        <v>115</v>
      </c>
      <c r="G3747" s="64" t="s">
        <v>64</v>
      </c>
      <c r="H3747" s="3" t="s">
        <v>175</v>
      </c>
      <c r="I3747" s="65">
        <f>IFERROR(VLOOKUP(A3747,'3. Call duration'!$A:$C,3,0),"--")</f>
        <v>27.7952908</v>
      </c>
      <c r="J3747" s="65" t="str">
        <f t="array" ref="J3747">XLOOKUP(H3747,'2. Matching'!$A$2:$A$39,'2. Matching'!$B$2:$B$39,"--")</f>
        <v>SEO</v>
      </c>
      <c r="K3747" s="65" t="str">
        <f t="shared" si="1"/>
        <v>In</v>
      </c>
    </row>
    <row r="3748">
      <c r="A3748" s="62" t="s">
        <v>3886</v>
      </c>
      <c r="B3748" s="63">
        <v>44237.0</v>
      </c>
      <c r="C3748" s="62" t="s">
        <v>119</v>
      </c>
      <c r="D3748" s="64">
        <v>42.5</v>
      </c>
      <c r="E3748" s="62" t="s">
        <v>109</v>
      </c>
      <c r="F3748" s="62" t="s">
        <v>110</v>
      </c>
      <c r="G3748" s="64" t="s">
        <v>64</v>
      </c>
      <c r="H3748" s="3" t="s">
        <v>150</v>
      </c>
      <c r="I3748" s="65" t="str">
        <f>IFERROR(VLOOKUP(A3748,'3. Call duration'!$A:$C,3,0),"--")</f>
        <v>--</v>
      </c>
      <c r="J3748" s="65" t="str">
        <f t="array" ref="J3748">XLOOKUP(H3748,'2. Matching'!$A$2:$A$39,'2. Matching'!$B$2:$B$39,"--")</f>
        <v>SEO</v>
      </c>
      <c r="K3748" s="65" t="str">
        <f t="shared" si="1"/>
        <v>In</v>
      </c>
    </row>
    <row r="3749">
      <c r="A3749" s="62" t="s">
        <v>3887</v>
      </c>
      <c r="B3749" s="63">
        <v>44085.0</v>
      </c>
      <c r="C3749" s="62" t="s">
        <v>119</v>
      </c>
      <c r="D3749" s="64">
        <v>42.5</v>
      </c>
      <c r="E3749" s="62" t="s">
        <v>109</v>
      </c>
      <c r="F3749" s="62" t="s">
        <v>115</v>
      </c>
      <c r="G3749" s="64" t="s">
        <v>64</v>
      </c>
      <c r="H3749" s="3" t="s">
        <v>139</v>
      </c>
      <c r="I3749" s="65">
        <f>IFERROR(VLOOKUP(A3749,'3. Call duration'!$A:$C,3,0),"--")</f>
        <v>15.92183294</v>
      </c>
      <c r="J3749" s="65" t="str">
        <f t="array" ref="J3749">XLOOKUP(H3749,'2. Matching'!$A$2:$A$39,'2. Matching'!$B$2:$B$39,"--")</f>
        <v>Acquisition</v>
      </c>
      <c r="K3749" s="65" t="str">
        <f t="shared" si="1"/>
        <v>In</v>
      </c>
    </row>
    <row r="3750">
      <c r="A3750" s="62" t="s">
        <v>3888</v>
      </c>
      <c r="B3750" s="63">
        <v>44124.0</v>
      </c>
      <c r="C3750" s="62" t="s">
        <v>119</v>
      </c>
      <c r="D3750" s="64">
        <v>42.5</v>
      </c>
      <c r="E3750" s="62" t="s">
        <v>109</v>
      </c>
      <c r="F3750" s="62" t="s">
        <v>115</v>
      </c>
      <c r="G3750" s="64" t="s">
        <v>64</v>
      </c>
      <c r="H3750" s="3" t="s">
        <v>150</v>
      </c>
      <c r="I3750" s="65">
        <f>IFERROR(VLOOKUP(A3750,'3. Call duration'!$A:$C,3,0),"--")</f>
        <v>33.40977424</v>
      </c>
      <c r="J3750" s="65" t="str">
        <f t="array" ref="J3750">XLOOKUP(H3750,'2. Matching'!$A$2:$A$39,'2. Matching'!$B$2:$B$39,"--")</f>
        <v>SEO</v>
      </c>
      <c r="K3750" s="65" t="str">
        <f t="shared" si="1"/>
        <v>In</v>
      </c>
    </row>
    <row r="3751">
      <c r="A3751" s="62" t="s">
        <v>3889</v>
      </c>
      <c r="B3751" s="63">
        <v>44238.0</v>
      </c>
      <c r="C3751" s="62" t="s">
        <v>119</v>
      </c>
      <c r="D3751" s="64">
        <v>42.5</v>
      </c>
      <c r="E3751" s="62" t="s">
        <v>109</v>
      </c>
      <c r="F3751" s="62" t="s">
        <v>115</v>
      </c>
      <c r="G3751" s="64" t="s">
        <v>64</v>
      </c>
      <c r="H3751" s="3" t="s">
        <v>185</v>
      </c>
      <c r="I3751" s="65">
        <f>IFERROR(VLOOKUP(A3751,'3. Call duration'!$A:$C,3,0),"--")</f>
        <v>27.32460236</v>
      </c>
      <c r="J3751" s="65" t="str">
        <f t="array" ref="J3751">XLOOKUP(H3751,'2. Matching'!$A$2:$A$39,'2. Matching'!$B$2:$B$39,"--")</f>
        <v>SEO</v>
      </c>
      <c r="K3751" s="65" t="str">
        <f t="shared" si="1"/>
        <v>In</v>
      </c>
    </row>
    <row r="3752">
      <c r="A3752" s="62" t="s">
        <v>3890</v>
      </c>
      <c r="B3752" s="63">
        <v>44137.0</v>
      </c>
      <c r="C3752" s="62" t="s">
        <v>119</v>
      </c>
      <c r="D3752" s="64">
        <v>42.5</v>
      </c>
      <c r="E3752" s="62" t="s">
        <v>109</v>
      </c>
      <c r="F3752" s="62" t="s">
        <v>115</v>
      </c>
      <c r="G3752" s="64" t="s">
        <v>64</v>
      </c>
      <c r="H3752" s="3" t="s">
        <v>171</v>
      </c>
      <c r="I3752" s="65">
        <f>IFERROR(VLOOKUP(A3752,'3. Call duration'!$A:$C,3,0),"--")</f>
        <v>33.33645856</v>
      </c>
      <c r="J3752" s="65" t="str">
        <f t="array" ref="J3752">XLOOKUP(H3752,'2. Matching'!$A$2:$A$39,'2. Matching'!$B$2:$B$39,"--")</f>
        <v>SEO</v>
      </c>
      <c r="K3752" s="65" t="str">
        <f t="shared" si="1"/>
        <v>In</v>
      </c>
    </row>
    <row r="3753">
      <c r="A3753" s="62" t="s">
        <v>3891</v>
      </c>
      <c r="B3753" s="63">
        <v>44243.0</v>
      </c>
      <c r="C3753" s="62" t="s">
        <v>119</v>
      </c>
      <c r="D3753" s="64">
        <v>42.5</v>
      </c>
      <c r="E3753" s="62" t="s">
        <v>109</v>
      </c>
      <c r="F3753" s="62" t="s">
        <v>110</v>
      </c>
      <c r="G3753" s="64" t="s">
        <v>64</v>
      </c>
      <c r="H3753" s="3" t="s">
        <v>131</v>
      </c>
      <c r="I3753" s="65">
        <f>IFERROR(VLOOKUP(A3753,'3. Call duration'!$A:$C,3,0),"--")</f>
        <v>29.13439825</v>
      </c>
      <c r="J3753" s="65" t="str">
        <f t="array" ref="J3753">XLOOKUP(H3753,'2. Matching'!$A$2:$A$39,'2. Matching'!$B$2:$B$39,"--")</f>
        <v>Acquisition</v>
      </c>
      <c r="K3753" s="65" t="str">
        <f t="shared" si="1"/>
        <v>In</v>
      </c>
    </row>
    <row r="3754">
      <c r="A3754" s="62" t="s">
        <v>3892</v>
      </c>
      <c r="B3754" s="63">
        <v>44081.0</v>
      </c>
      <c r="C3754" s="62" t="s">
        <v>119</v>
      </c>
      <c r="D3754" s="64">
        <v>42.5</v>
      </c>
      <c r="E3754" s="62" t="s">
        <v>109</v>
      </c>
      <c r="F3754" s="62" t="s">
        <v>115</v>
      </c>
      <c r="G3754" s="64" t="s">
        <v>64</v>
      </c>
      <c r="H3754" s="3" t="s">
        <v>175</v>
      </c>
      <c r="I3754" s="65">
        <f>IFERROR(VLOOKUP(A3754,'3. Call duration'!$A:$C,3,0),"--")</f>
        <v>20.5525902</v>
      </c>
      <c r="J3754" s="65" t="str">
        <f t="array" ref="J3754">XLOOKUP(H3754,'2. Matching'!$A$2:$A$39,'2. Matching'!$B$2:$B$39,"--")</f>
        <v>SEO</v>
      </c>
      <c r="K3754" s="65" t="str">
        <f t="shared" si="1"/>
        <v>In</v>
      </c>
    </row>
    <row r="3755">
      <c r="A3755" s="62" t="s">
        <v>3893</v>
      </c>
      <c r="B3755" s="63">
        <v>44117.0</v>
      </c>
      <c r="C3755" s="62" t="s">
        <v>119</v>
      </c>
      <c r="D3755" s="64">
        <v>42.5</v>
      </c>
      <c r="E3755" s="62" t="s">
        <v>109</v>
      </c>
      <c r="F3755" s="62" t="s">
        <v>115</v>
      </c>
      <c r="G3755" s="64" t="s">
        <v>64</v>
      </c>
      <c r="H3755" s="3" t="s">
        <v>139</v>
      </c>
      <c r="I3755" s="65">
        <f>IFERROR(VLOOKUP(A3755,'3. Call duration'!$A:$C,3,0),"--")</f>
        <v>25.57989298</v>
      </c>
      <c r="J3755" s="65" t="str">
        <f t="array" ref="J3755">XLOOKUP(H3755,'2. Matching'!$A$2:$A$39,'2. Matching'!$B$2:$B$39,"--")</f>
        <v>Acquisition</v>
      </c>
      <c r="K3755" s="65" t="str">
        <f t="shared" si="1"/>
        <v>In</v>
      </c>
    </row>
    <row r="3756">
      <c r="A3756" s="62" t="s">
        <v>3894</v>
      </c>
      <c r="B3756" s="63">
        <v>44104.0</v>
      </c>
      <c r="C3756" s="62" t="s">
        <v>119</v>
      </c>
      <c r="D3756" s="64">
        <v>42.5</v>
      </c>
      <c r="E3756" s="62" t="s">
        <v>109</v>
      </c>
      <c r="F3756" s="62" t="s">
        <v>115</v>
      </c>
      <c r="G3756" s="64" t="s">
        <v>64</v>
      </c>
      <c r="H3756" s="3" t="s">
        <v>155</v>
      </c>
      <c r="I3756" s="65">
        <f>IFERROR(VLOOKUP(A3756,'3. Call duration'!$A:$C,3,0),"--")</f>
        <v>20.70035888</v>
      </c>
      <c r="J3756" s="65" t="str">
        <f t="array" ref="J3756">XLOOKUP(H3756,'2. Matching'!$A$2:$A$39,'2. Matching'!$B$2:$B$39,"--")</f>
        <v>SEO</v>
      </c>
      <c r="K3756" s="65" t="str">
        <f t="shared" si="1"/>
        <v>In</v>
      </c>
    </row>
    <row r="3757">
      <c r="A3757" s="62" t="s">
        <v>3895</v>
      </c>
      <c r="B3757" s="63">
        <v>44232.0</v>
      </c>
      <c r="C3757" s="62" t="s">
        <v>119</v>
      </c>
      <c r="D3757" s="64">
        <v>42.5</v>
      </c>
      <c r="E3757" s="62" t="s">
        <v>109</v>
      </c>
      <c r="F3757" s="62" t="s">
        <v>115</v>
      </c>
      <c r="G3757" s="64" t="s">
        <v>64</v>
      </c>
      <c r="H3757" s="3" t="s">
        <v>164</v>
      </c>
      <c r="I3757" s="65">
        <f>IFERROR(VLOOKUP(A3757,'3. Call duration'!$A:$C,3,0),"--")</f>
        <v>45.06827249</v>
      </c>
      <c r="J3757" s="65" t="str">
        <f t="array" ref="J3757">XLOOKUP(H3757,'2. Matching'!$A$2:$A$39,'2. Matching'!$B$2:$B$39,"--")</f>
        <v>SEO</v>
      </c>
      <c r="K3757" s="65" t="str">
        <f t="shared" si="1"/>
        <v>In</v>
      </c>
    </row>
    <row r="3758">
      <c r="A3758" s="62" t="s">
        <v>3896</v>
      </c>
      <c r="B3758" s="63">
        <v>44221.0</v>
      </c>
      <c r="C3758" s="62" t="s">
        <v>119</v>
      </c>
      <c r="D3758" s="64">
        <v>42.5</v>
      </c>
      <c r="E3758" s="62" t="s">
        <v>109</v>
      </c>
      <c r="F3758" s="62" t="s">
        <v>115</v>
      </c>
      <c r="G3758" s="64" t="s">
        <v>64</v>
      </c>
      <c r="H3758" s="3" t="s">
        <v>139</v>
      </c>
      <c r="I3758" s="65">
        <f>IFERROR(VLOOKUP(A3758,'3. Call duration'!$A:$C,3,0),"--")</f>
        <v>31.88437928</v>
      </c>
      <c r="J3758" s="65" t="str">
        <f t="array" ref="J3758">XLOOKUP(H3758,'2. Matching'!$A$2:$A$39,'2. Matching'!$B$2:$B$39,"--")</f>
        <v>Acquisition</v>
      </c>
      <c r="K3758" s="65" t="str">
        <f t="shared" si="1"/>
        <v>In</v>
      </c>
    </row>
    <row r="3759">
      <c r="A3759" s="62" t="s">
        <v>3897</v>
      </c>
      <c r="B3759" s="63">
        <v>44174.0</v>
      </c>
      <c r="C3759" s="62" t="s">
        <v>119</v>
      </c>
      <c r="D3759" s="64">
        <v>42.5</v>
      </c>
      <c r="E3759" s="62" t="s">
        <v>109</v>
      </c>
      <c r="F3759" s="62" t="s">
        <v>115</v>
      </c>
      <c r="G3759" s="64" t="s">
        <v>64</v>
      </c>
      <c r="H3759" s="3" t="s">
        <v>139</v>
      </c>
      <c r="I3759" s="65">
        <f>IFERROR(VLOOKUP(A3759,'3. Call duration'!$A:$C,3,0),"--")</f>
        <v>28.11668118</v>
      </c>
      <c r="J3759" s="65" t="str">
        <f t="array" ref="J3759">XLOOKUP(H3759,'2. Matching'!$A$2:$A$39,'2. Matching'!$B$2:$B$39,"--")</f>
        <v>Acquisition</v>
      </c>
      <c r="K3759" s="65" t="str">
        <f t="shared" si="1"/>
        <v>In</v>
      </c>
    </row>
    <row r="3760">
      <c r="A3760" s="62" t="s">
        <v>3898</v>
      </c>
      <c r="B3760" s="63">
        <v>44225.0</v>
      </c>
      <c r="C3760" s="62" t="s">
        <v>119</v>
      </c>
      <c r="D3760" s="64">
        <v>42.5</v>
      </c>
      <c r="E3760" s="62" t="s">
        <v>109</v>
      </c>
      <c r="F3760" s="62" t="s">
        <v>115</v>
      </c>
      <c r="G3760" s="64" t="s">
        <v>64</v>
      </c>
      <c r="H3760" s="3" t="s">
        <v>131</v>
      </c>
      <c r="I3760" s="65">
        <f>IFERROR(VLOOKUP(A3760,'3. Call duration'!$A:$C,3,0),"--")</f>
        <v>30.66081245</v>
      </c>
      <c r="J3760" s="65" t="str">
        <f t="array" ref="J3760">XLOOKUP(H3760,'2. Matching'!$A$2:$A$39,'2. Matching'!$B$2:$B$39,"--")</f>
        <v>Acquisition</v>
      </c>
      <c r="K3760" s="65" t="str">
        <f t="shared" si="1"/>
        <v>In</v>
      </c>
    </row>
    <row r="3761">
      <c r="A3761" s="62" t="s">
        <v>3899</v>
      </c>
      <c r="B3761" s="63">
        <v>44231.0</v>
      </c>
      <c r="C3761" s="62" t="s">
        <v>119</v>
      </c>
      <c r="D3761" s="64">
        <v>42.5</v>
      </c>
      <c r="E3761" s="62" t="s">
        <v>109</v>
      </c>
      <c r="F3761" s="62" t="s">
        <v>110</v>
      </c>
      <c r="G3761" s="64" t="s">
        <v>64</v>
      </c>
      <c r="H3761" s="3" t="s">
        <v>185</v>
      </c>
      <c r="I3761" s="65">
        <f>IFERROR(VLOOKUP(A3761,'3. Call duration'!$A:$C,3,0),"--")</f>
        <v>10.22897063</v>
      </c>
      <c r="J3761" s="65" t="str">
        <f t="array" ref="J3761">XLOOKUP(H3761,'2. Matching'!$A$2:$A$39,'2. Matching'!$B$2:$B$39,"--")</f>
        <v>SEO</v>
      </c>
      <c r="K3761" s="65" t="str">
        <f t="shared" si="1"/>
        <v>In</v>
      </c>
    </row>
    <row r="3762">
      <c r="A3762" s="62" t="s">
        <v>3900</v>
      </c>
      <c r="B3762" s="63">
        <v>44136.0</v>
      </c>
      <c r="C3762" s="62" t="s">
        <v>119</v>
      </c>
      <c r="D3762" s="64">
        <v>42.5</v>
      </c>
      <c r="E3762" s="62" t="s">
        <v>109</v>
      </c>
      <c r="F3762" s="62" t="s">
        <v>115</v>
      </c>
      <c r="G3762" s="64" t="s">
        <v>64</v>
      </c>
      <c r="H3762" s="3" t="s">
        <v>139</v>
      </c>
      <c r="I3762" s="65">
        <f>IFERROR(VLOOKUP(A3762,'3. Call duration'!$A:$C,3,0),"--")</f>
        <v>14.11099324</v>
      </c>
      <c r="J3762" s="65" t="str">
        <f t="array" ref="J3762">XLOOKUP(H3762,'2. Matching'!$A$2:$A$39,'2. Matching'!$B$2:$B$39,"--")</f>
        <v>Acquisition</v>
      </c>
      <c r="K3762" s="65" t="str">
        <f t="shared" si="1"/>
        <v>In</v>
      </c>
    </row>
    <row r="3763">
      <c r="A3763" s="62" t="s">
        <v>3901</v>
      </c>
      <c r="B3763" s="63">
        <v>44204.0</v>
      </c>
      <c r="C3763" s="62" t="s">
        <v>119</v>
      </c>
      <c r="D3763" s="64">
        <v>42.5</v>
      </c>
      <c r="E3763" s="62" t="s">
        <v>109</v>
      </c>
      <c r="F3763" s="62" t="s">
        <v>115</v>
      </c>
      <c r="G3763" s="64" t="s">
        <v>64</v>
      </c>
      <c r="H3763" s="3" t="s">
        <v>131</v>
      </c>
      <c r="I3763" s="65">
        <f>IFERROR(VLOOKUP(A3763,'3. Call duration'!$A:$C,3,0),"--")</f>
        <v>14.13349115</v>
      </c>
      <c r="J3763" s="65" t="str">
        <f t="array" ref="J3763">XLOOKUP(H3763,'2. Matching'!$A$2:$A$39,'2. Matching'!$B$2:$B$39,"--")</f>
        <v>Acquisition</v>
      </c>
      <c r="K3763" s="65" t="str">
        <f t="shared" si="1"/>
        <v>In</v>
      </c>
    </row>
    <row r="3764">
      <c r="A3764" s="62" t="s">
        <v>3902</v>
      </c>
      <c r="B3764" s="63">
        <v>44238.0</v>
      </c>
      <c r="C3764" s="62" t="s">
        <v>119</v>
      </c>
      <c r="D3764" s="64">
        <v>42.5</v>
      </c>
      <c r="E3764" s="62" t="s">
        <v>109</v>
      </c>
      <c r="F3764" s="62" t="s">
        <v>110</v>
      </c>
      <c r="G3764" s="64" t="s">
        <v>64</v>
      </c>
      <c r="H3764" s="3" t="s">
        <v>139</v>
      </c>
      <c r="I3764" s="65">
        <f>IFERROR(VLOOKUP(A3764,'3. Call duration'!$A:$C,3,0),"--")</f>
        <v>21.63277261</v>
      </c>
      <c r="J3764" s="65" t="str">
        <f t="array" ref="J3764">XLOOKUP(H3764,'2. Matching'!$A$2:$A$39,'2. Matching'!$B$2:$B$39,"--")</f>
        <v>Acquisition</v>
      </c>
      <c r="K3764" s="65" t="str">
        <f t="shared" si="1"/>
        <v>In</v>
      </c>
    </row>
    <row r="3765">
      <c r="A3765" s="62" t="s">
        <v>3903</v>
      </c>
      <c r="B3765" s="63">
        <v>44224.0</v>
      </c>
      <c r="C3765" s="62" t="s">
        <v>119</v>
      </c>
      <c r="D3765" s="64">
        <v>42.5</v>
      </c>
      <c r="E3765" s="62" t="s">
        <v>109</v>
      </c>
      <c r="F3765" s="62" t="s">
        <v>115</v>
      </c>
      <c r="G3765" s="64" t="s">
        <v>64</v>
      </c>
      <c r="H3765" s="3" t="s">
        <v>155</v>
      </c>
      <c r="I3765" s="65">
        <f>IFERROR(VLOOKUP(A3765,'3. Call duration'!$A:$C,3,0),"--")</f>
        <v>26.98944638</v>
      </c>
      <c r="J3765" s="65" t="str">
        <f t="array" ref="J3765">XLOOKUP(H3765,'2. Matching'!$A$2:$A$39,'2. Matching'!$B$2:$B$39,"--")</f>
        <v>SEO</v>
      </c>
      <c r="K3765" s="65" t="str">
        <f t="shared" si="1"/>
        <v>In</v>
      </c>
    </row>
    <row r="3766">
      <c r="A3766" s="62" t="s">
        <v>3904</v>
      </c>
      <c r="B3766" s="63">
        <v>44203.0</v>
      </c>
      <c r="C3766" s="62" t="s">
        <v>119</v>
      </c>
      <c r="D3766" s="64">
        <v>42.5</v>
      </c>
      <c r="E3766" s="62" t="s">
        <v>109</v>
      </c>
      <c r="F3766" s="62" t="s">
        <v>110</v>
      </c>
      <c r="G3766" s="64" t="s">
        <v>64</v>
      </c>
      <c r="H3766" s="3" t="s">
        <v>131</v>
      </c>
      <c r="I3766" s="65">
        <f>IFERROR(VLOOKUP(A3766,'3. Call duration'!$A:$C,3,0),"--")</f>
        <v>27.59197488</v>
      </c>
      <c r="J3766" s="65" t="str">
        <f t="array" ref="J3766">XLOOKUP(H3766,'2. Matching'!$A$2:$A$39,'2. Matching'!$B$2:$B$39,"--")</f>
        <v>Acquisition</v>
      </c>
      <c r="K3766" s="65" t="str">
        <f t="shared" si="1"/>
        <v>In</v>
      </c>
    </row>
    <row r="3767">
      <c r="A3767" s="62" t="s">
        <v>3905</v>
      </c>
      <c r="B3767" s="63">
        <v>44131.0</v>
      </c>
      <c r="C3767" s="62" t="s">
        <v>119</v>
      </c>
      <c r="D3767" s="64">
        <v>42.5</v>
      </c>
      <c r="E3767" s="62" t="s">
        <v>109</v>
      </c>
      <c r="F3767" s="62" t="s">
        <v>115</v>
      </c>
      <c r="G3767" s="64" t="s">
        <v>64</v>
      </c>
      <c r="H3767" s="3" t="s">
        <v>221</v>
      </c>
      <c r="I3767" s="65">
        <f>IFERROR(VLOOKUP(A3767,'3. Call duration'!$A:$C,3,0),"--")</f>
        <v>16.02317246</v>
      </c>
      <c r="J3767" s="65" t="str">
        <f t="array" ref="J3767">XLOOKUP(H3767,'2. Matching'!$A$2:$A$39,'2. Matching'!$B$2:$B$39,"--")</f>
        <v>Farming</v>
      </c>
      <c r="K3767" s="65" t="str">
        <f t="shared" si="1"/>
        <v>In</v>
      </c>
    </row>
    <row r="3768">
      <c r="A3768" s="62" t="s">
        <v>3906</v>
      </c>
      <c r="B3768" s="63">
        <v>44229.0</v>
      </c>
      <c r="C3768" s="62" t="s">
        <v>119</v>
      </c>
      <c r="D3768" s="64">
        <v>42.5</v>
      </c>
      <c r="E3768" s="62" t="s">
        <v>109</v>
      </c>
      <c r="F3768" s="62" t="s">
        <v>115</v>
      </c>
      <c r="G3768" s="64" t="s">
        <v>64</v>
      </c>
      <c r="H3768" s="3" t="s">
        <v>297</v>
      </c>
      <c r="I3768" s="65">
        <f>IFERROR(VLOOKUP(A3768,'3. Call duration'!$A:$C,3,0),"--")</f>
        <v>24.99010965</v>
      </c>
      <c r="J3768" s="65" t="str">
        <f t="array" ref="J3768">XLOOKUP(H3768,'2. Matching'!$A$2:$A$39,'2. Matching'!$B$2:$B$39,"--")</f>
        <v>Farming</v>
      </c>
      <c r="K3768" s="65" t="str">
        <f t="shared" si="1"/>
        <v>In</v>
      </c>
    </row>
    <row r="3769">
      <c r="A3769" s="62" t="s">
        <v>3907</v>
      </c>
      <c r="B3769" s="63">
        <v>44130.0</v>
      </c>
      <c r="C3769" s="62" t="s">
        <v>119</v>
      </c>
      <c r="D3769" s="64">
        <v>42.5</v>
      </c>
      <c r="E3769" s="62" t="s">
        <v>109</v>
      </c>
      <c r="F3769" s="62" t="s">
        <v>115</v>
      </c>
      <c r="G3769" s="64" t="s">
        <v>62</v>
      </c>
      <c r="H3769" s="3" t="s">
        <v>286</v>
      </c>
      <c r="I3769" s="65">
        <f>IFERROR(VLOOKUP(A3769,'3. Call duration'!$A:$C,3,0),"--")</f>
        <v>29.35656615</v>
      </c>
      <c r="J3769" s="65" t="str">
        <f t="array" ref="J3769">XLOOKUP(H3769,'2. Matching'!$A$2:$A$39,'2. Matching'!$B$2:$B$39,"--")</f>
        <v>Farming</v>
      </c>
      <c r="K3769" s="65" t="str">
        <f t="shared" si="1"/>
        <v>In</v>
      </c>
    </row>
    <row r="3770">
      <c r="A3770" s="62" t="s">
        <v>3908</v>
      </c>
      <c r="B3770" s="63">
        <v>44175.0</v>
      </c>
      <c r="C3770" s="62" t="s">
        <v>119</v>
      </c>
      <c r="D3770" s="64">
        <v>42.5</v>
      </c>
      <c r="E3770" s="62" t="s">
        <v>109</v>
      </c>
      <c r="F3770" s="62" t="s">
        <v>115</v>
      </c>
      <c r="G3770" s="64" t="s">
        <v>64</v>
      </c>
      <c r="H3770" s="3" t="s">
        <v>139</v>
      </c>
      <c r="I3770" s="65">
        <f>IFERROR(VLOOKUP(A3770,'3. Call duration'!$A:$C,3,0),"--")</f>
        <v>25.01116532</v>
      </c>
      <c r="J3770" s="65" t="str">
        <f t="array" ref="J3770">XLOOKUP(H3770,'2. Matching'!$A$2:$A$39,'2. Matching'!$B$2:$B$39,"--")</f>
        <v>Acquisition</v>
      </c>
      <c r="K3770" s="65" t="str">
        <f t="shared" si="1"/>
        <v>In</v>
      </c>
    </row>
    <row r="3771">
      <c r="A3771" s="62" t="s">
        <v>3909</v>
      </c>
      <c r="B3771" s="63">
        <v>44214.0</v>
      </c>
      <c r="C3771" s="62" t="s">
        <v>119</v>
      </c>
      <c r="D3771" s="64">
        <v>42.5</v>
      </c>
      <c r="E3771" s="62" t="s">
        <v>109</v>
      </c>
      <c r="F3771" s="62" t="s">
        <v>115</v>
      </c>
      <c r="G3771" s="64" t="s">
        <v>64</v>
      </c>
      <c r="H3771" s="3" t="s">
        <v>131</v>
      </c>
      <c r="I3771" s="65">
        <f>IFERROR(VLOOKUP(A3771,'3. Call duration'!$A:$C,3,0),"--")</f>
        <v>16.04723963</v>
      </c>
      <c r="J3771" s="65" t="str">
        <f t="array" ref="J3771">XLOOKUP(H3771,'2. Matching'!$A$2:$A$39,'2. Matching'!$B$2:$B$39,"--")</f>
        <v>Acquisition</v>
      </c>
      <c r="K3771" s="65" t="str">
        <f t="shared" si="1"/>
        <v>In</v>
      </c>
    </row>
    <row r="3772">
      <c r="A3772" s="62" t="s">
        <v>3910</v>
      </c>
      <c r="B3772" s="63">
        <v>44217.0</v>
      </c>
      <c r="C3772" s="62" t="s">
        <v>119</v>
      </c>
      <c r="D3772" s="64">
        <v>42.5</v>
      </c>
      <c r="E3772" s="62" t="s">
        <v>109</v>
      </c>
      <c r="F3772" s="62" t="s">
        <v>110</v>
      </c>
      <c r="G3772" s="64" t="s">
        <v>64</v>
      </c>
      <c r="H3772" s="3" t="s">
        <v>131</v>
      </c>
      <c r="I3772" s="65">
        <f>IFERROR(VLOOKUP(A3772,'3. Call duration'!$A:$C,3,0),"--")</f>
        <v>22.95313176</v>
      </c>
      <c r="J3772" s="65" t="str">
        <f t="array" ref="J3772">XLOOKUP(H3772,'2. Matching'!$A$2:$A$39,'2. Matching'!$B$2:$B$39,"--")</f>
        <v>Acquisition</v>
      </c>
      <c r="K3772" s="65" t="str">
        <f t="shared" si="1"/>
        <v>In</v>
      </c>
    </row>
    <row r="3773">
      <c r="A3773" s="62" t="s">
        <v>3911</v>
      </c>
      <c r="B3773" s="63">
        <v>44170.0</v>
      </c>
      <c r="C3773" s="62" t="s">
        <v>119</v>
      </c>
      <c r="D3773" s="64">
        <v>42.5</v>
      </c>
      <c r="E3773" s="62" t="s">
        <v>109</v>
      </c>
      <c r="F3773" s="62" t="s">
        <v>115</v>
      </c>
      <c r="G3773" s="64" t="s">
        <v>112</v>
      </c>
      <c r="H3773" s="3"/>
      <c r="I3773" s="65">
        <f>IFERROR(VLOOKUP(A3773,'3. Call duration'!$A:$C,3,0),"--")</f>
        <v>47.30881515</v>
      </c>
      <c r="J3773" s="65" t="str">
        <f t="array" ref="J3773">XLOOKUP(H3773,'2. Matching'!$A$2:$A$39,'2. Matching'!$B$2:$B$39,"--")</f>
        <v>--</v>
      </c>
      <c r="K3773" s="65" t="str">
        <f t="shared" si="1"/>
        <v>In</v>
      </c>
    </row>
    <row r="3774">
      <c r="A3774" s="62" t="s">
        <v>3912</v>
      </c>
      <c r="B3774" s="63">
        <v>44242.0</v>
      </c>
      <c r="C3774" s="62" t="s">
        <v>119</v>
      </c>
      <c r="D3774" s="64">
        <v>42.5</v>
      </c>
      <c r="E3774" s="62" t="s">
        <v>109</v>
      </c>
      <c r="F3774" s="62" t="s">
        <v>115</v>
      </c>
      <c r="G3774" s="64" t="s">
        <v>64</v>
      </c>
      <c r="H3774" s="3" t="s">
        <v>175</v>
      </c>
      <c r="I3774" s="65">
        <f>IFERROR(VLOOKUP(A3774,'3. Call duration'!$A:$C,3,0),"--")</f>
        <v>29.6100267</v>
      </c>
      <c r="J3774" s="65" t="str">
        <f t="array" ref="J3774">XLOOKUP(H3774,'2. Matching'!$A$2:$A$39,'2. Matching'!$B$2:$B$39,"--")</f>
        <v>SEO</v>
      </c>
      <c r="K3774" s="65" t="str">
        <f t="shared" si="1"/>
        <v>In</v>
      </c>
    </row>
    <row r="3775">
      <c r="A3775" s="62" t="s">
        <v>3913</v>
      </c>
      <c r="B3775" s="63">
        <v>44109.0</v>
      </c>
      <c r="C3775" s="62" t="s">
        <v>119</v>
      </c>
      <c r="D3775" s="64">
        <v>42.5</v>
      </c>
      <c r="E3775" s="62" t="s">
        <v>109</v>
      </c>
      <c r="F3775" s="62" t="s">
        <v>115</v>
      </c>
      <c r="G3775" s="64" t="s">
        <v>64</v>
      </c>
      <c r="H3775" s="3" t="s">
        <v>139</v>
      </c>
      <c r="I3775" s="65">
        <f>IFERROR(VLOOKUP(A3775,'3. Call duration'!$A:$C,3,0),"--")</f>
        <v>25.86498902</v>
      </c>
      <c r="J3775" s="65" t="str">
        <f t="array" ref="J3775">XLOOKUP(H3775,'2. Matching'!$A$2:$A$39,'2. Matching'!$B$2:$B$39,"--")</f>
        <v>Acquisition</v>
      </c>
      <c r="K3775" s="65" t="str">
        <f t="shared" si="1"/>
        <v>In</v>
      </c>
    </row>
    <row r="3776">
      <c r="A3776" s="62" t="s">
        <v>3914</v>
      </c>
      <c r="B3776" s="63">
        <v>44235.0</v>
      </c>
      <c r="C3776" s="62" t="s">
        <v>119</v>
      </c>
      <c r="D3776" s="64">
        <v>42.5</v>
      </c>
      <c r="E3776" s="62" t="s">
        <v>109</v>
      </c>
      <c r="F3776" s="62" t="s">
        <v>115</v>
      </c>
      <c r="G3776" s="64" t="s">
        <v>64</v>
      </c>
      <c r="H3776" s="3" t="s">
        <v>150</v>
      </c>
      <c r="I3776" s="65">
        <f>IFERROR(VLOOKUP(A3776,'3. Call duration'!$A:$C,3,0),"--")</f>
        <v>27.57393215</v>
      </c>
      <c r="J3776" s="65" t="str">
        <f t="array" ref="J3776">XLOOKUP(H3776,'2. Matching'!$A$2:$A$39,'2. Matching'!$B$2:$B$39,"--")</f>
        <v>SEO</v>
      </c>
      <c r="K3776" s="65" t="str">
        <f t="shared" si="1"/>
        <v>In</v>
      </c>
    </row>
    <row r="3777">
      <c r="A3777" s="62" t="s">
        <v>3915</v>
      </c>
      <c r="B3777" s="63">
        <v>44223.0</v>
      </c>
      <c r="C3777" s="62" t="s">
        <v>119</v>
      </c>
      <c r="D3777" s="64">
        <v>42.5</v>
      </c>
      <c r="E3777" s="62" t="s">
        <v>109</v>
      </c>
      <c r="F3777" s="62" t="s">
        <v>110</v>
      </c>
      <c r="G3777" s="64" t="s">
        <v>64</v>
      </c>
      <c r="H3777" s="3" t="s">
        <v>155</v>
      </c>
      <c r="I3777" s="65">
        <f>IFERROR(VLOOKUP(A3777,'3. Call duration'!$A:$C,3,0),"--")</f>
        <v>27.30068389</v>
      </c>
      <c r="J3777" s="65" t="str">
        <f t="array" ref="J3777">XLOOKUP(H3777,'2. Matching'!$A$2:$A$39,'2. Matching'!$B$2:$B$39,"--")</f>
        <v>SEO</v>
      </c>
      <c r="K3777" s="65" t="str">
        <f t="shared" si="1"/>
        <v>In</v>
      </c>
    </row>
    <row r="3778">
      <c r="A3778" s="62" t="s">
        <v>3916</v>
      </c>
      <c r="B3778" s="63">
        <v>44201.0</v>
      </c>
      <c r="C3778" s="62" t="s">
        <v>119</v>
      </c>
      <c r="D3778" s="64">
        <v>42.5</v>
      </c>
      <c r="E3778" s="62" t="s">
        <v>109</v>
      </c>
      <c r="F3778" s="62" t="s">
        <v>115</v>
      </c>
      <c r="G3778" s="64" t="s">
        <v>64</v>
      </c>
      <c r="H3778" s="3" t="s">
        <v>175</v>
      </c>
      <c r="I3778" s="65">
        <f>IFERROR(VLOOKUP(A3778,'3. Call duration'!$A:$C,3,0),"--")</f>
        <v>20.87038159</v>
      </c>
      <c r="J3778" s="65" t="str">
        <f t="array" ref="J3778">XLOOKUP(H3778,'2. Matching'!$A$2:$A$39,'2. Matching'!$B$2:$B$39,"--")</f>
        <v>SEO</v>
      </c>
      <c r="K3778" s="65" t="str">
        <f t="shared" si="1"/>
        <v>In</v>
      </c>
    </row>
    <row r="3779">
      <c r="A3779" s="62" t="s">
        <v>3917</v>
      </c>
      <c r="B3779" s="63">
        <v>44090.0</v>
      </c>
      <c r="C3779" s="62" t="s">
        <v>119</v>
      </c>
      <c r="D3779" s="64">
        <v>42.5</v>
      </c>
      <c r="E3779" s="62" t="s">
        <v>109</v>
      </c>
      <c r="F3779" s="62" t="s">
        <v>115</v>
      </c>
      <c r="G3779" s="64" t="s">
        <v>64</v>
      </c>
      <c r="H3779" s="3" t="s">
        <v>175</v>
      </c>
      <c r="I3779" s="65">
        <f>IFERROR(VLOOKUP(A3779,'3. Call duration'!$A:$C,3,0),"--")</f>
        <v>26.87731573</v>
      </c>
      <c r="J3779" s="65" t="str">
        <f t="array" ref="J3779">XLOOKUP(H3779,'2. Matching'!$A$2:$A$39,'2. Matching'!$B$2:$B$39,"--")</f>
        <v>SEO</v>
      </c>
      <c r="K3779" s="65" t="str">
        <f t="shared" si="1"/>
        <v>In</v>
      </c>
    </row>
    <row r="3780">
      <c r="A3780" s="62" t="s">
        <v>3918</v>
      </c>
      <c r="B3780" s="63">
        <v>44122.0</v>
      </c>
      <c r="C3780" s="62" t="s">
        <v>119</v>
      </c>
      <c r="D3780" s="64">
        <v>42.5</v>
      </c>
      <c r="E3780" s="62" t="s">
        <v>109</v>
      </c>
      <c r="F3780" s="62" t="s">
        <v>115</v>
      </c>
      <c r="G3780" s="64" t="s">
        <v>64</v>
      </c>
      <c r="H3780" s="3" t="s">
        <v>139</v>
      </c>
      <c r="I3780" s="65">
        <f>IFERROR(VLOOKUP(A3780,'3. Call duration'!$A:$C,3,0),"--")</f>
        <v>37.99346006</v>
      </c>
      <c r="J3780" s="65" t="str">
        <f t="array" ref="J3780">XLOOKUP(H3780,'2. Matching'!$A$2:$A$39,'2. Matching'!$B$2:$B$39,"--")</f>
        <v>Acquisition</v>
      </c>
      <c r="K3780" s="65" t="str">
        <f t="shared" si="1"/>
        <v>In</v>
      </c>
    </row>
    <row r="3781">
      <c r="A3781" s="62" t="s">
        <v>3919</v>
      </c>
      <c r="B3781" s="63">
        <v>44237.0</v>
      </c>
      <c r="C3781" s="62" t="s">
        <v>119</v>
      </c>
      <c r="D3781" s="64">
        <v>42.5</v>
      </c>
      <c r="E3781" s="62" t="s">
        <v>109</v>
      </c>
      <c r="F3781" s="62" t="s">
        <v>115</v>
      </c>
      <c r="G3781" s="64" t="s">
        <v>64</v>
      </c>
      <c r="H3781" s="3" t="s">
        <v>169</v>
      </c>
      <c r="I3781" s="65">
        <f>IFERROR(VLOOKUP(A3781,'3. Call duration'!$A:$C,3,0),"--")</f>
        <v>14.106317</v>
      </c>
      <c r="J3781" s="65" t="str">
        <f t="array" ref="J3781">XLOOKUP(H3781,'2. Matching'!$A$2:$A$39,'2. Matching'!$B$2:$B$39,"--")</f>
        <v>SEO</v>
      </c>
      <c r="K3781" s="65" t="str">
        <f t="shared" si="1"/>
        <v>In</v>
      </c>
    </row>
    <row r="3782">
      <c r="A3782" s="62" t="s">
        <v>3920</v>
      </c>
      <c r="B3782" s="63">
        <v>44211.0</v>
      </c>
      <c r="C3782" s="62" t="s">
        <v>119</v>
      </c>
      <c r="D3782" s="64">
        <v>42.5</v>
      </c>
      <c r="E3782" s="62" t="s">
        <v>109</v>
      </c>
      <c r="F3782" s="62" t="s">
        <v>115</v>
      </c>
      <c r="G3782" s="64" t="s">
        <v>64</v>
      </c>
      <c r="H3782" s="3" t="s">
        <v>150</v>
      </c>
      <c r="I3782" s="65">
        <f>IFERROR(VLOOKUP(A3782,'3. Call duration'!$A:$C,3,0),"--")</f>
        <v>25.4348422</v>
      </c>
      <c r="J3782" s="65" t="str">
        <f t="array" ref="J3782">XLOOKUP(H3782,'2. Matching'!$A$2:$A$39,'2. Matching'!$B$2:$B$39,"--")</f>
        <v>SEO</v>
      </c>
      <c r="K3782" s="65" t="str">
        <f t="shared" si="1"/>
        <v>In</v>
      </c>
    </row>
    <row r="3783">
      <c r="A3783" s="62" t="s">
        <v>3921</v>
      </c>
      <c r="B3783" s="63">
        <v>44236.0</v>
      </c>
      <c r="C3783" s="62" t="s">
        <v>119</v>
      </c>
      <c r="D3783" s="64">
        <v>42.5</v>
      </c>
      <c r="E3783" s="62" t="s">
        <v>109</v>
      </c>
      <c r="F3783" s="62" t="s">
        <v>115</v>
      </c>
      <c r="G3783" s="64" t="s">
        <v>64</v>
      </c>
      <c r="H3783" s="3" t="s">
        <v>116</v>
      </c>
      <c r="I3783" s="65">
        <f>IFERROR(VLOOKUP(A3783,'3. Call duration'!$A:$C,3,0),"--")</f>
        <v>24.53379097</v>
      </c>
      <c r="J3783" s="65" t="str">
        <f t="array" ref="J3783">XLOOKUP(H3783,'2. Matching'!$A$2:$A$39,'2. Matching'!$B$2:$B$39,"--")</f>
        <v>Acquisition</v>
      </c>
      <c r="K3783" s="65" t="str">
        <f t="shared" si="1"/>
        <v>In</v>
      </c>
    </row>
    <row r="3784">
      <c r="A3784" s="62" t="s">
        <v>3922</v>
      </c>
      <c r="B3784" s="63">
        <v>44201.0</v>
      </c>
      <c r="C3784" s="62" t="s">
        <v>119</v>
      </c>
      <c r="D3784" s="64">
        <v>42.5</v>
      </c>
      <c r="E3784" s="62" t="s">
        <v>109</v>
      </c>
      <c r="F3784" s="62" t="s">
        <v>115</v>
      </c>
      <c r="G3784" s="64" t="s">
        <v>64</v>
      </c>
      <c r="H3784" s="3" t="s">
        <v>150</v>
      </c>
      <c r="I3784" s="65">
        <f>IFERROR(VLOOKUP(A3784,'3. Call duration'!$A:$C,3,0),"--")</f>
        <v>21.29037034</v>
      </c>
      <c r="J3784" s="65" t="str">
        <f t="array" ref="J3784">XLOOKUP(H3784,'2. Matching'!$A$2:$A$39,'2. Matching'!$B$2:$B$39,"--")</f>
        <v>SEO</v>
      </c>
      <c r="K3784" s="65" t="str">
        <f t="shared" si="1"/>
        <v>In</v>
      </c>
    </row>
    <row r="3785">
      <c r="A3785" s="62" t="s">
        <v>3923</v>
      </c>
      <c r="B3785" s="63">
        <v>44181.0</v>
      </c>
      <c r="C3785" s="62" t="s">
        <v>119</v>
      </c>
      <c r="D3785" s="64">
        <v>42.5</v>
      </c>
      <c r="E3785" s="62" t="s">
        <v>109</v>
      </c>
      <c r="F3785" s="62" t="s">
        <v>115</v>
      </c>
      <c r="G3785" s="64" t="s">
        <v>64</v>
      </c>
      <c r="H3785" s="3" t="s">
        <v>131</v>
      </c>
      <c r="I3785" s="65">
        <f>IFERROR(VLOOKUP(A3785,'3. Call duration'!$A:$C,3,0),"--")</f>
        <v>26.908464</v>
      </c>
      <c r="J3785" s="65" t="str">
        <f t="array" ref="J3785">XLOOKUP(H3785,'2. Matching'!$A$2:$A$39,'2. Matching'!$B$2:$B$39,"--")</f>
        <v>Acquisition</v>
      </c>
      <c r="K3785" s="65" t="str">
        <f t="shared" si="1"/>
        <v>In</v>
      </c>
    </row>
    <row r="3786">
      <c r="A3786" s="62" t="s">
        <v>3924</v>
      </c>
      <c r="B3786" s="63">
        <v>44207.0</v>
      </c>
      <c r="C3786" s="62" t="s">
        <v>119</v>
      </c>
      <c r="D3786" s="64">
        <v>42.5</v>
      </c>
      <c r="E3786" s="62" t="s">
        <v>109</v>
      </c>
      <c r="F3786" s="62" t="s">
        <v>115</v>
      </c>
      <c r="G3786" s="64" t="s">
        <v>64</v>
      </c>
      <c r="H3786" s="3" t="s">
        <v>150</v>
      </c>
      <c r="I3786" s="65">
        <f>IFERROR(VLOOKUP(A3786,'3. Call duration'!$A:$C,3,0),"--")</f>
        <v>28.13864437</v>
      </c>
      <c r="J3786" s="65" t="str">
        <f t="array" ref="J3786">XLOOKUP(H3786,'2. Matching'!$A$2:$A$39,'2. Matching'!$B$2:$B$39,"--")</f>
        <v>SEO</v>
      </c>
      <c r="K3786" s="65" t="str">
        <f t="shared" si="1"/>
        <v>In</v>
      </c>
    </row>
    <row r="3787">
      <c r="A3787" s="62" t="s">
        <v>3925</v>
      </c>
      <c r="B3787" s="63">
        <v>44245.0</v>
      </c>
      <c r="C3787" s="62" t="s">
        <v>119</v>
      </c>
      <c r="D3787" s="64">
        <v>42.5</v>
      </c>
      <c r="E3787" s="62" t="s">
        <v>109</v>
      </c>
      <c r="F3787" s="62" t="s">
        <v>115</v>
      </c>
      <c r="G3787" s="64" t="s">
        <v>64</v>
      </c>
      <c r="H3787" s="3" t="s">
        <v>139</v>
      </c>
      <c r="I3787" s="65">
        <f>IFERROR(VLOOKUP(A3787,'3. Call duration'!$A:$C,3,0),"--")</f>
        <v>14.18239296</v>
      </c>
      <c r="J3787" s="65" t="str">
        <f t="array" ref="J3787">XLOOKUP(H3787,'2. Matching'!$A$2:$A$39,'2. Matching'!$B$2:$B$39,"--")</f>
        <v>Acquisition</v>
      </c>
      <c r="K3787" s="65" t="str">
        <f t="shared" si="1"/>
        <v>In</v>
      </c>
    </row>
    <row r="3788">
      <c r="A3788" s="62" t="s">
        <v>3926</v>
      </c>
      <c r="B3788" s="63">
        <v>44159.0</v>
      </c>
      <c r="C3788" s="62" t="s">
        <v>119</v>
      </c>
      <c r="D3788" s="64">
        <v>42.5</v>
      </c>
      <c r="E3788" s="62" t="s">
        <v>109</v>
      </c>
      <c r="F3788" s="62" t="s">
        <v>115</v>
      </c>
      <c r="G3788" s="64" t="s">
        <v>64</v>
      </c>
      <c r="H3788" s="3" t="s">
        <v>185</v>
      </c>
      <c r="I3788" s="65">
        <f>IFERROR(VLOOKUP(A3788,'3. Call duration'!$A:$C,3,0),"--")</f>
        <v>22.24439726</v>
      </c>
      <c r="J3788" s="65" t="str">
        <f t="array" ref="J3788">XLOOKUP(H3788,'2. Matching'!$A$2:$A$39,'2. Matching'!$B$2:$B$39,"--")</f>
        <v>SEO</v>
      </c>
      <c r="K3788" s="65" t="str">
        <f t="shared" si="1"/>
        <v>In</v>
      </c>
    </row>
    <row r="3789">
      <c r="A3789" s="62" t="s">
        <v>3927</v>
      </c>
      <c r="B3789" s="63">
        <v>44183.0</v>
      </c>
      <c r="C3789" s="62" t="s">
        <v>119</v>
      </c>
      <c r="D3789" s="64">
        <v>42.5</v>
      </c>
      <c r="E3789" s="62" t="s">
        <v>109</v>
      </c>
      <c r="F3789" s="62" t="s">
        <v>110</v>
      </c>
      <c r="G3789" s="64" t="s">
        <v>62</v>
      </c>
      <c r="H3789" s="3" t="s">
        <v>286</v>
      </c>
      <c r="I3789" s="65">
        <f>IFERROR(VLOOKUP(A3789,'3. Call duration'!$A:$C,3,0),"--")</f>
        <v>25.92457307</v>
      </c>
      <c r="J3789" s="65" t="str">
        <f t="array" ref="J3789">XLOOKUP(H3789,'2. Matching'!$A$2:$A$39,'2. Matching'!$B$2:$B$39,"--")</f>
        <v>Farming</v>
      </c>
      <c r="K3789" s="65" t="str">
        <f t="shared" si="1"/>
        <v>In</v>
      </c>
    </row>
    <row r="3790">
      <c r="A3790" s="62" t="s">
        <v>3928</v>
      </c>
      <c r="B3790" s="63">
        <v>44207.0</v>
      </c>
      <c r="C3790" s="62" t="s">
        <v>119</v>
      </c>
      <c r="D3790" s="64">
        <v>42.5</v>
      </c>
      <c r="E3790" s="62" t="s">
        <v>109</v>
      </c>
      <c r="F3790" s="62" t="s">
        <v>110</v>
      </c>
      <c r="G3790" s="64" t="s">
        <v>64</v>
      </c>
      <c r="H3790" s="3" t="s">
        <v>221</v>
      </c>
      <c r="I3790" s="65">
        <f>IFERROR(VLOOKUP(A3790,'3. Call duration'!$A:$C,3,0),"--")</f>
        <v>12.19372742</v>
      </c>
      <c r="J3790" s="65" t="str">
        <f t="array" ref="J3790">XLOOKUP(H3790,'2. Matching'!$A$2:$A$39,'2. Matching'!$B$2:$B$39,"--")</f>
        <v>Farming</v>
      </c>
      <c r="K3790" s="65" t="str">
        <f t="shared" si="1"/>
        <v>In</v>
      </c>
    </row>
    <row r="3791">
      <c r="A3791" s="62" t="s">
        <v>3929</v>
      </c>
      <c r="B3791" s="63">
        <v>44189.0</v>
      </c>
      <c r="C3791" s="62" t="s">
        <v>119</v>
      </c>
      <c r="D3791" s="64">
        <v>42.5</v>
      </c>
      <c r="E3791" s="62" t="s">
        <v>109</v>
      </c>
      <c r="F3791" s="62" t="s">
        <v>115</v>
      </c>
      <c r="G3791" s="64" t="s">
        <v>64</v>
      </c>
      <c r="H3791" s="3" t="s">
        <v>49</v>
      </c>
      <c r="I3791" s="65">
        <f>IFERROR(VLOOKUP(A3791,'3. Call duration'!$A:$C,3,0),"--")</f>
        <v>23.1592033</v>
      </c>
      <c r="J3791" s="65" t="str">
        <f t="array" ref="J3791">XLOOKUP(H3791,'2. Matching'!$A$2:$A$39,'2. Matching'!$B$2:$B$39,"--")</f>
        <v>Partnerships</v>
      </c>
      <c r="K3791" s="65" t="str">
        <f t="shared" si="1"/>
        <v>In</v>
      </c>
    </row>
    <row r="3792">
      <c r="A3792" s="62" t="s">
        <v>3930</v>
      </c>
      <c r="B3792" s="63">
        <v>44136.0</v>
      </c>
      <c r="C3792" s="62" t="s">
        <v>119</v>
      </c>
      <c r="D3792" s="64">
        <v>42.5</v>
      </c>
      <c r="E3792" s="62" t="s">
        <v>109</v>
      </c>
      <c r="F3792" s="62" t="s">
        <v>115</v>
      </c>
      <c r="G3792" s="64" t="s">
        <v>64</v>
      </c>
      <c r="H3792" s="3" t="s">
        <v>139</v>
      </c>
      <c r="I3792" s="65">
        <f>IFERROR(VLOOKUP(A3792,'3. Call duration'!$A:$C,3,0),"--")</f>
        <v>20.63604554</v>
      </c>
      <c r="J3792" s="65" t="str">
        <f t="array" ref="J3792">XLOOKUP(H3792,'2. Matching'!$A$2:$A$39,'2. Matching'!$B$2:$B$39,"--")</f>
        <v>Acquisition</v>
      </c>
      <c r="K3792" s="65" t="str">
        <f t="shared" si="1"/>
        <v>In</v>
      </c>
    </row>
    <row r="3793">
      <c r="A3793" s="62" t="s">
        <v>3931</v>
      </c>
      <c r="B3793" s="63">
        <v>44149.0</v>
      </c>
      <c r="C3793" s="62" t="s">
        <v>119</v>
      </c>
      <c r="D3793" s="64">
        <v>42.5</v>
      </c>
      <c r="E3793" s="62" t="s">
        <v>109</v>
      </c>
      <c r="F3793" s="62" t="s">
        <v>115</v>
      </c>
      <c r="G3793" s="64" t="s">
        <v>64</v>
      </c>
      <c r="H3793" s="3" t="s">
        <v>235</v>
      </c>
      <c r="I3793" s="65">
        <f>IFERROR(VLOOKUP(A3793,'3. Call duration'!$A:$C,3,0),"--")</f>
        <v>45.34676143</v>
      </c>
      <c r="J3793" s="65" t="str">
        <f t="array" ref="J3793">XLOOKUP(H3793,'2. Matching'!$A$2:$A$39,'2. Matching'!$B$2:$B$39,"--")</f>
        <v>Farming</v>
      </c>
      <c r="K3793" s="65" t="str">
        <f t="shared" si="1"/>
        <v>In</v>
      </c>
    </row>
    <row r="3794">
      <c r="A3794" s="62" t="s">
        <v>3932</v>
      </c>
      <c r="B3794" s="63">
        <v>44193.0</v>
      </c>
      <c r="C3794" s="62" t="s">
        <v>119</v>
      </c>
      <c r="D3794" s="64">
        <v>42.5</v>
      </c>
      <c r="E3794" s="62" t="s">
        <v>109</v>
      </c>
      <c r="F3794" s="62" t="s">
        <v>115</v>
      </c>
      <c r="G3794" s="64" t="s">
        <v>64</v>
      </c>
      <c r="H3794" s="3" t="s">
        <v>185</v>
      </c>
      <c r="I3794" s="65">
        <f>IFERROR(VLOOKUP(A3794,'3. Call duration'!$A:$C,3,0),"--")</f>
        <v>29.20181569</v>
      </c>
      <c r="J3794" s="65" t="str">
        <f t="array" ref="J3794">XLOOKUP(H3794,'2. Matching'!$A$2:$A$39,'2. Matching'!$B$2:$B$39,"--")</f>
        <v>SEO</v>
      </c>
      <c r="K3794" s="65" t="str">
        <f t="shared" si="1"/>
        <v>In</v>
      </c>
    </row>
    <row r="3795">
      <c r="A3795" s="62" t="s">
        <v>3933</v>
      </c>
      <c r="B3795" s="63">
        <v>44222.0</v>
      </c>
      <c r="C3795" s="62" t="s">
        <v>119</v>
      </c>
      <c r="D3795" s="64">
        <v>42.5</v>
      </c>
      <c r="E3795" s="62" t="s">
        <v>109</v>
      </c>
      <c r="F3795" s="62" t="s">
        <v>115</v>
      </c>
      <c r="G3795" s="64" t="s">
        <v>64</v>
      </c>
      <c r="H3795" s="3" t="s">
        <v>155</v>
      </c>
      <c r="I3795" s="65">
        <f>IFERROR(VLOOKUP(A3795,'3. Call duration'!$A:$C,3,0),"--")</f>
        <v>33.55557716</v>
      </c>
      <c r="J3795" s="65" t="str">
        <f t="array" ref="J3795">XLOOKUP(H3795,'2. Matching'!$A$2:$A$39,'2. Matching'!$B$2:$B$39,"--")</f>
        <v>SEO</v>
      </c>
      <c r="K3795" s="65" t="str">
        <f t="shared" si="1"/>
        <v>In</v>
      </c>
    </row>
    <row r="3796">
      <c r="A3796" s="62" t="s">
        <v>3934</v>
      </c>
      <c r="B3796" s="63">
        <v>44085.0</v>
      </c>
      <c r="C3796" s="62" t="s">
        <v>119</v>
      </c>
      <c r="D3796" s="64">
        <v>42.5</v>
      </c>
      <c r="E3796" s="62" t="s">
        <v>109</v>
      </c>
      <c r="F3796" s="62" t="s">
        <v>115</v>
      </c>
      <c r="G3796" s="64" t="s">
        <v>64</v>
      </c>
      <c r="H3796" s="3" t="s">
        <v>235</v>
      </c>
      <c r="I3796" s="65">
        <f>IFERROR(VLOOKUP(A3796,'3. Call duration'!$A:$C,3,0),"--")</f>
        <v>27.03040416</v>
      </c>
      <c r="J3796" s="65" t="str">
        <f t="array" ref="J3796">XLOOKUP(H3796,'2. Matching'!$A$2:$A$39,'2. Matching'!$B$2:$B$39,"--")</f>
        <v>Farming</v>
      </c>
      <c r="K3796" s="65" t="str">
        <f t="shared" si="1"/>
        <v>In</v>
      </c>
    </row>
    <row r="3797">
      <c r="A3797" s="62" t="s">
        <v>3935</v>
      </c>
      <c r="B3797" s="63">
        <v>44212.0</v>
      </c>
      <c r="C3797" s="62" t="s">
        <v>119</v>
      </c>
      <c r="D3797" s="64">
        <v>42.5</v>
      </c>
      <c r="E3797" s="62" t="s">
        <v>109</v>
      </c>
      <c r="F3797" s="62" t="s">
        <v>115</v>
      </c>
      <c r="G3797" s="64" t="s">
        <v>64</v>
      </c>
      <c r="H3797" s="3" t="s">
        <v>131</v>
      </c>
      <c r="I3797" s="65">
        <f>IFERROR(VLOOKUP(A3797,'3. Call duration'!$A:$C,3,0),"--")</f>
        <v>30.79410436</v>
      </c>
      <c r="J3797" s="65" t="str">
        <f t="array" ref="J3797">XLOOKUP(H3797,'2. Matching'!$A$2:$A$39,'2. Matching'!$B$2:$B$39,"--")</f>
        <v>Acquisition</v>
      </c>
      <c r="K3797" s="65" t="str">
        <f t="shared" si="1"/>
        <v>In</v>
      </c>
    </row>
    <row r="3798">
      <c r="A3798" s="62" t="s">
        <v>3936</v>
      </c>
      <c r="B3798" s="63">
        <v>44235.0</v>
      </c>
      <c r="C3798" s="62" t="s">
        <v>119</v>
      </c>
      <c r="D3798" s="64">
        <v>42.5</v>
      </c>
      <c r="E3798" s="62" t="s">
        <v>109</v>
      </c>
      <c r="F3798" s="62" t="s">
        <v>115</v>
      </c>
      <c r="G3798" s="64" t="s">
        <v>112</v>
      </c>
      <c r="H3798" s="3"/>
      <c r="I3798" s="65">
        <f>IFERROR(VLOOKUP(A3798,'3. Call duration'!$A:$C,3,0),"--")</f>
        <v>32.18616518</v>
      </c>
      <c r="J3798" s="65" t="str">
        <f t="array" ref="J3798">XLOOKUP(H3798,'2. Matching'!$A$2:$A$39,'2. Matching'!$B$2:$B$39,"--")</f>
        <v>--</v>
      </c>
      <c r="K3798" s="65" t="str">
        <f t="shared" si="1"/>
        <v>In</v>
      </c>
    </row>
    <row r="3799">
      <c r="A3799" s="62" t="s">
        <v>3937</v>
      </c>
      <c r="B3799" s="63">
        <v>44147.0</v>
      </c>
      <c r="C3799" s="62" t="s">
        <v>119</v>
      </c>
      <c r="D3799" s="64">
        <v>42.5</v>
      </c>
      <c r="E3799" s="62" t="s">
        <v>109</v>
      </c>
      <c r="F3799" s="62" t="s">
        <v>110</v>
      </c>
      <c r="G3799" s="64" t="s">
        <v>64</v>
      </c>
      <c r="H3799" s="3" t="s">
        <v>139</v>
      </c>
      <c r="I3799" s="65">
        <f>IFERROR(VLOOKUP(A3799,'3. Call duration'!$A:$C,3,0),"--")</f>
        <v>22.11176892</v>
      </c>
      <c r="J3799" s="65" t="str">
        <f t="array" ref="J3799">XLOOKUP(H3799,'2. Matching'!$A$2:$A$39,'2. Matching'!$B$2:$B$39,"--")</f>
        <v>Acquisition</v>
      </c>
      <c r="K3799" s="65" t="str">
        <f t="shared" si="1"/>
        <v>In</v>
      </c>
    </row>
    <row r="3800">
      <c r="A3800" s="62" t="s">
        <v>3938</v>
      </c>
      <c r="B3800" s="63">
        <v>44194.0</v>
      </c>
      <c r="C3800" s="62" t="s">
        <v>119</v>
      </c>
      <c r="D3800" s="64">
        <v>42.5</v>
      </c>
      <c r="E3800" s="62" t="s">
        <v>109</v>
      </c>
      <c r="F3800" s="62" t="s">
        <v>115</v>
      </c>
      <c r="G3800" s="64" t="s">
        <v>64</v>
      </c>
      <c r="H3800" s="3" t="s">
        <v>175</v>
      </c>
      <c r="I3800" s="65">
        <f>IFERROR(VLOOKUP(A3800,'3. Call duration'!$A:$C,3,0),"--")</f>
        <v>21.0151647</v>
      </c>
      <c r="J3800" s="65" t="str">
        <f t="array" ref="J3800">XLOOKUP(H3800,'2. Matching'!$A$2:$A$39,'2. Matching'!$B$2:$B$39,"--")</f>
        <v>SEO</v>
      </c>
      <c r="K3800" s="65" t="str">
        <f t="shared" si="1"/>
        <v>In</v>
      </c>
    </row>
    <row r="3801">
      <c r="A3801" s="62" t="s">
        <v>3939</v>
      </c>
      <c r="B3801" s="63">
        <v>44223.0</v>
      </c>
      <c r="C3801" s="62" t="s">
        <v>119</v>
      </c>
      <c r="D3801" s="64">
        <v>42.5</v>
      </c>
      <c r="E3801" s="62" t="s">
        <v>109</v>
      </c>
      <c r="F3801" s="62" t="s">
        <v>115</v>
      </c>
      <c r="G3801" s="64" t="s">
        <v>64</v>
      </c>
      <c r="H3801" s="3" t="s">
        <v>169</v>
      </c>
      <c r="I3801" s="65">
        <f>IFERROR(VLOOKUP(A3801,'3. Call duration'!$A:$C,3,0),"--")</f>
        <v>30.6799781</v>
      </c>
      <c r="J3801" s="65" t="str">
        <f t="array" ref="J3801">XLOOKUP(H3801,'2. Matching'!$A$2:$A$39,'2. Matching'!$B$2:$B$39,"--")</f>
        <v>SEO</v>
      </c>
      <c r="K3801" s="65" t="str">
        <f t="shared" si="1"/>
        <v>In</v>
      </c>
    </row>
    <row r="3802">
      <c r="A3802" s="62" t="s">
        <v>3940</v>
      </c>
      <c r="B3802" s="63">
        <v>44131.0</v>
      </c>
      <c r="C3802" s="62" t="s">
        <v>119</v>
      </c>
      <c r="D3802" s="64">
        <v>42.5</v>
      </c>
      <c r="E3802" s="62" t="s">
        <v>109</v>
      </c>
      <c r="F3802" s="62" t="s">
        <v>115</v>
      </c>
      <c r="G3802" s="64" t="s">
        <v>64</v>
      </c>
      <c r="H3802" s="3" t="s">
        <v>150</v>
      </c>
      <c r="I3802" s="65">
        <f>IFERROR(VLOOKUP(A3802,'3. Call duration'!$A:$C,3,0),"--")</f>
        <v>29.41029362</v>
      </c>
      <c r="J3802" s="65" t="str">
        <f t="array" ref="J3802">XLOOKUP(H3802,'2. Matching'!$A$2:$A$39,'2. Matching'!$B$2:$B$39,"--")</f>
        <v>SEO</v>
      </c>
      <c r="K3802" s="65" t="str">
        <f t="shared" si="1"/>
        <v>In</v>
      </c>
    </row>
    <row r="3803">
      <c r="A3803" s="62" t="s">
        <v>3941</v>
      </c>
      <c r="B3803" s="63">
        <v>44172.0</v>
      </c>
      <c r="C3803" s="62" t="s">
        <v>119</v>
      </c>
      <c r="D3803" s="64">
        <v>42.5</v>
      </c>
      <c r="E3803" s="62" t="s">
        <v>109</v>
      </c>
      <c r="F3803" s="62" t="s">
        <v>115</v>
      </c>
      <c r="G3803" s="64" t="s">
        <v>64</v>
      </c>
      <c r="H3803" s="3" t="s">
        <v>164</v>
      </c>
      <c r="I3803" s="65">
        <f>IFERROR(VLOOKUP(A3803,'3. Call duration'!$A:$C,3,0),"--")</f>
        <v>11.11487456</v>
      </c>
      <c r="J3803" s="65" t="str">
        <f t="array" ref="J3803">XLOOKUP(H3803,'2. Matching'!$A$2:$A$39,'2. Matching'!$B$2:$B$39,"--")</f>
        <v>SEO</v>
      </c>
      <c r="K3803" s="65" t="str">
        <f t="shared" si="1"/>
        <v>In</v>
      </c>
    </row>
    <row r="3804">
      <c r="A3804" s="62" t="s">
        <v>3942</v>
      </c>
      <c r="B3804" s="63">
        <v>44124.0</v>
      </c>
      <c r="C3804" s="62" t="s">
        <v>119</v>
      </c>
      <c r="D3804" s="64">
        <v>42.5</v>
      </c>
      <c r="E3804" s="62" t="s">
        <v>109</v>
      </c>
      <c r="F3804" s="62" t="s">
        <v>110</v>
      </c>
      <c r="G3804" s="64" t="s">
        <v>64</v>
      </c>
      <c r="H3804" s="3" t="s">
        <v>221</v>
      </c>
      <c r="I3804" s="65">
        <f>IFERROR(VLOOKUP(A3804,'3. Call duration'!$A:$C,3,0),"--")</f>
        <v>22.68397561</v>
      </c>
      <c r="J3804" s="65" t="str">
        <f t="array" ref="J3804">XLOOKUP(H3804,'2. Matching'!$A$2:$A$39,'2. Matching'!$B$2:$B$39,"--")</f>
        <v>Farming</v>
      </c>
      <c r="K3804" s="65" t="str">
        <f t="shared" si="1"/>
        <v>In</v>
      </c>
    </row>
    <row r="3805">
      <c r="A3805" s="62" t="s">
        <v>3943</v>
      </c>
      <c r="B3805" s="63">
        <v>44153.0</v>
      </c>
      <c r="C3805" s="62" t="s">
        <v>119</v>
      </c>
      <c r="D3805" s="64">
        <v>42.5</v>
      </c>
      <c r="E3805" s="62" t="s">
        <v>109</v>
      </c>
      <c r="F3805" s="62" t="s">
        <v>115</v>
      </c>
      <c r="G3805" s="64" t="s">
        <v>64</v>
      </c>
      <c r="H3805" s="3" t="s">
        <v>139</v>
      </c>
      <c r="I3805" s="65">
        <f>IFERROR(VLOOKUP(A3805,'3. Call duration'!$A:$C,3,0),"--")</f>
        <v>27.10700164</v>
      </c>
      <c r="J3805" s="65" t="str">
        <f t="array" ref="J3805">XLOOKUP(H3805,'2. Matching'!$A$2:$A$39,'2. Matching'!$B$2:$B$39,"--")</f>
        <v>Acquisition</v>
      </c>
      <c r="K3805" s="65" t="str">
        <f t="shared" si="1"/>
        <v>In</v>
      </c>
    </row>
    <row r="3806">
      <c r="A3806" s="62" t="s">
        <v>3944</v>
      </c>
      <c r="B3806" s="63">
        <v>44224.0</v>
      </c>
      <c r="C3806" s="62" t="s">
        <v>119</v>
      </c>
      <c r="D3806" s="64">
        <v>42.5</v>
      </c>
      <c r="E3806" s="62" t="s">
        <v>109</v>
      </c>
      <c r="F3806" s="62" t="s">
        <v>110</v>
      </c>
      <c r="G3806" s="64" t="s">
        <v>64</v>
      </c>
      <c r="H3806" s="3" t="s">
        <v>145</v>
      </c>
      <c r="I3806" s="65">
        <f>IFERROR(VLOOKUP(A3806,'3. Call duration'!$A:$C,3,0),"--")</f>
        <v>30.27530839</v>
      </c>
      <c r="J3806" s="65" t="str">
        <f t="array" ref="J3806">XLOOKUP(H3806,'2. Matching'!$A$2:$A$39,'2. Matching'!$B$2:$B$39,"--")</f>
        <v>SEO</v>
      </c>
      <c r="K3806" s="65" t="str">
        <f t="shared" si="1"/>
        <v>In</v>
      </c>
    </row>
    <row r="3807">
      <c r="A3807" s="62" t="s">
        <v>3945</v>
      </c>
      <c r="B3807" s="63">
        <v>44076.0</v>
      </c>
      <c r="C3807" s="62" t="s">
        <v>119</v>
      </c>
      <c r="D3807" s="64">
        <v>42.5</v>
      </c>
      <c r="E3807" s="62" t="s">
        <v>109</v>
      </c>
      <c r="F3807" s="62" t="s">
        <v>115</v>
      </c>
      <c r="G3807" s="64" t="s">
        <v>64</v>
      </c>
      <c r="H3807" s="3" t="s">
        <v>57</v>
      </c>
      <c r="I3807" s="65">
        <f>IFERROR(VLOOKUP(A3807,'3. Call duration'!$A:$C,3,0),"--")</f>
        <v>21.19005333</v>
      </c>
      <c r="J3807" s="65" t="str">
        <f t="array" ref="J3807">XLOOKUP(H3807,'2. Matching'!$A$2:$A$39,'2. Matching'!$B$2:$B$39,"--")</f>
        <v>Partnerships</v>
      </c>
      <c r="K3807" s="65" t="str">
        <f t="shared" si="1"/>
        <v>In</v>
      </c>
    </row>
    <row r="3808">
      <c r="A3808" s="62" t="s">
        <v>3946</v>
      </c>
      <c r="B3808" s="63">
        <v>44082.0</v>
      </c>
      <c r="C3808" s="62" t="s">
        <v>119</v>
      </c>
      <c r="D3808" s="64">
        <v>42.5</v>
      </c>
      <c r="E3808" s="62" t="s">
        <v>109</v>
      </c>
      <c r="F3808" s="62" t="s">
        <v>110</v>
      </c>
      <c r="G3808" s="64" t="s">
        <v>62</v>
      </c>
      <c r="H3808" s="3"/>
      <c r="I3808" s="65">
        <f>IFERROR(VLOOKUP(A3808,'3. Call duration'!$A:$C,3,0),"--")</f>
        <v>32.43033091</v>
      </c>
      <c r="J3808" s="65" t="str">
        <f t="array" ref="J3808">XLOOKUP(H3808,'2. Matching'!$A$2:$A$39,'2. Matching'!$B$2:$B$39,"--")</f>
        <v>--</v>
      </c>
      <c r="K3808" s="65" t="str">
        <f t="shared" si="1"/>
        <v>In</v>
      </c>
    </row>
    <row r="3809">
      <c r="A3809" s="62" t="s">
        <v>3947</v>
      </c>
      <c r="B3809" s="63">
        <v>44169.0</v>
      </c>
      <c r="C3809" s="62" t="s">
        <v>119</v>
      </c>
      <c r="D3809" s="64">
        <v>42.5</v>
      </c>
      <c r="E3809" s="62" t="s">
        <v>109</v>
      </c>
      <c r="F3809" s="62" t="s">
        <v>115</v>
      </c>
      <c r="G3809" s="64" t="s">
        <v>64</v>
      </c>
      <c r="H3809" s="3" t="s">
        <v>169</v>
      </c>
      <c r="I3809" s="65">
        <f>IFERROR(VLOOKUP(A3809,'3. Call duration'!$A:$C,3,0),"--")</f>
        <v>28.76466737</v>
      </c>
      <c r="J3809" s="65" t="str">
        <f t="array" ref="J3809">XLOOKUP(H3809,'2. Matching'!$A$2:$A$39,'2. Matching'!$B$2:$B$39,"--")</f>
        <v>SEO</v>
      </c>
      <c r="K3809" s="65" t="str">
        <f t="shared" si="1"/>
        <v>In</v>
      </c>
    </row>
    <row r="3810">
      <c r="A3810" s="62" t="s">
        <v>3948</v>
      </c>
      <c r="B3810" s="63">
        <v>44243.0</v>
      </c>
      <c r="C3810" s="62" t="s">
        <v>119</v>
      </c>
      <c r="D3810" s="64">
        <v>42.5</v>
      </c>
      <c r="E3810" s="62" t="s">
        <v>109</v>
      </c>
      <c r="F3810" s="62" t="s">
        <v>115</v>
      </c>
      <c r="G3810" s="64" t="s">
        <v>62</v>
      </c>
      <c r="H3810" s="3" t="s">
        <v>50</v>
      </c>
      <c r="I3810" s="65">
        <f>IFERROR(VLOOKUP(A3810,'3. Call duration'!$A:$C,3,0),"--")</f>
        <v>16.98273724</v>
      </c>
      <c r="J3810" s="65" t="str">
        <f t="array" ref="J3810">XLOOKUP(H3810,'2. Matching'!$A$2:$A$39,'2. Matching'!$B$2:$B$39,"--")</f>
        <v>Partnerships</v>
      </c>
      <c r="K3810" s="65" t="str">
        <f t="shared" si="1"/>
        <v>In</v>
      </c>
    </row>
    <row r="3811">
      <c r="A3811" s="62" t="s">
        <v>3949</v>
      </c>
      <c r="B3811" s="63">
        <v>44123.0</v>
      </c>
      <c r="C3811" s="62" t="s">
        <v>119</v>
      </c>
      <c r="D3811" s="64">
        <v>42.5</v>
      </c>
      <c r="E3811" s="62" t="s">
        <v>109</v>
      </c>
      <c r="F3811" s="62" t="s">
        <v>115</v>
      </c>
      <c r="G3811" s="64" t="s">
        <v>64</v>
      </c>
      <c r="H3811" s="3" t="s">
        <v>139</v>
      </c>
      <c r="I3811" s="65">
        <f>IFERROR(VLOOKUP(A3811,'3. Call duration'!$A:$C,3,0),"--")</f>
        <v>20.96459687</v>
      </c>
      <c r="J3811" s="65" t="str">
        <f t="array" ref="J3811">XLOOKUP(H3811,'2. Matching'!$A$2:$A$39,'2. Matching'!$B$2:$B$39,"--")</f>
        <v>Acquisition</v>
      </c>
      <c r="K3811" s="65" t="str">
        <f t="shared" si="1"/>
        <v>In</v>
      </c>
    </row>
    <row r="3812">
      <c r="A3812" s="62" t="s">
        <v>3950</v>
      </c>
      <c r="B3812" s="63">
        <v>44242.0</v>
      </c>
      <c r="C3812" s="62" t="s">
        <v>119</v>
      </c>
      <c r="D3812" s="64">
        <v>42.5</v>
      </c>
      <c r="E3812" s="62" t="s">
        <v>109</v>
      </c>
      <c r="F3812" s="62" t="s">
        <v>110</v>
      </c>
      <c r="G3812" s="64" t="s">
        <v>64</v>
      </c>
      <c r="H3812" s="3" t="s">
        <v>175</v>
      </c>
      <c r="I3812" s="65">
        <f>IFERROR(VLOOKUP(A3812,'3. Call duration'!$A:$C,3,0),"--")</f>
        <v>44.91975671</v>
      </c>
      <c r="J3812" s="65" t="str">
        <f t="array" ref="J3812">XLOOKUP(H3812,'2. Matching'!$A$2:$A$39,'2. Matching'!$B$2:$B$39,"--")</f>
        <v>SEO</v>
      </c>
      <c r="K3812" s="65" t="str">
        <f t="shared" si="1"/>
        <v>In</v>
      </c>
    </row>
    <row r="3813">
      <c r="A3813" s="62" t="s">
        <v>3951</v>
      </c>
      <c r="B3813" s="63">
        <v>44230.0</v>
      </c>
      <c r="C3813" s="62" t="s">
        <v>119</v>
      </c>
      <c r="D3813" s="64">
        <v>42.5</v>
      </c>
      <c r="E3813" s="62" t="s">
        <v>109</v>
      </c>
      <c r="F3813" s="62" t="s">
        <v>115</v>
      </c>
      <c r="G3813" s="64" t="s">
        <v>64</v>
      </c>
      <c r="H3813" s="3" t="s">
        <v>139</v>
      </c>
      <c r="I3813" s="65">
        <f>IFERROR(VLOOKUP(A3813,'3. Call duration'!$A:$C,3,0),"--")</f>
        <v>28.39475397</v>
      </c>
      <c r="J3813" s="65" t="str">
        <f t="array" ref="J3813">XLOOKUP(H3813,'2. Matching'!$A$2:$A$39,'2. Matching'!$B$2:$B$39,"--")</f>
        <v>Acquisition</v>
      </c>
      <c r="K3813" s="65" t="str">
        <f t="shared" si="1"/>
        <v>In</v>
      </c>
    </row>
    <row r="3814">
      <c r="A3814" s="62" t="s">
        <v>3952</v>
      </c>
      <c r="B3814" s="63">
        <v>44084.0</v>
      </c>
      <c r="C3814" s="62" t="s">
        <v>119</v>
      </c>
      <c r="D3814" s="64">
        <v>42.5</v>
      </c>
      <c r="E3814" s="62" t="s">
        <v>109</v>
      </c>
      <c r="F3814" s="62" t="s">
        <v>115</v>
      </c>
      <c r="G3814" s="64" t="s">
        <v>64</v>
      </c>
      <c r="H3814" s="3" t="s">
        <v>139</v>
      </c>
      <c r="I3814" s="65">
        <f>IFERROR(VLOOKUP(A3814,'3. Call duration'!$A:$C,3,0),"--")</f>
        <v>33.05254518</v>
      </c>
      <c r="J3814" s="65" t="str">
        <f t="array" ref="J3814">XLOOKUP(H3814,'2. Matching'!$A$2:$A$39,'2. Matching'!$B$2:$B$39,"--")</f>
        <v>Acquisition</v>
      </c>
      <c r="K3814" s="65" t="str">
        <f t="shared" si="1"/>
        <v>In</v>
      </c>
    </row>
    <row r="3815">
      <c r="A3815" s="62" t="s">
        <v>3953</v>
      </c>
      <c r="B3815" s="63">
        <v>44200.0</v>
      </c>
      <c r="C3815" s="62" t="s">
        <v>119</v>
      </c>
      <c r="D3815" s="64">
        <v>42.5</v>
      </c>
      <c r="E3815" s="62" t="s">
        <v>109</v>
      </c>
      <c r="F3815" s="62" t="s">
        <v>115</v>
      </c>
      <c r="G3815" s="64" t="s">
        <v>64</v>
      </c>
      <c r="H3815" s="3" t="s">
        <v>185</v>
      </c>
      <c r="I3815" s="65">
        <f>IFERROR(VLOOKUP(A3815,'3. Call duration'!$A:$C,3,0),"--")</f>
        <v>32.74009072</v>
      </c>
      <c r="J3815" s="65" t="str">
        <f t="array" ref="J3815">XLOOKUP(H3815,'2. Matching'!$A$2:$A$39,'2. Matching'!$B$2:$B$39,"--")</f>
        <v>SEO</v>
      </c>
      <c r="K3815" s="65" t="str">
        <f t="shared" si="1"/>
        <v>In</v>
      </c>
    </row>
    <row r="3816">
      <c r="A3816" s="62" t="s">
        <v>3954</v>
      </c>
      <c r="B3816" s="63">
        <v>44211.0</v>
      </c>
      <c r="C3816" s="62" t="s">
        <v>119</v>
      </c>
      <c r="D3816" s="64">
        <v>42.5</v>
      </c>
      <c r="E3816" s="62" t="s">
        <v>109</v>
      </c>
      <c r="F3816" s="62" t="s">
        <v>115</v>
      </c>
      <c r="G3816" s="64" t="s">
        <v>64</v>
      </c>
      <c r="H3816" s="3" t="s">
        <v>131</v>
      </c>
      <c r="I3816" s="65">
        <f>IFERROR(VLOOKUP(A3816,'3. Call duration'!$A:$C,3,0),"--")</f>
        <v>30.21566257</v>
      </c>
      <c r="J3816" s="65" t="str">
        <f t="array" ref="J3816">XLOOKUP(H3816,'2. Matching'!$A$2:$A$39,'2. Matching'!$B$2:$B$39,"--")</f>
        <v>Acquisition</v>
      </c>
      <c r="K3816" s="65" t="str">
        <f t="shared" si="1"/>
        <v>In</v>
      </c>
    </row>
    <row r="3817">
      <c r="A3817" s="62" t="s">
        <v>3955</v>
      </c>
      <c r="B3817" s="63">
        <v>44194.0</v>
      </c>
      <c r="C3817" s="62" t="s">
        <v>119</v>
      </c>
      <c r="D3817" s="64">
        <v>42.5</v>
      </c>
      <c r="E3817" s="62" t="s">
        <v>109</v>
      </c>
      <c r="F3817" s="62" t="s">
        <v>115</v>
      </c>
      <c r="G3817" s="64" t="s">
        <v>64</v>
      </c>
      <c r="H3817" s="3" t="s">
        <v>139</v>
      </c>
      <c r="I3817" s="65">
        <f>IFERROR(VLOOKUP(A3817,'3. Call duration'!$A:$C,3,0),"--")</f>
        <v>29.98505071</v>
      </c>
      <c r="J3817" s="65" t="str">
        <f t="array" ref="J3817">XLOOKUP(H3817,'2. Matching'!$A$2:$A$39,'2. Matching'!$B$2:$B$39,"--")</f>
        <v>Acquisition</v>
      </c>
      <c r="K3817" s="65" t="str">
        <f t="shared" si="1"/>
        <v>In</v>
      </c>
    </row>
    <row r="3818">
      <c r="A3818" s="62" t="s">
        <v>3956</v>
      </c>
      <c r="B3818" s="63">
        <v>44088.0</v>
      </c>
      <c r="C3818" s="62" t="s">
        <v>119</v>
      </c>
      <c r="D3818" s="64">
        <v>42.5</v>
      </c>
      <c r="E3818" s="62" t="s">
        <v>109</v>
      </c>
      <c r="F3818" s="62" t="s">
        <v>115</v>
      </c>
      <c r="G3818" s="64" t="s">
        <v>64</v>
      </c>
      <c r="H3818" s="3" t="s">
        <v>150</v>
      </c>
      <c r="I3818" s="65">
        <f>IFERROR(VLOOKUP(A3818,'3. Call duration'!$A:$C,3,0),"--")</f>
        <v>22.00177228</v>
      </c>
      <c r="J3818" s="65" t="str">
        <f t="array" ref="J3818">XLOOKUP(H3818,'2. Matching'!$A$2:$A$39,'2. Matching'!$B$2:$B$39,"--")</f>
        <v>SEO</v>
      </c>
      <c r="K3818" s="65" t="str">
        <f t="shared" si="1"/>
        <v>In</v>
      </c>
    </row>
    <row r="3819">
      <c r="A3819" s="62" t="s">
        <v>3957</v>
      </c>
      <c r="B3819" s="63">
        <v>44235.0</v>
      </c>
      <c r="C3819" s="62" t="s">
        <v>119</v>
      </c>
      <c r="D3819" s="64">
        <v>42.5</v>
      </c>
      <c r="E3819" s="62" t="s">
        <v>109</v>
      </c>
      <c r="F3819" s="62" t="s">
        <v>115</v>
      </c>
      <c r="G3819" s="64" t="s">
        <v>64</v>
      </c>
      <c r="H3819" s="3" t="s">
        <v>150</v>
      </c>
      <c r="I3819" s="65">
        <f>IFERROR(VLOOKUP(A3819,'3. Call duration'!$A:$C,3,0),"--")</f>
        <v>31.64796227</v>
      </c>
      <c r="J3819" s="65" t="str">
        <f t="array" ref="J3819">XLOOKUP(H3819,'2. Matching'!$A$2:$A$39,'2. Matching'!$B$2:$B$39,"--")</f>
        <v>SEO</v>
      </c>
      <c r="K3819" s="65" t="str">
        <f t="shared" si="1"/>
        <v>In</v>
      </c>
    </row>
    <row r="3820">
      <c r="A3820" s="62" t="s">
        <v>3958</v>
      </c>
      <c r="B3820" s="63">
        <v>44131.0</v>
      </c>
      <c r="C3820" s="62" t="s">
        <v>119</v>
      </c>
      <c r="D3820" s="64">
        <v>42.5</v>
      </c>
      <c r="E3820" s="62" t="s">
        <v>109</v>
      </c>
      <c r="F3820" s="62" t="s">
        <v>115</v>
      </c>
      <c r="G3820" s="64" t="s">
        <v>64</v>
      </c>
      <c r="H3820" s="3" t="s">
        <v>139</v>
      </c>
      <c r="I3820" s="65">
        <f>IFERROR(VLOOKUP(A3820,'3. Call duration'!$A:$C,3,0),"--")</f>
        <v>22.52138685</v>
      </c>
      <c r="J3820" s="65" t="str">
        <f t="array" ref="J3820">XLOOKUP(H3820,'2. Matching'!$A$2:$A$39,'2. Matching'!$B$2:$B$39,"--")</f>
        <v>Acquisition</v>
      </c>
      <c r="K3820" s="65" t="str">
        <f t="shared" si="1"/>
        <v>In</v>
      </c>
    </row>
    <row r="3821">
      <c r="A3821" s="62" t="s">
        <v>3959</v>
      </c>
      <c r="B3821" s="63">
        <v>44179.0</v>
      </c>
      <c r="C3821" s="62" t="s">
        <v>119</v>
      </c>
      <c r="D3821" s="64">
        <v>42.5</v>
      </c>
      <c r="E3821" s="62" t="s">
        <v>109</v>
      </c>
      <c r="F3821" s="62" t="s">
        <v>115</v>
      </c>
      <c r="G3821" s="64" t="s">
        <v>64</v>
      </c>
      <c r="H3821" s="3" t="s">
        <v>155</v>
      </c>
      <c r="I3821" s="65">
        <f>IFERROR(VLOOKUP(A3821,'3. Call duration'!$A:$C,3,0),"--")</f>
        <v>35.50004992</v>
      </c>
      <c r="J3821" s="65" t="str">
        <f t="array" ref="J3821">XLOOKUP(H3821,'2. Matching'!$A$2:$A$39,'2. Matching'!$B$2:$B$39,"--")</f>
        <v>SEO</v>
      </c>
      <c r="K3821" s="65" t="str">
        <f t="shared" si="1"/>
        <v>In</v>
      </c>
    </row>
    <row r="3822">
      <c r="A3822" s="62" t="s">
        <v>3960</v>
      </c>
      <c r="B3822" s="63">
        <v>44081.0</v>
      </c>
      <c r="C3822" s="62" t="s">
        <v>119</v>
      </c>
      <c r="D3822" s="64">
        <v>42.5</v>
      </c>
      <c r="E3822" s="62" t="s">
        <v>109</v>
      </c>
      <c r="F3822" s="62" t="s">
        <v>115</v>
      </c>
      <c r="G3822" s="64" t="s">
        <v>64</v>
      </c>
      <c r="H3822" s="3" t="s">
        <v>175</v>
      </c>
      <c r="I3822" s="65">
        <f>IFERROR(VLOOKUP(A3822,'3. Call duration'!$A:$C,3,0),"--")</f>
        <v>13.08328928</v>
      </c>
      <c r="J3822" s="65" t="str">
        <f t="array" ref="J3822">XLOOKUP(H3822,'2. Matching'!$A$2:$A$39,'2. Matching'!$B$2:$B$39,"--")</f>
        <v>SEO</v>
      </c>
      <c r="K3822" s="65" t="str">
        <f t="shared" si="1"/>
        <v>In</v>
      </c>
    </row>
    <row r="3823">
      <c r="A3823" s="62" t="s">
        <v>3961</v>
      </c>
      <c r="B3823" s="63">
        <v>44160.0</v>
      </c>
      <c r="C3823" s="62" t="s">
        <v>119</v>
      </c>
      <c r="D3823" s="64">
        <v>42.5</v>
      </c>
      <c r="E3823" s="62" t="s">
        <v>109</v>
      </c>
      <c r="F3823" s="62" t="s">
        <v>115</v>
      </c>
      <c r="G3823" s="64" t="s">
        <v>64</v>
      </c>
      <c r="H3823" s="3" t="s">
        <v>155</v>
      </c>
      <c r="I3823" s="65">
        <f>IFERROR(VLOOKUP(A3823,'3. Call duration'!$A:$C,3,0),"--")</f>
        <v>24.77466414</v>
      </c>
      <c r="J3823" s="65" t="str">
        <f t="array" ref="J3823">XLOOKUP(H3823,'2. Matching'!$A$2:$A$39,'2. Matching'!$B$2:$B$39,"--")</f>
        <v>SEO</v>
      </c>
      <c r="K3823" s="65" t="str">
        <f t="shared" si="1"/>
        <v>In</v>
      </c>
    </row>
    <row r="3824">
      <c r="A3824" s="62" t="s">
        <v>3962</v>
      </c>
      <c r="B3824" s="63">
        <v>44184.0</v>
      </c>
      <c r="C3824" s="62" t="s">
        <v>119</v>
      </c>
      <c r="D3824" s="64">
        <v>42.5</v>
      </c>
      <c r="E3824" s="62" t="s">
        <v>109</v>
      </c>
      <c r="F3824" s="62" t="s">
        <v>115</v>
      </c>
      <c r="G3824" s="64" t="s">
        <v>62</v>
      </c>
      <c r="H3824" s="3" t="s">
        <v>286</v>
      </c>
      <c r="I3824" s="65">
        <f>IFERROR(VLOOKUP(A3824,'3. Call duration'!$A:$C,3,0),"--")</f>
        <v>39.64835711</v>
      </c>
      <c r="J3824" s="65" t="str">
        <f t="array" ref="J3824">XLOOKUP(H3824,'2. Matching'!$A$2:$A$39,'2. Matching'!$B$2:$B$39,"--")</f>
        <v>Farming</v>
      </c>
      <c r="K3824" s="65" t="str">
        <f t="shared" si="1"/>
        <v>In</v>
      </c>
    </row>
    <row r="3825">
      <c r="A3825" s="62" t="s">
        <v>3963</v>
      </c>
      <c r="B3825" s="63">
        <v>44240.0</v>
      </c>
      <c r="C3825" s="62" t="s">
        <v>119</v>
      </c>
      <c r="D3825" s="64">
        <v>42.5</v>
      </c>
      <c r="E3825" s="62" t="s">
        <v>109</v>
      </c>
      <c r="F3825" s="62" t="s">
        <v>115</v>
      </c>
      <c r="G3825" s="64" t="s">
        <v>64</v>
      </c>
      <c r="H3825" s="3" t="s">
        <v>139</v>
      </c>
      <c r="I3825" s="65">
        <f>IFERROR(VLOOKUP(A3825,'3. Call duration'!$A:$C,3,0),"--")</f>
        <v>26.94762286</v>
      </c>
      <c r="J3825" s="65" t="str">
        <f t="array" ref="J3825">XLOOKUP(H3825,'2. Matching'!$A$2:$A$39,'2. Matching'!$B$2:$B$39,"--")</f>
        <v>Acquisition</v>
      </c>
      <c r="K3825" s="65" t="str">
        <f t="shared" si="1"/>
        <v>In</v>
      </c>
    </row>
    <row r="3826">
      <c r="A3826" s="62" t="s">
        <v>3964</v>
      </c>
      <c r="B3826" s="63">
        <v>44216.0</v>
      </c>
      <c r="C3826" s="62" t="s">
        <v>119</v>
      </c>
      <c r="D3826" s="64">
        <v>42.5</v>
      </c>
      <c r="E3826" s="62" t="s">
        <v>109</v>
      </c>
      <c r="F3826" s="62" t="s">
        <v>115</v>
      </c>
      <c r="G3826" s="64" t="s">
        <v>64</v>
      </c>
      <c r="H3826" s="3" t="s">
        <v>185</v>
      </c>
      <c r="I3826" s="65">
        <f>IFERROR(VLOOKUP(A3826,'3. Call duration'!$A:$C,3,0),"--")</f>
        <v>26.32031709</v>
      </c>
      <c r="J3826" s="65" t="str">
        <f t="array" ref="J3826">XLOOKUP(H3826,'2. Matching'!$A$2:$A$39,'2. Matching'!$B$2:$B$39,"--")</f>
        <v>SEO</v>
      </c>
      <c r="K3826" s="65" t="str">
        <f t="shared" si="1"/>
        <v>In</v>
      </c>
    </row>
    <row r="3827">
      <c r="A3827" s="62" t="s">
        <v>3965</v>
      </c>
      <c r="B3827" s="63">
        <v>44106.0</v>
      </c>
      <c r="C3827" s="62" t="s">
        <v>119</v>
      </c>
      <c r="D3827" s="64">
        <v>42.5</v>
      </c>
      <c r="E3827" s="62" t="s">
        <v>109</v>
      </c>
      <c r="F3827" s="62" t="s">
        <v>115</v>
      </c>
      <c r="G3827" s="64" t="s">
        <v>64</v>
      </c>
      <c r="H3827" s="3" t="s">
        <v>139</v>
      </c>
      <c r="I3827" s="65">
        <f>IFERROR(VLOOKUP(A3827,'3. Call duration'!$A:$C,3,0),"--")</f>
        <v>35.54548716</v>
      </c>
      <c r="J3827" s="65" t="str">
        <f t="array" ref="J3827">XLOOKUP(H3827,'2. Matching'!$A$2:$A$39,'2. Matching'!$B$2:$B$39,"--")</f>
        <v>Acquisition</v>
      </c>
      <c r="K3827" s="65" t="str">
        <f t="shared" si="1"/>
        <v>In</v>
      </c>
    </row>
    <row r="3828">
      <c r="A3828" s="62" t="s">
        <v>3966</v>
      </c>
      <c r="B3828" s="63">
        <v>44126.0</v>
      </c>
      <c r="C3828" s="62" t="s">
        <v>119</v>
      </c>
      <c r="D3828" s="64">
        <v>42.5</v>
      </c>
      <c r="E3828" s="62" t="s">
        <v>109</v>
      </c>
      <c r="F3828" s="62" t="s">
        <v>115</v>
      </c>
      <c r="G3828" s="64" t="s">
        <v>64</v>
      </c>
      <c r="H3828" s="3" t="s">
        <v>139</v>
      </c>
      <c r="I3828" s="65">
        <f>IFERROR(VLOOKUP(A3828,'3. Call duration'!$A:$C,3,0),"--")</f>
        <v>20.97716391</v>
      </c>
      <c r="J3828" s="65" t="str">
        <f t="array" ref="J3828">XLOOKUP(H3828,'2. Matching'!$A$2:$A$39,'2. Matching'!$B$2:$B$39,"--")</f>
        <v>Acquisition</v>
      </c>
      <c r="K3828" s="65" t="str">
        <f t="shared" si="1"/>
        <v>In</v>
      </c>
    </row>
    <row r="3829">
      <c r="A3829" s="62" t="s">
        <v>3967</v>
      </c>
      <c r="B3829" s="63">
        <v>44179.0</v>
      </c>
      <c r="C3829" s="62" t="s">
        <v>119</v>
      </c>
      <c r="D3829" s="64">
        <v>42.5</v>
      </c>
      <c r="E3829" s="62" t="s">
        <v>109</v>
      </c>
      <c r="F3829" s="62" t="s">
        <v>115</v>
      </c>
      <c r="G3829" s="64" t="s">
        <v>64</v>
      </c>
      <c r="H3829" s="3" t="s">
        <v>49</v>
      </c>
      <c r="I3829" s="65">
        <f>IFERROR(VLOOKUP(A3829,'3. Call duration'!$A:$C,3,0),"--")</f>
        <v>11.42045628</v>
      </c>
      <c r="J3829" s="65" t="str">
        <f t="array" ref="J3829">XLOOKUP(H3829,'2. Matching'!$A$2:$A$39,'2. Matching'!$B$2:$B$39,"--")</f>
        <v>Partnerships</v>
      </c>
      <c r="K3829" s="65" t="str">
        <f t="shared" si="1"/>
        <v>In</v>
      </c>
    </row>
    <row r="3830">
      <c r="A3830" s="62" t="s">
        <v>3968</v>
      </c>
      <c r="B3830" s="63">
        <v>44165.0</v>
      </c>
      <c r="C3830" s="62" t="s">
        <v>119</v>
      </c>
      <c r="D3830" s="64">
        <v>42.5</v>
      </c>
      <c r="E3830" s="62" t="s">
        <v>109</v>
      </c>
      <c r="F3830" s="62" t="s">
        <v>110</v>
      </c>
      <c r="G3830" s="64" t="s">
        <v>64</v>
      </c>
      <c r="H3830" s="3" t="s">
        <v>175</v>
      </c>
      <c r="I3830" s="65">
        <f>IFERROR(VLOOKUP(A3830,'3. Call duration'!$A:$C,3,0),"--")</f>
        <v>28.27711541</v>
      </c>
      <c r="J3830" s="65" t="str">
        <f t="array" ref="J3830">XLOOKUP(H3830,'2. Matching'!$A$2:$A$39,'2. Matching'!$B$2:$B$39,"--")</f>
        <v>SEO</v>
      </c>
      <c r="K3830" s="65" t="str">
        <f t="shared" si="1"/>
        <v>In</v>
      </c>
    </row>
    <row r="3831">
      <c r="A3831" s="62" t="s">
        <v>3969</v>
      </c>
      <c r="B3831" s="63">
        <v>44232.0</v>
      </c>
      <c r="C3831" s="62" t="s">
        <v>119</v>
      </c>
      <c r="D3831" s="64">
        <v>42.5</v>
      </c>
      <c r="E3831" s="62" t="s">
        <v>109</v>
      </c>
      <c r="F3831" s="62" t="s">
        <v>115</v>
      </c>
      <c r="G3831" s="64" t="s">
        <v>64</v>
      </c>
      <c r="H3831" s="3" t="s">
        <v>164</v>
      </c>
      <c r="I3831" s="65">
        <f>IFERROR(VLOOKUP(A3831,'3. Call duration'!$A:$C,3,0),"--")</f>
        <v>15.71761543</v>
      </c>
      <c r="J3831" s="65" t="str">
        <f t="array" ref="J3831">XLOOKUP(H3831,'2. Matching'!$A$2:$A$39,'2. Matching'!$B$2:$B$39,"--")</f>
        <v>SEO</v>
      </c>
      <c r="K3831" s="65" t="str">
        <f t="shared" si="1"/>
        <v>In</v>
      </c>
    </row>
    <row r="3832">
      <c r="A3832" s="62" t="s">
        <v>3970</v>
      </c>
      <c r="B3832" s="63">
        <v>44217.0</v>
      </c>
      <c r="C3832" s="62" t="s">
        <v>119</v>
      </c>
      <c r="D3832" s="64">
        <v>42.5</v>
      </c>
      <c r="E3832" s="62" t="s">
        <v>109</v>
      </c>
      <c r="F3832" s="62" t="s">
        <v>115</v>
      </c>
      <c r="G3832" s="64" t="s">
        <v>64</v>
      </c>
      <c r="H3832" s="3" t="s">
        <v>175</v>
      </c>
      <c r="I3832" s="65">
        <f>IFERROR(VLOOKUP(A3832,'3. Call duration'!$A:$C,3,0),"--")</f>
        <v>29.89940463</v>
      </c>
      <c r="J3832" s="65" t="str">
        <f t="array" ref="J3832">XLOOKUP(H3832,'2. Matching'!$A$2:$A$39,'2. Matching'!$B$2:$B$39,"--")</f>
        <v>SEO</v>
      </c>
      <c r="K3832" s="65" t="str">
        <f t="shared" si="1"/>
        <v>In</v>
      </c>
    </row>
    <row r="3833">
      <c r="A3833" s="62" t="s">
        <v>3971</v>
      </c>
      <c r="B3833" s="63">
        <v>44088.0</v>
      </c>
      <c r="C3833" s="62" t="s">
        <v>119</v>
      </c>
      <c r="D3833" s="64">
        <v>42.5</v>
      </c>
      <c r="E3833" s="62" t="s">
        <v>109</v>
      </c>
      <c r="F3833" s="62" t="s">
        <v>115</v>
      </c>
      <c r="G3833" s="64" t="s">
        <v>64</v>
      </c>
      <c r="H3833" s="3" t="s">
        <v>175</v>
      </c>
      <c r="I3833" s="65">
        <f>IFERROR(VLOOKUP(A3833,'3. Call duration'!$A:$C,3,0),"--")</f>
        <v>32.66333658</v>
      </c>
      <c r="J3833" s="65" t="str">
        <f t="array" ref="J3833">XLOOKUP(H3833,'2. Matching'!$A$2:$A$39,'2. Matching'!$B$2:$B$39,"--")</f>
        <v>SEO</v>
      </c>
      <c r="K3833" s="65" t="str">
        <f t="shared" si="1"/>
        <v>In</v>
      </c>
    </row>
    <row r="3834">
      <c r="A3834" s="62" t="s">
        <v>3972</v>
      </c>
      <c r="B3834" s="63">
        <v>44161.0</v>
      </c>
      <c r="C3834" s="62" t="s">
        <v>119</v>
      </c>
      <c r="D3834" s="64">
        <v>42.5</v>
      </c>
      <c r="E3834" s="62" t="s">
        <v>109</v>
      </c>
      <c r="F3834" s="62" t="s">
        <v>115</v>
      </c>
      <c r="G3834" s="64" t="s">
        <v>64</v>
      </c>
      <c r="H3834" s="3" t="s">
        <v>164</v>
      </c>
      <c r="I3834" s="65">
        <f>IFERROR(VLOOKUP(A3834,'3. Call duration'!$A:$C,3,0),"--")</f>
        <v>28.81554654</v>
      </c>
      <c r="J3834" s="65" t="str">
        <f t="array" ref="J3834">XLOOKUP(H3834,'2. Matching'!$A$2:$A$39,'2. Matching'!$B$2:$B$39,"--")</f>
        <v>SEO</v>
      </c>
      <c r="K3834" s="65" t="str">
        <f t="shared" si="1"/>
        <v>In</v>
      </c>
    </row>
    <row r="3835">
      <c r="A3835" s="62" t="s">
        <v>3973</v>
      </c>
      <c r="B3835" s="63">
        <v>44249.0</v>
      </c>
      <c r="C3835" s="62" t="s">
        <v>119</v>
      </c>
      <c r="D3835" s="64">
        <v>42.5</v>
      </c>
      <c r="E3835" s="62" t="s">
        <v>109</v>
      </c>
      <c r="F3835" s="62" t="s">
        <v>110</v>
      </c>
      <c r="G3835" s="64" t="s">
        <v>64</v>
      </c>
      <c r="H3835" s="3" t="s">
        <v>297</v>
      </c>
      <c r="I3835" s="65">
        <f>IFERROR(VLOOKUP(A3835,'3. Call duration'!$A:$C,3,0),"--")</f>
        <v>30.58940955</v>
      </c>
      <c r="J3835" s="65" t="str">
        <f t="array" ref="J3835">XLOOKUP(H3835,'2. Matching'!$A$2:$A$39,'2. Matching'!$B$2:$B$39,"--")</f>
        <v>Farming</v>
      </c>
      <c r="K3835" s="65" t="str">
        <f t="shared" si="1"/>
        <v>In</v>
      </c>
    </row>
    <row r="3836">
      <c r="A3836" s="62" t="s">
        <v>3974</v>
      </c>
      <c r="B3836" s="63">
        <v>44246.0</v>
      </c>
      <c r="C3836" s="62" t="s">
        <v>119</v>
      </c>
      <c r="D3836" s="64">
        <v>42.5</v>
      </c>
      <c r="E3836" s="62" t="s">
        <v>109</v>
      </c>
      <c r="F3836" s="62" t="s">
        <v>110</v>
      </c>
      <c r="G3836" s="64" t="s">
        <v>64</v>
      </c>
      <c r="H3836" s="3" t="s">
        <v>175</v>
      </c>
      <c r="I3836" s="65">
        <f>IFERROR(VLOOKUP(A3836,'3. Call duration'!$A:$C,3,0),"--")</f>
        <v>21.89305645</v>
      </c>
      <c r="J3836" s="65" t="str">
        <f t="array" ref="J3836">XLOOKUP(H3836,'2. Matching'!$A$2:$A$39,'2. Matching'!$B$2:$B$39,"--")</f>
        <v>SEO</v>
      </c>
      <c r="K3836" s="65" t="str">
        <f t="shared" si="1"/>
        <v>In</v>
      </c>
    </row>
    <row r="3837">
      <c r="A3837" s="62" t="s">
        <v>3975</v>
      </c>
      <c r="B3837" s="63">
        <v>44078.0</v>
      </c>
      <c r="C3837" s="62" t="s">
        <v>119</v>
      </c>
      <c r="D3837" s="64">
        <v>42.5</v>
      </c>
      <c r="E3837" s="62" t="s">
        <v>109</v>
      </c>
      <c r="F3837" s="62" t="s">
        <v>115</v>
      </c>
      <c r="G3837" s="64" t="s">
        <v>64</v>
      </c>
      <c r="H3837" s="3" t="s">
        <v>139</v>
      </c>
      <c r="I3837" s="65">
        <f>IFERROR(VLOOKUP(A3837,'3. Call duration'!$A:$C,3,0),"--")</f>
        <v>32.1478073</v>
      </c>
      <c r="J3837" s="65" t="str">
        <f t="array" ref="J3837">XLOOKUP(H3837,'2. Matching'!$A$2:$A$39,'2. Matching'!$B$2:$B$39,"--")</f>
        <v>Acquisition</v>
      </c>
      <c r="K3837" s="65" t="str">
        <f t="shared" si="1"/>
        <v>In</v>
      </c>
    </row>
    <row r="3838">
      <c r="A3838" s="62" t="s">
        <v>3976</v>
      </c>
      <c r="B3838" s="63">
        <v>44230.0</v>
      </c>
      <c r="C3838" s="62" t="s">
        <v>119</v>
      </c>
      <c r="D3838" s="64">
        <v>42.5</v>
      </c>
      <c r="E3838" s="62" t="s">
        <v>109</v>
      </c>
      <c r="F3838" s="62" t="s">
        <v>115</v>
      </c>
      <c r="G3838" s="64" t="s">
        <v>64</v>
      </c>
      <c r="H3838" s="3" t="s">
        <v>175</v>
      </c>
      <c r="I3838" s="65">
        <f>IFERROR(VLOOKUP(A3838,'3. Call duration'!$A:$C,3,0),"--")</f>
        <v>31.38691274</v>
      </c>
      <c r="J3838" s="65" t="str">
        <f t="array" ref="J3838">XLOOKUP(H3838,'2. Matching'!$A$2:$A$39,'2. Matching'!$B$2:$B$39,"--")</f>
        <v>SEO</v>
      </c>
      <c r="K3838" s="65" t="str">
        <f t="shared" si="1"/>
        <v>In</v>
      </c>
    </row>
    <row r="3839">
      <c r="A3839" s="62" t="s">
        <v>3977</v>
      </c>
      <c r="B3839" s="63">
        <v>44101.0</v>
      </c>
      <c r="C3839" s="62" t="s">
        <v>119</v>
      </c>
      <c r="D3839" s="64">
        <v>42.5</v>
      </c>
      <c r="E3839" s="62" t="s">
        <v>109</v>
      </c>
      <c r="F3839" s="62" t="s">
        <v>115</v>
      </c>
      <c r="G3839" s="64" t="s">
        <v>64</v>
      </c>
      <c r="H3839" s="3" t="s">
        <v>139</v>
      </c>
      <c r="I3839" s="65">
        <f>IFERROR(VLOOKUP(A3839,'3. Call duration'!$A:$C,3,0),"--")</f>
        <v>24.15842996</v>
      </c>
      <c r="J3839" s="65" t="str">
        <f t="array" ref="J3839">XLOOKUP(H3839,'2. Matching'!$A$2:$A$39,'2. Matching'!$B$2:$B$39,"--")</f>
        <v>Acquisition</v>
      </c>
      <c r="K3839" s="65" t="str">
        <f t="shared" si="1"/>
        <v>In</v>
      </c>
    </row>
    <row r="3840">
      <c r="A3840" s="62" t="s">
        <v>3978</v>
      </c>
      <c r="B3840" s="63">
        <v>44193.0</v>
      </c>
      <c r="C3840" s="62" t="s">
        <v>119</v>
      </c>
      <c r="D3840" s="64">
        <v>42.5</v>
      </c>
      <c r="E3840" s="62" t="s">
        <v>109</v>
      </c>
      <c r="F3840" s="62" t="s">
        <v>115</v>
      </c>
      <c r="G3840" s="64" t="s">
        <v>64</v>
      </c>
      <c r="H3840" s="3" t="s">
        <v>139</v>
      </c>
      <c r="I3840" s="65">
        <f>IFERROR(VLOOKUP(A3840,'3. Call duration'!$A:$C,3,0),"--")</f>
        <v>29.72305916</v>
      </c>
      <c r="J3840" s="65" t="str">
        <f t="array" ref="J3840">XLOOKUP(H3840,'2. Matching'!$A$2:$A$39,'2. Matching'!$B$2:$B$39,"--")</f>
        <v>Acquisition</v>
      </c>
      <c r="K3840" s="65" t="str">
        <f t="shared" si="1"/>
        <v>In</v>
      </c>
    </row>
    <row r="3841">
      <c r="A3841" s="62" t="s">
        <v>3979</v>
      </c>
      <c r="B3841" s="63">
        <v>44100.0</v>
      </c>
      <c r="C3841" s="62" t="s">
        <v>119</v>
      </c>
      <c r="D3841" s="64">
        <v>42.5</v>
      </c>
      <c r="E3841" s="62" t="s">
        <v>109</v>
      </c>
      <c r="F3841" s="62" t="s">
        <v>115</v>
      </c>
      <c r="G3841" s="64" t="s">
        <v>64</v>
      </c>
      <c r="H3841" s="3" t="s">
        <v>139</v>
      </c>
      <c r="I3841" s="65">
        <f>IFERROR(VLOOKUP(A3841,'3. Call duration'!$A:$C,3,0),"--")</f>
        <v>13.73406993</v>
      </c>
      <c r="J3841" s="65" t="str">
        <f t="array" ref="J3841">XLOOKUP(H3841,'2. Matching'!$A$2:$A$39,'2. Matching'!$B$2:$B$39,"--")</f>
        <v>Acquisition</v>
      </c>
      <c r="K3841" s="65" t="str">
        <f t="shared" si="1"/>
        <v>In</v>
      </c>
    </row>
    <row r="3842">
      <c r="A3842" s="62" t="s">
        <v>3980</v>
      </c>
      <c r="B3842" s="63">
        <v>44151.0</v>
      </c>
      <c r="C3842" s="62" t="s">
        <v>119</v>
      </c>
      <c r="D3842" s="64">
        <v>42.5</v>
      </c>
      <c r="E3842" s="62" t="s">
        <v>109</v>
      </c>
      <c r="F3842" s="62" t="s">
        <v>115</v>
      </c>
      <c r="G3842" s="64" t="s">
        <v>64</v>
      </c>
      <c r="H3842" s="3" t="s">
        <v>145</v>
      </c>
      <c r="I3842" s="65">
        <f>IFERROR(VLOOKUP(A3842,'3. Call duration'!$A:$C,3,0),"--")</f>
        <v>49.26225548</v>
      </c>
      <c r="J3842" s="65" t="str">
        <f t="array" ref="J3842">XLOOKUP(H3842,'2. Matching'!$A$2:$A$39,'2. Matching'!$B$2:$B$39,"--")</f>
        <v>SEO</v>
      </c>
      <c r="K3842" s="65" t="str">
        <f t="shared" si="1"/>
        <v>In</v>
      </c>
    </row>
    <row r="3843">
      <c r="A3843" s="62" t="s">
        <v>3981</v>
      </c>
      <c r="B3843" s="63">
        <v>44233.0</v>
      </c>
      <c r="C3843" s="62" t="s">
        <v>119</v>
      </c>
      <c r="D3843" s="64">
        <v>42.5</v>
      </c>
      <c r="E3843" s="62" t="s">
        <v>109</v>
      </c>
      <c r="F3843" s="62" t="s">
        <v>115</v>
      </c>
      <c r="G3843" s="64" t="s">
        <v>64</v>
      </c>
      <c r="H3843" s="3" t="s">
        <v>155</v>
      </c>
      <c r="I3843" s="65">
        <f>IFERROR(VLOOKUP(A3843,'3. Call duration'!$A:$C,3,0),"--")</f>
        <v>30.69713325</v>
      </c>
      <c r="J3843" s="65" t="str">
        <f t="array" ref="J3843">XLOOKUP(H3843,'2. Matching'!$A$2:$A$39,'2. Matching'!$B$2:$B$39,"--")</f>
        <v>SEO</v>
      </c>
      <c r="K3843" s="65" t="str">
        <f t="shared" si="1"/>
        <v>In</v>
      </c>
    </row>
    <row r="3844">
      <c r="A3844" s="62" t="s">
        <v>3982</v>
      </c>
      <c r="B3844" s="63">
        <v>44140.0</v>
      </c>
      <c r="C3844" s="62" t="s">
        <v>119</v>
      </c>
      <c r="D3844" s="64">
        <v>42.5</v>
      </c>
      <c r="E3844" s="62" t="s">
        <v>109</v>
      </c>
      <c r="F3844" s="62" t="s">
        <v>115</v>
      </c>
      <c r="G3844" s="64" t="s">
        <v>64</v>
      </c>
      <c r="H3844" s="3" t="s">
        <v>139</v>
      </c>
      <c r="I3844" s="65">
        <f>IFERROR(VLOOKUP(A3844,'3. Call duration'!$A:$C,3,0),"--")</f>
        <v>16.520645</v>
      </c>
      <c r="J3844" s="65" t="str">
        <f t="array" ref="J3844">XLOOKUP(H3844,'2. Matching'!$A$2:$A$39,'2. Matching'!$B$2:$B$39,"--")</f>
        <v>Acquisition</v>
      </c>
      <c r="K3844" s="65" t="str">
        <f t="shared" si="1"/>
        <v>In</v>
      </c>
    </row>
    <row r="3845">
      <c r="A3845" s="62" t="s">
        <v>3983</v>
      </c>
      <c r="B3845" s="63">
        <v>44155.0</v>
      </c>
      <c r="C3845" s="62" t="s">
        <v>119</v>
      </c>
      <c r="D3845" s="64">
        <v>42.5</v>
      </c>
      <c r="E3845" s="62" t="s">
        <v>109</v>
      </c>
      <c r="F3845" s="62" t="s">
        <v>115</v>
      </c>
      <c r="G3845" s="64" t="s">
        <v>64</v>
      </c>
      <c r="H3845" s="3" t="s">
        <v>139</v>
      </c>
      <c r="I3845" s="65">
        <f>IFERROR(VLOOKUP(A3845,'3. Call duration'!$A:$C,3,0),"--")</f>
        <v>31.95708932</v>
      </c>
      <c r="J3845" s="65" t="str">
        <f t="array" ref="J3845">XLOOKUP(H3845,'2. Matching'!$A$2:$A$39,'2. Matching'!$B$2:$B$39,"--")</f>
        <v>Acquisition</v>
      </c>
      <c r="K3845" s="65" t="str">
        <f t="shared" si="1"/>
        <v>In</v>
      </c>
    </row>
    <row r="3846">
      <c r="A3846" s="62" t="s">
        <v>3984</v>
      </c>
      <c r="B3846" s="63">
        <v>44109.0</v>
      </c>
      <c r="C3846" s="62" t="s">
        <v>119</v>
      </c>
      <c r="D3846" s="64">
        <v>42.5</v>
      </c>
      <c r="E3846" s="62" t="s">
        <v>109</v>
      </c>
      <c r="F3846" s="62" t="s">
        <v>115</v>
      </c>
      <c r="G3846" s="64" t="s">
        <v>64</v>
      </c>
      <c r="H3846" s="3" t="s">
        <v>169</v>
      </c>
      <c r="I3846" s="65">
        <f>IFERROR(VLOOKUP(A3846,'3. Call duration'!$A:$C,3,0),"--")</f>
        <v>14.38331916</v>
      </c>
      <c r="J3846" s="65" t="str">
        <f t="array" ref="J3846">XLOOKUP(H3846,'2. Matching'!$A$2:$A$39,'2. Matching'!$B$2:$B$39,"--")</f>
        <v>SEO</v>
      </c>
      <c r="K3846" s="65" t="str">
        <f t="shared" si="1"/>
        <v>In</v>
      </c>
    </row>
    <row r="3847">
      <c r="A3847" s="62" t="s">
        <v>3985</v>
      </c>
      <c r="B3847" s="63">
        <v>44254.0</v>
      </c>
      <c r="C3847" s="62" t="s">
        <v>119</v>
      </c>
      <c r="D3847" s="64">
        <v>42.5</v>
      </c>
      <c r="E3847" s="62" t="s">
        <v>109</v>
      </c>
      <c r="F3847" s="62" t="s">
        <v>115</v>
      </c>
      <c r="G3847" s="64" t="s">
        <v>64</v>
      </c>
      <c r="H3847" s="3" t="s">
        <v>169</v>
      </c>
      <c r="I3847" s="65">
        <f>IFERROR(VLOOKUP(A3847,'3. Call duration'!$A:$C,3,0),"--")</f>
        <v>20.45319163</v>
      </c>
      <c r="J3847" s="65" t="str">
        <f t="array" ref="J3847">XLOOKUP(H3847,'2. Matching'!$A$2:$A$39,'2. Matching'!$B$2:$B$39,"--")</f>
        <v>SEO</v>
      </c>
      <c r="K3847" s="65" t="str">
        <f t="shared" si="1"/>
        <v>In</v>
      </c>
    </row>
    <row r="3848">
      <c r="A3848" s="62" t="s">
        <v>3986</v>
      </c>
      <c r="B3848" s="63">
        <v>44117.0</v>
      </c>
      <c r="C3848" s="62" t="s">
        <v>119</v>
      </c>
      <c r="D3848" s="64">
        <v>42.5</v>
      </c>
      <c r="E3848" s="62" t="s">
        <v>109</v>
      </c>
      <c r="F3848" s="62" t="s">
        <v>115</v>
      </c>
      <c r="G3848" s="64" t="s">
        <v>64</v>
      </c>
      <c r="H3848" s="3" t="s">
        <v>164</v>
      </c>
      <c r="I3848" s="65">
        <f>IFERROR(VLOOKUP(A3848,'3. Call duration'!$A:$C,3,0),"--")</f>
        <v>26.14170992</v>
      </c>
      <c r="J3848" s="65" t="str">
        <f t="array" ref="J3848">XLOOKUP(H3848,'2. Matching'!$A$2:$A$39,'2. Matching'!$B$2:$B$39,"--")</f>
        <v>SEO</v>
      </c>
      <c r="K3848" s="65" t="str">
        <f t="shared" si="1"/>
        <v>In</v>
      </c>
    </row>
    <row r="3849">
      <c r="A3849" s="62" t="s">
        <v>3987</v>
      </c>
      <c r="B3849" s="63">
        <v>44235.0</v>
      </c>
      <c r="C3849" s="62" t="s">
        <v>119</v>
      </c>
      <c r="D3849" s="64">
        <v>42.5</v>
      </c>
      <c r="E3849" s="62" t="s">
        <v>109</v>
      </c>
      <c r="F3849" s="62" t="s">
        <v>115</v>
      </c>
      <c r="G3849" s="64" t="s">
        <v>64</v>
      </c>
      <c r="H3849" s="3" t="s">
        <v>164</v>
      </c>
      <c r="I3849" s="65">
        <f>IFERROR(VLOOKUP(A3849,'3. Call duration'!$A:$C,3,0),"--")</f>
        <v>10.99258054</v>
      </c>
      <c r="J3849" s="65" t="str">
        <f t="array" ref="J3849">XLOOKUP(H3849,'2. Matching'!$A$2:$A$39,'2. Matching'!$B$2:$B$39,"--")</f>
        <v>SEO</v>
      </c>
      <c r="K3849" s="65" t="str">
        <f t="shared" si="1"/>
        <v>In</v>
      </c>
    </row>
    <row r="3850">
      <c r="A3850" s="62" t="s">
        <v>3988</v>
      </c>
      <c r="B3850" s="63">
        <v>44222.0</v>
      </c>
      <c r="C3850" s="62" t="s">
        <v>119</v>
      </c>
      <c r="D3850" s="64">
        <v>42.5</v>
      </c>
      <c r="E3850" s="62" t="s">
        <v>109</v>
      </c>
      <c r="F3850" s="62" t="s">
        <v>110</v>
      </c>
      <c r="G3850" s="64" t="s">
        <v>62</v>
      </c>
      <c r="H3850" s="3" t="s">
        <v>294</v>
      </c>
      <c r="I3850" s="65">
        <f>IFERROR(VLOOKUP(A3850,'3. Call duration'!$A:$C,3,0),"--")</f>
        <v>22.24150955</v>
      </c>
      <c r="J3850" s="65" t="str">
        <f t="array" ref="J3850">XLOOKUP(H3850,'2. Matching'!$A$2:$A$39,'2. Matching'!$B$2:$B$39,"--")</f>
        <v>Farming</v>
      </c>
      <c r="K3850" s="65" t="str">
        <f t="shared" si="1"/>
        <v>In</v>
      </c>
    </row>
    <row r="3851">
      <c r="A3851" s="62" t="s">
        <v>3989</v>
      </c>
      <c r="B3851" s="63">
        <v>44075.0</v>
      </c>
      <c r="C3851" s="62" t="s">
        <v>119</v>
      </c>
      <c r="D3851" s="64">
        <v>42.5</v>
      </c>
      <c r="E3851" s="62" t="s">
        <v>109</v>
      </c>
      <c r="F3851" s="62" t="s">
        <v>115</v>
      </c>
      <c r="G3851" s="64" t="s">
        <v>64</v>
      </c>
      <c r="H3851" s="3" t="s">
        <v>175</v>
      </c>
      <c r="I3851" s="65">
        <f>IFERROR(VLOOKUP(A3851,'3. Call duration'!$A:$C,3,0),"--")</f>
        <v>21.10152144</v>
      </c>
      <c r="J3851" s="65" t="str">
        <f t="array" ref="J3851">XLOOKUP(H3851,'2. Matching'!$A$2:$A$39,'2. Matching'!$B$2:$B$39,"--")</f>
        <v>SEO</v>
      </c>
      <c r="K3851" s="65" t="str">
        <f t="shared" si="1"/>
        <v>In</v>
      </c>
    </row>
    <row r="3852">
      <c r="A3852" s="62" t="s">
        <v>3990</v>
      </c>
      <c r="B3852" s="63">
        <v>44110.0</v>
      </c>
      <c r="C3852" s="62" t="s">
        <v>119</v>
      </c>
      <c r="D3852" s="64">
        <v>42.5</v>
      </c>
      <c r="E3852" s="62" t="s">
        <v>109</v>
      </c>
      <c r="F3852" s="62" t="s">
        <v>115</v>
      </c>
      <c r="G3852" s="64" t="s">
        <v>64</v>
      </c>
      <c r="H3852" s="3" t="s">
        <v>139</v>
      </c>
      <c r="I3852" s="65">
        <f>IFERROR(VLOOKUP(A3852,'3. Call duration'!$A:$C,3,0),"--")</f>
        <v>21.02095773</v>
      </c>
      <c r="J3852" s="65" t="str">
        <f t="array" ref="J3852">XLOOKUP(H3852,'2. Matching'!$A$2:$A$39,'2. Matching'!$B$2:$B$39,"--")</f>
        <v>Acquisition</v>
      </c>
      <c r="K3852" s="65" t="str">
        <f t="shared" si="1"/>
        <v>In</v>
      </c>
    </row>
    <row r="3853">
      <c r="A3853" s="62" t="s">
        <v>3991</v>
      </c>
      <c r="B3853" s="63">
        <v>44233.0</v>
      </c>
      <c r="C3853" s="62" t="s">
        <v>119</v>
      </c>
      <c r="D3853" s="64">
        <v>42.5</v>
      </c>
      <c r="E3853" s="62" t="s">
        <v>109</v>
      </c>
      <c r="F3853" s="62" t="s">
        <v>110</v>
      </c>
      <c r="G3853" s="64" t="s">
        <v>64</v>
      </c>
      <c r="H3853" s="3" t="s">
        <v>49</v>
      </c>
      <c r="I3853" s="65">
        <f>IFERROR(VLOOKUP(A3853,'3. Call duration'!$A:$C,3,0),"--")</f>
        <v>21.45975939</v>
      </c>
      <c r="J3853" s="65" t="str">
        <f t="array" ref="J3853">XLOOKUP(H3853,'2. Matching'!$A$2:$A$39,'2. Matching'!$B$2:$B$39,"--")</f>
        <v>Partnerships</v>
      </c>
      <c r="K3853" s="65" t="str">
        <f t="shared" si="1"/>
        <v>In</v>
      </c>
    </row>
    <row r="3854">
      <c r="A3854" s="62" t="s">
        <v>3992</v>
      </c>
      <c r="B3854" s="63">
        <v>44216.0</v>
      </c>
      <c r="C3854" s="62" t="s">
        <v>119</v>
      </c>
      <c r="D3854" s="64">
        <v>42.5</v>
      </c>
      <c r="E3854" s="62" t="s">
        <v>109</v>
      </c>
      <c r="F3854" s="62" t="s">
        <v>115</v>
      </c>
      <c r="G3854" s="64" t="s">
        <v>64</v>
      </c>
      <c r="H3854" s="3" t="s">
        <v>145</v>
      </c>
      <c r="I3854" s="65">
        <f>IFERROR(VLOOKUP(A3854,'3. Call duration'!$A:$C,3,0),"--")</f>
        <v>24.23662236</v>
      </c>
      <c r="J3854" s="65" t="str">
        <f t="array" ref="J3854">XLOOKUP(H3854,'2. Matching'!$A$2:$A$39,'2. Matching'!$B$2:$B$39,"--")</f>
        <v>SEO</v>
      </c>
      <c r="K3854" s="65" t="str">
        <f t="shared" si="1"/>
        <v>In</v>
      </c>
    </row>
    <row r="3855">
      <c r="A3855" s="62" t="s">
        <v>3993</v>
      </c>
      <c r="B3855" s="63">
        <v>44237.0</v>
      </c>
      <c r="C3855" s="62" t="s">
        <v>119</v>
      </c>
      <c r="D3855" s="64">
        <v>42.5</v>
      </c>
      <c r="E3855" s="62" t="s">
        <v>109</v>
      </c>
      <c r="F3855" s="62" t="s">
        <v>115</v>
      </c>
      <c r="G3855" s="64" t="s">
        <v>64</v>
      </c>
      <c r="H3855" s="3" t="s">
        <v>139</v>
      </c>
      <c r="I3855" s="65">
        <f>IFERROR(VLOOKUP(A3855,'3. Call duration'!$A:$C,3,0),"--")</f>
        <v>31.11460276</v>
      </c>
      <c r="J3855" s="65" t="str">
        <f t="array" ref="J3855">XLOOKUP(H3855,'2. Matching'!$A$2:$A$39,'2. Matching'!$B$2:$B$39,"--")</f>
        <v>Acquisition</v>
      </c>
      <c r="K3855" s="65" t="str">
        <f t="shared" si="1"/>
        <v>In</v>
      </c>
    </row>
    <row r="3856">
      <c r="A3856" s="62" t="s">
        <v>3994</v>
      </c>
      <c r="B3856" s="63">
        <v>44177.0</v>
      </c>
      <c r="C3856" s="62" t="s">
        <v>119</v>
      </c>
      <c r="D3856" s="64">
        <v>42.5</v>
      </c>
      <c r="E3856" s="62" t="s">
        <v>109</v>
      </c>
      <c r="F3856" s="62" t="s">
        <v>115</v>
      </c>
      <c r="G3856" s="64" t="s">
        <v>64</v>
      </c>
      <c r="H3856" s="3" t="s">
        <v>139</v>
      </c>
      <c r="I3856" s="65">
        <f>IFERROR(VLOOKUP(A3856,'3. Call duration'!$A:$C,3,0),"--")</f>
        <v>33.35076669</v>
      </c>
      <c r="J3856" s="65" t="str">
        <f t="array" ref="J3856">XLOOKUP(H3856,'2. Matching'!$A$2:$A$39,'2. Matching'!$B$2:$B$39,"--")</f>
        <v>Acquisition</v>
      </c>
      <c r="K3856" s="65" t="str">
        <f t="shared" si="1"/>
        <v>In</v>
      </c>
    </row>
    <row r="3857">
      <c r="A3857" s="62" t="s">
        <v>3995</v>
      </c>
      <c r="B3857" s="63">
        <v>44201.0</v>
      </c>
      <c r="C3857" s="62" t="s">
        <v>119</v>
      </c>
      <c r="D3857" s="64">
        <v>42.5</v>
      </c>
      <c r="E3857" s="62" t="s">
        <v>109</v>
      </c>
      <c r="F3857" s="62" t="s">
        <v>110</v>
      </c>
      <c r="G3857" s="64" t="s">
        <v>62</v>
      </c>
      <c r="H3857" s="3" t="s">
        <v>294</v>
      </c>
      <c r="I3857" s="65">
        <f>IFERROR(VLOOKUP(A3857,'3. Call duration'!$A:$C,3,0),"--")</f>
        <v>23.95403679</v>
      </c>
      <c r="J3857" s="65" t="str">
        <f t="array" ref="J3857">XLOOKUP(H3857,'2. Matching'!$A$2:$A$39,'2. Matching'!$B$2:$B$39,"--")</f>
        <v>Farming</v>
      </c>
      <c r="K3857" s="65" t="str">
        <f t="shared" si="1"/>
        <v>In</v>
      </c>
    </row>
    <row r="3858">
      <c r="A3858" s="62" t="s">
        <v>3996</v>
      </c>
      <c r="B3858" s="63">
        <v>44076.0</v>
      </c>
      <c r="C3858" s="62" t="s">
        <v>119</v>
      </c>
      <c r="D3858" s="64">
        <v>42.5</v>
      </c>
      <c r="E3858" s="62" t="s">
        <v>109</v>
      </c>
      <c r="F3858" s="62" t="s">
        <v>115</v>
      </c>
      <c r="G3858" s="64" t="s">
        <v>64</v>
      </c>
      <c r="H3858" s="3" t="s">
        <v>131</v>
      </c>
      <c r="I3858" s="65">
        <f>IFERROR(VLOOKUP(A3858,'3. Call duration'!$A:$C,3,0),"--")</f>
        <v>30.82340614</v>
      </c>
      <c r="J3858" s="65" t="str">
        <f t="array" ref="J3858">XLOOKUP(H3858,'2. Matching'!$A$2:$A$39,'2. Matching'!$B$2:$B$39,"--")</f>
        <v>Acquisition</v>
      </c>
      <c r="K3858" s="65" t="str">
        <f t="shared" si="1"/>
        <v>In</v>
      </c>
    </row>
    <row r="3859">
      <c r="A3859" s="62" t="s">
        <v>3997</v>
      </c>
      <c r="B3859" s="63">
        <v>44216.0</v>
      </c>
      <c r="C3859" s="62" t="s">
        <v>119</v>
      </c>
      <c r="D3859" s="64">
        <v>42.5</v>
      </c>
      <c r="E3859" s="62" t="s">
        <v>109</v>
      </c>
      <c r="F3859" s="62" t="s">
        <v>115</v>
      </c>
      <c r="G3859" s="64" t="s">
        <v>64</v>
      </c>
      <c r="H3859" s="3" t="s">
        <v>150</v>
      </c>
      <c r="I3859" s="65" t="str">
        <f>IFERROR(VLOOKUP(A3859,'3. Call duration'!$A:$C,3,0),"--")</f>
        <v>--</v>
      </c>
      <c r="J3859" s="65" t="str">
        <f t="array" ref="J3859">XLOOKUP(H3859,'2. Matching'!$A$2:$A$39,'2. Matching'!$B$2:$B$39,"--")</f>
        <v>SEO</v>
      </c>
      <c r="K3859" s="65" t="str">
        <f t="shared" si="1"/>
        <v>In</v>
      </c>
    </row>
    <row r="3860">
      <c r="A3860" s="62" t="s">
        <v>3998</v>
      </c>
      <c r="B3860" s="63">
        <v>44251.0</v>
      </c>
      <c r="C3860" s="62" t="s">
        <v>119</v>
      </c>
      <c r="D3860" s="64">
        <v>42.5</v>
      </c>
      <c r="E3860" s="62" t="s">
        <v>109</v>
      </c>
      <c r="F3860" s="62" t="s">
        <v>115</v>
      </c>
      <c r="G3860" s="64" t="s">
        <v>64</v>
      </c>
      <c r="H3860" s="3" t="s">
        <v>139</v>
      </c>
      <c r="I3860" s="65">
        <f>IFERROR(VLOOKUP(A3860,'3. Call duration'!$A:$C,3,0),"--")</f>
        <v>32.25476397</v>
      </c>
      <c r="J3860" s="65" t="str">
        <f t="array" ref="J3860">XLOOKUP(H3860,'2. Matching'!$A$2:$A$39,'2. Matching'!$B$2:$B$39,"--")</f>
        <v>Acquisition</v>
      </c>
      <c r="K3860" s="65" t="str">
        <f t="shared" si="1"/>
        <v>In</v>
      </c>
    </row>
    <row r="3861">
      <c r="A3861" s="62" t="s">
        <v>3999</v>
      </c>
      <c r="B3861" s="63">
        <v>44229.0</v>
      </c>
      <c r="C3861" s="62" t="s">
        <v>119</v>
      </c>
      <c r="D3861" s="64">
        <v>42.5</v>
      </c>
      <c r="E3861" s="62" t="s">
        <v>109</v>
      </c>
      <c r="F3861" s="62" t="s">
        <v>115</v>
      </c>
      <c r="G3861" s="64" t="s">
        <v>64</v>
      </c>
      <c r="H3861" s="3" t="s">
        <v>131</v>
      </c>
      <c r="I3861" s="65">
        <f>IFERROR(VLOOKUP(A3861,'3. Call duration'!$A:$C,3,0),"--")</f>
        <v>33.4929799</v>
      </c>
      <c r="J3861" s="65" t="str">
        <f t="array" ref="J3861">XLOOKUP(H3861,'2. Matching'!$A$2:$A$39,'2. Matching'!$B$2:$B$39,"--")</f>
        <v>Acquisition</v>
      </c>
      <c r="K3861" s="65" t="str">
        <f t="shared" si="1"/>
        <v>In</v>
      </c>
    </row>
    <row r="3862">
      <c r="A3862" s="62" t="s">
        <v>4000</v>
      </c>
      <c r="B3862" s="63">
        <v>44219.0</v>
      </c>
      <c r="C3862" s="62" t="s">
        <v>119</v>
      </c>
      <c r="D3862" s="64">
        <v>42.5</v>
      </c>
      <c r="E3862" s="62" t="s">
        <v>109</v>
      </c>
      <c r="F3862" s="62" t="s">
        <v>115</v>
      </c>
      <c r="G3862" s="64" t="s">
        <v>64</v>
      </c>
      <c r="H3862" s="3" t="s">
        <v>139</v>
      </c>
      <c r="I3862" s="65">
        <f>IFERROR(VLOOKUP(A3862,'3. Call duration'!$A:$C,3,0),"--")</f>
        <v>31.2995166</v>
      </c>
      <c r="J3862" s="65" t="str">
        <f t="array" ref="J3862">XLOOKUP(H3862,'2. Matching'!$A$2:$A$39,'2. Matching'!$B$2:$B$39,"--")</f>
        <v>Acquisition</v>
      </c>
      <c r="K3862" s="65" t="str">
        <f t="shared" si="1"/>
        <v>In</v>
      </c>
    </row>
    <row r="3863">
      <c r="A3863" s="62" t="s">
        <v>4001</v>
      </c>
      <c r="B3863" s="63">
        <v>44224.0</v>
      </c>
      <c r="C3863" s="62" t="s">
        <v>119</v>
      </c>
      <c r="D3863" s="64">
        <v>42.5</v>
      </c>
      <c r="E3863" s="62" t="s">
        <v>109</v>
      </c>
      <c r="F3863" s="62" t="s">
        <v>115</v>
      </c>
      <c r="G3863" s="64" t="s">
        <v>64</v>
      </c>
      <c r="H3863" s="3" t="s">
        <v>139</v>
      </c>
      <c r="I3863" s="65">
        <f>IFERROR(VLOOKUP(A3863,'3. Call duration'!$A:$C,3,0),"--")</f>
        <v>32.21143184</v>
      </c>
      <c r="J3863" s="65" t="str">
        <f t="array" ref="J3863">XLOOKUP(H3863,'2. Matching'!$A$2:$A$39,'2. Matching'!$B$2:$B$39,"--")</f>
        <v>Acquisition</v>
      </c>
      <c r="K3863" s="65" t="str">
        <f t="shared" si="1"/>
        <v>In</v>
      </c>
    </row>
    <row r="3864">
      <c r="A3864" s="62" t="s">
        <v>4002</v>
      </c>
      <c r="B3864" s="63">
        <v>44159.0</v>
      </c>
      <c r="C3864" s="62" t="s">
        <v>119</v>
      </c>
      <c r="D3864" s="64">
        <v>42.5</v>
      </c>
      <c r="E3864" s="62" t="s">
        <v>109</v>
      </c>
      <c r="F3864" s="62" t="s">
        <v>115</v>
      </c>
      <c r="G3864" s="64" t="s">
        <v>64</v>
      </c>
      <c r="H3864" s="3" t="s">
        <v>139</v>
      </c>
      <c r="I3864" s="65">
        <f>IFERROR(VLOOKUP(A3864,'3. Call duration'!$A:$C,3,0),"--")</f>
        <v>30.11956603</v>
      </c>
      <c r="J3864" s="65" t="str">
        <f t="array" ref="J3864">XLOOKUP(H3864,'2. Matching'!$A$2:$A$39,'2. Matching'!$B$2:$B$39,"--")</f>
        <v>Acquisition</v>
      </c>
      <c r="K3864" s="65" t="str">
        <f t="shared" si="1"/>
        <v>In</v>
      </c>
    </row>
    <row r="3865">
      <c r="A3865" s="62" t="s">
        <v>4003</v>
      </c>
      <c r="B3865" s="63">
        <v>44093.0</v>
      </c>
      <c r="C3865" s="62" t="s">
        <v>119</v>
      </c>
      <c r="D3865" s="64">
        <v>42.5</v>
      </c>
      <c r="E3865" s="62" t="s">
        <v>109</v>
      </c>
      <c r="F3865" s="62" t="s">
        <v>115</v>
      </c>
      <c r="G3865" s="64" t="s">
        <v>64</v>
      </c>
      <c r="H3865" s="3" t="s">
        <v>175</v>
      </c>
      <c r="I3865" s="65">
        <f>IFERROR(VLOOKUP(A3865,'3. Call duration'!$A:$C,3,0),"--")</f>
        <v>10.82720431</v>
      </c>
      <c r="J3865" s="65" t="str">
        <f t="array" ref="J3865">XLOOKUP(H3865,'2. Matching'!$A$2:$A$39,'2. Matching'!$B$2:$B$39,"--")</f>
        <v>SEO</v>
      </c>
      <c r="K3865" s="65" t="str">
        <f t="shared" si="1"/>
        <v>In</v>
      </c>
    </row>
    <row r="3866">
      <c r="A3866" s="62" t="s">
        <v>4004</v>
      </c>
      <c r="B3866" s="63">
        <v>44111.0</v>
      </c>
      <c r="C3866" s="62" t="s">
        <v>119</v>
      </c>
      <c r="D3866" s="64">
        <v>42.5</v>
      </c>
      <c r="E3866" s="62" t="s">
        <v>109</v>
      </c>
      <c r="F3866" s="62" t="s">
        <v>115</v>
      </c>
      <c r="G3866" s="64" t="s">
        <v>64</v>
      </c>
      <c r="H3866" s="3" t="s">
        <v>175</v>
      </c>
      <c r="I3866" s="65">
        <f>IFERROR(VLOOKUP(A3866,'3. Call duration'!$A:$C,3,0),"--")</f>
        <v>44.30077886</v>
      </c>
      <c r="J3866" s="65" t="str">
        <f t="array" ref="J3866">XLOOKUP(H3866,'2. Matching'!$A$2:$A$39,'2. Matching'!$B$2:$B$39,"--")</f>
        <v>SEO</v>
      </c>
      <c r="K3866" s="65" t="str">
        <f t="shared" si="1"/>
        <v>In</v>
      </c>
    </row>
    <row r="3867">
      <c r="A3867" s="62" t="s">
        <v>4005</v>
      </c>
      <c r="B3867" s="63">
        <v>44090.0</v>
      </c>
      <c r="C3867" s="62" t="s">
        <v>119</v>
      </c>
      <c r="D3867" s="64">
        <v>42.5</v>
      </c>
      <c r="E3867" s="62" t="s">
        <v>109</v>
      </c>
      <c r="F3867" s="62" t="s">
        <v>115</v>
      </c>
      <c r="G3867" s="64" t="s">
        <v>64</v>
      </c>
      <c r="H3867" s="3" t="s">
        <v>139</v>
      </c>
      <c r="I3867" s="65">
        <f>IFERROR(VLOOKUP(A3867,'3. Call duration'!$A:$C,3,0),"--")</f>
        <v>24.21501598</v>
      </c>
      <c r="J3867" s="65" t="str">
        <f t="array" ref="J3867">XLOOKUP(H3867,'2. Matching'!$A$2:$A$39,'2. Matching'!$B$2:$B$39,"--")</f>
        <v>Acquisition</v>
      </c>
      <c r="K3867" s="65" t="str">
        <f t="shared" si="1"/>
        <v>In</v>
      </c>
    </row>
    <row r="3868">
      <c r="A3868" s="62" t="s">
        <v>4006</v>
      </c>
      <c r="B3868" s="63">
        <v>44211.0</v>
      </c>
      <c r="C3868" s="62" t="s">
        <v>119</v>
      </c>
      <c r="D3868" s="64">
        <v>42.5</v>
      </c>
      <c r="E3868" s="62" t="s">
        <v>109</v>
      </c>
      <c r="F3868" s="62" t="s">
        <v>115</v>
      </c>
      <c r="G3868" s="64" t="s">
        <v>64</v>
      </c>
      <c r="H3868" s="3" t="s">
        <v>185</v>
      </c>
      <c r="I3868" s="65">
        <f>IFERROR(VLOOKUP(A3868,'3. Call duration'!$A:$C,3,0),"--")</f>
        <v>31.45634954</v>
      </c>
      <c r="J3868" s="65" t="str">
        <f t="array" ref="J3868">XLOOKUP(H3868,'2. Matching'!$A$2:$A$39,'2. Matching'!$B$2:$B$39,"--")</f>
        <v>SEO</v>
      </c>
      <c r="K3868" s="65" t="str">
        <f t="shared" si="1"/>
        <v>In</v>
      </c>
    </row>
    <row r="3869">
      <c r="A3869" s="62" t="s">
        <v>4007</v>
      </c>
      <c r="B3869" s="63">
        <v>44160.0</v>
      </c>
      <c r="C3869" s="62" t="s">
        <v>119</v>
      </c>
      <c r="D3869" s="64">
        <v>42.5</v>
      </c>
      <c r="E3869" s="62" t="s">
        <v>109</v>
      </c>
      <c r="F3869" s="62" t="s">
        <v>110</v>
      </c>
      <c r="G3869" s="64" t="s">
        <v>64</v>
      </c>
      <c r="H3869" s="3" t="s">
        <v>164</v>
      </c>
      <c r="I3869" s="65">
        <f>IFERROR(VLOOKUP(A3869,'3. Call duration'!$A:$C,3,0),"--")</f>
        <v>29.86466489</v>
      </c>
      <c r="J3869" s="65" t="str">
        <f t="array" ref="J3869">XLOOKUP(H3869,'2. Matching'!$A$2:$A$39,'2. Matching'!$B$2:$B$39,"--")</f>
        <v>SEO</v>
      </c>
      <c r="K3869" s="65" t="str">
        <f t="shared" si="1"/>
        <v>In</v>
      </c>
    </row>
    <row r="3870">
      <c r="A3870" s="62" t="s">
        <v>4008</v>
      </c>
      <c r="B3870" s="63">
        <v>44215.0</v>
      </c>
      <c r="C3870" s="62" t="s">
        <v>119</v>
      </c>
      <c r="D3870" s="64">
        <v>42.5</v>
      </c>
      <c r="E3870" s="62" t="s">
        <v>109</v>
      </c>
      <c r="F3870" s="62" t="s">
        <v>110</v>
      </c>
      <c r="G3870" s="64" t="s">
        <v>64</v>
      </c>
      <c r="H3870" s="3" t="s">
        <v>139</v>
      </c>
      <c r="I3870" s="65">
        <f>IFERROR(VLOOKUP(A3870,'3. Call duration'!$A:$C,3,0),"--")</f>
        <v>27.82817385</v>
      </c>
      <c r="J3870" s="65" t="str">
        <f t="array" ref="J3870">XLOOKUP(H3870,'2. Matching'!$A$2:$A$39,'2. Matching'!$B$2:$B$39,"--")</f>
        <v>Acquisition</v>
      </c>
      <c r="K3870" s="65" t="str">
        <f t="shared" si="1"/>
        <v>In</v>
      </c>
    </row>
    <row r="3871">
      <c r="A3871" s="62" t="s">
        <v>4009</v>
      </c>
      <c r="B3871" s="63">
        <v>44223.0</v>
      </c>
      <c r="C3871" s="62" t="s">
        <v>119</v>
      </c>
      <c r="D3871" s="64">
        <v>42.5</v>
      </c>
      <c r="E3871" s="62" t="s">
        <v>109</v>
      </c>
      <c r="F3871" s="62" t="s">
        <v>115</v>
      </c>
      <c r="G3871" s="64" t="s">
        <v>64</v>
      </c>
      <c r="H3871" s="3" t="s">
        <v>155</v>
      </c>
      <c r="I3871" s="65">
        <f>IFERROR(VLOOKUP(A3871,'3. Call duration'!$A:$C,3,0),"--")</f>
        <v>24.58024791</v>
      </c>
      <c r="J3871" s="65" t="str">
        <f t="array" ref="J3871">XLOOKUP(H3871,'2. Matching'!$A$2:$A$39,'2. Matching'!$B$2:$B$39,"--")</f>
        <v>SEO</v>
      </c>
      <c r="K3871" s="65" t="str">
        <f t="shared" si="1"/>
        <v>In</v>
      </c>
    </row>
    <row r="3872">
      <c r="A3872" s="62" t="s">
        <v>4010</v>
      </c>
      <c r="B3872" s="63">
        <v>44204.0</v>
      </c>
      <c r="C3872" s="62" t="s">
        <v>119</v>
      </c>
      <c r="D3872" s="64">
        <v>42.5</v>
      </c>
      <c r="E3872" s="62" t="s">
        <v>109</v>
      </c>
      <c r="F3872" s="62" t="s">
        <v>115</v>
      </c>
      <c r="G3872" s="64" t="s">
        <v>64</v>
      </c>
      <c r="H3872" s="3" t="s">
        <v>175</v>
      </c>
      <c r="I3872" s="65">
        <f>IFERROR(VLOOKUP(A3872,'3. Call duration'!$A:$C,3,0),"--")</f>
        <v>38.65227781</v>
      </c>
      <c r="J3872" s="65" t="str">
        <f t="array" ref="J3872">XLOOKUP(H3872,'2. Matching'!$A$2:$A$39,'2. Matching'!$B$2:$B$39,"--")</f>
        <v>SEO</v>
      </c>
      <c r="K3872" s="65" t="str">
        <f t="shared" si="1"/>
        <v>In</v>
      </c>
    </row>
    <row r="3873">
      <c r="A3873" s="62" t="s">
        <v>4011</v>
      </c>
      <c r="B3873" s="63">
        <v>44116.0</v>
      </c>
      <c r="C3873" s="62" t="s">
        <v>119</v>
      </c>
      <c r="D3873" s="64">
        <v>42.5</v>
      </c>
      <c r="E3873" s="62" t="s">
        <v>109</v>
      </c>
      <c r="F3873" s="62" t="s">
        <v>115</v>
      </c>
      <c r="G3873" s="64" t="s">
        <v>64</v>
      </c>
      <c r="H3873" s="3" t="s">
        <v>175</v>
      </c>
      <c r="I3873" s="65">
        <f>IFERROR(VLOOKUP(A3873,'3. Call duration'!$A:$C,3,0),"--")</f>
        <v>30.76962172</v>
      </c>
      <c r="J3873" s="65" t="str">
        <f t="array" ref="J3873">XLOOKUP(H3873,'2. Matching'!$A$2:$A$39,'2. Matching'!$B$2:$B$39,"--")</f>
        <v>SEO</v>
      </c>
      <c r="K3873" s="65" t="str">
        <f t="shared" si="1"/>
        <v>In</v>
      </c>
    </row>
    <row r="3874">
      <c r="A3874" s="62" t="s">
        <v>4012</v>
      </c>
      <c r="B3874" s="63">
        <v>44235.0</v>
      </c>
      <c r="C3874" s="62" t="s">
        <v>119</v>
      </c>
      <c r="D3874" s="64">
        <v>42.5</v>
      </c>
      <c r="E3874" s="62" t="s">
        <v>109</v>
      </c>
      <c r="F3874" s="62" t="s">
        <v>115</v>
      </c>
      <c r="G3874" s="64" t="s">
        <v>64</v>
      </c>
      <c r="H3874" s="3" t="s">
        <v>139</v>
      </c>
      <c r="I3874" s="65" t="str">
        <f>IFERROR(VLOOKUP(A3874,'3. Call duration'!$A:$C,3,0),"--")</f>
        <v>--</v>
      </c>
      <c r="J3874" s="65" t="str">
        <f t="array" ref="J3874">XLOOKUP(H3874,'2. Matching'!$A$2:$A$39,'2. Matching'!$B$2:$B$39,"--")</f>
        <v>Acquisition</v>
      </c>
      <c r="K3874" s="65" t="str">
        <f t="shared" si="1"/>
        <v>In</v>
      </c>
    </row>
    <row r="3875">
      <c r="A3875" s="62" t="s">
        <v>4013</v>
      </c>
      <c r="B3875" s="63">
        <v>44221.0</v>
      </c>
      <c r="C3875" s="62" t="s">
        <v>119</v>
      </c>
      <c r="D3875" s="64">
        <v>42.5</v>
      </c>
      <c r="E3875" s="62" t="s">
        <v>109</v>
      </c>
      <c r="F3875" s="62" t="s">
        <v>110</v>
      </c>
      <c r="G3875" s="64" t="s">
        <v>64</v>
      </c>
      <c r="H3875" s="3" t="s">
        <v>164</v>
      </c>
      <c r="I3875" s="65">
        <f>IFERROR(VLOOKUP(A3875,'3. Call duration'!$A:$C,3,0),"--")</f>
        <v>30.88741397</v>
      </c>
      <c r="J3875" s="65" t="str">
        <f t="array" ref="J3875">XLOOKUP(H3875,'2. Matching'!$A$2:$A$39,'2. Matching'!$B$2:$B$39,"--")</f>
        <v>SEO</v>
      </c>
      <c r="K3875" s="65" t="str">
        <f t="shared" si="1"/>
        <v>In</v>
      </c>
    </row>
    <row r="3876">
      <c r="A3876" s="62" t="s">
        <v>4014</v>
      </c>
      <c r="B3876" s="63">
        <v>44235.0</v>
      </c>
      <c r="C3876" s="62" t="s">
        <v>119</v>
      </c>
      <c r="D3876" s="64">
        <v>42.5</v>
      </c>
      <c r="E3876" s="62" t="s">
        <v>109</v>
      </c>
      <c r="F3876" s="62" t="s">
        <v>115</v>
      </c>
      <c r="G3876" s="64" t="s">
        <v>64</v>
      </c>
      <c r="H3876" s="3" t="s">
        <v>185</v>
      </c>
      <c r="I3876" s="65">
        <f>IFERROR(VLOOKUP(A3876,'3. Call duration'!$A:$C,3,0),"--")</f>
        <v>15.87255238</v>
      </c>
      <c r="J3876" s="65" t="str">
        <f t="array" ref="J3876">XLOOKUP(H3876,'2. Matching'!$A$2:$A$39,'2. Matching'!$B$2:$B$39,"--")</f>
        <v>SEO</v>
      </c>
      <c r="K3876" s="65" t="str">
        <f t="shared" si="1"/>
        <v>In</v>
      </c>
    </row>
    <row r="3877">
      <c r="A3877" s="62" t="s">
        <v>4015</v>
      </c>
      <c r="B3877" s="63">
        <v>44187.0</v>
      </c>
      <c r="C3877" s="62" t="s">
        <v>119</v>
      </c>
      <c r="D3877" s="64">
        <v>42.5</v>
      </c>
      <c r="E3877" s="62" t="s">
        <v>109</v>
      </c>
      <c r="F3877" s="62" t="s">
        <v>110</v>
      </c>
      <c r="G3877" s="64" t="s">
        <v>64</v>
      </c>
      <c r="H3877" s="3" t="s">
        <v>185</v>
      </c>
      <c r="I3877" s="65">
        <f>IFERROR(VLOOKUP(A3877,'3. Call duration'!$A:$C,3,0),"--")</f>
        <v>21.44802372</v>
      </c>
      <c r="J3877" s="65" t="str">
        <f t="array" ref="J3877">XLOOKUP(H3877,'2. Matching'!$A$2:$A$39,'2. Matching'!$B$2:$B$39,"--")</f>
        <v>SEO</v>
      </c>
      <c r="K3877" s="65" t="str">
        <f t="shared" si="1"/>
        <v>In</v>
      </c>
    </row>
    <row r="3878">
      <c r="A3878" s="62" t="s">
        <v>4016</v>
      </c>
      <c r="B3878" s="63">
        <v>44087.0</v>
      </c>
      <c r="C3878" s="62" t="s">
        <v>119</v>
      </c>
      <c r="D3878" s="64">
        <v>42.5</v>
      </c>
      <c r="E3878" s="62" t="s">
        <v>109</v>
      </c>
      <c r="F3878" s="62" t="s">
        <v>115</v>
      </c>
      <c r="G3878" s="64" t="s">
        <v>64</v>
      </c>
      <c r="H3878" s="3" t="s">
        <v>139</v>
      </c>
      <c r="I3878" s="65">
        <f>IFERROR(VLOOKUP(A3878,'3. Call duration'!$A:$C,3,0),"--")</f>
        <v>20.49781162</v>
      </c>
      <c r="J3878" s="65" t="str">
        <f t="array" ref="J3878">XLOOKUP(H3878,'2. Matching'!$A$2:$A$39,'2. Matching'!$B$2:$B$39,"--")</f>
        <v>Acquisition</v>
      </c>
      <c r="K3878" s="65" t="str">
        <f t="shared" si="1"/>
        <v>In</v>
      </c>
    </row>
    <row r="3879">
      <c r="A3879" s="62" t="s">
        <v>4017</v>
      </c>
      <c r="B3879" s="63">
        <v>44201.0</v>
      </c>
      <c r="C3879" s="62" t="s">
        <v>119</v>
      </c>
      <c r="D3879" s="64">
        <v>42.5</v>
      </c>
      <c r="E3879" s="62" t="s">
        <v>109</v>
      </c>
      <c r="F3879" s="62" t="s">
        <v>115</v>
      </c>
      <c r="G3879" s="64" t="s">
        <v>64</v>
      </c>
      <c r="H3879" s="3" t="s">
        <v>169</v>
      </c>
      <c r="I3879" s="65">
        <f>IFERROR(VLOOKUP(A3879,'3. Call duration'!$A:$C,3,0),"--")</f>
        <v>26.70792259</v>
      </c>
      <c r="J3879" s="65" t="str">
        <f t="array" ref="J3879">XLOOKUP(H3879,'2. Matching'!$A$2:$A$39,'2. Matching'!$B$2:$B$39,"--")</f>
        <v>SEO</v>
      </c>
      <c r="K3879" s="65" t="str">
        <f t="shared" si="1"/>
        <v>In</v>
      </c>
    </row>
    <row r="3880">
      <c r="A3880" s="62" t="s">
        <v>4018</v>
      </c>
      <c r="B3880" s="63">
        <v>44112.0</v>
      </c>
      <c r="C3880" s="62" t="s">
        <v>119</v>
      </c>
      <c r="D3880" s="64">
        <v>42.5</v>
      </c>
      <c r="E3880" s="62" t="s">
        <v>109</v>
      </c>
      <c r="F3880" s="62" t="s">
        <v>115</v>
      </c>
      <c r="G3880" s="64" t="s">
        <v>64</v>
      </c>
      <c r="H3880" s="3" t="s">
        <v>139</v>
      </c>
      <c r="I3880" s="65">
        <f>IFERROR(VLOOKUP(A3880,'3. Call duration'!$A:$C,3,0),"--")</f>
        <v>23.31351385</v>
      </c>
      <c r="J3880" s="65" t="str">
        <f t="array" ref="J3880">XLOOKUP(H3880,'2. Matching'!$A$2:$A$39,'2. Matching'!$B$2:$B$39,"--")</f>
        <v>Acquisition</v>
      </c>
      <c r="K3880" s="65" t="str">
        <f t="shared" si="1"/>
        <v>In</v>
      </c>
    </row>
    <row r="3881">
      <c r="A3881" s="62" t="s">
        <v>4019</v>
      </c>
      <c r="B3881" s="63">
        <v>44217.0</v>
      </c>
      <c r="C3881" s="62" t="s">
        <v>119</v>
      </c>
      <c r="D3881" s="64">
        <v>42.5</v>
      </c>
      <c r="E3881" s="62" t="s">
        <v>109</v>
      </c>
      <c r="F3881" s="62" t="s">
        <v>115</v>
      </c>
      <c r="G3881" s="64" t="s">
        <v>64</v>
      </c>
      <c r="H3881" s="3" t="s">
        <v>139</v>
      </c>
      <c r="I3881" s="65">
        <f>IFERROR(VLOOKUP(A3881,'3. Call duration'!$A:$C,3,0),"--")</f>
        <v>26.6326581</v>
      </c>
      <c r="J3881" s="65" t="str">
        <f t="array" ref="J3881">XLOOKUP(H3881,'2. Matching'!$A$2:$A$39,'2. Matching'!$B$2:$B$39,"--")</f>
        <v>Acquisition</v>
      </c>
      <c r="K3881" s="65" t="str">
        <f t="shared" si="1"/>
        <v>In</v>
      </c>
    </row>
    <row r="3882">
      <c r="A3882" s="62" t="s">
        <v>4020</v>
      </c>
      <c r="B3882" s="63">
        <v>44075.0</v>
      </c>
      <c r="C3882" s="62" t="s">
        <v>119</v>
      </c>
      <c r="D3882" s="64">
        <v>42.5</v>
      </c>
      <c r="E3882" s="62" t="s">
        <v>109</v>
      </c>
      <c r="F3882" s="62" t="s">
        <v>115</v>
      </c>
      <c r="G3882" s="64" t="s">
        <v>64</v>
      </c>
      <c r="H3882" s="3" t="s">
        <v>175</v>
      </c>
      <c r="I3882" s="65">
        <f>IFERROR(VLOOKUP(A3882,'3. Call duration'!$A:$C,3,0),"--")</f>
        <v>31.86115723</v>
      </c>
      <c r="J3882" s="65" t="str">
        <f t="array" ref="J3882">XLOOKUP(H3882,'2. Matching'!$A$2:$A$39,'2. Matching'!$B$2:$B$39,"--")</f>
        <v>SEO</v>
      </c>
      <c r="K3882" s="65" t="str">
        <f t="shared" si="1"/>
        <v>In</v>
      </c>
    </row>
    <row r="3883">
      <c r="A3883" s="62" t="s">
        <v>4021</v>
      </c>
      <c r="B3883" s="63">
        <v>44156.0</v>
      </c>
      <c r="C3883" s="62" t="s">
        <v>119</v>
      </c>
      <c r="D3883" s="64">
        <v>42.5</v>
      </c>
      <c r="E3883" s="62" t="s">
        <v>109</v>
      </c>
      <c r="F3883" s="62" t="s">
        <v>115</v>
      </c>
      <c r="G3883" s="64" t="s">
        <v>64</v>
      </c>
      <c r="H3883" s="3" t="s">
        <v>221</v>
      </c>
      <c r="I3883" s="65">
        <f>IFERROR(VLOOKUP(A3883,'3. Call duration'!$A:$C,3,0),"--")</f>
        <v>46.30434419</v>
      </c>
      <c r="J3883" s="65" t="str">
        <f t="array" ref="J3883">XLOOKUP(H3883,'2. Matching'!$A$2:$A$39,'2. Matching'!$B$2:$B$39,"--")</f>
        <v>Farming</v>
      </c>
      <c r="K3883" s="65" t="str">
        <f t="shared" si="1"/>
        <v>In</v>
      </c>
    </row>
    <row r="3884">
      <c r="A3884" s="62" t="s">
        <v>4022</v>
      </c>
      <c r="B3884" s="63">
        <v>44106.0</v>
      </c>
      <c r="C3884" s="62" t="s">
        <v>119</v>
      </c>
      <c r="D3884" s="64">
        <v>42.5</v>
      </c>
      <c r="E3884" s="62" t="s">
        <v>109</v>
      </c>
      <c r="F3884" s="62" t="s">
        <v>115</v>
      </c>
      <c r="G3884" s="64" t="s">
        <v>64</v>
      </c>
      <c r="H3884" s="3" t="s">
        <v>175</v>
      </c>
      <c r="I3884" s="65">
        <f>IFERROR(VLOOKUP(A3884,'3. Call duration'!$A:$C,3,0),"--")</f>
        <v>31.65856548</v>
      </c>
      <c r="J3884" s="65" t="str">
        <f t="array" ref="J3884">XLOOKUP(H3884,'2. Matching'!$A$2:$A$39,'2. Matching'!$B$2:$B$39,"--")</f>
        <v>SEO</v>
      </c>
      <c r="K3884" s="65" t="str">
        <f t="shared" si="1"/>
        <v>In</v>
      </c>
    </row>
    <row r="3885">
      <c r="A3885" s="62" t="s">
        <v>4023</v>
      </c>
      <c r="B3885" s="63">
        <v>44251.0</v>
      </c>
      <c r="C3885" s="62" t="s">
        <v>119</v>
      </c>
      <c r="D3885" s="64">
        <v>42.5</v>
      </c>
      <c r="E3885" s="62" t="s">
        <v>109</v>
      </c>
      <c r="F3885" s="62" t="s">
        <v>115</v>
      </c>
      <c r="G3885" s="64" t="s">
        <v>64</v>
      </c>
      <c r="H3885" s="3" t="s">
        <v>139</v>
      </c>
      <c r="I3885" s="65">
        <f>IFERROR(VLOOKUP(A3885,'3. Call duration'!$A:$C,3,0),"--")</f>
        <v>27.79615822</v>
      </c>
      <c r="J3885" s="65" t="str">
        <f t="array" ref="J3885">XLOOKUP(H3885,'2. Matching'!$A$2:$A$39,'2. Matching'!$B$2:$B$39,"--")</f>
        <v>Acquisition</v>
      </c>
      <c r="K3885" s="65" t="str">
        <f t="shared" si="1"/>
        <v>In</v>
      </c>
    </row>
    <row r="3886">
      <c r="A3886" s="62" t="s">
        <v>4024</v>
      </c>
      <c r="B3886" s="63">
        <v>44223.0</v>
      </c>
      <c r="C3886" s="62" t="s">
        <v>119</v>
      </c>
      <c r="D3886" s="64">
        <v>42.5</v>
      </c>
      <c r="E3886" s="62" t="s">
        <v>109</v>
      </c>
      <c r="F3886" s="62" t="s">
        <v>110</v>
      </c>
      <c r="G3886" s="64" t="s">
        <v>62</v>
      </c>
      <c r="H3886" s="3" t="s">
        <v>294</v>
      </c>
      <c r="I3886" s="65">
        <f>IFERROR(VLOOKUP(A3886,'3. Call duration'!$A:$C,3,0),"--")</f>
        <v>27.10672654</v>
      </c>
      <c r="J3886" s="65" t="str">
        <f t="array" ref="J3886">XLOOKUP(H3886,'2. Matching'!$A$2:$A$39,'2. Matching'!$B$2:$B$39,"--")</f>
        <v>Farming</v>
      </c>
      <c r="K3886" s="65" t="str">
        <f t="shared" si="1"/>
        <v>In</v>
      </c>
    </row>
    <row r="3887">
      <c r="A3887" s="62" t="s">
        <v>4025</v>
      </c>
      <c r="B3887" s="63">
        <v>44235.0</v>
      </c>
      <c r="C3887" s="62" t="s">
        <v>119</v>
      </c>
      <c r="D3887" s="64">
        <v>42.5</v>
      </c>
      <c r="E3887" s="62" t="s">
        <v>109</v>
      </c>
      <c r="F3887" s="62" t="s">
        <v>115</v>
      </c>
      <c r="G3887" s="64" t="s">
        <v>64</v>
      </c>
      <c r="H3887" s="3" t="s">
        <v>169</v>
      </c>
      <c r="I3887" s="65">
        <f>IFERROR(VLOOKUP(A3887,'3. Call duration'!$A:$C,3,0),"--")</f>
        <v>27.06008652</v>
      </c>
      <c r="J3887" s="65" t="str">
        <f t="array" ref="J3887">XLOOKUP(H3887,'2. Matching'!$A$2:$A$39,'2. Matching'!$B$2:$B$39,"--")</f>
        <v>SEO</v>
      </c>
      <c r="K3887" s="65" t="str">
        <f t="shared" si="1"/>
        <v>In</v>
      </c>
    </row>
    <row r="3888">
      <c r="A3888" s="62" t="s">
        <v>4026</v>
      </c>
      <c r="B3888" s="63">
        <v>44142.0</v>
      </c>
      <c r="C3888" s="62" t="s">
        <v>119</v>
      </c>
      <c r="D3888" s="64">
        <v>42.5</v>
      </c>
      <c r="E3888" s="62" t="s">
        <v>109</v>
      </c>
      <c r="F3888" s="62" t="s">
        <v>110</v>
      </c>
      <c r="G3888" s="64" t="s">
        <v>64</v>
      </c>
      <c r="H3888" s="3" t="s">
        <v>164</v>
      </c>
      <c r="I3888" s="65">
        <f>IFERROR(VLOOKUP(A3888,'3. Call duration'!$A:$C,3,0),"--")</f>
        <v>31.31414532</v>
      </c>
      <c r="J3888" s="65" t="str">
        <f t="array" ref="J3888">XLOOKUP(H3888,'2. Matching'!$A$2:$A$39,'2. Matching'!$B$2:$B$39,"--")</f>
        <v>SEO</v>
      </c>
      <c r="K3888" s="65" t="str">
        <f t="shared" si="1"/>
        <v>In</v>
      </c>
    </row>
    <row r="3889">
      <c r="A3889" s="62" t="s">
        <v>4027</v>
      </c>
      <c r="B3889" s="63">
        <v>44086.0</v>
      </c>
      <c r="C3889" s="62" t="s">
        <v>119</v>
      </c>
      <c r="D3889" s="64">
        <v>42.5</v>
      </c>
      <c r="E3889" s="62" t="s">
        <v>109</v>
      </c>
      <c r="F3889" s="62" t="s">
        <v>115</v>
      </c>
      <c r="G3889" s="64" t="s">
        <v>64</v>
      </c>
      <c r="H3889" s="3" t="s">
        <v>139</v>
      </c>
      <c r="I3889" s="65">
        <f>IFERROR(VLOOKUP(A3889,'3. Call duration'!$A:$C,3,0),"--")</f>
        <v>13.69083589</v>
      </c>
      <c r="J3889" s="65" t="str">
        <f t="array" ref="J3889">XLOOKUP(H3889,'2. Matching'!$A$2:$A$39,'2. Matching'!$B$2:$B$39,"--")</f>
        <v>Acquisition</v>
      </c>
      <c r="K3889" s="65" t="str">
        <f t="shared" si="1"/>
        <v>In</v>
      </c>
    </row>
    <row r="3890">
      <c r="A3890" s="62" t="s">
        <v>4028</v>
      </c>
      <c r="B3890" s="63">
        <v>44232.0</v>
      </c>
      <c r="C3890" s="62" t="s">
        <v>119</v>
      </c>
      <c r="D3890" s="64">
        <v>42.5</v>
      </c>
      <c r="E3890" s="62" t="s">
        <v>109</v>
      </c>
      <c r="F3890" s="62" t="s">
        <v>110</v>
      </c>
      <c r="G3890" s="64" t="s">
        <v>64</v>
      </c>
      <c r="H3890" s="3" t="s">
        <v>169</v>
      </c>
      <c r="I3890" s="65">
        <f>IFERROR(VLOOKUP(A3890,'3. Call duration'!$A:$C,3,0),"--")</f>
        <v>30.17905941</v>
      </c>
      <c r="J3890" s="65" t="str">
        <f t="array" ref="J3890">XLOOKUP(H3890,'2. Matching'!$A$2:$A$39,'2. Matching'!$B$2:$B$39,"--")</f>
        <v>SEO</v>
      </c>
      <c r="K3890" s="65" t="str">
        <f t="shared" si="1"/>
        <v>In</v>
      </c>
    </row>
    <row r="3891">
      <c r="A3891" s="62" t="s">
        <v>4029</v>
      </c>
      <c r="B3891" s="63">
        <v>44221.0</v>
      </c>
      <c r="C3891" s="62" t="s">
        <v>119</v>
      </c>
      <c r="D3891" s="64">
        <v>42.5</v>
      </c>
      <c r="E3891" s="62" t="s">
        <v>109</v>
      </c>
      <c r="F3891" s="62" t="s">
        <v>115</v>
      </c>
      <c r="G3891" s="64" t="s">
        <v>64</v>
      </c>
      <c r="H3891" s="3" t="s">
        <v>139</v>
      </c>
      <c r="I3891" s="65">
        <f>IFERROR(VLOOKUP(A3891,'3. Call duration'!$A:$C,3,0),"--")</f>
        <v>22.25855604</v>
      </c>
      <c r="J3891" s="65" t="str">
        <f t="array" ref="J3891">XLOOKUP(H3891,'2. Matching'!$A$2:$A$39,'2. Matching'!$B$2:$B$39,"--")</f>
        <v>Acquisition</v>
      </c>
      <c r="K3891" s="65" t="str">
        <f t="shared" si="1"/>
        <v>In</v>
      </c>
    </row>
    <row r="3892">
      <c r="A3892" s="62" t="s">
        <v>4030</v>
      </c>
      <c r="B3892" s="63">
        <v>44231.0</v>
      </c>
      <c r="C3892" s="62" t="s">
        <v>119</v>
      </c>
      <c r="D3892" s="64">
        <v>42.5</v>
      </c>
      <c r="E3892" s="62" t="s">
        <v>109</v>
      </c>
      <c r="F3892" s="62" t="s">
        <v>115</v>
      </c>
      <c r="G3892" s="64" t="s">
        <v>64</v>
      </c>
      <c r="H3892" s="3" t="s">
        <v>49</v>
      </c>
      <c r="I3892" s="65">
        <f>IFERROR(VLOOKUP(A3892,'3. Call duration'!$A:$C,3,0),"--")</f>
        <v>14.09875664</v>
      </c>
      <c r="J3892" s="65" t="str">
        <f t="array" ref="J3892">XLOOKUP(H3892,'2. Matching'!$A$2:$A$39,'2. Matching'!$B$2:$B$39,"--")</f>
        <v>Partnerships</v>
      </c>
      <c r="K3892" s="65" t="str">
        <f t="shared" si="1"/>
        <v>In</v>
      </c>
    </row>
    <row r="3893">
      <c r="A3893" s="62" t="s">
        <v>4031</v>
      </c>
      <c r="B3893" s="63">
        <v>44096.0</v>
      </c>
      <c r="C3893" s="62" t="s">
        <v>119</v>
      </c>
      <c r="D3893" s="64">
        <v>42.5</v>
      </c>
      <c r="E3893" s="62" t="s">
        <v>109</v>
      </c>
      <c r="F3893" s="62" t="s">
        <v>115</v>
      </c>
      <c r="G3893" s="64" t="s">
        <v>64</v>
      </c>
      <c r="H3893" s="3" t="s">
        <v>150</v>
      </c>
      <c r="I3893" s="65">
        <f>IFERROR(VLOOKUP(A3893,'3. Call duration'!$A:$C,3,0),"--")</f>
        <v>24.93865291</v>
      </c>
      <c r="J3893" s="65" t="str">
        <f t="array" ref="J3893">XLOOKUP(H3893,'2. Matching'!$A$2:$A$39,'2. Matching'!$B$2:$B$39,"--")</f>
        <v>SEO</v>
      </c>
      <c r="K3893" s="65" t="str">
        <f t="shared" si="1"/>
        <v>In</v>
      </c>
    </row>
    <row r="3894">
      <c r="A3894" s="62" t="s">
        <v>4032</v>
      </c>
      <c r="B3894" s="63">
        <v>44154.0</v>
      </c>
      <c r="C3894" s="62" t="s">
        <v>119</v>
      </c>
      <c r="D3894" s="64">
        <v>42.5</v>
      </c>
      <c r="E3894" s="62" t="s">
        <v>109</v>
      </c>
      <c r="F3894" s="62" t="s">
        <v>115</v>
      </c>
      <c r="G3894" s="64" t="s">
        <v>64</v>
      </c>
      <c r="H3894" s="3" t="s">
        <v>139</v>
      </c>
      <c r="I3894" s="65">
        <f>IFERROR(VLOOKUP(A3894,'3. Call duration'!$A:$C,3,0),"--")</f>
        <v>29.75762813</v>
      </c>
      <c r="J3894" s="65" t="str">
        <f t="array" ref="J3894">XLOOKUP(H3894,'2. Matching'!$A$2:$A$39,'2. Matching'!$B$2:$B$39,"--")</f>
        <v>Acquisition</v>
      </c>
      <c r="K3894" s="65" t="str">
        <f t="shared" si="1"/>
        <v>In</v>
      </c>
    </row>
    <row r="3895">
      <c r="A3895" s="62" t="s">
        <v>4033</v>
      </c>
      <c r="B3895" s="63">
        <v>44231.0</v>
      </c>
      <c r="C3895" s="62" t="s">
        <v>119</v>
      </c>
      <c r="D3895" s="64">
        <v>42.5</v>
      </c>
      <c r="E3895" s="62" t="s">
        <v>109</v>
      </c>
      <c r="F3895" s="62" t="s">
        <v>115</v>
      </c>
      <c r="G3895" s="64" t="s">
        <v>64</v>
      </c>
      <c r="H3895" s="3" t="s">
        <v>185</v>
      </c>
      <c r="I3895" s="65">
        <f>IFERROR(VLOOKUP(A3895,'3. Call duration'!$A:$C,3,0),"--")</f>
        <v>23.01523865</v>
      </c>
      <c r="J3895" s="65" t="str">
        <f t="array" ref="J3895">XLOOKUP(H3895,'2. Matching'!$A$2:$A$39,'2. Matching'!$B$2:$B$39,"--")</f>
        <v>SEO</v>
      </c>
      <c r="K3895" s="65" t="str">
        <f t="shared" si="1"/>
        <v>In</v>
      </c>
    </row>
    <row r="3896">
      <c r="A3896" s="62" t="s">
        <v>4034</v>
      </c>
      <c r="B3896" s="63">
        <v>44211.0</v>
      </c>
      <c r="C3896" s="62" t="s">
        <v>119</v>
      </c>
      <c r="D3896" s="64">
        <v>42.5</v>
      </c>
      <c r="E3896" s="62" t="s">
        <v>109</v>
      </c>
      <c r="F3896" s="62" t="s">
        <v>115</v>
      </c>
      <c r="G3896" s="64" t="s">
        <v>64</v>
      </c>
      <c r="H3896" s="3" t="s">
        <v>139</v>
      </c>
      <c r="I3896" s="65">
        <f>IFERROR(VLOOKUP(A3896,'3. Call duration'!$A:$C,3,0),"--")</f>
        <v>35.93092323</v>
      </c>
      <c r="J3896" s="65" t="str">
        <f t="array" ref="J3896">XLOOKUP(H3896,'2. Matching'!$A$2:$A$39,'2. Matching'!$B$2:$B$39,"--")</f>
        <v>Acquisition</v>
      </c>
      <c r="K3896" s="65" t="str">
        <f t="shared" si="1"/>
        <v>In</v>
      </c>
    </row>
    <row r="3897">
      <c r="A3897" s="62" t="s">
        <v>4035</v>
      </c>
      <c r="B3897" s="63">
        <v>44111.0</v>
      </c>
      <c r="C3897" s="62" t="s">
        <v>119</v>
      </c>
      <c r="D3897" s="64">
        <v>42.5</v>
      </c>
      <c r="E3897" s="62" t="s">
        <v>109</v>
      </c>
      <c r="F3897" s="62" t="s">
        <v>115</v>
      </c>
      <c r="G3897" s="64" t="s">
        <v>64</v>
      </c>
      <c r="H3897" s="3" t="s">
        <v>169</v>
      </c>
      <c r="I3897" s="65">
        <f>IFERROR(VLOOKUP(A3897,'3. Call duration'!$A:$C,3,0),"--")</f>
        <v>28.79209231</v>
      </c>
      <c r="J3897" s="65" t="str">
        <f t="array" ref="J3897">XLOOKUP(H3897,'2. Matching'!$A$2:$A$39,'2. Matching'!$B$2:$B$39,"--")</f>
        <v>SEO</v>
      </c>
      <c r="K3897" s="65" t="str">
        <f t="shared" si="1"/>
        <v>In</v>
      </c>
    </row>
    <row r="3898">
      <c r="A3898" s="62" t="s">
        <v>4036</v>
      </c>
      <c r="B3898" s="63">
        <v>44147.0</v>
      </c>
      <c r="C3898" s="62" t="s">
        <v>119</v>
      </c>
      <c r="D3898" s="64">
        <v>42.5</v>
      </c>
      <c r="E3898" s="62" t="s">
        <v>109</v>
      </c>
      <c r="F3898" s="62" t="s">
        <v>115</v>
      </c>
      <c r="G3898" s="64" t="s">
        <v>62</v>
      </c>
      <c r="H3898" s="3" t="s">
        <v>286</v>
      </c>
      <c r="I3898" s="65">
        <f>IFERROR(VLOOKUP(A3898,'3. Call duration'!$A:$C,3,0),"--")</f>
        <v>11.33761356</v>
      </c>
      <c r="J3898" s="65" t="str">
        <f t="array" ref="J3898">XLOOKUP(H3898,'2. Matching'!$A$2:$A$39,'2. Matching'!$B$2:$B$39,"--")</f>
        <v>Farming</v>
      </c>
      <c r="K3898" s="65" t="str">
        <f t="shared" si="1"/>
        <v>In</v>
      </c>
    </row>
    <row r="3899">
      <c r="A3899" s="62" t="s">
        <v>4037</v>
      </c>
      <c r="B3899" s="63">
        <v>44118.0</v>
      </c>
      <c r="C3899" s="62" t="s">
        <v>119</v>
      </c>
      <c r="D3899" s="64">
        <v>42.5</v>
      </c>
      <c r="E3899" s="62" t="s">
        <v>109</v>
      </c>
      <c r="F3899" s="62" t="s">
        <v>110</v>
      </c>
      <c r="G3899" s="64" t="s">
        <v>64</v>
      </c>
      <c r="H3899" s="3" t="s">
        <v>139</v>
      </c>
      <c r="I3899" s="65">
        <f>IFERROR(VLOOKUP(A3899,'3. Call duration'!$A:$C,3,0),"--")</f>
        <v>32.11842367</v>
      </c>
      <c r="J3899" s="65" t="str">
        <f t="array" ref="J3899">XLOOKUP(H3899,'2. Matching'!$A$2:$A$39,'2. Matching'!$B$2:$B$39,"--")</f>
        <v>Acquisition</v>
      </c>
      <c r="K3899" s="65" t="str">
        <f t="shared" si="1"/>
        <v>In</v>
      </c>
    </row>
    <row r="3900">
      <c r="A3900" s="62" t="s">
        <v>4038</v>
      </c>
      <c r="B3900" s="63">
        <v>44214.0</v>
      </c>
      <c r="C3900" s="62" t="s">
        <v>119</v>
      </c>
      <c r="D3900" s="64">
        <v>42.5</v>
      </c>
      <c r="E3900" s="62" t="s">
        <v>109</v>
      </c>
      <c r="F3900" s="62" t="s">
        <v>110</v>
      </c>
      <c r="G3900" s="64" t="s">
        <v>64</v>
      </c>
      <c r="H3900" s="3" t="s">
        <v>131</v>
      </c>
      <c r="I3900" s="65">
        <f>IFERROR(VLOOKUP(A3900,'3. Call duration'!$A:$C,3,0),"--")</f>
        <v>30.07116777</v>
      </c>
      <c r="J3900" s="65" t="str">
        <f t="array" ref="J3900">XLOOKUP(H3900,'2. Matching'!$A$2:$A$39,'2. Matching'!$B$2:$B$39,"--")</f>
        <v>Acquisition</v>
      </c>
      <c r="K3900" s="65" t="str">
        <f t="shared" si="1"/>
        <v>In</v>
      </c>
    </row>
    <row r="3901">
      <c r="A3901" s="62" t="s">
        <v>4039</v>
      </c>
      <c r="B3901" s="63">
        <v>44216.0</v>
      </c>
      <c r="C3901" s="62" t="s">
        <v>119</v>
      </c>
      <c r="D3901" s="64">
        <v>42.5</v>
      </c>
      <c r="E3901" s="62" t="s">
        <v>109</v>
      </c>
      <c r="F3901" s="62" t="s">
        <v>115</v>
      </c>
      <c r="G3901" s="64" t="s">
        <v>64</v>
      </c>
      <c r="H3901" s="3" t="s">
        <v>175</v>
      </c>
      <c r="I3901" s="65">
        <f>IFERROR(VLOOKUP(A3901,'3. Call duration'!$A:$C,3,0),"--")</f>
        <v>30.00542909</v>
      </c>
      <c r="J3901" s="65" t="str">
        <f t="array" ref="J3901">XLOOKUP(H3901,'2. Matching'!$A$2:$A$39,'2. Matching'!$B$2:$B$39,"--")</f>
        <v>SEO</v>
      </c>
      <c r="K3901" s="65" t="str">
        <f t="shared" si="1"/>
        <v>In</v>
      </c>
    </row>
    <row r="3902">
      <c r="A3902" s="62" t="s">
        <v>4040</v>
      </c>
      <c r="B3902" s="63">
        <v>44148.0</v>
      </c>
      <c r="C3902" s="62" t="s">
        <v>119</v>
      </c>
      <c r="D3902" s="64">
        <v>42.5</v>
      </c>
      <c r="E3902" s="62" t="s">
        <v>109</v>
      </c>
      <c r="F3902" s="62" t="s">
        <v>115</v>
      </c>
      <c r="G3902" s="64" t="s">
        <v>64</v>
      </c>
      <c r="H3902" s="3" t="s">
        <v>131</v>
      </c>
      <c r="I3902" s="65">
        <f>IFERROR(VLOOKUP(A3902,'3. Call duration'!$A:$C,3,0),"--")</f>
        <v>28.0610814</v>
      </c>
      <c r="J3902" s="65" t="str">
        <f t="array" ref="J3902">XLOOKUP(H3902,'2. Matching'!$A$2:$A$39,'2. Matching'!$B$2:$B$39,"--")</f>
        <v>Acquisition</v>
      </c>
      <c r="K3902" s="65" t="str">
        <f t="shared" si="1"/>
        <v>In</v>
      </c>
    </row>
    <row r="3903">
      <c r="A3903" s="62" t="s">
        <v>4041</v>
      </c>
      <c r="B3903" s="63">
        <v>44164.0</v>
      </c>
      <c r="C3903" s="62" t="s">
        <v>119</v>
      </c>
      <c r="D3903" s="64">
        <v>42.5</v>
      </c>
      <c r="E3903" s="62" t="s">
        <v>109</v>
      </c>
      <c r="F3903" s="62" t="s">
        <v>115</v>
      </c>
      <c r="G3903" s="64" t="s">
        <v>64</v>
      </c>
      <c r="H3903" s="3" t="s">
        <v>139</v>
      </c>
      <c r="I3903" s="65">
        <f>IFERROR(VLOOKUP(A3903,'3. Call duration'!$A:$C,3,0),"--")</f>
        <v>28.92886131</v>
      </c>
      <c r="J3903" s="65" t="str">
        <f t="array" ref="J3903">XLOOKUP(H3903,'2. Matching'!$A$2:$A$39,'2. Matching'!$B$2:$B$39,"--")</f>
        <v>Acquisition</v>
      </c>
      <c r="K3903" s="65" t="str">
        <f t="shared" si="1"/>
        <v>In</v>
      </c>
    </row>
    <row r="3904">
      <c r="A3904" s="62" t="s">
        <v>4042</v>
      </c>
      <c r="B3904" s="63">
        <v>44160.0</v>
      </c>
      <c r="C3904" s="62" t="s">
        <v>119</v>
      </c>
      <c r="D3904" s="64">
        <v>42.5</v>
      </c>
      <c r="E3904" s="62" t="s">
        <v>109</v>
      </c>
      <c r="F3904" s="62" t="s">
        <v>110</v>
      </c>
      <c r="G3904" s="64" t="s">
        <v>64</v>
      </c>
      <c r="H3904" s="3" t="s">
        <v>155</v>
      </c>
      <c r="I3904" s="65">
        <f>IFERROR(VLOOKUP(A3904,'3. Call duration'!$A:$C,3,0),"--")</f>
        <v>32.23366257</v>
      </c>
      <c r="J3904" s="65" t="str">
        <f t="array" ref="J3904">XLOOKUP(H3904,'2. Matching'!$A$2:$A$39,'2. Matching'!$B$2:$B$39,"--")</f>
        <v>SEO</v>
      </c>
      <c r="K3904" s="65" t="str">
        <f t="shared" si="1"/>
        <v>In</v>
      </c>
    </row>
    <row r="3905">
      <c r="A3905" s="62" t="s">
        <v>4043</v>
      </c>
      <c r="B3905" s="63">
        <v>44117.0</v>
      </c>
      <c r="C3905" s="62" t="s">
        <v>119</v>
      </c>
      <c r="D3905" s="64">
        <v>42.5</v>
      </c>
      <c r="E3905" s="62" t="s">
        <v>109</v>
      </c>
      <c r="F3905" s="62" t="s">
        <v>115</v>
      </c>
      <c r="G3905" s="64" t="s">
        <v>64</v>
      </c>
      <c r="H3905" s="3" t="s">
        <v>169</v>
      </c>
      <c r="I3905" s="65" t="str">
        <f>IFERROR(VLOOKUP(A3905,'3. Call duration'!$A:$C,3,0),"--")</f>
        <v>--</v>
      </c>
      <c r="J3905" s="65" t="str">
        <f t="array" ref="J3905">XLOOKUP(H3905,'2. Matching'!$A$2:$A$39,'2. Matching'!$B$2:$B$39,"--")</f>
        <v>SEO</v>
      </c>
      <c r="K3905" s="65" t="str">
        <f t="shared" si="1"/>
        <v>In</v>
      </c>
    </row>
    <row r="3906">
      <c r="A3906" s="62" t="s">
        <v>4044</v>
      </c>
      <c r="B3906" s="63">
        <v>44216.0</v>
      </c>
      <c r="C3906" s="62" t="s">
        <v>119</v>
      </c>
      <c r="D3906" s="64">
        <v>42.5</v>
      </c>
      <c r="E3906" s="62" t="s">
        <v>109</v>
      </c>
      <c r="F3906" s="62" t="s">
        <v>110</v>
      </c>
      <c r="G3906" s="64" t="s">
        <v>64</v>
      </c>
      <c r="H3906" s="3" t="s">
        <v>169</v>
      </c>
      <c r="I3906" s="65">
        <f>IFERROR(VLOOKUP(A3906,'3. Call duration'!$A:$C,3,0),"--")</f>
        <v>23.40779676</v>
      </c>
      <c r="J3906" s="65" t="str">
        <f t="array" ref="J3906">XLOOKUP(H3906,'2. Matching'!$A$2:$A$39,'2. Matching'!$B$2:$B$39,"--")</f>
        <v>SEO</v>
      </c>
      <c r="K3906" s="65" t="str">
        <f t="shared" si="1"/>
        <v>In</v>
      </c>
    </row>
    <row r="3907">
      <c r="A3907" s="62" t="s">
        <v>4045</v>
      </c>
      <c r="B3907" s="63">
        <v>44236.0</v>
      </c>
      <c r="C3907" s="62" t="s">
        <v>119</v>
      </c>
      <c r="D3907" s="64">
        <v>42.5</v>
      </c>
      <c r="E3907" s="62" t="s">
        <v>109</v>
      </c>
      <c r="F3907" s="62" t="s">
        <v>115</v>
      </c>
      <c r="G3907" s="64" t="s">
        <v>64</v>
      </c>
      <c r="H3907" s="3" t="s">
        <v>164</v>
      </c>
      <c r="I3907" s="65">
        <f>IFERROR(VLOOKUP(A3907,'3. Call duration'!$A:$C,3,0),"--")</f>
        <v>29.06547434</v>
      </c>
      <c r="J3907" s="65" t="str">
        <f t="array" ref="J3907">XLOOKUP(H3907,'2. Matching'!$A$2:$A$39,'2. Matching'!$B$2:$B$39,"--")</f>
        <v>SEO</v>
      </c>
      <c r="K3907" s="65" t="str">
        <f t="shared" si="1"/>
        <v>In</v>
      </c>
    </row>
    <row r="3908">
      <c r="A3908" s="62" t="s">
        <v>4046</v>
      </c>
      <c r="B3908" s="63">
        <v>44144.0</v>
      </c>
      <c r="C3908" s="62" t="s">
        <v>119</v>
      </c>
      <c r="D3908" s="64">
        <v>42.5</v>
      </c>
      <c r="E3908" s="62" t="s">
        <v>109</v>
      </c>
      <c r="F3908" s="62" t="s">
        <v>115</v>
      </c>
      <c r="G3908" s="64" t="s">
        <v>62</v>
      </c>
      <c r="H3908" s="3" t="s">
        <v>286</v>
      </c>
      <c r="I3908" s="65">
        <f>IFERROR(VLOOKUP(A3908,'3. Call duration'!$A:$C,3,0),"--")</f>
        <v>31.77492631</v>
      </c>
      <c r="J3908" s="65" t="str">
        <f t="array" ref="J3908">XLOOKUP(H3908,'2. Matching'!$A$2:$A$39,'2. Matching'!$B$2:$B$39,"--")</f>
        <v>Farming</v>
      </c>
      <c r="K3908" s="65" t="str">
        <f t="shared" si="1"/>
        <v>In</v>
      </c>
    </row>
    <row r="3909">
      <c r="A3909" s="62" t="s">
        <v>4047</v>
      </c>
      <c r="B3909" s="63">
        <v>44236.0</v>
      </c>
      <c r="C3909" s="62" t="s">
        <v>119</v>
      </c>
      <c r="D3909" s="64">
        <v>42.5</v>
      </c>
      <c r="E3909" s="62" t="s">
        <v>109</v>
      </c>
      <c r="F3909" s="62" t="s">
        <v>110</v>
      </c>
      <c r="G3909" s="64" t="s">
        <v>64</v>
      </c>
      <c r="H3909" s="3" t="s">
        <v>175</v>
      </c>
      <c r="I3909" s="65">
        <f>IFERROR(VLOOKUP(A3909,'3. Call duration'!$A:$C,3,0),"--")</f>
        <v>29.64099885</v>
      </c>
      <c r="J3909" s="65" t="str">
        <f t="array" ref="J3909">XLOOKUP(H3909,'2. Matching'!$A$2:$A$39,'2. Matching'!$B$2:$B$39,"--")</f>
        <v>SEO</v>
      </c>
      <c r="K3909" s="65" t="str">
        <f t="shared" si="1"/>
        <v>In</v>
      </c>
    </row>
    <row r="3910">
      <c r="A3910" s="62" t="s">
        <v>4048</v>
      </c>
      <c r="B3910" s="63">
        <v>44223.0</v>
      </c>
      <c r="C3910" s="62" t="s">
        <v>119</v>
      </c>
      <c r="D3910" s="64">
        <v>42.5</v>
      </c>
      <c r="E3910" s="62" t="s">
        <v>109</v>
      </c>
      <c r="F3910" s="62" t="s">
        <v>110</v>
      </c>
      <c r="G3910" s="64" t="s">
        <v>64</v>
      </c>
      <c r="H3910" s="3" t="s">
        <v>169</v>
      </c>
      <c r="I3910" s="65">
        <f>IFERROR(VLOOKUP(A3910,'3. Call duration'!$A:$C,3,0),"--")</f>
        <v>22.48166407</v>
      </c>
      <c r="J3910" s="65" t="str">
        <f t="array" ref="J3910">XLOOKUP(H3910,'2. Matching'!$A$2:$A$39,'2. Matching'!$B$2:$B$39,"--")</f>
        <v>SEO</v>
      </c>
      <c r="K3910" s="65" t="str">
        <f t="shared" si="1"/>
        <v>In</v>
      </c>
    </row>
    <row r="3911">
      <c r="A3911" s="62" t="s">
        <v>4049</v>
      </c>
      <c r="B3911" s="63">
        <v>44209.0</v>
      </c>
      <c r="C3911" s="62" t="s">
        <v>119</v>
      </c>
      <c r="D3911" s="64">
        <v>42.5</v>
      </c>
      <c r="E3911" s="62" t="s">
        <v>109</v>
      </c>
      <c r="F3911" s="62" t="s">
        <v>115</v>
      </c>
      <c r="G3911" s="64" t="s">
        <v>64</v>
      </c>
      <c r="H3911" s="3" t="s">
        <v>131</v>
      </c>
      <c r="I3911" s="65">
        <f>IFERROR(VLOOKUP(A3911,'3. Call duration'!$A:$C,3,0),"--")</f>
        <v>24.04042023</v>
      </c>
      <c r="J3911" s="65" t="str">
        <f t="array" ref="J3911">XLOOKUP(H3911,'2. Matching'!$A$2:$A$39,'2. Matching'!$B$2:$B$39,"--")</f>
        <v>Acquisition</v>
      </c>
      <c r="K3911" s="65" t="str">
        <f t="shared" si="1"/>
        <v>In</v>
      </c>
    </row>
    <row r="3912">
      <c r="A3912" s="62" t="s">
        <v>4050</v>
      </c>
      <c r="B3912" s="63">
        <v>44236.0</v>
      </c>
      <c r="C3912" s="62" t="s">
        <v>119</v>
      </c>
      <c r="D3912" s="64">
        <v>42.5</v>
      </c>
      <c r="E3912" s="62" t="s">
        <v>109</v>
      </c>
      <c r="F3912" s="62" t="s">
        <v>115</v>
      </c>
      <c r="G3912" s="64" t="s">
        <v>64</v>
      </c>
      <c r="H3912" s="3" t="s">
        <v>139</v>
      </c>
      <c r="I3912" s="65">
        <f>IFERROR(VLOOKUP(A3912,'3. Call duration'!$A:$C,3,0),"--")</f>
        <v>23.12918628</v>
      </c>
      <c r="J3912" s="65" t="str">
        <f t="array" ref="J3912">XLOOKUP(H3912,'2. Matching'!$A$2:$A$39,'2. Matching'!$B$2:$B$39,"--")</f>
        <v>Acquisition</v>
      </c>
      <c r="K3912" s="65" t="str">
        <f t="shared" si="1"/>
        <v>In</v>
      </c>
    </row>
    <row r="3913">
      <c r="A3913" s="62" t="s">
        <v>4051</v>
      </c>
      <c r="B3913" s="63">
        <v>44188.0</v>
      </c>
      <c r="C3913" s="62" t="s">
        <v>119</v>
      </c>
      <c r="D3913" s="64">
        <v>42.5</v>
      </c>
      <c r="E3913" s="62" t="s">
        <v>109</v>
      </c>
      <c r="F3913" s="62" t="s">
        <v>115</v>
      </c>
      <c r="G3913" s="64" t="s">
        <v>64</v>
      </c>
      <c r="H3913" s="3" t="s">
        <v>164</v>
      </c>
      <c r="I3913" s="65">
        <f>IFERROR(VLOOKUP(A3913,'3. Call duration'!$A:$C,3,0),"--")</f>
        <v>31.71031895</v>
      </c>
      <c r="J3913" s="65" t="str">
        <f t="array" ref="J3913">XLOOKUP(H3913,'2. Matching'!$A$2:$A$39,'2. Matching'!$B$2:$B$39,"--")</f>
        <v>SEO</v>
      </c>
      <c r="K3913" s="65" t="str">
        <f t="shared" si="1"/>
        <v>In</v>
      </c>
    </row>
    <row r="3914">
      <c r="A3914" s="62" t="s">
        <v>4052</v>
      </c>
      <c r="B3914" s="63">
        <v>44207.0</v>
      </c>
      <c r="C3914" s="62" t="s">
        <v>119</v>
      </c>
      <c r="D3914" s="64">
        <v>42.5</v>
      </c>
      <c r="E3914" s="62" t="s">
        <v>109</v>
      </c>
      <c r="F3914" s="62" t="s">
        <v>115</v>
      </c>
      <c r="G3914" s="64" t="s">
        <v>64</v>
      </c>
      <c r="H3914" s="3" t="s">
        <v>139</v>
      </c>
      <c r="I3914" s="65" t="str">
        <f>IFERROR(VLOOKUP(A3914,'3. Call duration'!$A:$C,3,0),"--")</f>
        <v>--</v>
      </c>
      <c r="J3914" s="65" t="str">
        <f t="array" ref="J3914">XLOOKUP(H3914,'2. Matching'!$A$2:$A$39,'2. Matching'!$B$2:$B$39,"--")</f>
        <v>Acquisition</v>
      </c>
      <c r="K3914" s="65" t="str">
        <f t="shared" si="1"/>
        <v>In</v>
      </c>
    </row>
    <row r="3915">
      <c r="A3915" s="62" t="s">
        <v>4053</v>
      </c>
      <c r="B3915" s="63">
        <v>44208.0</v>
      </c>
      <c r="C3915" s="62" t="s">
        <v>119</v>
      </c>
      <c r="D3915" s="64">
        <v>42.5</v>
      </c>
      <c r="E3915" s="62" t="s">
        <v>109</v>
      </c>
      <c r="F3915" s="62" t="s">
        <v>115</v>
      </c>
      <c r="G3915" s="64" t="s">
        <v>64</v>
      </c>
      <c r="H3915" s="3" t="s">
        <v>116</v>
      </c>
      <c r="I3915" s="65">
        <f>IFERROR(VLOOKUP(A3915,'3. Call duration'!$A:$C,3,0),"--")</f>
        <v>26.0181131</v>
      </c>
      <c r="J3915" s="65" t="str">
        <f t="array" ref="J3915">XLOOKUP(H3915,'2. Matching'!$A$2:$A$39,'2. Matching'!$B$2:$B$39,"--")</f>
        <v>Acquisition</v>
      </c>
      <c r="K3915" s="65" t="str">
        <f t="shared" si="1"/>
        <v>In</v>
      </c>
    </row>
    <row r="3916">
      <c r="A3916" s="62" t="s">
        <v>4054</v>
      </c>
      <c r="B3916" s="63">
        <v>44088.0</v>
      </c>
      <c r="C3916" s="62" t="s">
        <v>119</v>
      </c>
      <c r="D3916" s="64">
        <v>42.5</v>
      </c>
      <c r="E3916" s="62" t="s">
        <v>109</v>
      </c>
      <c r="F3916" s="62" t="s">
        <v>115</v>
      </c>
      <c r="G3916" s="64" t="s">
        <v>64</v>
      </c>
      <c r="H3916" s="3" t="s">
        <v>131</v>
      </c>
      <c r="I3916" s="65">
        <f>IFERROR(VLOOKUP(A3916,'3. Call duration'!$A:$C,3,0),"--")</f>
        <v>32.74178609</v>
      </c>
      <c r="J3916" s="65" t="str">
        <f t="array" ref="J3916">XLOOKUP(H3916,'2. Matching'!$A$2:$A$39,'2. Matching'!$B$2:$B$39,"--")</f>
        <v>Acquisition</v>
      </c>
      <c r="K3916" s="65" t="str">
        <f t="shared" si="1"/>
        <v>In</v>
      </c>
    </row>
    <row r="3917">
      <c r="A3917" s="62" t="s">
        <v>4055</v>
      </c>
      <c r="B3917" s="63">
        <v>44102.0</v>
      </c>
      <c r="C3917" s="62" t="s">
        <v>119</v>
      </c>
      <c r="D3917" s="64">
        <v>42.5</v>
      </c>
      <c r="E3917" s="62" t="s">
        <v>109</v>
      </c>
      <c r="F3917" s="62" t="s">
        <v>115</v>
      </c>
      <c r="G3917" s="64" t="s">
        <v>64</v>
      </c>
      <c r="H3917" s="3" t="s">
        <v>139</v>
      </c>
      <c r="I3917" s="65">
        <f>IFERROR(VLOOKUP(A3917,'3. Call duration'!$A:$C,3,0),"--")</f>
        <v>21.5426205</v>
      </c>
      <c r="J3917" s="65" t="str">
        <f t="array" ref="J3917">XLOOKUP(H3917,'2. Matching'!$A$2:$A$39,'2. Matching'!$B$2:$B$39,"--")</f>
        <v>Acquisition</v>
      </c>
      <c r="K3917" s="65" t="str">
        <f t="shared" si="1"/>
        <v>In</v>
      </c>
    </row>
    <row r="3918">
      <c r="A3918" s="62" t="s">
        <v>4056</v>
      </c>
      <c r="B3918" s="63">
        <v>44198.0</v>
      </c>
      <c r="C3918" s="62" t="s">
        <v>119</v>
      </c>
      <c r="D3918" s="64">
        <v>42.5</v>
      </c>
      <c r="E3918" s="62" t="s">
        <v>109</v>
      </c>
      <c r="F3918" s="62" t="s">
        <v>115</v>
      </c>
      <c r="G3918" s="64" t="s">
        <v>64</v>
      </c>
      <c r="H3918" s="3" t="s">
        <v>185</v>
      </c>
      <c r="I3918" s="65">
        <f>IFERROR(VLOOKUP(A3918,'3. Call duration'!$A:$C,3,0),"--")</f>
        <v>27.73176696</v>
      </c>
      <c r="J3918" s="65" t="str">
        <f t="array" ref="J3918">XLOOKUP(H3918,'2. Matching'!$A$2:$A$39,'2. Matching'!$B$2:$B$39,"--")</f>
        <v>SEO</v>
      </c>
      <c r="K3918" s="65" t="str">
        <f t="shared" si="1"/>
        <v>In</v>
      </c>
    </row>
    <row r="3919">
      <c r="A3919" s="62" t="s">
        <v>4057</v>
      </c>
      <c r="B3919" s="63">
        <v>44193.0</v>
      </c>
      <c r="C3919" s="62" t="s">
        <v>119</v>
      </c>
      <c r="D3919" s="64">
        <v>42.5</v>
      </c>
      <c r="E3919" s="62" t="s">
        <v>109</v>
      </c>
      <c r="F3919" s="62" t="s">
        <v>115</v>
      </c>
      <c r="G3919" s="64" t="s">
        <v>64</v>
      </c>
      <c r="H3919" s="3" t="s">
        <v>139</v>
      </c>
      <c r="I3919" s="65">
        <f>IFERROR(VLOOKUP(A3919,'3. Call duration'!$A:$C,3,0),"--")</f>
        <v>28.33023702</v>
      </c>
      <c r="J3919" s="65" t="str">
        <f t="array" ref="J3919">XLOOKUP(H3919,'2. Matching'!$A$2:$A$39,'2. Matching'!$B$2:$B$39,"--")</f>
        <v>Acquisition</v>
      </c>
      <c r="K3919" s="65" t="str">
        <f t="shared" si="1"/>
        <v>In</v>
      </c>
    </row>
    <row r="3920">
      <c r="A3920" s="62" t="s">
        <v>4058</v>
      </c>
      <c r="B3920" s="63">
        <v>44093.0</v>
      </c>
      <c r="C3920" s="62" t="s">
        <v>119</v>
      </c>
      <c r="D3920" s="64">
        <v>42.5</v>
      </c>
      <c r="E3920" s="62" t="s">
        <v>109</v>
      </c>
      <c r="F3920" s="62" t="s">
        <v>115</v>
      </c>
      <c r="G3920" s="64" t="s">
        <v>64</v>
      </c>
      <c r="H3920" s="3" t="s">
        <v>175</v>
      </c>
      <c r="I3920" s="65" t="str">
        <f>IFERROR(VLOOKUP(A3920,'3. Call duration'!$A:$C,3,0),"--")</f>
        <v>--</v>
      </c>
      <c r="J3920" s="65" t="str">
        <f t="array" ref="J3920">XLOOKUP(H3920,'2. Matching'!$A$2:$A$39,'2. Matching'!$B$2:$B$39,"--")</f>
        <v>SEO</v>
      </c>
      <c r="K3920" s="65" t="str">
        <f t="shared" si="1"/>
        <v>In</v>
      </c>
    </row>
    <row r="3921">
      <c r="A3921" s="62" t="s">
        <v>4059</v>
      </c>
      <c r="B3921" s="63">
        <v>44232.0</v>
      </c>
      <c r="C3921" s="62" t="s">
        <v>119</v>
      </c>
      <c r="D3921" s="64">
        <v>42.5</v>
      </c>
      <c r="E3921" s="62" t="s">
        <v>109</v>
      </c>
      <c r="F3921" s="62" t="s">
        <v>110</v>
      </c>
      <c r="G3921" s="64" t="s">
        <v>64</v>
      </c>
      <c r="H3921" s="3" t="s">
        <v>116</v>
      </c>
      <c r="I3921" s="65">
        <f>IFERROR(VLOOKUP(A3921,'3. Call duration'!$A:$C,3,0),"--")</f>
        <v>28.95445224</v>
      </c>
      <c r="J3921" s="65" t="str">
        <f t="array" ref="J3921">XLOOKUP(H3921,'2. Matching'!$A$2:$A$39,'2. Matching'!$B$2:$B$39,"--")</f>
        <v>Acquisition</v>
      </c>
      <c r="K3921" s="65" t="str">
        <f t="shared" si="1"/>
        <v>In</v>
      </c>
    </row>
    <row r="3922">
      <c r="A3922" s="62" t="s">
        <v>4060</v>
      </c>
      <c r="B3922" s="63">
        <v>44124.0</v>
      </c>
      <c r="C3922" s="62" t="s">
        <v>119</v>
      </c>
      <c r="D3922" s="64">
        <v>42.5</v>
      </c>
      <c r="E3922" s="62" t="s">
        <v>109</v>
      </c>
      <c r="F3922" s="62" t="s">
        <v>115</v>
      </c>
      <c r="G3922" s="64" t="s">
        <v>64</v>
      </c>
      <c r="H3922" s="3" t="s">
        <v>169</v>
      </c>
      <c r="I3922" s="65">
        <f>IFERROR(VLOOKUP(A3922,'3. Call duration'!$A:$C,3,0),"--")</f>
        <v>23.46961298</v>
      </c>
      <c r="J3922" s="65" t="str">
        <f t="array" ref="J3922">XLOOKUP(H3922,'2. Matching'!$A$2:$A$39,'2. Matching'!$B$2:$B$39,"--")</f>
        <v>SEO</v>
      </c>
      <c r="K3922" s="65" t="str">
        <f t="shared" si="1"/>
        <v>In</v>
      </c>
    </row>
    <row r="3923">
      <c r="A3923" s="62" t="s">
        <v>4061</v>
      </c>
      <c r="B3923" s="63">
        <v>44201.0</v>
      </c>
      <c r="C3923" s="62" t="s">
        <v>119</v>
      </c>
      <c r="D3923" s="64">
        <v>42.5</v>
      </c>
      <c r="E3923" s="62" t="s">
        <v>109</v>
      </c>
      <c r="F3923" s="62" t="s">
        <v>115</v>
      </c>
      <c r="G3923" s="64" t="s">
        <v>64</v>
      </c>
      <c r="H3923" s="3" t="s">
        <v>131</v>
      </c>
      <c r="I3923" s="65">
        <f>IFERROR(VLOOKUP(A3923,'3. Call duration'!$A:$C,3,0),"--")</f>
        <v>31.77174886</v>
      </c>
      <c r="J3923" s="65" t="str">
        <f t="array" ref="J3923">XLOOKUP(H3923,'2. Matching'!$A$2:$A$39,'2. Matching'!$B$2:$B$39,"--")</f>
        <v>Acquisition</v>
      </c>
      <c r="K3923" s="65" t="str">
        <f t="shared" si="1"/>
        <v>In</v>
      </c>
    </row>
    <row r="3924">
      <c r="A3924" s="62" t="s">
        <v>4062</v>
      </c>
      <c r="B3924" s="63">
        <v>44235.0</v>
      </c>
      <c r="C3924" s="62" t="s">
        <v>119</v>
      </c>
      <c r="D3924" s="64">
        <v>42.5</v>
      </c>
      <c r="E3924" s="62" t="s">
        <v>109</v>
      </c>
      <c r="F3924" s="62" t="s">
        <v>110</v>
      </c>
      <c r="G3924" s="64" t="s">
        <v>64</v>
      </c>
      <c r="H3924" s="3" t="s">
        <v>175</v>
      </c>
      <c r="I3924" s="65">
        <f>IFERROR(VLOOKUP(A3924,'3. Call duration'!$A:$C,3,0),"--")</f>
        <v>26.58239814</v>
      </c>
      <c r="J3924" s="65" t="str">
        <f t="array" ref="J3924">XLOOKUP(H3924,'2. Matching'!$A$2:$A$39,'2. Matching'!$B$2:$B$39,"--")</f>
        <v>SEO</v>
      </c>
      <c r="K3924" s="65" t="str">
        <f t="shared" si="1"/>
        <v>In</v>
      </c>
    </row>
    <row r="3925">
      <c r="A3925" s="62" t="s">
        <v>4063</v>
      </c>
      <c r="B3925" s="63">
        <v>44187.0</v>
      </c>
      <c r="C3925" s="62" t="s">
        <v>119</v>
      </c>
      <c r="D3925" s="64">
        <v>42.5</v>
      </c>
      <c r="E3925" s="62" t="s">
        <v>109</v>
      </c>
      <c r="F3925" s="62" t="s">
        <v>110</v>
      </c>
      <c r="G3925" s="64" t="s">
        <v>64</v>
      </c>
      <c r="H3925" s="3" t="s">
        <v>139</v>
      </c>
      <c r="I3925" s="65">
        <f>IFERROR(VLOOKUP(A3925,'3. Call duration'!$A:$C,3,0),"--")</f>
        <v>20.44482652</v>
      </c>
      <c r="J3925" s="65" t="str">
        <f t="array" ref="J3925">XLOOKUP(H3925,'2. Matching'!$A$2:$A$39,'2. Matching'!$B$2:$B$39,"--")</f>
        <v>Acquisition</v>
      </c>
      <c r="K3925" s="65" t="str">
        <f t="shared" si="1"/>
        <v>In</v>
      </c>
    </row>
    <row r="3926">
      <c r="A3926" s="62" t="s">
        <v>4064</v>
      </c>
      <c r="B3926" s="63">
        <v>44230.0</v>
      </c>
      <c r="C3926" s="62" t="s">
        <v>119</v>
      </c>
      <c r="D3926" s="64">
        <v>42.5</v>
      </c>
      <c r="E3926" s="62" t="s">
        <v>109</v>
      </c>
      <c r="F3926" s="62" t="s">
        <v>115</v>
      </c>
      <c r="G3926" s="64" t="s">
        <v>64</v>
      </c>
      <c r="H3926" s="3" t="s">
        <v>131</v>
      </c>
      <c r="I3926" s="65">
        <f>IFERROR(VLOOKUP(A3926,'3. Call duration'!$A:$C,3,0),"--")</f>
        <v>32.77735438</v>
      </c>
      <c r="J3926" s="65" t="str">
        <f t="array" ref="J3926">XLOOKUP(H3926,'2. Matching'!$A$2:$A$39,'2. Matching'!$B$2:$B$39,"--")</f>
        <v>Acquisition</v>
      </c>
      <c r="K3926" s="65" t="str">
        <f t="shared" si="1"/>
        <v>In</v>
      </c>
    </row>
    <row r="3927">
      <c r="A3927" s="62" t="s">
        <v>4065</v>
      </c>
      <c r="B3927" s="63">
        <v>44208.0</v>
      </c>
      <c r="C3927" s="62" t="s">
        <v>119</v>
      </c>
      <c r="D3927" s="64">
        <v>42.5</v>
      </c>
      <c r="E3927" s="62" t="s">
        <v>109</v>
      </c>
      <c r="F3927" s="62" t="s">
        <v>115</v>
      </c>
      <c r="G3927" s="64" t="s">
        <v>64</v>
      </c>
      <c r="H3927" s="3" t="s">
        <v>150</v>
      </c>
      <c r="I3927" s="65" t="str">
        <f>IFERROR(VLOOKUP(A3927,'3. Call duration'!$A:$C,3,0),"--")</f>
        <v>--</v>
      </c>
      <c r="J3927" s="65" t="str">
        <f t="array" ref="J3927">XLOOKUP(H3927,'2. Matching'!$A$2:$A$39,'2. Matching'!$B$2:$B$39,"--")</f>
        <v>SEO</v>
      </c>
      <c r="K3927" s="65" t="str">
        <f t="shared" si="1"/>
        <v>In</v>
      </c>
    </row>
    <row r="3928">
      <c r="A3928" s="62" t="s">
        <v>4066</v>
      </c>
      <c r="B3928" s="63">
        <v>44215.0</v>
      </c>
      <c r="C3928" s="62" t="s">
        <v>119</v>
      </c>
      <c r="D3928" s="64">
        <v>42.5</v>
      </c>
      <c r="E3928" s="62" t="s">
        <v>109</v>
      </c>
      <c r="F3928" s="62" t="s">
        <v>115</v>
      </c>
      <c r="G3928" s="64" t="s">
        <v>62</v>
      </c>
      <c r="H3928" s="3" t="s">
        <v>286</v>
      </c>
      <c r="I3928" s="65">
        <f>IFERROR(VLOOKUP(A3928,'3. Call duration'!$A:$C,3,0),"--")</f>
        <v>25.10104355</v>
      </c>
      <c r="J3928" s="65" t="str">
        <f t="array" ref="J3928">XLOOKUP(H3928,'2. Matching'!$A$2:$A$39,'2. Matching'!$B$2:$B$39,"--")</f>
        <v>Farming</v>
      </c>
      <c r="K3928" s="65" t="str">
        <f t="shared" si="1"/>
        <v>In</v>
      </c>
    </row>
    <row r="3929">
      <c r="A3929" s="62" t="s">
        <v>4067</v>
      </c>
      <c r="B3929" s="63">
        <v>44137.0</v>
      </c>
      <c r="C3929" s="62" t="s">
        <v>119</v>
      </c>
      <c r="D3929" s="64">
        <v>42.5</v>
      </c>
      <c r="E3929" s="62" t="s">
        <v>109</v>
      </c>
      <c r="F3929" s="62" t="s">
        <v>115</v>
      </c>
      <c r="G3929" s="64" t="s">
        <v>64</v>
      </c>
      <c r="H3929" s="3" t="s">
        <v>171</v>
      </c>
      <c r="I3929" s="65">
        <f>IFERROR(VLOOKUP(A3929,'3. Call duration'!$A:$C,3,0),"--")</f>
        <v>25.00463422</v>
      </c>
      <c r="J3929" s="65" t="str">
        <f t="array" ref="J3929">XLOOKUP(H3929,'2. Matching'!$A$2:$A$39,'2. Matching'!$B$2:$B$39,"--")</f>
        <v>SEO</v>
      </c>
      <c r="K3929" s="65" t="str">
        <f t="shared" si="1"/>
        <v>In</v>
      </c>
    </row>
    <row r="3930">
      <c r="A3930" s="62" t="s">
        <v>4068</v>
      </c>
      <c r="B3930" s="63">
        <v>44174.0</v>
      </c>
      <c r="C3930" s="62" t="s">
        <v>119</v>
      </c>
      <c r="D3930" s="64">
        <v>42.5</v>
      </c>
      <c r="E3930" s="62" t="s">
        <v>109</v>
      </c>
      <c r="F3930" s="62" t="s">
        <v>115</v>
      </c>
      <c r="G3930" s="64" t="s">
        <v>64</v>
      </c>
      <c r="H3930" s="3" t="s">
        <v>175</v>
      </c>
      <c r="I3930" s="65">
        <f>IFERROR(VLOOKUP(A3930,'3. Call duration'!$A:$C,3,0),"--")</f>
        <v>13.29317681</v>
      </c>
      <c r="J3930" s="65" t="str">
        <f t="array" ref="J3930">XLOOKUP(H3930,'2. Matching'!$A$2:$A$39,'2. Matching'!$B$2:$B$39,"--")</f>
        <v>SEO</v>
      </c>
      <c r="K3930" s="65" t="str">
        <f t="shared" si="1"/>
        <v>In</v>
      </c>
    </row>
    <row r="3931">
      <c r="A3931" s="62" t="s">
        <v>4069</v>
      </c>
      <c r="B3931" s="63">
        <v>44197.0</v>
      </c>
      <c r="C3931" s="62" t="s">
        <v>119</v>
      </c>
      <c r="D3931" s="64">
        <v>42.5</v>
      </c>
      <c r="E3931" s="62" t="s">
        <v>109</v>
      </c>
      <c r="F3931" s="62" t="s">
        <v>115</v>
      </c>
      <c r="G3931" s="64" t="s">
        <v>64</v>
      </c>
      <c r="H3931" s="3" t="s">
        <v>139</v>
      </c>
      <c r="I3931" s="65">
        <f>IFERROR(VLOOKUP(A3931,'3. Call duration'!$A:$C,3,0),"--")</f>
        <v>23.54800126</v>
      </c>
      <c r="J3931" s="65" t="str">
        <f t="array" ref="J3931">XLOOKUP(H3931,'2. Matching'!$A$2:$A$39,'2. Matching'!$B$2:$B$39,"--")</f>
        <v>Acquisition</v>
      </c>
      <c r="K3931" s="65" t="str">
        <f t="shared" si="1"/>
        <v>In</v>
      </c>
    </row>
    <row r="3932">
      <c r="A3932" s="62" t="s">
        <v>4070</v>
      </c>
      <c r="B3932" s="63">
        <v>44232.0</v>
      </c>
      <c r="C3932" s="62" t="s">
        <v>119</v>
      </c>
      <c r="D3932" s="64">
        <v>42.5</v>
      </c>
      <c r="E3932" s="62" t="s">
        <v>109</v>
      </c>
      <c r="F3932" s="62" t="s">
        <v>115</v>
      </c>
      <c r="G3932" s="64" t="s">
        <v>64</v>
      </c>
      <c r="H3932" s="3" t="s">
        <v>145</v>
      </c>
      <c r="I3932" s="65">
        <f>IFERROR(VLOOKUP(A3932,'3. Call duration'!$A:$C,3,0),"--")</f>
        <v>32.57192149</v>
      </c>
      <c r="J3932" s="65" t="str">
        <f t="array" ref="J3932">XLOOKUP(H3932,'2. Matching'!$A$2:$A$39,'2. Matching'!$B$2:$B$39,"--")</f>
        <v>SEO</v>
      </c>
      <c r="K3932" s="65" t="str">
        <f t="shared" si="1"/>
        <v>In</v>
      </c>
    </row>
    <row r="3933">
      <c r="A3933" s="62" t="s">
        <v>4071</v>
      </c>
      <c r="B3933" s="63">
        <v>44223.0</v>
      </c>
      <c r="C3933" s="62" t="s">
        <v>119</v>
      </c>
      <c r="D3933" s="64">
        <v>42.5</v>
      </c>
      <c r="E3933" s="62" t="s">
        <v>109</v>
      </c>
      <c r="F3933" s="62" t="s">
        <v>110</v>
      </c>
      <c r="G3933" s="64" t="s">
        <v>64</v>
      </c>
      <c r="H3933" s="3" t="s">
        <v>116</v>
      </c>
      <c r="I3933" s="65">
        <f>IFERROR(VLOOKUP(A3933,'3. Call duration'!$A:$C,3,0),"--")</f>
        <v>22.04459368</v>
      </c>
      <c r="J3933" s="65" t="str">
        <f t="array" ref="J3933">XLOOKUP(H3933,'2. Matching'!$A$2:$A$39,'2. Matching'!$B$2:$B$39,"--")</f>
        <v>Acquisition</v>
      </c>
      <c r="K3933" s="65" t="str">
        <f t="shared" si="1"/>
        <v>In</v>
      </c>
    </row>
    <row r="3934">
      <c r="A3934" s="62" t="s">
        <v>4072</v>
      </c>
      <c r="B3934" s="63">
        <v>44119.0</v>
      </c>
      <c r="C3934" s="62" t="s">
        <v>119</v>
      </c>
      <c r="D3934" s="64">
        <v>42.5</v>
      </c>
      <c r="E3934" s="62" t="s">
        <v>109</v>
      </c>
      <c r="F3934" s="62" t="s">
        <v>115</v>
      </c>
      <c r="G3934" s="64" t="s">
        <v>64</v>
      </c>
      <c r="H3934" s="3" t="s">
        <v>150</v>
      </c>
      <c r="I3934" s="65">
        <f>IFERROR(VLOOKUP(A3934,'3. Call duration'!$A:$C,3,0),"--")</f>
        <v>29.97941098</v>
      </c>
      <c r="J3934" s="65" t="str">
        <f t="array" ref="J3934">XLOOKUP(H3934,'2. Matching'!$A$2:$A$39,'2. Matching'!$B$2:$B$39,"--")</f>
        <v>SEO</v>
      </c>
      <c r="K3934" s="65" t="str">
        <f t="shared" si="1"/>
        <v>In</v>
      </c>
    </row>
    <row r="3935">
      <c r="A3935" s="62" t="s">
        <v>4073</v>
      </c>
      <c r="B3935" s="63">
        <v>44251.0</v>
      </c>
      <c r="C3935" s="62" t="s">
        <v>119</v>
      </c>
      <c r="D3935" s="64">
        <v>42.5</v>
      </c>
      <c r="E3935" s="62" t="s">
        <v>109</v>
      </c>
      <c r="F3935" s="62" t="s">
        <v>110</v>
      </c>
      <c r="G3935" s="64" t="s">
        <v>64</v>
      </c>
      <c r="H3935" s="3" t="s">
        <v>131</v>
      </c>
      <c r="I3935" s="65">
        <f>IFERROR(VLOOKUP(A3935,'3. Call duration'!$A:$C,3,0),"--")</f>
        <v>24.10942321</v>
      </c>
      <c r="J3935" s="65" t="str">
        <f t="array" ref="J3935">XLOOKUP(H3935,'2. Matching'!$A$2:$A$39,'2. Matching'!$B$2:$B$39,"--")</f>
        <v>Acquisition</v>
      </c>
      <c r="K3935" s="65" t="str">
        <f t="shared" si="1"/>
        <v>In</v>
      </c>
    </row>
    <row r="3936">
      <c r="A3936" s="62" t="s">
        <v>4074</v>
      </c>
      <c r="B3936" s="63">
        <v>44207.0</v>
      </c>
      <c r="C3936" s="62" t="s">
        <v>119</v>
      </c>
      <c r="D3936" s="64">
        <v>42.5</v>
      </c>
      <c r="E3936" s="62" t="s">
        <v>109</v>
      </c>
      <c r="F3936" s="62" t="s">
        <v>115</v>
      </c>
      <c r="G3936" s="64" t="s">
        <v>64</v>
      </c>
      <c r="H3936" s="3" t="s">
        <v>169</v>
      </c>
      <c r="I3936" s="65">
        <f>IFERROR(VLOOKUP(A3936,'3. Call duration'!$A:$C,3,0),"--")</f>
        <v>31.46609957</v>
      </c>
      <c r="J3936" s="65" t="str">
        <f t="array" ref="J3936">XLOOKUP(H3936,'2. Matching'!$A$2:$A$39,'2. Matching'!$B$2:$B$39,"--")</f>
        <v>SEO</v>
      </c>
      <c r="K3936" s="65" t="str">
        <f t="shared" si="1"/>
        <v>In</v>
      </c>
    </row>
    <row r="3937">
      <c r="A3937" s="62" t="s">
        <v>4075</v>
      </c>
      <c r="B3937" s="63">
        <v>44088.0</v>
      </c>
      <c r="C3937" s="62" t="s">
        <v>119</v>
      </c>
      <c r="D3937" s="64">
        <v>42.5</v>
      </c>
      <c r="E3937" s="62" t="s">
        <v>109</v>
      </c>
      <c r="F3937" s="62" t="s">
        <v>110</v>
      </c>
      <c r="G3937" s="64" t="s">
        <v>64</v>
      </c>
      <c r="H3937" s="3" t="s">
        <v>175</v>
      </c>
      <c r="I3937" s="65">
        <f>IFERROR(VLOOKUP(A3937,'3. Call duration'!$A:$C,3,0),"--")</f>
        <v>39.80447014</v>
      </c>
      <c r="J3937" s="65" t="str">
        <f t="array" ref="J3937">XLOOKUP(H3937,'2. Matching'!$A$2:$A$39,'2. Matching'!$B$2:$B$39,"--")</f>
        <v>SEO</v>
      </c>
      <c r="K3937" s="65" t="str">
        <f t="shared" si="1"/>
        <v>In</v>
      </c>
    </row>
    <row r="3938">
      <c r="A3938" s="62" t="s">
        <v>4076</v>
      </c>
      <c r="B3938" s="63">
        <v>44228.0</v>
      </c>
      <c r="C3938" s="62" t="s">
        <v>119</v>
      </c>
      <c r="D3938" s="64">
        <v>42.5</v>
      </c>
      <c r="E3938" s="62" t="s">
        <v>109</v>
      </c>
      <c r="F3938" s="62" t="s">
        <v>115</v>
      </c>
      <c r="G3938" s="64" t="s">
        <v>64</v>
      </c>
      <c r="H3938" s="3" t="s">
        <v>139</v>
      </c>
      <c r="I3938" s="65">
        <f>IFERROR(VLOOKUP(A3938,'3. Call duration'!$A:$C,3,0),"--")</f>
        <v>24.27227503</v>
      </c>
      <c r="J3938" s="65" t="str">
        <f t="array" ref="J3938">XLOOKUP(H3938,'2. Matching'!$A$2:$A$39,'2. Matching'!$B$2:$B$39,"--")</f>
        <v>Acquisition</v>
      </c>
      <c r="K3938" s="65" t="str">
        <f t="shared" si="1"/>
        <v>In</v>
      </c>
    </row>
    <row r="3939">
      <c r="A3939" s="62" t="s">
        <v>4077</v>
      </c>
      <c r="B3939" s="63">
        <v>44222.0</v>
      </c>
      <c r="C3939" s="62" t="s">
        <v>119</v>
      </c>
      <c r="D3939" s="64">
        <v>42.5</v>
      </c>
      <c r="E3939" s="62" t="s">
        <v>109</v>
      </c>
      <c r="F3939" s="62" t="s">
        <v>115</v>
      </c>
      <c r="G3939" s="64" t="s">
        <v>64</v>
      </c>
      <c r="H3939" s="3" t="s">
        <v>171</v>
      </c>
      <c r="I3939" s="65">
        <f>IFERROR(VLOOKUP(A3939,'3. Call duration'!$A:$C,3,0),"--")</f>
        <v>22.73796604</v>
      </c>
      <c r="J3939" s="65" t="str">
        <f t="array" ref="J3939">XLOOKUP(H3939,'2. Matching'!$A$2:$A$39,'2. Matching'!$B$2:$B$39,"--")</f>
        <v>SEO</v>
      </c>
      <c r="K3939" s="65" t="str">
        <f t="shared" si="1"/>
        <v>In</v>
      </c>
    </row>
    <row r="3940">
      <c r="A3940" s="62" t="s">
        <v>4078</v>
      </c>
      <c r="B3940" s="63">
        <v>44203.0</v>
      </c>
      <c r="C3940" s="62" t="s">
        <v>119</v>
      </c>
      <c r="D3940" s="64">
        <v>42.5</v>
      </c>
      <c r="E3940" s="62" t="s">
        <v>109</v>
      </c>
      <c r="F3940" s="62" t="s">
        <v>115</v>
      </c>
      <c r="G3940" s="64" t="s">
        <v>64</v>
      </c>
      <c r="H3940" s="3" t="s">
        <v>164</v>
      </c>
      <c r="I3940" s="65">
        <f>IFERROR(VLOOKUP(A3940,'3. Call duration'!$A:$C,3,0),"--")</f>
        <v>27.77822101</v>
      </c>
      <c r="J3940" s="65" t="str">
        <f t="array" ref="J3940">XLOOKUP(H3940,'2. Matching'!$A$2:$A$39,'2. Matching'!$B$2:$B$39,"--")</f>
        <v>SEO</v>
      </c>
      <c r="K3940" s="65" t="str">
        <f t="shared" si="1"/>
        <v>In</v>
      </c>
    </row>
    <row r="3941">
      <c r="A3941" s="62" t="s">
        <v>4079</v>
      </c>
      <c r="B3941" s="63">
        <v>44237.0</v>
      </c>
      <c r="C3941" s="62" t="s">
        <v>119</v>
      </c>
      <c r="D3941" s="64">
        <v>42.5</v>
      </c>
      <c r="E3941" s="62" t="s">
        <v>109</v>
      </c>
      <c r="F3941" s="62" t="s">
        <v>115</v>
      </c>
      <c r="G3941" s="64" t="s">
        <v>64</v>
      </c>
      <c r="H3941" s="3" t="s">
        <v>164</v>
      </c>
      <c r="I3941" s="65">
        <f>IFERROR(VLOOKUP(A3941,'3. Call duration'!$A:$C,3,0),"--")</f>
        <v>29.52676988</v>
      </c>
      <c r="J3941" s="65" t="str">
        <f t="array" ref="J3941">XLOOKUP(H3941,'2. Matching'!$A$2:$A$39,'2. Matching'!$B$2:$B$39,"--")</f>
        <v>SEO</v>
      </c>
      <c r="K3941" s="65" t="str">
        <f t="shared" si="1"/>
        <v>In</v>
      </c>
    </row>
    <row r="3942">
      <c r="A3942" s="62" t="s">
        <v>4080</v>
      </c>
      <c r="B3942" s="63">
        <v>44238.0</v>
      </c>
      <c r="C3942" s="62" t="s">
        <v>119</v>
      </c>
      <c r="D3942" s="64">
        <v>42.5</v>
      </c>
      <c r="E3942" s="62" t="s">
        <v>109</v>
      </c>
      <c r="F3942" s="62" t="s">
        <v>115</v>
      </c>
      <c r="G3942" s="64" t="s">
        <v>64</v>
      </c>
      <c r="H3942" s="3" t="s">
        <v>139</v>
      </c>
      <c r="I3942" s="65">
        <f>IFERROR(VLOOKUP(A3942,'3. Call duration'!$A:$C,3,0),"--")</f>
        <v>12.66359866</v>
      </c>
      <c r="J3942" s="65" t="str">
        <f t="array" ref="J3942">XLOOKUP(H3942,'2. Matching'!$A$2:$A$39,'2. Matching'!$B$2:$B$39,"--")</f>
        <v>Acquisition</v>
      </c>
      <c r="K3942" s="65" t="str">
        <f t="shared" si="1"/>
        <v>In</v>
      </c>
    </row>
    <row r="3943">
      <c r="A3943" s="62" t="s">
        <v>4081</v>
      </c>
      <c r="B3943" s="63">
        <v>44151.0</v>
      </c>
      <c r="C3943" s="62" t="s">
        <v>119</v>
      </c>
      <c r="D3943" s="64">
        <v>42.5</v>
      </c>
      <c r="E3943" s="62" t="s">
        <v>109</v>
      </c>
      <c r="F3943" s="62" t="s">
        <v>115</v>
      </c>
      <c r="G3943" s="64" t="s">
        <v>64</v>
      </c>
      <c r="H3943" s="3" t="s">
        <v>139</v>
      </c>
      <c r="I3943" s="65">
        <f>IFERROR(VLOOKUP(A3943,'3. Call duration'!$A:$C,3,0),"--")</f>
        <v>27.04858725</v>
      </c>
      <c r="J3943" s="65" t="str">
        <f t="array" ref="J3943">XLOOKUP(H3943,'2. Matching'!$A$2:$A$39,'2. Matching'!$B$2:$B$39,"--")</f>
        <v>Acquisition</v>
      </c>
      <c r="K3943" s="65" t="str">
        <f t="shared" si="1"/>
        <v>In</v>
      </c>
    </row>
    <row r="3944">
      <c r="A3944" s="62" t="s">
        <v>4082</v>
      </c>
      <c r="B3944" s="63">
        <v>44203.0</v>
      </c>
      <c r="C3944" s="62" t="s">
        <v>119</v>
      </c>
      <c r="D3944" s="64">
        <v>42.5</v>
      </c>
      <c r="E3944" s="62" t="s">
        <v>109</v>
      </c>
      <c r="F3944" s="62" t="s">
        <v>115</v>
      </c>
      <c r="G3944" s="64" t="s">
        <v>64</v>
      </c>
      <c r="H3944" s="3" t="s">
        <v>185</v>
      </c>
      <c r="I3944" s="65">
        <f>IFERROR(VLOOKUP(A3944,'3. Call duration'!$A:$C,3,0),"--")</f>
        <v>25.31565298</v>
      </c>
      <c r="J3944" s="65" t="str">
        <f t="array" ref="J3944">XLOOKUP(H3944,'2. Matching'!$A$2:$A$39,'2. Matching'!$B$2:$B$39,"--")</f>
        <v>SEO</v>
      </c>
      <c r="K3944" s="65" t="str">
        <f t="shared" si="1"/>
        <v>In</v>
      </c>
    </row>
    <row r="3945">
      <c r="A3945" s="62" t="s">
        <v>4083</v>
      </c>
      <c r="B3945" s="63">
        <v>44201.0</v>
      </c>
      <c r="C3945" s="62" t="s">
        <v>119</v>
      </c>
      <c r="D3945" s="64">
        <v>42.5</v>
      </c>
      <c r="E3945" s="62" t="s">
        <v>109</v>
      </c>
      <c r="F3945" s="62" t="s">
        <v>110</v>
      </c>
      <c r="G3945" s="64" t="s">
        <v>64</v>
      </c>
      <c r="H3945" s="3" t="s">
        <v>175</v>
      </c>
      <c r="I3945" s="65">
        <f>IFERROR(VLOOKUP(A3945,'3. Call duration'!$A:$C,3,0),"--")</f>
        <v>23.04054826</v>
      </c>
      <c r="J3945" s="65" t="str">
        <f t="array" ref="J3945">XLOOKUP(H3945,'2. Matching'!$A$2:$A$39,'2. Matching'!$B$2:$B$39,"--")</f>
        <v>SEO</v>
      </c>
      <c r="K3945" s="65" t="str">
        <f t="shared" si="1"/>
        <v>In</v>
      </c>
    </row>
    <row r="3946">
      <c r="A3946" s="62" t="s">
        <v>4084</v>
      </c>
      <c r="B3946" s="63">
        <v>44215.0</v>
      </c>
      <c r="C3946" s="62" t="s">
        <v>119</v>
      </c>
      <c r="D3946" s="64">
        <v>42.5</v>
      </c>
      <c r="E3946" s="62" t="s">
        <v>109</v>
      </c>
      <c r="F3946" s="62" t="s">
        <v>115</v>
      </c>
      <c r="G3946" s="64" t="s">
        <v>64</v>
      </c>
      <c r="H3946" s="3" t="s">
        <v>131</v>
      </c>
      <c r="I3946" s="65">
        <f>IFERROR(VLOOKUP(A3946,'3. Call duration'!$A:$C,3,0),"--")</f>
        <v>20.17098548</v>
      </c>
      <c r="J3946" s="65" t="str">
        <f t="array" ref="J3946">XLOOKUP(H3946,'2. Matching'!$A$2:$A$39,'2. Matching'!$B$2:$B$39,"--")</f>
        <v>Acquisition</v>
      </c>
      <c r="K3946" s="65" t="str">
        <f t="shared" si="1"/>
        <v>In</v>
      </c>
    </row>
    <row r="3947">
      <c r="A3947" s="62" t="s">
        <v>4085</v>
      </c>
      <c r="B3947" s="63">
        <v>44156.0</v>
      </c>
      <c r="C3947" s="62" t="s">
        <v>119</v>
      </c>
      <c r="D3947" s="64">
        <v>42.5</v>
      </c>
      <c r="E3947" s="62" t="s">
        <v>109</v>
      </c>
      <c r="F3947" s="62" t="s">
        <v>115</v>
      </c>
      <c r="G3947" s="64" t="s">
        <v>64</v>
      </c>
      <c r="H3947" s="3" t="s">
        <v>139</v>
      </c>
      <c r="I3947" s="65">
        <f>IFERROR(VLOOKUP(A3947,'3. Call duration'!$A:$C,3,0),"--")</f>
        <v>28.64079126</v>
      </c>
      <c r="J3947" s="65" t="str">
        <f t="array" ref="J3947">XLOOKUP(H3947,'2. Matching'!$A$2:$A$39,'2. Matching'!$B$2:$B$39,"--")</f>
        <v>Acquisition</v>
      </c>
      <c r="K3947" s="65" t="str">
        <f t="shared" si="1"/>
        <v>In</v>
      </c>
    </row>
    <row r="3948">
      <c r="A3948" s="62" t="s">
        <v>4086</v>
      </c>
      <c r="B3948" s="63">
        <v>44078.0</v>
      </c>
      <c r="C3948" s="62" t="s">
        <v>119</v>
      </c>
      <c r="D3948" s="64">
        <v>42.5</v>
      </c>
      <c r="E3948" s="62" t="s">
        <v>109</v>
      </c>
      <c r="F3948" s="62" t="s">
        <v>115</v>
      </c>
      <c r="G3948" s="64" t="s">
        <v>64</v>
      </c>
      <c r="H3948" s="3" t="s">
        <v>139</v>
      </c>
      <c r="I3948" s="65">
        <f>IFERROR(VLOOKUP(A3948,'3. Call duration'!$A:$C,3,0),"--")</f>
        <v>38.70388679</v>
      </c>
      <c r="J3948" s="65" t="str">
        <f t="array" ref="J3948">XLOOKUP(H3948,'2. Matching'!$A$2:$A$39,'2. Matching'!$B$2:$B$39,"--")</f>
        <v>Acquisition</v>
      </c>
      <c r="K3948" s="65" t="str">
        <f t="shared" si="1"/>
        <v>In</v>
      </c>
    </row>
    <row r="3949">
      <c r="A3949" s="62" t="s">
        <v>4087</v>
      </c>
      <c r="B3949" s="63">
        <v>44105.0</v>
      </c>
      <c r="C3949" s="62" t="s">
        <v>119</v>
      </c>
      <c r="D3949" s="64">
        <v>42.5</v>
      </c>
      <c r="E3949" s="62" t="s">
        <v>109</v>
      </c>
      <c r="F3949" s="62" t="s">
        <v>115</v>
      </c>
      <c r="G3949" s="64" t="s">
        <v>64</v>
      </c>
      <c r="H3949" s="3" t="s">
        <v>139</v>
      </c>
      <c r="I3949" s="65">
        <f>IFERROR(VLOOKUP(A3949,'3. Call duration'!$A:$C,3,0),"--")</f>
        <v>16.05713995</v>
      </c>
      <c r="J3949" s="65" t="str">
        <f t="array" ref="J3949">XLOOKUP(H3949,'2. Matching'!$A$2:$A$39,'2. Matching'!$B$2:$B$39,"--")</f>
        <v>Acquisition</v>
      </c>
      <c r="K3949" s="65" t="str">
        <f t="shared" si="1"/>
        <v>In</v>
      </c>
    </row>
    <row r="3950">
      <c r="A3950" s="62" t="s">
        <v>4088</v>
      </c>
      <c r="B3950" s="63">
        <v>44158.0</v>
      </c>
      <c r="C3950" s="62" t="s">
        <v>119</v>
      </c>
      <c r="D3950" s="64">
        <v>42.5</v>
      </c>
      <c r="E3950" s="62" t="s">
        <v>109</v>
      </c>
      <c r="F3950" s="62" t="s">
        <v>115</v>
      </c>
      <c r="G3950" s="64" t="s">
        <v>62</v>
      </c>
      <c r="H3950" s="3" t="s">
        <v>286</v>
      </c>
      <c r="I3950" s="65">
        <f>IFERROR(VLOOKUP(A3950,'3. Call duration'!$A:$C,3,0),"--")</f>
        <v>29.40076316</v>
      </c>
      <c r="J3950" s="65" t="str">
        <f t="array" ref="J3950">XLOOKUP(H3950,'2. Matching'!$A$2:$A$39,'2. Matching'!$B$2:$B$39,"--")</f>
        <v>Farming</v>
      </c>
      <c r="K3950" s="65" t="str">
        <f t="shared" si="1"/>
        <v>In</v>
      </c>
    </row>
    <row r="3951">
      <c r="A3951" s="62" t="s">
        <v>4089</v>
      </c>
      <c r="B3951" s="63">
        <v>44236.0</v>
      </c>
      <c r="C3951" s="62" t="s">
        <v>119</v>
      </c>
      <c r="D3951" s="64">
        <v>42.5</v>
      </c>
      <c r="E3951" s="62" t="s">
        <v>109</v>
      </c>
      <c r="F3951" s="62" t="s">
        <v>115</v>
      </c>
      <c r="G3951" s="64" t="s">
        <v>64</v>
      </c>
      <c r="H3951" s="3" t="s">
        <v>175</v>
      </c>
      <c r="I3951" s="65">
        <f>IFERROR(VLOOKUP(A3951,'3. Call duration'!$A:$C,3,0),"--")</f>
        <v>28.18302803</v>
      </c>
      <c r="J3951" s="65" t="str">
        <f t="array" ref="J3951">XLOOKUP(H3951,'2. Matching'!$A$2:$A$39,'2. Matching'!$B$2:$B$39,"--")</f>
        <v>SEO</v>
      </c>
      <c r="K3951" s="65" t="str">
        <f t="shared" si="1"/>
        <v>In</v>
      </c>
    </row>
    <row r="3952">
      <c r="A3952" s="62" t="s">
        <v>4090</v>
      </c>
      <c r="B3952" s="63">
        <v>44137.0</v>
      </c>
      <c r="C3952" s="62" t="s">
        <v>119</v>
      </c>
      <c r="D3952" s="64">
        <v>42.5</v>
      </c>
      <c r="E3952" s="62" t="s">
        <v>109</v>
      </c>
      <c r="F3952" s="62" t="s">
        <v>115</v>
      </c>
      <c r="G3952" s="64" t="s">
        <v>64</v>
      </c>
      <c r="H3952" s="3" t="s">
        <v>171</v>
      </c>
      <c r="I3952" s="65">
        <f>IFERROR(VLOOKUP(A3952,'3. Call duration'!$A:$C,3,0),"--")</f>
        <v>22.52540237</v>
      </c>
      <c r="J3952" s="65" t="str">
        <f t="array" ref="J3952">XLOOKUP(H3952,'2. Matching'!$A$2:$A$39,'2. Matching'!$B$2:$B$39,"--")</f>
        <v>SEO</v>
      </c>
      <c r="K3952" s="65" t="str">
        <f t="shared" si="1"/>
        <v>In</v>
      </c>
    </row>
    <row r="3953">
      <c r="A3953" s="62" t="s">
        <v>4091</v>
      </c>
      <c r="B3953" s="63">
        <v>44133.0</v>
      </c>
      <c r="C3953" s="62" t="s">
        <v>119</v>
      </c>
      <c r="D3953" s="64">
        <v>42.5</v>
      </c>
      <c r="E3953" s="62" t="s">
        <v>109</v>
      </c>
      <c r="F3953" s="62" t="s">
        <v>115</v>
      </c>
      <c r="G3953" s="64" t="s">
        <v>64</v>
      </c>
      <c r="H3953" s="3" t="s">
        <v>155</v>
      </c>
      <c r="I3953" s="65">
        <f>IFERROR(VLOOKUP(A3953,'3. Call duration'!$A:$C,3,0),"--")</f>
        <v>33.58734545</v>
      </c>
      <c r="J3953" s="65" t="str">
        <f t="array" ref="J3953">XLOOKUP(H3953,'2. Matching'!$A$2:$A$39,'2. Matching'!$B$2:$B$39,"--")</f>
        <v>SEO</v>
      </c>
      <c r="K3953" s="65" t="str">
        <f t="shared" si="1"/>
        <v>In</v>
      </c>
    </row>
    <row r="3954">
      <c r="A3954" s="62" t="s">
        <v>4092</v>
      </c>
      <c r="B3954" s="63">
        <v>44235.0</v>
      </c>
      <c r="C3954" s="62" t="s">
        <v>119</v>
      </c>
      <c r="D3954" s="64">
        <v>42.5</v>
      </c>
      <c r="E3954" s="62" t="s">
        <v>109</v>
      </c>
      <c r="F3954" s="62" t="s">
        <v>115</v>
      </c>
      <c r="G3954" s="64" t="s">
        <v>64</v>
      </c>
      <c r="H3954" s="3" t="s">
        <v>131</v>
      </c>
      <c r="I3954" s="65">
        <f>IFERROR(VLOOKUP(A3954,'3. Call duration'!$A:$C,3,0),"--")</f>
        <v>10.65854465</v>
      </c>
      <c r="J3954" s="65" t="str">
        <f t="array" ref="J3954">XLOOKUP(H3954,'2. Matching'!$A$2:$A$39,'2. Matching'!$B$2:$B$39,"--")</f>
        <v>Acquisition</v>
      </c>
      <c r="K3954" s="65" t="str">
        <f t="shared" si="1"/>
        <v>In</v>
      </c>
    </row>
    <row r="3955">
      <c r="A3955" s="62" t="s">
        <v>4093</v>
      </c>
      <c r="B3955" s="63">
        <v>44200.0</v>
      </c>
      <c r="C3955" s="62" t="s">
        <v>119</v>
      </c>
      <c r="D3955" s="64">
        <v>42.5</v>
      </c>
      <c r="E3955" s="62" t="s">
        <v>109</v>
      </c>
      <c r="F3955" s="62" t="s">
        <v>115</v>
      </c>
      <c r="G3955" s="64" t="s">
        <v>64</v>
      </c>
      <c r="H3955" s="3" t="s">
        <v>49</v>
      </c>
      <c r="I3955" s="65">
        <f>IFERROR(VLOOKUP(A3955,'3. Call duration'!$A:$C,3,0),"--")</f>
        <v>19.30786878</v>
      </c>
      <c r="J3955" s="65" t="str">
        <f t="array" ref="J3955">XLOOKUP(H3955,'2. Matching'!$A$2:$A$39,'2. Matching'!$B$2:$B$39,"--")</f>
        <v>Partnerships</v>
      </c>
      <c r="K3955" s="65" t="str">
        <f t="shared" si="1"/>
        <v>In</v>
      </c>
    </row>
    <row r="3956">
      <c r="A3956" s="62" t="s">
        <v>4094</v>
      </c>
      <c r="B3956" s="63">
        <v>44177.0</v>
      </c>
      <c r="C3956" s="62" t="s">
        <v>119</v>
      </c>
      <c r="D3956" s="64">
        <v>42.5</v>
      </c>
      <c r="E3956" s="62" t="s">
        <v>109</v>
      </c>
      <c r="F3956" s="62" t="s">
        <v>115</v>
      </c>
      <c r="G3956" s="64" t="s">
        <v>62</v>
      </c>
      <c r="H3956" s="3" t="s">
        <v>286</v>
      </c>
      <c r="I3956" s="65">
        <f>IFERROR(VLOOKUP(A3956,'3. Call duration'!$A:$C,3,0),"--")</f>
        <v>14.98772559</v>
      </c>
      <c r="J3956" s="65" t="str">
        <f t="array" ref="J3956">XLOOKUP(H3956,'2. Matching'!$A$2:$A$39,'2. Matching'!$B$2:$B$39,"--")</f>
        <v>Farming</v>
      </c>
      <c r="K3956" s="65" t="str">
        <f t="shared" si="1"/>
        <v>In</v>
      </c>
    </row>
    <row r="3957">
      <c r="A3957" s="62" t="s">
        <v>4095</v>
      </c>
      <c r="B3957" s="63">
        <v>44124.0</v>
      </c>
      <c r="C3957" s="62" t="s">
        <v>119</v>
      </c>
      <c r="D3957" s="64">
        <v>42.5</v>
      </c>
      <c r="E3957" s="62" t="s">
        <v>109</v>
      </c>
      <c r="F3957" s="62" t="s">
        <v>115</v>
      </c>
      <c r="G3957" s="64" t="s">
        <v>64</v>
      </c>
      <c r="H3957" s="3" t="s">
        <v>139</v>
      </c>
      <c r="I3957" s="65">
        <f>IFERROR(VLOOKUP(A3957,'3. Call duration'!$A:$C,3,0),"--")</f>
        <v>32.16836356</v>
      </c>
      <c r="J3957" s="65" t="str">
        <f t="array" ref="J3957">XLOOKUP(H3957,'2. Matching'!$A$2:$A$39,'2. Matching'!$B$2:$B$39,"--")</f>
        <v>Acquisition</v>
      </c>
      <c r="K3957" s="65" t="str">
        <f t="shared" si="1"/>
        <v>In</v>
      </c>
    </row>
    <row r="3958">
      <c r="A3958" s="62" t="s">
        <v>4096</v>
      </c>
      <c r="B3958" s="63">
        <v>44231.0</v>
      </c>
      <c r="C3958" s="62" t="s">
        <v>119</v>
      </c>
      <c r="D3958" s="64">
        <v>42.5</v>
      </c>
      <c r="E3958" s="62" t="s">
        <v>109</v>
      </c>
      <c r="F3958" s="62" t="s">
        <v>115</v>
      </c>
      <c r="G3958" s="64" t="s">
        <v>112</v>
      </c>
      <c r="H3958" s="3"/>
      <c r="I3958" s="65">
        <f>IFERROR(VLOOKUP(A3958,'3. Call duration'!$A:$C,3,0),"--")</f>
        <v>33.62475632</v>
      </c>
      <c r="J3958" s="65" t="str">
        <f t="array" ref="J3958">XLOOKUP(H3958,'2. Matching'!$A$2:$A$39,'2. Matching'!$B$2:$B$39,"--")</f>
        <v>--</v>
      </c>
      <c r="K3958" s="65" t="str">
        <f t="shared" si="1"/>
        <v>In</v>
      </c>
    </row>
    <row r="3959">
      <c r="A3959" s="62" t="s">
        <v>4097</v>
      </c>
      <c r="B3959" s="63">
        <v>44119.0</v>
      </c>
      <c r="C3959" s="62" t="s">
        <v>119</v>
      </c>
      <c r="D3959" s="64">
        <v>42.5</v>
      </c>
      <c r="E3959" s="62" t="s">
        <v>109</v>
      </c>
      <c r="F3959" s="62" t="s">
        <v>115</v>
      </c>
      <c r="G3959" s="64" t="s">
        <v>64</v>
      </c>
      <c r="H3959" s="3" t="s">
        <v>145</v>
      </c>
      <c r="I3959" s="65">
        <f>IFERROR(VLOOKUP(A3959,'3. Call duration'!$A:$C,3,0),"--")</f>
        <v>28.4032281</v>
      </c>
      <c r="J3959" s="65" t="str">
        <f t="array" ref="J3959">XLOOKUP(H3959,'2. Matching'!$A$2:$A$39,'2. Matching'!$B$2:$B$39,"--")</f>
        <v>SEO</v>
      </c>
      <c r="K3959" s="65" t="str">
        <f t="shared" si="1"/>
        <v>In</v>
      </c>
    </row>
    <row r="3960">
      <c r="A3960" s="62" t="s">
        <v>4098</v>
      </c>
      <c r="B3960" s="63">
        <v>44095.0</v>
      </c>
      <c r="C3960" s="62" t="s">
        <v>119</v>
      </c>
      <c r="D3960" s="64">
        <v>42.5</v>
      </c>
      <c r="E3960" s="62" t="s">
        <v>109</v>
      </c>
      <c r="F3960" s="62" t="s">
        <v>115</v>
      </c>
      <c r="G3960" s="64" t="s">
        <v>64</v>
      </c>
      <c r="H3960" s="3" t="s">
        <v>139</v>
      </c>
      <c r="I3960" s="65">
        <f>IFERROR(VLOOKUP(A3960,'3. Call duration'!$A:$C,3,0),"--")</f>
        <v>23.01173434</v>
      </c>
      <c r="J3960" s="65" t="str">
        <f t="array" ref="J3960">XLOOKUP(H3960,'2. Matching'!$A$2:$A$39,'2. Matching'!$B$2:$B$39,"--")</f>
        <v>Acquisition</v>
      </c>
      <c r="K3960" s="65" t="str">
        <f t="shared" si="1"/>
        <v>In</v>
      </c>
    </row>
    <row r="3961">
      <c r="A3961" s="62" t="s">
        <v>4099</v>
      </c>
      <c r="B3961" s="63">
        <v>44254.0</v>
      </c>
      <c r="C3961" s="62" t="s">
        <v>119</v>
      </c>
      <c r="D3961" s="64">
        <v>42.5</v>
      </c>
      <c r="E3961" s="62" t="s">
        <v>109</v>
      </c>
      <c r="F3961" s="62" t="s">
        <v>115</v>
      </c>
      <c r="G3961" s="64" t="s">
        <v>64</v>
      </c>
      <c r="H3961" s="3" t="s">
        <v>139</v>
      </c>
      <c r="I3961" s="65">
        <f>IFERROR(VLOOKUP(A3961,'3. Call duration'!$A:$C,3,0),"--")</f>
        <v>30.57036383</v>
      </c>
      <c r="J3961" s="65" t="str">
        <f t="array" ref="J3961">XLOOKUP(H3961,'2. Matching'!$A$2:$A$39,'2. Matching'!$B$2:$B$39,"--")</f>
        <v>Acquisition</v>
      </c>
      <c r="K3961" s="65" t="str">
        <f t="shared" si="1"/>
        <v>In</v>
      </c>
    </row>
    <row r="3962">
      <c r="A3962" s="62" t="s">
        <v>4100</v>
      </c>
      <c r="B3962" s="63">
        <v>44183.0</v>
      </c>
      <c r="C3962" s="62" t="s">
        <v>119</v>
      </c>
      <c r="D3962" s="64">
        <v>42.5</v>
      </c>
      <c r="E3962" s="62" t="s">
        <v>109</v>
      </c>
      <c r="F3962" s="62" t="s">
        <v>115</v>
      </c>
      <c r="G3962" s="64" t="s">
        <v>64</v>
      </c>
      <c r="H3962" s="3" t="s">
        <v>175</v>
      </c>
      <c r="I3962" s="65">
        <f>IFERROR(VLOOKUP(A3962,'3. Call duration'!$A:$C,3,0),"--")</f>
        <v>30.7317307</v>
      </c>
      <c r="J3962" s="65" t="str">
        <f t="array" ref="J3962">XLOOKUP(H3962,'2. Matching'!$A$2:$A$39,'2. Matching'!$B$2:$B$39,"--")</f>
        <v>SEO</v>
      </c>
      <c r="K3962" s="65" t="str">
        <f t="shared" si="1"/>
        <v>In</v>
      </c>
    </row>
    <row r="3963">
      <c r="A3963" s="62" t="s">
        <v>4101</v>
      </c>
      <c r="B3963" s="63">
        <v>44173.0</v>
      </c>
      <c r="C3963" s="62" t="s">
        <v>119</v>
      </c>
      <c r="D3963" s="64">
        <v>42.5</v>
      </c>
      <c r="E3963" s="62" t="s">
        <v>109</v>
      </c>
      <c r="F3963" s="62" t="s">
        <v>115</v>
      </c>
      <c r="G3963" s="64" t="s">
        <v>64</v>
      </c>
      <c r="H3963" s="3" t="s">
        <v>139</v>
      </c>
      <c r="I3963" s="65" t="str">
        <f>IFERROR(VLOOKUP(A3963,'3. Call duration'!$A:$C,3,0),"--")</f>
        <v>--</v>
      </c>
      <c r="J3963" s="65" t="str">
        <f t="array" ref="J3963">XLOOKUP(H3963,'2. Matching'!$A$2:$A$39,'2. Matching'!$B$2:$B$39,"--")</f>
        <v>Acquisition</v>
      </c>
      <c r="K3963" s="65" t="str">
        <f t="shared" si="1"/>
        <v>In</v>
      </c>
    </row>
    <row r="3964">
      <c r="A3964" s="62" t="s">
        <v>4102</v>
      </c>
      <c r="B3964" s="63">
        <v>44239.0</v>
      </c>
      <c r="C3964" s="62" t="s">
        <v>119</v>
      </c>
      <c r="D3964" s="64">
        <v>42.5</v>
      </c>
      <c r="E3964" s="62" t="s">
        <v>109</v>
      </c>
      <c r="F3964" s="62" t="s">
        <v>115</v>
      </c>
      <c r="G3964" s="64" t="s">
        <v>64</v>
      </c>
      <c r="H3964" s="3" t="s">
        <v>150</v>
      </c>
      <c r="I3964" s="65">
        <f>IFERROR(VLOOKUP(A3964,'3. Call duration'!$A:$C,3,0),"--")</f>
        <v>25.26605656</v>
      </c>
      <c r="J3964" s="65" t="str">
        <f t="array" ref="J3964">XLOOKUP(H3964,'2. Matching'!$A$2:$A$39,'2. Matching'!$B$2:$B$39,"--")</f>
        <v>SEO</v>
      </c>
      <c r="K3964" s="65" t="str">
        <f t="shared" si="1"/>
        <v>In</v>
      </c>
    </row>
    <row r="3965">
      <c r="A3965" s="62" t="s">
        <v>4103</v>
      </c>
      <c r="B3965" s="63">
        <v>44229.0</v>
      </c>
      <c r="C3965" s="62" t="s">
        <v>119</v>
      </c>
      <c r="D3965" s="64">
        <v>42.5</v>
      </c>
      <c r="E3965" s="62" t="s">
        <v>109</v>
      </c>
      <c r="F3965" s="62" t="s">
        <v>110</v>
      </c>
      <c r="G3965" s="64" t="s">
        <v>64</v>
      </c>
      <c r="H3965" s="3" t="s">
        <v>139</v>
      </c>
      <c r="I3965" s="65">
        <f>IFERROR(VLOOKUP(A3965,'3. Call duration'!$A:$C,3,0),"--")</f>
        <v>37.47172759</v>
      </c>
      <c r="J3965" s="65" t="str">
        <f t="array" ref="J3965">XLOOKUP(H3965,'2. Matching'!$A$2:$A$39,'2. Matching'!$B$2:$B$39,"--")</f>
        <v>Acquisition</v>
      </c>
      <c r="K3965" s="65" t="str">
        <f t="shared" si="1"/>
        <v>In</v>
      </c>
    </row>
    <row r="3966">
      <c r="A3966" s="62" t="s">
        <v>4104</v>
      </c>
      <c r="B3966" s="63">
        <v>44109.0</v>
      </c>
      <c r="C3966" s="62" t="s">
        <v>119</v>
      </c>
      <c r="D3966" s="64">
        <v>42.5</v>
      </c>
      <c r="E3966" s="62" t="s">
        <v>109</v>
      </c>
      <c r="F3966" s="62" t="s">
        <v>115</v>
      </c>
      <c r="G3966" s="64" t="s">
        <v>64</v>
      </c>
      <c r="H3966" s="3" t="s">
        <v>235</v>
      </c>
      <c r="I3966" s="65">
        <f>IFERROR(VLOOKUP(A3966,'3. Call duration'!$A:$C,3,0),"--")</f>
        <v>24.86309303</v>
      </c>
      <c r="J3966" s="65" t="str">
        <f t="array" ref="J3966">XLOOKUP(H3966,'2. Matching'!$A$2:$A$39,'2. Matching'!$B$2:$B$39,"--")</f>
        <v>Farming</v>
      </c>
      <c r="K3966" s="65" t="str">
        <f t="shared" si="1"/>
        <v>In</v>
      </c>
    </row>
    <row r="3967">
      <c r="A3967" s="62" t="s">
        <v>4105</v>
      </c>
      <c r="B3967" s="63">
        <v>44238.0</v>
      </c>
      <c r="C3967" s="62" t="s">
        <v>119</v>
      </c>
      <c r="D3967" s="64">
        <v>42.5</v>
      </c>
      <c r="E3967" s="62" t="s">
        <v>109</v>
      </c>
      <c r="F3967" s="62" t="s">
        <v>110</v>
      </c>
      <c r="G3967" s="64" t="s">
        <v>62</v>
      </c>
      <c r="H3967" s="3" t="s">
        <v>286</v>
      </c>
      <c r="I3967" s="65">
        <f>IFERROR(VLOOKUP(A3967,'3. Call duration'!$A:$C,3,0),"--")</f>
        <v>28.94066016</v>
      </c>
      <c r="J3967" s="65" t="str">
        <f t="array" ref="J3967">XLOOKUP(H3967,'2. Matching'!$A$2:$A$39,'2. Matching'!$B$2:$B$39,"--")</f>
        <v>Farming</v>
      </c>
      <c r="K3967" s="65" t="str">
        <f t="shared" si="1"/>
        <v>In</v>
      </c>
    </row>
    <row r="3968">
      <c r="A3968" s="62" t="s">
        <v>4106</v>
      </c>
      <c r="B3968" s="63">
        <v>44106.0</v>
      </c>
      <c r="C3968" s="62" t="s">
        <v>119</v>
      </c>
      <c r="D3968" s="64">
        <v>42.5</v>
      </c>
      <c r="E3968" s="62" t="s">
        <v>109</v>
      </c>
      <c r="F3968" s="62" t="s">
        <v>115</v>
      </c>
      <c r="G3968" s="64" t="s">
        <v>64</v>
      </c>
      <c r="H3968" s="3" t="s">
        <v>175</v>
      </c>
      <c r="I3968" s="65">
        <f>IFERROR(VLOOKUP(A3968,'3. Call duration'!$A:$C,3,0),"--")</f>
        <v>27.24340459</v>
      </c>
      <c r="J3968" s="65" t="str">
        <f t="array" ref="J3968">XLOOKUP(H3968,'2. Matching'!$A$2:$A$39,'2. Matching'!$B$2:$B$39,"--")</f>
        <v>SEO</v>
      </c>
      <c r="K3968" s="65" t="str">
        <f t="shared" si="1"/>
        <v>In</v>
      </c>
    </row>
    <row r="3969">
      <c r="A3969" s="62" t="s">
        <v>4107</v>
      </c>
      <c r="B3969" s="63">
        <v>44076.0</v>
      </c>
      <c r="C3969" s="62" t="s">
        <v>119</v>
      </c>
      <c r="D3969" s="64">
        <v>42.5</v>
      </c>
      <c r="E3969" s="62" t="s">
        <v>109</v>
      </c>
      <c r="F3969" s="62" t="s">
        <v>115</v>
      </c>
      <c r="G3969" s="64" t="s">
        <v>64</v>
      </c>
      <c r="H3969" s="3" t="s">
        <v>139</v>
      </c>
      <c r="I3969" s="65">
        <f>IFERROR(VLOOKUP(A3969,'3. Call duration'!$A:$C,3,0),"--")</f>
        <v>33.0756698</v>
      </c>
      <c r="J3969" s="65" t="str">
        <f t="array" ref="J3969">XLOOKUP(H3969,'2. Matching'!$A$2:$A$39,'2. Matching'!$B$2:$B$39,"--")</f>
        <v>Acquisition</v>
      </c>
      <c r="K3969" s="65" t="str">
        <f t="shared" si="1"/>
        <v>In</v>
      </c>
    </row>
    <row r="3970">
      <c r="A3970" s="62" t="s">
        <v>4108</v>
      </c>
      <c r="B3970" s="63">
        <v>44116.0</v>
      </c>
      <c r="C3970" s="62" t="s">
        <v>119</v>
      </c>
      <c r="D3970" s="64">
        <v>42.5</v>
      </c>
      <c r="E3970" s="62" t="s">
        <v>109</v>
      </c>
      <c r="F3970" s="62" t="s">
        <v>115</v>
      </c>
      <c r="G3970" s="64" t="s">
        <v>62</v>
      </c>
      <c r="H3970" s="3" t="s">
        <v>203</v>
      </c>
      <c r="I3970" s="65">
        <f>IFERROR(VLOOKUP(A3970,'3. Call duration'!$A:$C,3,0),"--")</f>
        <v>25.52577674</v>
      </c>
      <c r="J3970" s="65" t="str">
        <f t="array" ref="J3970">XLOOKUP(H3970,'2. Matching'!$A$2:$A$39,'2. Matching'!$B$2:$B$39,"--")</f>
        <v>Farming</v>
      </c>
      <c r="K3970" s="65" t="str">
        <f t="shared" si="1"/>
        <v>In</v>
      </c>
    </row>
    <row r="3971">
      <c r="A3971" s="62" t="s">
        <v>4109</v>
      </c>
      <c r="B3971" s="63">
        <v>44107.0</v>
      </c>
      <c r="C3971" s="62" t="s">
        <v>119</v>
      </c>
      <c r="D3971" s="64">
        <v>42.5</v>
      </c>
      <c r="E3971" s="62" t="s">
        <v>109</v>
      </c>
      <c r="F3971" s="62" t="s">
        <v>115</v>
      </c>
      <c r="G3971" s="64" t="s">
        <v>64</v>
      </c>
      <c r="H3971" s="3" t="s">
        <v>139</v>
      </c>
      <c r="I3971" s="65">
        <f>IFERROR(VLOOKUP(A3971,'3. Call duration'!$A:$C,3,0),"--")</f>
        <v>33.13435472</v>
      </c>
      <c r="J3971" s="65" t="str">
        <f t="array" ref="J3971">XLOOKUP(H3971,'2. Matching'!$A$2:$A$39,'2. Matching'!$B$2:$B$39,"--")</f>
        <v>Acquisition</v>
      </c>
      <c r="K3971" s="65" t="str">
        <f t="shared" si="1"/>
        <v>In</v>
      </c>
    </row>
    <row r="3972">
      <c r="A3972" s="62" t="s">
        <v>4110</v>
      </c>
      <c r="B3972" s="63">
        <v>44120.0</v>
      </c>
      <c r="C3972" s="62" t="s">
        <v>119</v>
      </c>
      <c r="D3972" s="64">
        <v>42.5</v>
      </c>
      <c r="E3972" s="62" t="s">
        <v>109</v>
      </c>
      <c r="F3972" s="62" t="s">
        <v>115</v>
      </c>
      <c r="G3972" s="64" t="s">
        <v>62</v>
      </c>
      <c r="H3972" s="3" t="s">
        <v>294</v>
      </c>
      <c r="I3972" s="65">
        <f>IFERROR(VLOOKUP(A3972,'3. Call duration'!$A:$C,3,0),"--")</f>
        <v>33.25421647</v>
      </c>
      <c r="J3972" s="65" t="str">
        <f t="array" ref="J3972">XLOOKUP(H3972,'2. Matching'!$A$2:$A$39,'2. Matching'!$B$2:$B$39,"--")</f>
        <v>Farming</v>
      </c>
      <c r="K3972" s="65" t="str">
        <f t="shared" si="1"/>
        <v>In</v>
      </c>
    </row>
    <row r="3973">
      <c r="A3973" s="62" t="s">
        <v>4111</v>
      </c>
      <c r="B3973" s="63">
        <v>44109.0</v>
      </c>
      <c r="C3973" s="62" t="s">
        <v>119</v>
      </c>
      <c r="D3973" s="64">
        <v>42.5</v>
      </c>
      <c r="E3973" s="62" t="s">
        <v>109</v>
      </c>
      <c r="F3973" s="62" t="s">
        <v>115</v>
      </c>
      <c r="G3973" s="64" t="s">
        <v>64</v>
      </c>
      <c r="H3973" s="3" t="s">
        <v>139</v>
      </c>
      <c r="I3973" s="65">
        <f>IFERROR(VLOOKUP(A3973,'3. Call duration'!$A:$C,3,0),"--")</f>
        <v>13.16206315</v>
      </c>
      <c r="J3973" s="65" t="str">
        <f t="array" ref="J3973">XLOOKUP(H3973,'2. Matching'!$A$2:$A$39,'2. Matching'!$B$2:$B$39,"--")</f>
        <v>Acquisition</v>
      </c>
      <c r="K3973" s="65" t="str">
        <f t="shared" si="1"/>
        <v>In</v>
      </c>
    </row>
    <row r="3974">
      <c r="A3974" s="62" t="s">
        <v>4112</v>
      </c>
      <c r="B3974" s="63">
        <v>44225.0</v>
      </c>
      <c r="C3974" s="62" t="s">
        <v>119</v>
      </c>
      <c r="D3974" s="64">
        <v>42.5</v>
      </c>
      <c r="E3974" s="62" t="s">
        <v>109</v>
      </c>
      <c r="F3974" s="62" t="s">
        <v>115</v>
      </c>
      <c r="G3974" s="64" t="s">
        <v>64</v>
      </c>
      <c r="H3974" s="3" t="s">
        <v>164</v>
      </c>
      <c r="I3974" s="65" t="str">
        <f>IFERROR(VLOOKUP(A3974,'3. Call duration'!$A:$C,3,0),"--")</f>
        <v>--</v>
      </c>
      <c r="J3974" s="65" t="str">
        <f t="array" ref="J3974">XLOOKUP(H3974,'2. Matching'!$A$2:$A$39,'2. Matching'!$B$2:$B$39,"--")</f>
        <v>SEO</v>
      </c>
      <c r="K3974" s="65" t="str">
        <f t="shared" si="1"/>
        <v>In</v>
      </c>
    </row>
    <row r="3975">
      <c r="A3975" s="62" t="s">
        <v>4113</v>
      </c>
      <c r="B3975" s="63">
        <v>44119.0</v>
      </c>
      <c r="C3975" s="62" t="s">
        <v>119</v>
      </c>
      <c r="D3975" s="64">
        <v>42.5</v>
      </c>
      <c r="E3975" s="62" t="s">
        <v>109</v>
      </c>
      <c r="F3975" s="62" t="s">
        <v>115</v>
      </c>
      <c r="G3975" s="64" t="s">
        <v>64</v>
      </c>
      <c r="H3975" s="3" t="s">
        <v>150</v>
      </c>
      <c r="I3975" s="65">
        <f>IFERROR(VLOOKUP(A3975,'3. Call duration'!$A:$C,3,0),"--")</f>
        <v>28.60789126</v>
      </c>
      <c r="J3975" s="65" t="str">
        <f t="array" ref="J3975">XLOOKUP(H3975,'2. Matching'!$A$2:$A$39,'2. Matching'!$B$2:$B$39,"--")</f>
        <v>SEO</v>
      </c>
      <c r="K3975" s="65" t="str">
        <f t="shared" si="1"/>
        <v>In</v>
      </c>
    </row>
    <row r="3976">
      <c r="A3976" s="62" t="s">
        <v>4114</v>
      </c>
      <c r="B3976" s="63">
        <v>44220.0</v>
      </c>
      <c r="C3976" s="62" t="s">
        <v>119</v>
      </c>
      <c r="D3976" s="64">
        <v>42.5</v>
      </c>
      <c r="E3976" s="62" t="s">
        <v>109</v>
      </c>
      <c r="F3976" s="62" t="s">
        <v>110</v>
      </c>
      <c r="G3976" s="64" t="s">
        <v>64</v>
      </c>
      <c r="H3976" s="3" t="s">
        <v>139</v>
      </c>
      <c r="I3976" s="65" t="str">
        <f>IFERROR(VLOOKUP(A3976,'3. Call duration'!$A:$C,3,0),"--")</f>
        <v>--</v>
      </c>
      <c r="J3976" s="65" t="str">
        <f t="array" ref="J3976">XLOOKUP(H3976,'2. Matching'!$A$2:$A$39,'2. Matching'!$B$2:$B$39,"--")</f>
        <v>Acquisition</v>
      </c>
      <c r="K3976" s="65" t="str">
        <f t="shared" si="1"/>
        <v>In</v>
      </c>
    </row>
    <row r="3977">
      <c r="A3977" s="62" t="s">
        <v>4115</v>
      </c>
      <c r="B3977" s="63">
        <v>44230.0</v>
      </c>
      <c r="C3977" s="62" t="s">
        <v>119</v>
      </c>
      <c r="D3977" s="64">
        <v>42.5</v>
      </c>
      <c r="E3977" s="62" t="s">
        <v>109</v>
      </c>
      <c r="F3977" s="62" t="s">
        <v>110</v>
      </c>
      <c r="G3977" s="64" t="s">
        <v>64</v>
      </c>
      <c r="H3977" s="3" t="s">
        <v>164</v>
      </c>
      <c r="I3977" s="65">
        <f>IFERROR(VLOOKUP(A3977,'3. Call duration'!$A:$C,3,0),"--")</f>
        <v>40.40193987</v>
      </c>
      <c r="J3977" s="65" t="str">
        <f t="array" ref="J3977">XLOOKUP(H3977,'2. Matching'!$A$2:$A$39,'2. Matching'!$B$2:$B$39,"--")</f>
        <v>SEO</v>
      </c>
      <c r="K3977" s="65" t="str">
        <f t="shared" si="1"/>
        <v>In</v>
      </c>
    </row>
    <row r="3978">
      <c r="A3978" s="62" t="s">
        <v>4116</v>
      </c>
      <c r="B3978" s="63">
        <v>44101.0</v>
      </c>
      <c r="C3978" s="62" t="s">
        <v>119</v>
      </c>
      <c r="D3978" s="64">
        <v>42.5</v>
      </c>
      <c r="E3978" s="62" t="s">
        <v>109</v>
      </c>
      <c r="F3978" s="62" t="s">
        <v>115</v>
      </c>
      <c r="G3978" s="64" t="s">
        <v>64</v>
      </c>
      <c r="H3978" s="3" t="s">
        <v>139</v>
      </c>
      <c r="I3978" s="65">
        <f>IFERROR(VLOOKUP(A3978,'3. Call duration'!$A:$C,3,0),"--")</f>
        <v>31.12241314</v>
      </c>
      <c r="J3978" s="65" t="str">
        <f t="array" ref="J3978">XLOOKUP(H3978,'2. Matching'!$A$2:$A$39,'2. Matching'!$B$2:$B$39,"--")</f>
        <v>Acquisition</v>
      </c>
      <c r="K3978" s="65" t="str">
        <f t="shared" si="1"/>
        <v>In</v>
      </c>
    </row>
    <row r="3979">
      <c r="A3979" s="62" t="s">
        <v>4117</v>
      </c>
      <c r="B3979" s="63">
        <v>44221.0</v>
      </c>
      <c r="C3979" s="62" t="s">
        <v>119</v>
      </c>
      <c r="D3979" s="64">
        <v>42.5</v>
      </c>
      <c r="E3979" s="62" t="s">
        <v>109</v>
      </c>
      <c r="F3979" s="62" t="s">
        <v>110</v>
      </c>
      <c r="G3979" s="64" t="s">
        <v>64</v>
      </c>
      <c r="H3979" s="3" t="s">
        <v>145</v>
      </c>
      <c r="I3979" s="65">
        <f>IFERROR(VLOOKUP(A3979,'3. Call duration'!$A:$C,3,0),"--")</f>
        <v>20.74021668</v>
      </c>
      <c r="J3979" s="65" t="str">
        <f t="array" ref="J3979">XLOOKUP(H3979,'2. Matching'!$A$2:$A$39,'2. Matching'!$B$2:$B$39,"--")</f>
        <v>SEO</v>
      </c>
      <c r="K3979" s="65" t="str">
        <f t="shared" si="1"/>
        <v>In</v>
      </c>
    </row>
    <row r="3980">
      <c r="A3980" s="62" t="s">
        <v>4118</v>
      </c>
      <c r="B3980" s="63">
        <v>44153.0</v>
      </c>
      <c r="C3980" s="62" t="s">
        <v>119</v>
      </c>
      <c r="D3980" s="64">
        <v>42.5</v>
      </c>
      <c r="E3980" s="62" t="s">
        <v>109</v>
      </c>
      <c r="F3980" s="62" t="s">
        <v>115</v>
      </c>
      <c r="G3980" s="64" t="s">
        <v>64</v>
      </c>
      <c r="H3980" s="3" t="s">
        <v>150</v>
      </c>
      <c r="I3980" s="65">
        <f>IFERROR(VLOOKUP(A3980,'3. Call duration'!$A:$C,3,0),"--")</f>
        <v>21.15040487</v>
      </c>
      <c r="J3980" s="65" t="str">
        <f t="array" ref="J3980">XLOOKUP(H3980,'2. Matching'!$A$2:$A$39,'2. Matching'!$B$2:$B$39,"--")</f>
        <v>SEO</v>
      </c>
      <c r="K3980" s="65" t="str">
        <f t="shared" si="1"/>
        <v>In</v>
      </c>
    </row>
    <row r="3981">
      <c r="A3981" s="62" t="s">
        <v>4119</v>
      </c>
      <c r="B3981" s="63">
        <v>44079.0</v>
      </c>
      <c r="C3981" s="62" t="s">
        <v>119</v>
      </c>
      <c r="D3981" s="64">
        <v>42.5</v>
      </c>
      <c r="E3981" s="62" t="s">
        <v>109</v>
      </c>
      <c r="F3981" s="62" t="s">
        <v>115</v>
      </c>
      <c r="G3981" s="64" t="s">
        <v>64</v>
      </c>
      <c r="H3981" s="3" t="s">
        <v>139</v>
      </c>
      <c r="I3981" s="65">
        <f>IFERROR(VLOOKUP(A3981,'3. Call duration'!$A:$C,3,0),"--")</f>
        <v>23.31215299</v>
      </c>
      <c r="J3981" s="65" t="str">
        <f t="array" ref="J3981">XLOOKUP(H3981,'2. Matching'!$A$2:$A$39,'2. Matching'!$B$2:$B$39,"--")</f>
        <v>Acquisition</v>
      </c>
      <c r="K3981" s="65" t="str">
        <f t="shared" si="1"/>
        <v>In</v>
      </c>
    </row>
    <row r="3982">
      <c r="A3982" s="62" t="s">
        <v>4120</v>
      </c>
      <c r="B3982" s="63">
        <v>44197.0</v>
      </c>
      <c r="C3982" s="62" t="s">
        <v>119</v>
      </c>
      <c r="D3982" s="64">
        <v>42.5</v>
      </c>
      <c r="E3982" s="62" t="s">
        <v>109</v>
      </c>
      <c r="F3982" s="62" t="s">
        <v>115</v>
      </c>
      <c r="G3982" s="64" t="s">
        <v>64</v>
      </c>
      <c r="H3982" s="3" t="s">
        <v>139</v>
      </c>
      <c r="I3982" s="65">
        <f>IFERROR(VLOOKUP(A3982,'3. Call duration'!$A:$C,3,0),"--")</f>
        <v>30.74948446</v>
      </c>
      <c r="J3982" s="65" t="str">
        <f t="array" ref="J3982">XLOOKUP(H3982,'2. Matching'!$A$2:$A$39,'2. Matching'!$B$2:$B$39,"--")</f>
        <v>Acquisition</v>
      </c>
      <c r="K3982" s="65" t="str">
        <f t="shared" si="1"/>
        <v>In</v>
      </c>
    </row>
    <row r="3983">
      <c r="A3983" s="62" t="s">
        <v>4121</v>
      </c>
      <c r="B3983" s="63">
        <v>44223.0</v>
      </c>
      <c r="C3983" s="62" t="s">
        <v>119</v>
      </c>
      <c r="D3983" s="64">
        <v>42.5</v>
      </c>
      <c r="E3983" s="62" t="s">
        <v>109</v>
      </c>
      <c r="F3983" s="62" t="s">
        <v>115</v>
      </c>
      <c r="G3983" s="64" t="s">
        <v>64</v>
      </c>
      <c r="H3983" s="3" t="s">
        <v>116</v>
      </c>
      <c r="I3983" s="65">
        <f>IFERROR(VLOOKUP(A3983,'3. Call duration'!$A:$C,3,0),"--")</f>
        <v>31.69884736</v>
      </c>
      <c r="J3983" s="65" t="str">
        <f t="array" ref="J3983">XLOOKUP(H3983,'2. Matching'!$A$2:$A$39,'2. Matching'!$B$2:$B$39,"--")</f>
        <v>Acquisition</v>
      </c>
      <c r="K3983" s="65" t="str">
        <f t="shared" si="1"/>
        <v>In</v>
      </c>
    </row>
    <row r="3984">
      <c r="A3984" s="62" t="s">
        <v>4122</v>
      </c>
      <c r="B3984" s="63">
        <v>44224.0</v>
      </c>
      <c r="C3984" s="62" t="s">
        <v>119</v>
      </c>
      <c r="D3984" s="64">
        <v>42.5</v>
      </c>
      <c r="E3984" s="62" t="s">
        <v>109</v>
      </c>
      <c r="F3984" s="62" t="s">
        <v>115</v>
      </c>
      <c r="G3984" s="64" t="s">
        <v>64</v>
      </c>
      <c r="H3984" s="3" t="s">
        <v>221</v>
      </c>
      <c r="I3984" s="65">
        <f>IFERROR(VLOOKUP(A3984,'3. Call duration'!$A:$C,3,0),"--")</f>
        <v>25.4294351</v>
      </c>
      <c r="J3984" s="65" t="str">
        <f t="array" ref="J3984">XLOOKUP(H3984,'2. Matching'!$A$2:$A$39,'2. Matching'!$B$2:$B$39,"--")</f>
        <v>Farming</v>
      </c>
      <c r="K3984" s="65" t="str">
        <f t="shared" si="1"/>
        <v>In</v>
      </c>
    </row>
    <row r="3985">
      <c r="A3985" s="62" t="s">
        <v>4123</v>
      </c>
      <c r="B3985" s="63">
        <v>44232.0</v>
      </c>
      <c r="C3985" s="62" t="s">
        <v>119</v>
      </c>
      <c r="D3985" s="64">
        <v>42.5</v>
      </c>
      <c r="E3985" s="62" t="s">
        <v>109</v>
      </c>
      <c r="F3985" s="62" t="s">
        <v>115</v>
      </c>
      <c r="G3985" s="64" t="s">
        <v>64</v>
      </c>
      <c r="H3985" s="3" t="s">
        <v>49</v>
      </c>
      <c r="I3985" s="65">
        <f>IFERROR(VLOOKUP(A3985,'3. Call duration'!$A:$C,3,0),"--")</f>
        <v>15.72225509</v>
      </c>
      <c r="J3985" s="65" t="str">
        <f t="array" ref="J3985">XLOOKUP(H3985,'2. Matching'!$A$2:$A$39,'2. Matching'!$B$2:$B$39,"--")</f>
        <v>Partnerships</v>
      </c>
      <c r="K3985" s="65" t="str">
        <f t="shared" si="1"/>
        <v>In</v>
      </c>
    </row>
    <row r="3986">
      <c r="A3986" s="62" t="s">
        <v>4124</v>
      </c>
      <c r="B3986" s="63">
        <v>44230.0</v>
      </c>
      <c r="C3986" s="62" t="s">
        <v>119</v>
      </c>
      <c r="D3986" s="64">
        <v>42.5</v>
      </c>
      <c r="E3986" s="62" t="s">
        <v>109</v>
      </c>
      <c r="F3986" s="62" t="s">
        <v>115</v>
      </c>
      <c r="G3986" s="64" t="s">
        <v>64</v>
      </c>
      <c r="H3986" s="3" t="s">
        <v>150</v>
      </c>
      <c r="I3986" s="65">
        <f>IFERROR(VLOOKUP(A3986,'3. Call duration'!$A:$C,3,0),"--")</f>
        <v>16.57262271</v>
      </c>
      <c r="J3986" s="65" t="str">
        <f t="array" ref="J3986">XLOOKUP(H3986,'2. Matching'!$A$2:$A$39,'2. Matching'!$B$2:$B$39,"--")</f>
        <v>SEO</v>
      </c>
      <c r="K3986" s="65" t="str">
        <f t="shared" si="1"/>
        <v>In</v>
      </c>
    </row>
    <row r="3987">
      <c r="A3987" s="62" t="s">
        <v>4125</v>
      </c>
      <c r="B3987" s="63">
        <v>44217.0</v>
      </c>
      <c r="C3987" s="62" t="s">
        <v>119</v>
      </c>
      <c r="D3987" s="64">
        <v>42.5</v>
      </c>
      <c r="E3987" s="62" t="s">
        <v>109</v>
      </c>
      <c r="F3987" s="62" t="s">
        <v>110</v>
      </c>
      <c r="G3987" s="64" t="s">
        <v>64</v>
      </c>
      <c r="H3987" s="3" t="s">
        <v>131</v>
      </c>
      <c r="I3987" s="65">
        <f>IFERROR(VLOOKUP(A3987,'3. Call duration'!$A:$C,3,0),"--")</f>
        <v>1040.9</v>
      </c>
      <c r="J3987" s="65" t="str">
        <f t="array" ref="J3987">XLOOKUP(H3987,'2. Matching'!$A$2:$A$39,'2. Matching'!$B$2:$B$39,"--")</f>
        <v>Acquisition</v>
      </c>
      <c r="K3987" s="65" t="str">
        <f t="shared" si="1"/>
        <v>In</v>
      </c>
    </row>
    <row r="3988">
      <c r="A3988" s="62" t="s">
        <v>4126</v>
      </c>
      <c r="B3988" s="63">
        <v>44171.0</v>
      </c>
      <c r="C3988" s="62" t="s">
        <v>119</v>
      </c>
      <c r="D3988" s="64">
        <v>42.5</v>
      </c>
      <c r="E3988" s="62" t="s">
        <v>109</v>
      </c>
      <c r="F3988" s="62" t="s">
        <v>115</v>
      </c>
      <c r="G3988" s="64" t="s">
        <v>64</v>
      </c>
      <c r="H3988" s="3" t="s">
        <v>139</v>
      </c>
      <c r="I3988" s="65">
        <f>IFERROR(VLOOKUP(A3988,'3. Call duration'!$A:$C,3,0),"--")</f>
        <v>20.49347961</v>
      </c>
      <c r="J3988" s="65" t="str">
        <f t="array" ref="J3988">XLOOKUP(H3988,'2. Matching'!$A$2:$A$39,'2. Matching'!$B$2:$B$39,"--")</f>
        <v>Acquisition</v>
      </c>
      <c r="K3988" s="65" t="str">
        <f t="shared" si="1"/>
        <v>In</v>
      </c>
    </row>
    <row r="3989">
      <c r="A3989" s="62" t="s">
        <v>4127</v>
      </c>
      <c r="B3989" s="63">
        <v>44111.0</v>
      </c>
      <c r="C3989" s="62" t="s">
        <v>119</v>
      </c>
      <c r="D3989" s="64">
        <v>42.5</v>
      </c>
      <c r="E3989" s="62" t="s">
        <v>109</v>
      </c>
      <c r="F3989" s="62" t="s">
        <v>115</v>
      </c>
      <c r="G3989" s="64" t="s">
        <v>64</v>
      </c>
      <c r="H3989" s="3" t="s">
        <v>49</v>
      </c>
      <c r="I3989" s="65">
        <f>IFERROR(VLOOKUP(A3989,'3. Call duration'!$A:$C,3,0),"--")</f>
        <v>23.81409765</v>
      </c>
      <c r="J3989" s="65" t="str">
        <f t="array" ref="J3989">XLOOKUP(H3989,'2. Matching'!$A$2:$A$39,'2. Matching'!$B$2:$B$39,"--")</f>
        <v>Partnerships</v>
      </c>
      <c r="K3989" s="65" t="str">
        <f t="shared" si="1"/>
        <v>In</v>
      </c>
    </row>
    <row r="3990">
      <c r="A3990" s="62" t="s">
        <v>4128</v>
      </c>
      <c r="B3990" s="63">
        <v>44189.0</v>
      </c>
      <c r="C3990" s="62" t="s">
        <v>119</v>
      </c>
      <c r="D3990" s="64">
        <v>42.5</v>
      </c>
      <c r="E3990" s="62" t="s">
        <v>109</v>
      </c>
      <c r="F3990" s="62" t="s">
        <v>115</v>
      </c>
      <c r="G3990" s="64" t="s">
        <v>64</v>
      </c>
      <c r="H3990" s="3" t="s">
        <v>185</v>
      </c>
      <c r="I3990" s="65" t="str">
        <f>IFERROR(VLOOKUP(A3990,'3. Call duration'!$A:$C,3,0),"--")</f>
        <v>--</v>
      </c>
      <c r="J3990" s="65" t="str">
        <f t="array" ref="J3990">XLOOKUP(H3990,'2. Matching'!$A$2:$A$39,'2. Matching'!$B$2:$B$39,"--")</f>
        <v>SEO</v>
      </c>
      <c r="K3990" s="65" t="str">
        <f t="shared" si="1"/>
        <v>In</v>
      </c>
    </row>
    <row r="3991">
      <c r="A3991" s="62" t="s">
        <v>4129</v>
      </c>
      <c r="B3991" s="63">
        <v>44235.0</v>
      </c>
      <c r="C3991" s="62" t="s">
        <v>119</v>
      </c>
      <c r="D3991" s="64">
        <v>42.5</v>
      </c>
      <c r="E3991" s="62" t="s">
        <v>109</v>
      </c>
      <c r="F3991" s="62" t="s">
        <v>115</v>
      </c>
      <c r="G3991" s="64" t="s">
        <v>64</v>
      </c>
      <c r="H3991" s="3" t="s">
        <v>175</v>
      </c>
      <c r="I3991" s="65">
        <f>IFERROR(VLOOKUP(A3991,'3. Call duration'!$A:$C,3,0),"--")</f>
        <v>26.18895258</v>
      </c>
      <c r="J3991" s="65" t="str">
        <f t="array" ref="J3991">XLOOKUP(H3991,'2. Matching'!$A$2:$A$39,'2. Matching'!$B$2:$B$39,"--")</f>
        <v>SEO</v>
      </c>
      <c r="K3991" s="65" t="str">
        <f t="shared" si="1"/>
        <v>In</v>
      </c>
    </row>
    <row r="3992">
      <c r="A3992" s="62" t="s">
        <v>4130</v>
      </c>
      <c r="B3992" s="63">
        <v>44134.0</v>
      </c>
      <c r="C3992" s="62" t="s">
        <v>119</v>
      </c>
      <c r="D3992" s="64">
        <v>42.5</v>
      </c>
      <c r="E3992" s="62" t="s">
        <v>109</v>
      </c>
      <c r="F3992" s="62" t="s">
        <v>115</v>
      </c>
      <c r="G3992" s="64" t="s">
        <v>64</v>
      </c>
      <c r="H3992" s="3" t="s">
        <v>139</v>
      </c>
      <c r="I3992" s="65">
        <f>IFERROR(VLOOKUP(A3992,'3. Call duration'!$A:$C,3,0),"--")</f>
        <v>23.07603726</v>
      </c>
      <c r="J3992" s="65" t="str">
        <f t="array" ref="J3992">XLOOKUP(H3992,'2. Matching'!$A$2:$A$39,'2. Matching'!$B$2:$B$39,"--")</f>
        <v>Acquisition</v>
      </c>
      <c r="K3992" s="65" t="str">
        <f t="shared" si="1"/>
        <v>In</v>
      </c>
    </row>
    <row r="3993">
      <c r="A3993" s="62" t="s">
        <v>4131</v>
      </c>
      <c r="B3993" s="63">
        <v>44149.0</v>
      </c>
      <c r="C3993" s="62" t="s">
        <v>119</v>
      </c>
      <c r="D3993" s="64">
        <v>42.5</v>
      </c>
      <c r="E3993" s="62" t="s">
        <v>109</v>
      </c>
      <c r="F3993" s="62" t="s">
        <v>110</v>
      </c>
      <c r="G3993" s="64" t="s">
        <v>64</v>
      </c>
      <c r="H3993" s="3" t="s">
        <v>139</v>
      </c>
      <c r="I3993" s="65">
        <f>IFERROR(VLOOKUP(A3993,'3. Call duration'!$A:$C,3,0),"--")</f>
        <v>28.47599301</v>
      </c>
      <c r="J3993" s="65" t="str">
        <f t="array" ref="J3993">XLOOKUP(H3993,'2. Matching'!$A$2:$A$39,'2. Matching'!$B$2:$B$39,"--")</f>
        <v>Acquisition</v>
      </c>
      <c r="K3993" s="65" t="str">
        <f t="shared" si="1"/>
        <v>In</v>
      </c>
    </row>
    <row r="3994">
      <c r="A3994" s="62" t="s">
        <v>4132</v>
      </c>
      <c r="B3994" s="63">
        <v>44076.0</v>
      </c>
      <c r="C3994" s="62" t="s">
        <v>119</v>
      </c>
      <c r="D3994" s="64">
        <v>42.5</v>
      </c>
      <c r="E3994" s="62" t="s">
        <v>109</v>
      </c>
      <c r="F3994" s="62" t="s">
        <v>115</v>
      </c>
      <c r="G3994" s="64" t="s">
        <v>64</v>
      </c>
      <c r="H3994" s="3" t="s">
        <v>135</v>
      </c>
      <c r="I3994" s="65">
        <f>IFERROR(VLOOKUP(A3994,'3. Call duration'!$A:$C,3,0),"--")</f>
        <v>33.06965511</v>
      </c>
      <c r="J3994" s="65" t="str">
        <f t="array" ref="J3994">XLOOKUP(H3994,'2. Matching'!$A$2:$A$39,'2. Matching'!$B$2:$B$39,"--")</f>
        <v>Acquisition</v>
      </c>
      <c r="K3994" s="65" t="str">
        <f t="shared" si="1"/>
        <v>In</v>
      </c>
    </row>
    <row r="3995">
      <c r="A3995" s="62" t="s">
        <v>4133</v>
      </c>
      <c r="B3995" s="63">
        <v>44229.0</v>
      </c>
      <c r="C3995" s="62" t="s">
        <v>119</v>
      </c>
      <c r="D3995" s="64">
        <v>42.5</v>
      </c>
      <c r="E3995" s="62" t="s">
        <v>109</v>
      </c>
      <c r="F3995" s="62" t="s">
        <v>115</v>
      </c>
      <c r="G3995" s="64" t="s">
        <v>64</v>
      </c>
      <c r="H3995" s="3" t="s">
        <v>131</v>
      </c>
      <c r="I3995" s="65">
        <f>IFERROR(VLOOKUP(A3995,'3. Call duration'!$A:$C,3,0),"--")</f>
        <v>20.89784165</v>
      </c>
      <c r="J3995" s="65" t="str">
        <f t="array" ref="J3995">XLOOKUP(H3995,'2. Matching'!$A$2:$A$39,'2. Matching'!$B$2:$B$39,"--")</f>
        <v>Acquisition</v>
      </c>
      <c r="K3995" s="65" t="str">
        <f t="shared" si="1"/>
        <v>In</v>
      </c>
    </row>
    <row r="3996">
      <c r="A3996" s="62" t="s">
        <v>4134</v>
      </c>
      <c r="B3996" s="63">
        <v>44203.0</v>
      </c>
      <c r="C3996" s="62" t="s">
        <v>119</v>
      </c>
      <c r="D3996" s="64">
        <v>42.5</v>
      </c>
      <c r="E3996" s="62" t="s">
        <v>109</v>
      </c>
      <c r="F3996" s="62" t="s">
        <v>115</v>
      </c>
      <c r="G3996" s="64" t="s">
        <v>62</v>
      </c>
      <c r="H3996" s="3" t="s">
        <v>294</v>
      </c>
      <c r="I3996" s="65">
        <f>IFERROR(VLOOKUP(A3996,'3. Call duration'!$A:$C,3,0),"--")</f>
        <v>32.2895276</v>
      </c>
      <c r="J3996" s="65" t="str">
        <f t="array" ref="J3996">XLOOKUP(H3996,'2. Matching'!$A$2:$A$39,'2. Matching'!$B$2:$B$39,"--")</f>
        <v>Farming</v>
      </c>
      <c r="K3996" s="65" t="str">
        <f t="shared" si="1"/>
        <v>In</v>
      </c>
    </row>
    <row r="3997">
      <c r="A3997" s="62" t="s">
        <v>4135</v>
      </c>
      <c r="B3997" s="63">
        <v>44075.0</v>
      </c>
      <c r="C3997" s="62" t="s">
        <v>119</v>
      </c>
      <c r="D3997" s="64">
        <v>42.5</v>
      </c>
      <c r="E3997" s="62" t="s">
        <v>109</v>
      </c>
      <c r="F3997" s="62" t="s">
        <v>115</v>
      </c>
      <c r="G3997" s="64" t="s">
        <v>64</v>
      </c>
      <c r="H3997" s="3" t="s">
        <v>139</v>
      </c>
      <c r="I3997" s="65">
        <f>IFERROR(VLOOKUP(A3997,'3. Call duration'!$A:$C,3,0),"--")</f>
        <v>26.73591699</v>
      </c>
      <c r="J3997" s="65" t="str">
        <f t="array" ref="J3997">XLOOKUP(H3997,'2. Matching'!$A$2:$A$39,'2. Matching'!$B$2:$B$39,"--")</f>
        <v>Acquisition</v>
      </c>
      <c r="K3997" s="65" t="str">
        <f t="shared" si="1"/>
        <v>In</v>
      </c>
    </row>
    <row r="3998">
      <c r="A3998" s="62" t="s">
        <v>4136</v>
      </c>
      <c r="B3998" s="63">
        <v>44126.0</v>
      </c>
      <c r="C3998" s="62" t="s">
        <v>119</v>
      </c>
      <c r="D3998" s="64">
        <v>42.5</v>
      </c>
      <c r="E3998" s="62" t="s">
        <v>109</v>
      </c>
      <c r="F3998" s="62" t="s">
        <v>115</v>
      </c>
      <c r="G3998" s="64" t="s">
        <v>64</v>
      </c>
      <c r="H3998" s="3" t="s">
        <v>169</v>
      </c>
      <c r="I3998" s="65">
        <f>IFERROR(VLOOKUP(A3998,'3. Call duration'!$A:$C,3,0),"--")</f>
        <v>33.07090062</v>
      </c>
      <c r="J3998" s="65" t="str">
        <f t="array" ref="J3998">XLOOKUP(H3998,'2. Matching'!$A$2:$A$39,'2. Matching'!$B$2:$B$39,"--")</f>
        <v>SEO</v>
      </c>
      <c r="K3998" s="65" t="str">
        <f t="shared" si="1"/>
        <v>In</v>
      </c>
    </row>
    <row r="3999">
      <c r="A3999" s="62" t="s">
        <v>4137</v>
      </c>
      <c r="B3999" s="63">
        <v>44096.0</v>
      </c>
      <c r="C3999" s="62" t="s">
        <v>119</v>
      </c>
      <c r="D3999" s="64">
        <v>42.5</v>
      </c>
      <c r="E3999" s="62" t="s">
        <v>109</v>
      </c>
      <c r="F3999" s="62" t="s">
        <v>115</v>
      </c>
      <c r="G3999" s="64" t="s">
        <v>64</v>
      </c>
      <c r="H3999" s="3" t="s">
        <v>175</v>
      </c>
      <c r="I3999" s="65">
        <f>IFERROR(VLOOKUP(A3999,'3. Call duration'!$A:$C,3,0),"--")</f>
        <v>12.14068513</v>
      </c>
      <c r="J3999" s="65" t="str">
        <f t="array" ref="J3999">XLOOKUP(H3999,'2. Matching'!$A$2:$A$39,'2. Matching'!$B$2:$B$39,"--")</f>
        <v>SEO</v>
      </c>
      <c r="K3999" s="65" t="str">
        <f t="shared" si="1"/>
        <v>In</v>
      </c>
    </row>
    <row r="4000">
      <c r="A4000" s="62" t="s">
        <v>4138</v>
      </c>
      <c r="B4000" s="63">
        <v>44168.0</v>
      </c>
      <c r="C4000" s="62" t="s">
        <v>119</v>
      </c>
      <c r="D4000" s="64">
        <v>42.5</v>
      </c>
      <c r="E4000" s="62" t="s">
        <v>109</v>
      </c>
      <c r="F4000" s="62" t="s">
        <v>115</v>
      </c>
      <c r="G4000" s="64" t="s">
        <v>64</v>
      </c>
      <c r="H4000" s="3" t="s">
        <v>164</v>
      </c>
      <c r="I4000" s="65">
        <f>IFERROR(VLOOKUP(A4000,'3. Call duration'!$A:$C,3,0),"--")</f>
        <v>32.59112305</v>
      </c>
      <c r="J4000" s="65" t="str">
        <f t="array" ref="J4000">XLOOKUP(H4000,'2. Matching'!$A$2:$A$39,'2. Matching'!$B$2:$B$39,"--")</f>
        <v>SEO</v>
      </c>
      <c r="K4000" s="65" t="str">
        <f t="shared" si="1"/>
        <v>In</v>
      </c>
    </row>
    <row r="4001">
      <c r="A4001" s="62" t="s">
        <v>4139</v>
      </c>
      <c r="B4001" s="63">
        <v>44253.0</v>
      </c>
      <c r="C4001" s="62" t="s">
        <v>119</v>
      </c>
      <c r="D4001" s="64">
        <v>42.5</v>
      </c>
      <c r="E4001" s="62" t="s">
        <v>109</v>
      </c>
      <c r="F4001" s="62" t="s">
        <v>115</v>
      </c>
      <c r="G4001" s="64" t="s">
        <v>64</v>
      </c>
      <c r="H4001" s="3" t="s">
        <v>49</v>
      </c>
      <c r="I4001" s="65">
        <f>IFERROR(VLOOKUP(A4001,'3. Call duration'!$A:$C,3,0),"--")</f>
        <v>8.297924591</v>
      </c>
      <c r="J4001" s="65" t="str">
        <f t="array" ref="J4001">XLOOKUP(H4001,'2. Matching'!$A$2:$A$39,'2. Matching'!$B$2:$B$39,"--")</f>
        <v>Partnerships</v>
      </c>
      <c r="K4001" s="65" t="str">
        <f t="shared" si="1"/>
        <v>In</v>
      </c>
    </row>
    <row r="4002">
      <c r="A4002" s="62" t="s">
        <v>4140</v>
      </c>
      <c r="B4002" s="63">
        <v>44218.0</v>
      </c>
      <c r="C4002" s="62" t="s">
        <v>119</v>
      </c>
      <c r="D4002" s="64">
        <v>42.5</v>
      </c>
      <c r="E4002" s="62" t="s">
        <v>109</v>
      </c>
      <c r="F4002" s="62" t="s">
        <v>110</v>
      </c>
      <c r="G4002" s="64" t="s">
        <v>64</v>
      </c>
      <c r="H4002" s="3" t="s">
        <v>139</v>
      </c>
      <c r="I4002" s="65">
        <f>IFERROR(VLOOKUP(A4002,'3. Call duration'!$A:$C,3,0),"--")</f>
        <v>32.73740572</v>
      </c>
      <c r="J4002" s="65" t="str">
        <f t="array" ref="J4002">XLOOKUP(H4002,'2. Matching'!$A$2:$A$39,'2. Matching'!$B$2:$B$39,"--")</f>
        <v>Acquisition</v>
      </c>
      <c r="K4002" s="65" t="str">
        <f t="shared" si="1"/>
        <v>In</v>
      </c>
    </row>
    <row r="4003">
      <c r="A4003" s="62" t="s">
        <v>4141</v>
      </c>
      <c r="B4003" s="63">
        <v>44221.0</v>
      </c>
      <c r="C4003" s="62" t="s">
        <v>119</v>
      </c>
      <c r="D4003" s="64">
        <v>42.5</v>
      </c>
      <c r="E4003" s="62" t="s">
        <v>109</v>
      </c>
      <c r="F4003" s="62" t="s">
        <v>115</v>
      </c>
      <c r="G4003" s="64" t="s">
        <v>64</v>
      </c>
      <c r="H4003" s="3" t="s">
        <v>169</v>
      </c>
      <c r="I4003" s="65">
        <f>IFERROR(VLOOKUP(A4003,'3. Call duration'!$A:$C,3,0),"--")</f>
        <v>22.68340943</v>
      </c>
      <c r="J4003" s="65" t="str">
        <f t="array" ref="J4003">XLOOKUP(H4003,'2. Matching'!$A$2:$A$39,'2. Matching'!$B$2:$B$39,"--")</f>
        <v>SEO</v>
      </c>
      <c r="K4003" s="65" t="str">
        <f t="shared" si="1"/>
        <v>In</v>
      </c>
    </row>
    <row r="4004">
      <c r="A4004" s="62" t="s">
        <v>4142</v>
      </c>
      <c r="B4004" s="63">
        <v>44245.0</v>
      </c>
      <c r="C4004" s="62" t="s">
        <v>119</v>
      </c>
      <c r="D4004" s="64">
        <v>42.5</v>
      </c>
      <c r="E4004" s="62" t="s">
        <v>109</v>
      </c>
      <c r="F4004" s="62" t="s">
        <v>115</v>
      </c>
      <c r="G4004" s="64" t="s">
        <v>64</v>
      </c>
      <c r="H4004" s="3" t="s">
        <v>175</v>
      </c>
      <c r="I4004" s="65">
        <f>IFERROR(VLOOKUP(A4004,'3. Call duration'!$A:$C,3,0),"--")</f>
        <v>13.74754931</v>
      </c>
      <c r="J4004" s="65" t="str">
        <f t="array" ref="J4004">XLOOKUP(H4004,'2. Matching'!$A$2:$A$39,'2. Matching'!$B$2:$B$39,"--")</f>
        <v>SEO</v>
      </c>
      <c r="K4004" s="65" t="str">
        <f t="shared" si="1"/>
        <v>In</v>
      </c>
    </row>
    <row r="4005">
      <c r="A4005" s="62" t="s">
        <v>4143</v>
      </c>
      <c r="B4005" s="63">
        <v>44225.0</v>
      </c>
      <c r="C4005" s="62" t="s">
        <v>119</v>
      </c>
      <c r="D4005" s="64">
        <v>42.5</v>
      </c>
      <c r="E4005" s="62" t="s">
        <v>109</v>
      </c>
      <c r="F4005" s="62" t="s">
        <v>115</v>
      </c>
      <c r="G4005" s="64" t="s">
        <v>62</v>
      </c>
      <c r="H4005" s="3" t="s">
        <v>203</v>
      </c>
      <c r="I4005" s="65">
        <f>IFERROR(VLOOKUP(A4005,'3. Call duration'!$A:$C,3,0),"--")</f>
        <v>34.02672303</v>
      </c>
      <c r="J4005" s="65" t="str">
        <f t="array" ref="J4005">XLOOKUP(H4005,'2. Matching'!$A$2:$A$39,'2. Matching'!$B$2:$B$39,"--")</f>
        <v>Farming</v>
      </c>
      <c r="K4005" s="65" t="str">
        <f t="shared" si="1"/>
        <v>In</v>
      </c>
    </row>
    <row r="4006">
      <c r="A4006" s="62" t="s">
        <v>4144</v>
      </c>
      <c r="B4006" s="63">
        <v>44114.0</v>
      </c>
      <c r="C4006" s="62" t="s">
        <v>119</v>
      </c>
      <c r="D4006" s="64">
        <v>42.5</v>
      </c>
      <c r="E4006" s="62" t="s">
        <v>109</v>
      </c>
      <c r="F4006" s="62" t="s">
        <v>115</v>
      </c>
      <c r="G4006" s="64" t="s">
        <v>64</v>
      </c>
      <c r="H4006" s="3" t="s">
        <v>171</v>
      </c>
      <c r="I4006" s="65">
        <f>IFERROR(VLOOKUP(A4006,'3. Call duration'!$A:$C,3,0),"--")</f>
        <v>24.65283071</v>
      </c>
      <c r="J4006" s="65" t="str">
        <f t="array" ref="J4006">XLOOKUP(H4006,'2. Matching'!$A$2:$A$39,'2. Matching'!$B$2:$B$39,"--")</f>
        <v>SEO</v>
      </c>
      <c r="K4006" s="65" t="str">
        <f t="shared" si="1"/>
        <v>In</v>
      </c>
    </row>
    <row r="4007">
      <c r="A4007" s="62" t="s">
        <v>4145</v>
      </c>
      <c r="B4007" s="63">
        <v>44235.0</v>
      </c>
      <c r="C4007" s="62" t="s">
        <v>119</v>
      </c>
      <c r="D4007" s="64">
        <v>42.5</v>
      </c>
      <c r="E4007" s="62" t="s">
        <v>109</v>
      </c>
      <c r="F4007" s="62" t="s">
        <v>115</v>
      </c>
      <c r="G4007" s="64" t="s">
        <v>64</v>
      </c>
      <c r="H4007" s="3" t="s">
        <v>139</v>
      </c>
      <c r="I4007" s="65">
        <f>IFERROR(VLOOKUP(A4007,'3. Call duration'!$A:$C,3,0),"--")</f>
        <v>30.08554097</v>
      </c>
      <c r="J4007" s="65" t="str">
        <f t="array" ref="J4007">XLOOKUP(H4007,'2. Matching'!$A$2:$A$39,'2. Matching'!$B$2:$B$39,"--")</f>
        <v>Acquisition</v>
      </c>
      <c r="K4007" s="65" t="str">
        <f t="shared" si="1"/>
        <v>In</v>
      </c>
    </row>
    <row r="4008">
      <c r="A4008" s="62" t="s">
        <v>4146</v>
      </c>
      <c r="B4008" s="63">
        <v>44230.0</v>
      </c>
      <c r="C4008" s="62" t="s">
        <v>119</v>
      </c>
      <c r="D4008" s="64">
        <v>42.5</v>
      </c>
      <c r="E4008" s="62" t="s">
        <v>109</v>
      </c>
      <c r="F4008" s="62" t="s">
        <v>110</v>
      </c>
      <c r="G4008" s="64" t="s">
        <v>64</v>
      </c>
      <c r="H4008" s="3" t="s">
        <v>175</v>
      </c>
      <c r="I4008" s="65">
        <f>IFERROR(VLOOKUP(A4008,'3. Call duration'!$A:$C,3,0),"--")</f>
        <v>28.66466945</v>
      </c>
      <c r="J4008" s="65" t="str">
        <f t="array" ref="J4008">XLOOKUP(H4008,'2. Matching'!$A$2:$A$39,'2. Matching'!$B$2:$B$39,"--")</f>
        <v>SEO</v>
      </c>
      <c r="K4008" s="65" t="str">
        <f t="shared" si="1"/>
        <v>In</v>
      </c>
    </row>
    <row r="4009">
      <c r="A4009" s="62" t="s">
        <v>4147</v>
      </c>
      <c r="B4009" s="63">
        <v>44208.0</v>
      </c>
      <c r="C4009" s="62" t="s">
        <v>119</v>
      </c>
      <c r="D4009" s="64">
        <v>42.5</v>
      </c>
      <c r="E4009" s="62" t="s">
        <v>109</v>
      </c>
      <c r="F4009" s="62" t="s">
        <v>115</v>
      </c>
      <c r="G4009" s="64" t="s">
        <v>64</v>
      </c>
      <c r="H4009" s="3" t="s">
        <v>139</v>
      </c>
      <c r="I4009" s="65">
        <f>IFERROR(VLOOKUP(A4009,'3. Call duration'!$A:$C,3,0),"--")</f>
        <v>10.31514812</v>
      </c>
      <c r="J4009" s="65" t="str">
        <f t="array" ref="J4009">XLOOKUP(H4009,'2. Matching'!$A$2:$A$39,'2. Matching'!$B$2:$B$39,"--")</f>
        <v>Acquisition</v>
      </c>
      <c r="K4009" s="65" t="str">
        <f t="shared" si="1"/>
        <v>In</v>
      </c>
    </row>
    <row r="4010">
      <c r="A4010" s="62" t="s">
        <v>4148</v>
      </c>
      <c r="B4010" s="63">
        <v>44103.0</v>
      </c>
      <c r="C4010" s="62" t="s">
        <v>119</v>
      </c>
      <c r="D4010" s="64">
        <v>42.5</v>
      </c>
      <c r="E4010" s="62" t="s">
        <v>109</v>
      </c>
      <c r="F4010" s="62" t="s">
        <v>115</v>
      </c>
      <c r="G4010" s="64" t="s">
        <v>64</v>
      </c>
      <c r="H4010" s="3" t="s">
        <v>145</v>
      </c>
      <c r="I4010" s="65">
        <f>IFERROR(VLOOKUP(A4010,'3. Call duration'!$A:$C,3,0),"--")</f>
        <v>14.63381076</v>
      </c>
      <c r="J4010" s="65" t="str">
        <f t="array" ref="J4010">XLOOKUP(H4010,'2. Matching'!$A$2:$A$39,'2. Matching'!$B$2:$B$39,"--")</f>
        <v>SEO</v>
      </c>
      <c r="K4010" s="65" t="str">
        <f t="shared" si="1"/>
        <v>In</v>
      </c>
    </row>
    <row r="4011">
      <c r="A4011" s="62" t="s">
        <v>4149</v>
      </c>
      <c r="B4011" s="63">
        <v>44245.0</v>
      </c>
      <c r="C4011" s="62" t="s">
        <v>119</v>
      </c>
      <c r="D4011" s="64">
        <v>42.5</v>
      </c>
      <c r="E4011" s="62" t="s">
        <v>109</v>
      </c>
      <c r="F4011" s="62" t="s">
        <v>110</v>
      </c>
      <c r="G4011" s="64" t="s">
        <v>64</v>
      </c>
      <c r="H4011" s="3" t="s">
        <v>169</v>
      </c>
      <c r="I4011" s="65">
        <f>IFERROR(VLOOKUP(A4011,'3. Call duration'!$A:$C,3,0),"--")</f>
        <v>22.04537509</v>
      </c>
      <c r="J4011" s="65" t="str">
        <f t="array" ref="J4011">XLOOKUP(H4011,'2. Matching'!$A$2:$A$39,'2. Matching'!$B$2:$B$39,"--")</f>
        <v>SEO</v>
      </c>
      <c r="K4011" s="65" t="str">
        <f t="shared" si="1"/>
        <v>In</v>
      </c>
    </row>
    <row r="4012">
      <c r="A4012" s="62" t="s">
        <v>4150</v>
      </c>
      <c r="B4012" s="63">
        <v>44093.0</v>
      </c>
      <c r="C4012" s="62" t="s">
        <v>119</v>
      </c>
      <c r="D4012" s="64">
        <v>42.5</v>
      </c>
      <c r="E4012" s="62" t="s">
        <v>109</v>
      </c>
      <c r="F4012" s="62" t="s">
        <v>115</v>
      </c>
      <c r="G4012" s="64" t="s">
        <v>64</v>
      </c>
      <c r="H4012" s="3" t="s">
        <v>139</v>
      </c>
      <c r="I4012" s="65">
        <f>IFERROR(VLOOKUP(A4012,'3. Call duration'!$A:$C,3,0),"--")</f>
        <v>13.7190444</v>
      </c>
      <c r="J4012" s="65" t="str">
        <f t="array" ref="J4012">XLOOKUP(H4012,'2. Matching'!$A$2:$A$39,'2. Matching'!$B$2:$B$39,"--")</f>
        <v>Acquisition</v>
      </c>
      <c r="K4012" s="65" t="str">
        <f t="shared" si="1"/>
        <v>In</v>
      </c>
    </row>
    <row r="4013">
      <c r="A4013" s="62" t="s">
        <v>4151</v>
      </c>
      <c r="B4013" s="63">
        <v>44160.0</v>
      </c>
      <c r="C4013" s="62" t="s">
        <v>119</v>
      </c>
      <c r="D4013" s="64">
        <v>42.5</v>
      </c>
      <c r="E4013" s="62" t="s">
        <v>109</v>
      </c>
      <c r="F4013" s="62" t="s">
        <v>115</v>
      </c>
      <c r="G4013" s="64" t="s">
        <v>64</v>
      </c>
      <c r="H4013" s="3" t="s">
        <v>164</v>
      </c>
      <c r="I4013" s="65">
        <f>IFERROR(VLOOKUP(A4013,'3. Call duration'!$A:$C,3,0),"--")</f>
        <v>22.33108115</v>
      </c>
      <c r="J4013" s="65" t="str">
        <f t="array" ref="J4013">XLOOKUP(H4013,'2. Matching'!$A$2:$A$39,'2. Matching'!$B$2:$B$39,"--")</f>
        <v>SEO</v>
      </c>
      <c r="K4013" s="65" t="str">
        <f t="shared" si="1"/>
        <v>In</v>
      </c>
    </row>
    <row r="4014">
      <c r="A4014" s="62" t="s">
        <v>4152</v>
      </c>
      <c r="B4014" s="63">
        <v>44110.0</v>
      </c>
      <c r="C4014" s="62" t="s">
        <v>119</v>
      </c>
      <c r="D4014" s="64">
        <v>42.5</v>
      </c>
      <c r="E4014" s="62" t="s">
        <v>109</v>
      </c>
      <c r="F4014" s="62" t="s">
        <v>115</v>
      </c>
      <c r="G4014" s="64" t="s">
        <v>64</v>
      </c>
      <c r="H4014" s="3" t="s">
        <v>139</v>
      </c>
      <c r="I4014" s="65">
        <f>IFERROR(VLOOKUP(A4014,'3. Call duration'!$A:$C,3,0),"--")</f>
        <v>29.54507546</v>
      </c>
      <c r="J4014" s="65" t="str">
        <f t="array" ref="J4014">XLOOKUP(H4014,'2. Matching'!$A$2:$A$39,'2. Matching'!$B$2:$B$39,"--")</f>
        <v>Acquisition</v>
      </c>
      <c r="K4014" s="65" t="str">
        <f t="shared" si="1"/>
        <v>In</v>
      </c>
    </row>
    <row r="4015">
      <c r="A4015" s="62" t="s">
        <v>4153</v>
      </c>
      <c r="B4015" s="63">
        <v>44223.0</v>
      </c>
      <c r="C4015" s="62" t="s">
        <v>119</v>
      </c>
      <c r="D4015" s="64">
        <v>42.5</v>
      </c>
      <c r="E4015" s="62" t="s">
        <v>109</v>
      </c>
      <c r="F4015" s="62" t="s">
        <v>115</v>
      </c>
      <c r="G4015" s="64" t="s">
        <v>62</v>
      </c>
      <c r="H4015" s="3" t="s">
        <v>286</v>
      </c>
      <c r="I4015" s="65">
        <f>IFERROR(VLOOKUP(A4015,'3. Call duration'!$A:$C,3,0),"--")</f>
        <v>27.07661149</v>
      </c>
      <c r="J4015" s="65" t="str">
        <f t="array" ref="J4015">XLOOKUP(H4015,'2. Matching'!$A$2:$A$39,'2. Matching'!$B$2:$B$39,"--")</f>
        <v>Farming</v>
      </c>
      <c r="K4015" s="65" t="str">
        <f t="shared" si="1"/>
        <v>In</v>
      </c>
    </row>
    <row r="4016">
      <c r="A4016" s="62" t="s">
        <v>4154</v>
      </c>
      <c r="B4016" s="63">
        <v>44148.0</v>
      </c>
      <c r="C4016" s="62" t="s">
        <v>119</v>
      </c>
      <c r="D4016" s="64">
        <v>42.5</v>
      </c>
      <c r="E4016" s="62" t="s">
        <v>109</v>
      </c>
      <c r="F4016" s="62" t="s">
        <v>115</v>
      </c>
      <c r="G4016" s="64" t="s">
        <v>64</v>
      </c>
      <c r="H4016" s="3" t="s">
        <v>150</v>
      </c>
      <c r="I4016" s="65">
        <f>IFERROR(VLOOKUP(A4016,'3. Call duration'!$A:$C,3,0),"--")</f>
        <v>22.54541543</v>
      </c>
      <c r="J4016" s="65" t="str">
        <f t="array" ref="J4016">XLOOKUP(H4016,'2. Matching'!$A$2:$A$39,'2. Matching'!$B$2:$B$39,"--")</f>
        <v>SEO</v>
      </c>
      <c r="K4016" s="65" t="str">
        <f t="shared" si="1"/>
        <v>In</v>
      </c>
    </row>
    <row r="4017">
      <c r="A4017" s="62" t="s">
        <v>4155</v>
      </c>
      <c r="B4017" s="63">
        <v>44230.0</v>
      </c>
      <c r="C4017" s="62" t="s">
        <v>119</v>
      </c>
      <c r="D4017" s="64">
        <v>42.5</v>
      </c>
      <c r="E4017" s="62" t="s">
        <v>109</v>
      </c>
      <c r="F4017" s="62" t="s">
        <v>110</v>
      </c>
      <c r="G4017" s="64" t="s">
        <v>64</v>
      </c>
      <c r="H4017" s="3" t="s">
        <v>169</v>
      </c>
      <c r="I4017" s="65">
        <f>IFERROR(VLOOKUP(A4017,'3. Call duration'!$A:$C,3,0),"--")</f>
        <v>20.22303594</v>
      </c>
      <c r="J4017" s="65" t="str">
        <f t="array" ref="J4017">XLOOKUP(H4017,'2. Matching'!$A$2:$A$39,'2. Matching'!$B$2:$B$39,"--")</f>
        <v>SEO</v>
      </c>
      <c r="K4017" s="65" t="str">
        <f t="shared" si="1"/>
        <v>In</v>
      </c>
    </row>
    <row r="4018">
      <c r="A4018" s="62" t="s">
        <v>4156</v>
      </c>
      <c r="B4018" s="63">
        <v>44245.0</v>
      </c>
      <c r="C4018" s="62" t="s">
        <v>119</v>
      </c>
      <c r="D4018" s="64">
        <v>42.5</v>
      </c>
      <c r="E4018" s="62" t="s">
        <v>109</v>
      </c>
      <c r="F4018" s="62" t="s">
        <v>115</v>
      </c>
      <c r="G4018" s="64" t="s">
        <v>64</v>
      </c>
      <c r="H4018" s="3" t="s">
        <v>139</v>
      </c>
      <c r="I4018" s="65">
        <f>IFERROR(VLOOKUP(A4018,'3. Call duration'!$A:$C,3,0),"--")</f>
        <v>31.46158562</v>
      </c>
      <c r="J4018" s="65" t="str">
        <f t="array" ref="J4018">XLOOKUP(H4018,'2. Matching'!$A$2:$A$39,'2. Matching'!$B$2:$B$39,"--")</f>
        <v>Acquisition</v>
      </c>
      <c r="K4018" s="65" t="str">
        <f t="shared" si="1"/>
        <v>In</v>
      </c>
    </row>
    <row r="4019">
      <c r="A4019" s="62" t="s">
        <v>4157</v>
      </c>
      <c r="B4019" s="63">
        <v>44220.0</v>
      </c>
      <c r="C4019" s="62" t="s">
        <v>119</v>
      </c>
      <c r="D4019" s="64">
        <v>42.5</v>
      </c>
      <c r="E4019" s="62" t="s">
        <v>109</v>
      </c>
      <c r="F4019" s="62" t="s">
        <v>115</v>
      </c>
      <c r="G4019" s="64" t="s">
        <v>64</v>
      </c>
      <c r="H4019" s="3" t="s">
        <v>139</v>
      </c>
      <c r="I4019" s="65">
        <f>IFERROR(VLOOKUP(A4019,'3. Call duration'!$A:$C,3,0),"--")</f>
        <v>29.70538269</v>
      </c>
      <c r="J4019" s="65" t="str">
        <f t="array" ref="J4019">XLOOKUP(H4019,'2. Matching'!$A$2:$A$39,'2. Matching'!$B$2:$B$39,"--")</f>
        <v>Acquisition</v>
      </c>
      <c r="K4019" s="65" t="str">
        <f t="shared" si="1"/>
        <v>In</v>
      </c>
    </row>
    <row r="4020">
      <c r="A4020" s="62" t="s">
        <v>4158</v>
      </c>
      <c r="B4020" s="63">
        <v>44162.0</v>
      </c>
      <c r="C4020" s="62" t="s">
        <v>119</v>
      </c>
      <c r="D4020" s="64">
        <v>42.5</v>
      </c>
      <c r="E4020" s="62" t="s">
        <v>109</v>
      </c>
      <c r="F4020" s="62" t="s">
        <v>110</v>
      </c>
      <c r="G4020" s="64" t="s">
        <v>64</v>
      </c>
      <c r="H4020" s="3" t="s">
        <v>155</v>
      </c>
      <c r="I4020" s="65">
        <f>IFERROR(VLOOKUP(A4020,'3. Call duration'!$A:$C,3,0),"--")</f>
        <v>31.9780414</v>
      </c>
      <c r="J4020" s="65" t="str">
        <f t="array" ref="J4020">XLOOKUP(H4020,'2. Matching'!$A$2:$A$39,'2. Matching'!$B$2:$B$39,"--")</f>
        <v>SEO</v>
      </c>
      <c r="K4020" s="65" t="str">
        <f t="shared" si="1"/>
        <v>In</v>
      </c>
    </row>
    <row r="4021">
      <c r="A4021" s="62" t="s">
        <v>4159</v>
      </c>
      <c r="B4021" s="63">
        <v>44181.0</v>
      </c>
      <c r="C4021" s="62" t="s">
        <v>119</v>
      </c>
      <c r="D4021" s="64">
        <v>42.5</v>
      </c>
      <c r="E4021" s="62" t="s">
        <v>109</v>
      </c>
      <c r="F4021" s="62" t="s">
        <v>115</v>
      </c>
      <c r="G4021" s="64" t="s">
        <v>64</v>
      </c>
      <c r="H4021" s="3" t="s">
        <v>139</v>
      </c>
      <c r="I4021" s="65">
        <f>IFERROR(VLOOKUP(A4021,'3. Call duration'!$A:$C,3,0),"--")</f>
        <v>35.96114312</v>
      </c>
      <c r="J4021" s="65" t="str">
        <f t="array" ref="J4021">XLOOKUP(H4021,'2. Matching'!$A$2:$A$39,'2. Matching'!$B$2:$B$39,"--")</f>
        <v>Acquisition</v>
      </c>
      <c r="K4021" s="65" t="str">
        <f t="shared" si="1"/>
        <v>In</v>
      </c>
    </row>
    <row r="4022">
      <c r="A4022" s="62" t="s">
        <v>4160</v>
      </c>
      <c r="B4022" s="63">
        <v>44236.0</v>
      </c>
      <c r="C4022" s="62" t="s">
        <v>119</v>
      </c>
      <c r="D4022" s="64">
        <v>42.5</v>
      </c>
      <c r="E4022" s="62" t="s">
        <v>109</v>
      </c>
      <c r="F4022" s="62" t="s">
        <v>115</v>
      </c>
      <c r="G4022" s="64" t="s">
        <v>64</v>
      </c>
      <c r="H4022" s="3" t="s">
        <v>131</v>
      </c>
      <c r="I4022" s="65">
        <f>IFERROR(VLOOKUP(A4022,'3. Call duration'!$A:$C,3,0),"--")</f>
        <v>32.92115012</v>
      </c>
      <c r="J4022" s="65" t="str">
        <f t="array" ref="J4022">XLOOKUP(H4022,'2. Matching'!$A$2:$A$39,'2. Matching'!$B$2:$B$39,"--")</f>
        <v>Acquisition</v>
      </c>
      <c r="K4022" s="65" t="str">
        <f t="shared" si="1"/>
        <v>In</v>
      </c>
    </row>
    <row r="4023">
      <c r="A4023" s="62" t="s">
        <v>4161</v>
      </c>
      <c r="B4023" s="63">
        <v>44114.0</v>
      </c>
      <c r="C4023" s="62" t="s">
        <v>119</v>
      </c>
      <c r="D4023" s="64">
        <v>42.5</v>
      </c>
      <c r="E4023" s="62" t="s">
        <v>109</v>
      </c>
      <c r="F4023" s="62" t="s">
        <v>115</v>
      </c>
      <c r="G4023" s="64" t="s">
        <v>64</v>
      </c>
      <c r="H4023" s="3" t="s">
        <v>164</v>
      </c>
      <c r="I4023" s="65">
        <f>IFERROR(VLOOKUP(A4023,'3. Call duration'!$A:$C,3,0),"--")</f>
        <v>21.63885081</v>
      </c>
      <c r="J4023" s="65" t="str">
        <f t="array" ref="J4023">XLOOKUP(H4023,'2. Matching'!$A$2:$A$39,'2. Matching'!$B$2:$B$39,"--")</f>
        <v>SEO</v>
      </c>
      <c r="K4023" s="65" t="str">
        <f t="shared" si="1"/>
        <v>In</v>
      </c>
    </row>
    <row r="4024">
      <c r="A4024" s="62" t="s">
        <v>4162</v>
      </c>
      <c r="B4024" s="63">
        <v>44243.0</v>
      </c>
      <c r="C4024" s="62" t="s">
        <v>119</v>
      </c>
      <c r="D4024" s="64">
        <v>42.5</v>
      </c>
      <c r="E4024" s="62" t="s">
        <v>109</v>
      </c>
      <c r="F4024" s="62" t="s">
        <v>115</v>
      </c>
      <c r="G4024" s="64" t="s">
        <v>64</v>
      </c>
      <c r="H4024" s="3" t="s">
        <v>139</v>
      </c>
      <c r="I4024" s="65">
        <f>IFERROR(VLOOKUP(A4024,'3. Call duration'!$A:$C,3,0),"--")</f>
        <v>30.97610076</v>
      </c>
      <c r="J4024" s="65" t="str">
        <f t="array" ref="J4024">XLOOKUP(H4024,'2. Matching'!$A$2:$A$39,'2. Matching'!$B$2:$B$39,"--")</f>
        <v>Acquisition</v>
      </c>
      <c r="K4024" s="65" t="str">
        <f t="shared" si="1"/>
        <v>In</v>
      </c>
    </row>
    <row r="4025">
      <c r="A4025" s="62" t="s">
        <v>4163</v>
      </c>
      <c r="B4025" s="63">
        <v>44222.0</v>
      </c>
      <c r="C4025" s="62" t="s">
        <v>119</v>
      </c>
      <c r="D4025" s="64">
        <v>42.5</v>
      </c>
      <c r="E4025" s="62" t="s">
        <v>109</v>
      </c>
      <c r="F4025" s="62" t="s">
        <v>110</v>
      </c>
      <c r="G4025" s="64" t="s">
        <v>64</v>
      </c>
      <c r="H4025" s="3" t="s">
        <v>145</v>
      </c>
      <c r="I4025" s="65">
        <f>IFERROR(VLOOKUP(A4025,'3. Call duration'!$A:$C,3,0),"--")</f>
        <v>34.01281231</v>
      </c>
      <c r="J4025" s="65" t="str">
        <f t="array" ref="J4025">XLOOKUP(H4025,'2. Matching'!$A$2:$A$39,'2. Matching'!$B$2:$B$39,"--")</f>
        <v>SEO</v>
      </c>
      <c r="K4025" s="65" t="str">
        <f t="shared" si="1"/>
        <v>In</v>
      </c>
    </row>
    <row r="4026">
      <c r="A4026" s="62" t="s">
        <v>4164</v>
      </c>
      <c r="B4026" s="63">
        <v>44235.0</v>
      </c>
      <c r="C4026" s="62" t="s">
        <v>119</v>
      </c>
      <c r="D4026" s="64">
        <v>42.5</v>
      </c>
      <c r="E4026" s="62" t="s">
        <v>109</v>
      </c>
      <c r="F4026" s="62" t="s">
        <v>115</v>
      </c>
      <c r="G4026" s="64" t="s">
        <v>64</v>
      </c>
      <c r="H4026" s="3" t="s">
        <v>155</v>
      </c>
      <c r="I4026" s="65">
        <f>IFERROR(VLOOKUP(A4026,'3. Call duration'!$A:$C,3,0),"--")</f>
        <v>21.95519181</v>
      </c>
      <c r="J4026" s="65" t="str">
        <f t="array" ref="J4026">XLOOKUP(H4026,'2. Matching'!$A$2:$A$39,'2. Matching'!$B$2:$B$39,"--")</f>
        <v>SEO</v>
      </c>
      <c r="K4026" s="65" t="str">
        <f t="shared" si="1"/>
        <v>In</v>
      </c>
    </row>
    <row r="4027">
      <c r="A4027" s="62" t="s">
        <v>4165</v>
      </c>
      <c r="B4027" s="63">
        <v>44176.0</v>
      </c>
      <c r="C4027" s="62" t="s">
        <v>119</v>
      </c>
      <c r="D4027" s="64">
        <v>42.5</v>
      </c>
      <c r="E4027" s="62" t="s">
        <v>109</v>
      </c>
      <c r="F4027" s="62" t="s">
        <v>110</v>
      </c>
      <c r="G4027" s="64" t="s">
        <v>64</v>
      </c>
      <c r="H4027" s="3" t="s">
        <v>235</v>
      </c>
      <c r="I4027" s="65">
        <f>IFERROR(VLOOKUP(A4027,'3. Call duration'!$A:$C,3,0),"--")</f>
        <v>37.29638321</v>
      </c>
      <c r="J4027" s="65" t="str">
        <f t="array" ref="J4027">XLOOKUP(H4027,'2. Matching'!$A$2:$A$39,'2. Matching'!$B$2:$B$39,"--")</f>
        <v>Farming</v>
      </c>
      <c r="K4027" s="65" t="str">
        <f t="shared" si="1"/>
        <v>In</v>
      </c>
    </row>
    <row r="4028">
      <c r="A4028" s="62" t="s">
        <v>4166</v>
      </c>
      <c r="B4028" s="63">
        <v>44196.0</v>
      </c>
      <c r="C4028" s="62" t="s">
        <v>119</v>
      </c>
      <c r="D4028" s="64">
        <v>42.5</v>
      </c>
      <c r="E4028" s="62" t="s">
        <v>109</v>
      </c>
      <c r="F4028" s="62" t="s">
        <v>115</v>
      </c>
      <c r="G4028" s="64" t="s">
        <v>64</v>
      </c>
      <c r="H4028" s="3" t="s">
        <v>139</v>
      </c>
      <c r="I4028" s="65">
        <f>IFERROR(VLOOKUP(A4028,'3. Call duration'!$A:$C,3,0),"--")</f>
        <v>21.62471986</v>
      </c>
      <c r="J4028" s="65" t="str">
        <f t="array" ref="J4028">XLOOKUP(H4028,'2. Matching'!$A$2:$A$39,'2. Matching'!$B$2:$B$39,"--")</f>
        <v>Acquisition</v>
      </c>
      <c r="K4028" s="65" t="str">
        <f t="shared" si="1"/>
        <v>In</v>
      </c>
    </row>
    <row r="4029">
      <c r="A4029" s="62" t="s">
        <v>4167</v>
      </c>
      <c r="B4029" s="63">
        <v>44237.0</v>
      </c>
      <c r="C4029" s="62" t="s">
        <v>119</v>
      </c>
      <c r="D4029" s="64">
        <v>42.5</v>
      </c>
      <c r="E4029" s="62" t="s">
        <v>109</v>
      </c>
      <c r="F4029" s="62" t="s">
        <v>115</v>
      </c>
      <c r="G4029" s="64" t="s">
        <v>64</v>
      </c>
      <c r="H4029" s="3" t="s">
        <v>139</v>
      </c>
      <c r="I4029" s="65">
        <f>IFERROR(VLOOKUP(A4029,'3. Call duration'!$A:$C,3,0),"--")</f>
        <v>15.01094013</v>
      </c>
      <c r="J4029" s="65" t="str">
        <f t="array" ref="J4029">XLOOKUP(H4029,'2. Matching'!$A$2:$A$39,'2. Matching'!$B$2:$B$39,"--")</f>
        <v>Acquisition</v>
      </c>
      <c r="K4029" s="65" t="str">
        <f t="shared" si="1"/>
        <v>In</v>
      </c>
    </row>
    <row r="4030">
      <c r="A4030" s="62" t="s">
        <v>4168</v>
      </c>
      <c r="B4030" s="63">
        <v>44127.0</v>
      </c>
      <c r="C4030" s="62" t="s">
        <v>119</v>
      </c>
      <c r="D4030" s="64">
        <v>42.5</v>
      </c>
      <c r="E4030" s="62" t="s">
        <v>109</v>
      </c>
      <c r="F4030" s="62" t="s">
        <v>115</v>
      </c>
      <c r="G4030" s="64" t="s">
        <v>64</v>
      </c>
      <c r="H4030" s="3" t="s">
        <v>139</v>
      </c>
      <c r="I4030" s="65">
        <f>IFERROR(VLOOKUP(A4030,'3. Call duration'!$A:$C,3,0),"--")</f>
        <v>10.51372092</v>
      </c>
      <c r="J4030" s="65" t="str">
        <f t="array" ref="J4030">XLOOKUP(H4030,'2. Matching'!$A$2:$A$39,'2. Matching'!$B$2:$B$39,"--")</f>
        <v>Acquisition</v>
      </c>
      <c r="K4030" s="65" t="str">
        <f t="shared" si="1"/>
        <v>In</v>
      </c>
    </row>
    <row r="4031">
      <c r="A4031" s="62" t="s">
        <v>4169</v>
      </c>
      <c r="B4031" s="63">
        <v>44113.0</v>
      </c>
      <c r="C4031" s="62" t="s">
        <v>119</v>
      </c>
      <c r="D4031" s="64">
        <v>42.5</v>
      </c>
      <c r="E4031" s="62" t="s">
        <v>109</v>
      </c>
      <c r="F4031" s="62" t="s">
        <v>110</v>
      </c>
      <c r="G4031" s="64" t="s">
        <v>64</v>
      </c>
      <c r="H4031" s="3" t="s">
        <v>139</v>
      </c>
      <c r="I4031" s="65">
        <f>IFERROR(VLOOKUP(A4031,'3. Call duration'!$A:$C,3,0),"--")</f>
        <v>15.67416156</v>
      </c>
      <c r="J4031" s="65" t="str">
        <f t="array" ref="J4031">XLOOKUP(H4031,'2. Matching'!$A$2:$A$39,'2. Matching'!$B$2:$B$39,"--")</f>
        <v>Acquisition</v>
      </c>
      <c r="K4031" s="65" t="str">
        <f t="shared" si="1"/>
        <v>In</v>
      </c>
    </row>
    <row r="4032">
      <c r="A4032" s="62" t="s">
        <v>4170</v>
      </c>
      <c r="B4032" s="63">
        <v>44251.0</v>
      </c>
      <c r="C4032" s="62" t="s">
        <v>119</v>
      </c>
      <c r="D4032" s="64">
        <v>42.5</v>
      </c>
      <c r="E4032" s="62" t="s">
        <v>109</v>
      </c>
      <c r="F4032" s="62" t="s">
        <v>110</v>
      </c>
      <c r="G4032" s="64" t="s">
        <v>64</v>
      </c>
      <c r="H4032" s="3" t="s">
        <v>221</v>
      </c>
      <c r="I4032" s="65">
        <f>IFERROR(VLOOKUP(A4032,'3. Call duration'!$A:$C,3,0),"--")</f>
        <v>21.36079872</v>
      </c>
      <c r="J4032" s="65" t="str">
        <f t="array" ref="J4032">XLOOKUP(H4032,'2. Matching'!$A$2:$A$39,'2. Matching'!$B$2:$B$39,"--")</f>
        <v>Farming</v>
      </c>
      <c r="K4032" s="65" t="str">
        <f t="shared" si="1"/>
        <v>In</v>
      </c>
    </row>
    <row r="4033">
      <c r="A4033" s="62" t="s">
        <v>4171</v>
      </c>
      <c r="B4033" s="63">
        <v>44252.0</v>
      </c>
      <c r="C4033" s="62" t="s">
        <v>119</v>
      </c>
      <c r="D4033" s="64">
        <v>42.5</v>
      </c>
      <c r="E4033" s="62" t="s">
        <v>109</v>
      </c>
      <c r="F4033" s="62" t="s">
        <v>115</v>
      </c>
      <c r="G4033" s="64" t="s">
        <v>64</v>
      </c>
      <c r="H4033" s="3" t="s">
        <v>139</v>
      </c>
      <c r="I4033" s="65">
        <f>IFERROR(VLOOKUP(A4033,'3. Call duration'!$A:$C,3,0),"--")</f>
        <v>29.30352379</v>
      </c>
      <c r="J4033" s="65" t="str">
        <f t="array" ref="J4033">XLOOKUP(H4033,'2. Matching'!$A$2:$A$39,'2. Matching'!$B$2:$B$39,"--")</f>
        <v>Acquisition</v>
      </c>
      <c r="K4033" s="65" t="str">
        <f t="shared" si="1"/>
        <v>In</v>
      </c>
    </row>
    <row r="4034">
      <c r="A4034" s="62" t="s">
        <v>4172</v>
      </c>
      <c r="B4034" s="63">
        <v>44118.0</v>
      </c>
      <c r="C4034" s="62" t="s">
        <v>119</v>
      </c>
      <c r="D4034" s="64">
        <v>85.0</v>
      </c>
      <c r="E4034" s="62" t="s">
        <v>114</v>
      </c>
      <c r="F4034" s="62" t="s">
        <v>115</v>
      </c>
      <c r="G4034" s="64" t="s">
        <v>64</v>
      </c>
      <c r="H4034" s="3" t="s">
        <v>139</v>
      </c>
      <c r="I4034" s="65">
        <f>IFERROR(VLOOKUP(A4034,'3. Call duration'!$A:$C,3,0),"--")</f>
        <v>32.15140981</v>
      </c>
      <c r="J4034" s="65" t="str">
        <f t="array" ref="J4034">XLOOKUP(H4034,'2. Matching'!$A$2:$A$39,'2. Matching'!$B$2:$B$39,"--")</f>
        <v>Acquisition</v>
      </c>
      <c r="K4034" s="65" t="str">
        <f t="shared" si="1"/>
        <v>In</v>
      </c>
    </row>
    <row r="4035">
      <c r="A4035" s="62" t="s">
        <v>4173</v>
      </c>
      <c r="B4035" s="63">
        <v>44125.0</v>
      </c>
      <c r="C4035" s="62" t="s">
        <v>119</v>
      </c>
      <c r="D4035" s="64">
        <v>85.0</v>
      </c>
      <c r="E4035" s="62" t="s">
        <v>114</v>
      </c>
      <c r="F4035" s="62" t="s">
        <v>110</v>
      </c>
      <c r="G4035" s="64" t="s">
        <v>64</v>
      </c>
      <c r="H4035" s="3" t="s">
        <v>150</v>
      </c>
      <c r="I4035" s="65" t="str">
        <f>IFERROR(VLOOKUP(A4035,'3. Call duration'!$A:$C,3,0),"--")</f>
        <v>--</v>
      </c>
      <c r="J4035" s="65" t="str">
        <f t="array" ref="J4035">XLOOKUP(H4035,'2. Matching'!$A$2:$A$39,'2. Matching'!$B$2:$B$39,"--")</f>
        <v>SEO</v>
      </c>
      <c r="K4035" s="65" t="str">
        <f t="shared" si="1"/>
        <v>In</v>
      </c>
    </row>
    <row r="4036">
      <c r="A4036" s="62" t="s">
        <v>4174</v>
      </c>
      <c r="B4036" s="63">
        <v>44253.0</v>
      </c>
      <c r="C4036" s="62" t="s">
        <v>119</v>
      </c>
      <c r="D4036" s="64">
        <v>85.0</v>
      </c>
      <c r="E4036" s="62" t="s">
        <v>114</v>
      </c>
      <c r="F4036" s="62" t="s">
        <v>110</v>
      </c>
      <c r="G4036" s="64" t="s">
        <v>64</v>
      </c>
      <c r="H4036" s="3" t="s">
        <v>297</v>
      </c>
      <c r="I4036" s="65">
        <f>IFERROR(VLOOKUP(A4036,'3. Call duration'!$A:$C,3,0),"--")</f>
        <v>29.1421144</v>
      </c>
      <c r="J4036" s="65" t="str">
        <f t="array" ref="J4036">XLOOKUP(H4036,'2. Matching'!$A$2:$A$39,'2. Matching'!$B$2:$B$39,"--")</f>
        <v>Farming</v>
      </c>
      <c r="K4036" s="65" t="str">
        <f t="shared" si="1"/>
        <v>In</v>
      </c>
    </row>
    <row r="4037">
      <c r="A4037" s="62" t="s">
        <v>4175</v>
      </c>
      <c r="B4037" s="63">
        <v>44237.0</v>
      </c>
      <c r="C4037" s="62" t="s">
        <v>119</v>
      </c>
      <c r="D4037" s="64">
        <v>85.0</v>
      </c>
      <c r="E4037" s="62" t="s">
        <v>114</v>
      </c>
      <c r="F4037" s="62" t="s">
        <v>110</v>
      </c>
      <c r="G4037" s="64" t="s">
        <v>62</v>
      </c>
      <c r="H4037" s="3" t="s">
        <v>286</v>
      </c>
      <c r="I4037" s="65">
        <f>IFERROR(VLOOKUP(A4037,'3. Call duration'!$A:$C,3,0),"--")</f>
        <v>32.83584086</v>
      </c>
      <c r="J4037" s="65" t="str">
        <f t="array" ref="J4037">XLOOKUP(H4037,'2. Matching'!$A$2:$A$39,'2. Matching'!$B$2:$B$39,"--")</f>
        <v>Farming</v>
      </c>
      <c r="K4037" s="65" t="str">
        <f t="shared" si="1"/>
        <v>In</v>
      </c>
    </row>
    <row r="4038">
      <c r="A4038" s="62" t="s">
        <v>4176</v>
      </c>
      <c r="B4038" s="63">
        <v>44125.0</v>
      </c>
      <c r="C4038" s="62" t="s">
        <v>119</v>
      </c>
      <c r="D4038" s="64">
        <v>85.0</v>
      </c>
      <c r="E4038" s="62" t="s">
        <v>114</v>
      </c>
      <c r="F4038" s="62" t="s">
        <v>115</v>
      </c>
      <c r="G4038" s="64" t="s">
        <v>64</v>
      </c>
      <c r="H4038" s="3" t="s">
        <v>175</v>
      </c>
      <c r="I4038" s="65">
        <f>IFERROR(VLOOKUP(A4038,'3. Call duration'!$A:$C,3,0),"--")</f>
        <v>30.49043377</v>
      </c>
      <c r="J4038" s="65" t="str">
        <f t="array" ref="J4038">XLOOKUP(H4038,'2. Matching'!$A$2:$A$39,'2. Matching'!$B$2:$B$39,"--")</f>
        <v>SEO</v>
      </c>
      <c r="K4038" s="65" t="str">
        <f t="shared" si="1"/>
        <v>In</v>
      </c>
    </row>
    <row r="4039">
      <c r="A4039" s="62" t="s">
        <v>4177</v>
      </c>
      <c r="B4039" s="63">
        <v>44135.0</v>
      </c>
      <c r="C4039" s="62" t="s">
        <v>119</v>
      </c>
      <c r="D4039" s="64">
        <v>85.0</v>
      </c>
      <c r="E4039" s="62" t="s">
        <v>114</v>
      </c>
      <c r="F4039" s="62" t="s">
        <v>115</v>
      </c>
      <c r="G4039" s="64" t="s">
        <v>64</v>
      </c>
      <c r="H4039" s="3" t="s">
        <v>150</v>
      </c>
      <c r="I4039" s="65">
        <f>IFERROR(VLOOKUP(A4039,'3. Call duration'!$A:$C,3,0),"--")</f>
        <v>30.12365004</v>
      </c>
      <c r="J4039" s="65" t="str">
        <f t="array" ref="J4039">XLOOKUP(H4039,'2. Matching'!$A$2:$A$39,'2. Matching'!$B$2:$B$39,"--")</f>
        <v>SEO</v>
      </c>
      <c r="K4039" s="65" t="str">
        <f t="shared" si="1"/>
        <v>In</v>
      </c>
    </row>
    <row r="4040">
      <c r="A4040" s="62" t="s">
        <v>4178</v>
      </c>
      <c r="B4040" s="63">
        <v>44223.0</v>
      </c>
      <c r="C4040" s="62" t="s">
        <v>119</v>
      </c>
      <c r="D4040" s="64">
        <v>85.0</v>
      </c>
      <c r="E4040" s="62" t="s">
        <v>114</v>
      </c>
      <c r="F4040" s="62" t="s">
        <v>115</v>
      </c>
      <c r="G4040" s="64" t="s">
        <v>64</v>
      </c>
      <c r="H4040" s="3" t="s">
        <v>169</v>
      </c>
      <c r="I4040" s="65">
        <f>IFERROR(VLOOKUP(A4040,'3. Call duration'!$A:$C,3,0),"--")</f>
        <v>28.45406729</v>
      </c>
      <c r="J4040" s="65" t="str">
        <f t="array" ref="J4040">XLOOKUP(H4040,'2. Matching'!$A$2:$A$39,'2. Matching'!$B$2:$B$39,"--")</f>
        <v>SEO</v>
      </c>
      <c r="K4040" s="65" t="str">
        <f t="shared" si="1"/>
        <v>In</v>
      </c>
    </row>
    <row r="4041">
      <c r="A4041" s="62" t="s">
        <v>4179</v>
      </c>
      <c r="B4041" s="63">
        <v>44201.0</v>
      </c>
      <c r="C4041" s="62" t="s">
        <v>119</v>
      </c>
      <c r="D4041" s="64">
        <v>85.0</v>
      </c>
      <c r="E4041" s="62" t="s">
        <v>114</v>
      </c>
      <c r="F4041" s="62" t="s">
        <v>115</v>
      </c>
      <c r="G4041" s="64" t="s">
        <v>64</v>
      </c>
      <c r="H4041" s="3" t="s">
        <v>150</v>
      </c>
      <c r="I4041" s="65">
        <f>IFERROR(VLOOKUP(A4041,'3. Call duration'!$A:$C,3,0),"--")</f>
        <v>31.38574932</v>
      </c>
      <c r="J4041" s="65" t="str">
        <f t="array" ref="J4041">XLOOKUP(H4041,'2. Matching'!$A$2:$A$39,'2. Matching'!$B$2:$B$39,"--")</f>
        <v>SEO</v>
      </c>
      <c r="K4041" s="65" t="str">
        <f t="shared" si="1"/>
        <v>In</v>
      </c>
    </row>
    <row r="4042">
      <c r="A4042" s="62" t="s">
        <v>4180</v>
      </c>
      <c r="B4042" s="63">
        <v>44132.0</v>
      </c>
      <c r="C4042" s="62" t="s">
        <v>119</v>
      </c>
      <c r="D4042" s="64">
        <v>85.0</v>
      </c>
      <c r="E4042" s="62" t="s">
        <v>114</v>
      </c>
      <c r="F4042" s="62" t="s">
        <v>115</v>
      </c>
      <c r="G4042" s="64" t="s">
        <v>64</v>
      </c>
      <c r="H4042" s="3" t="s">
        <v>139</v>
      </c>
      <c r="I4042" s="65">
        <f>IFERROR(VLOOKUP(A4042,'3. Call duration'!$A:$C,3,0),"--")</f>
        <v>24.42832685</v>
      </c>
      <c r="J4042" s="65" t="str">
        <f t="array" ref="J4042">XLOOKUP(H4042,'2. Matching'!$A$2:$A$39,'2. Matching'!$B$2:$B$39,"--")</f>
        <v>Acquisition</v>
      </c>
      <c r="K4042" s="65" t="str">
        <f t="shared" si="1"/>
        <v>In</v>
      </c>
    </row>
    <row r="4043">
      <c r="A4043" s="62" t="s">
        <v>4181</v>
      </c>
      <c r="B4043" s="63">
        <v>44130.0</v>
      </c>
      <c r="C4043" s="62" t="s">
        <v>119</v>
      </c>
      <c r="D4043" s="64">
        <v>85.0</v>
      </c>
      <c r="E4043" s="62" t="s">
        <v>114</v>
      </c>
      <c r="F4043" s="62" t="s">
        <v>115</v>
      </c>
      <c r="G4043" s="64" t="s">
        <v>64</v>
      </c>
      <c r="H4043" s="3" t="s">
        <v>150</v>
      </c>
      <c r="I4043" s="65">
        <f>IFERROR(VLOOKUP(A4043,'3. Call duration'!$A:$C,3,0),"--")</f>
        <v>25.4216638</v>
      </c>
      <c r="J4043" s="65" t="str">
        <f t="array" ref="J4043">XLOOKUP(H4043,'2. Matching'!$A$2:$A$39,'2. Matching'!$B$2:$B$39,"--")</f>
        <v>SEO</v>
      </c>
      <c r="K4043" s="65" t="str">
        <f t="shared" si="1"/>
        <v>In</v>
      </c>
    </row>
    <row r="4044">
      <c r="A4044" s="62" t="s">
        <v>4182</v>
      </c>
      <c r="B4044" s="63">
        <v>44129.0</v>
      </c>
      <c r="C4044" s="62" t="s">
        <v>119</v>
      </c>
      <c r="D4044" s="64">
        <v>85.0</v>
      </c>
      <c r="E4044" s="62" t="s">
        <v>114</v>
      </c>
      <c r="F4044" s="62" t="s">
        <v>115</v>
      </c>
      <c r="G4044" s="64" t="s">
        <v>64</v>
      </c>
      <c r="H4044" s="3" t="s">
        <v>139</v>
      </c>
      <c r="I4044" s="65">
        <f>IFERROR(VLOOKUP(A4044,'3. Call duration'!$A:$C,3,0),"--")</f>
        <v>23.47188597</v>
      </c>
      <c r="J4044" s="65" t="str">
        <f t="array" ref="J4044">XLOOKUP(H4044,'2. Matching'!$A$2:$A$39,'2. Matching'!$B$2:$B$39,"--")</f>
        <v>Acquisition</v>
      </c>
      <c r="K4044" s="65" t="str">
        <f t="shared" si="1"/>
        <v>In</v>
      </c>
    </row>
    <row r="4045">
      <c r="A4045" s="62" t="s">
        <v>4183</v>
      </c>
      <c r="B4045" s="63">
        <v>44228.0</v>
      </c>
      <c r="C4045" s="62" t="s">
        <v>119</v>
      </c>
      <c r="D4045" s="64">
        <v>85.0</v>
      </c>
      <c r="E4045" s="62" t="s">
        <v>114</v>
      </c>
      <c r="F4045" s="62" t="s">
        <v>115</v>
      </c>
      <c r="G4045" s="64" t="s">
        <v>64</v>
      </c>
      <c r="H4045" s="3" t="s">
        <v>169</v>
      </c>
      <c r="I4045" s="65">
        <f>IFERROR(VLOOKUP(A4045,'3. Call duration'!$A:$C,3,0),"--")</f>
        <v>16.37351292</v>
      </c>
      <c r="J4045" s="65" t="str">
        <f t="array" ref="J4045">XLOOKUP(H4045,'2. Matching'!$A$2:$A$39,'2. Matching'!$B$2:$B$39,"--")</f>
        <v>SEO</v>
      </c>
      <c r="K4045" s="65" t="str">
        <f t="shared" si="1"/>
        <v>In</v>
      </c>
    </row>
    <row r="4046">
      <c r="A4046" s="62" t="s">
        <v>4184</v>
      </c>
      <c r="B4046" s="63">
        <v>44237.0</v>
      </c>
      <c r="C4046" s="62" t="s">
        <v>119</v>
      </c>
      <c r="D4046" s="64">
        <v>85.0</v>
      </c>
      <c r="E4046" s="62" t="s">
        <v>114</v>
      </c>
      <c r="F4046" s="62" t="s">
        <v>115</v>
      </c>
      <c r="G4046" s="64" t="s">
        <v>64</v>
      </c>
      <c r="H4046" s="3" t="s">
        <v>139</v>
      </c>
      <c r="I4046" s="65">
        <f>IFERROR(VLOOKUP(A4046,'3. Call duration'!$A:$C,3,0),"--")</f>
        <v>28.2969797</v>
      </c>
      <c r="J4046" s="65" t="str">
        <f t="array" ref="J4046">XLOOKUP(H4046,'2. Matching'!$A$2:$A$39,'2. Matching'!$B$2:$B$39,"--")</f>
        <v>Acquisition</v>
      </c>
      <c r="K4046" s="65" t="str">
        <f t="shared" si="1"/>
        <v>In</v>
      </c>
    </row>
    <row r="4047">
      <c r="A4047" s="62" t="s">
        <v>4185</v>
      </c>
      <c r="B4047" s="63">
        <v>44239.0</v>
      </c>
      <c r="C4047" s="62" t="s">
        <v>119</v>
      </c>
      <c r="D4047" s="64">
        <v>85.0</v>
      </c>
      <c r="E4047" s="62" t="s">
        <v>114</v>
      </c>
      <c r="F4047" s="62" t="s">
        <v>115</v>
      </c>
      <c r="G4047" s="64" t="s">
        <v>64</v>
      </c>
      <c r="H4047" s="3" t="s">
        <v>139</v>
      </c>
      <c r="I4047" s="65">
        <f>IFERROR(VLOOKUP(A4047,'3. Call duration'!$A:$C,3,0),"--")</f>
        <v>36.83346908</v>
      </c>
      <c r="J4047" s="65" t="str">
        <f t="array" ref="J4047">XLOOKUP(H4047,'2. Matching'!$A$2:$A$39,'2. Matching'!$B$2:$B$39,"--")</f>
        <v>Acquisition</v>
      </c>
      <c r="K4047" s="65" t="str">
        <f t="shared" si="1"/>
        <v>In</v>
      </c>
    </row>
    <row r="4048">
      <c r="A4048" s="62" t="s">
        <v>4186</v>
      </c>
      <c r="B4048" s="63">
        <v>44200.0</v>
      </c>
      <c r="C4048" s="62" t="s">
        <v>119</v>
      </c>
      <c r="D4048" s="64">
        <v>85.0</v>
      </c>
      <c r="E4048" s="62" t="s">
        <v>114</v>
      </c>
      <c r="F4048" s="62" t="s">
        <v>115</v>
      </c>
      <c r="G4048" s="64" t="s">
        <v>64</v>
      </c>
      <c r="H4048" s="3" t="s">
        <v>139</v>
      </c>
      <c r="I4048" s="65">
        <f>IFERROR(VLOOKUP(A4048,'3. Call duration'!$A:$C,3,0),"--")</f>
        <v>27.67242462</v>
      </c>
      <c r="J4048" s="65" t="str">
        <f t="array" ref="J4048">XLOOKUP(H4048,'2. Matching'!$A$2:$A$39,'2. Matching'!$B$2:$B$39,"--")</f>
        <v>Acquisition</v>
      </c>
      <c r="K4048" s="65" t="str">
        <f t="shared" si="1"/>
        <v>In</v>
      </c>
    </row>
    <row r="4049">
      <c r="A4049" s="62" t="s">
        <v>4187</v>
      </c>
      <c r="B4049" s="63">
        <v>44077.0</v>
      </c>
      <c r="C4049" s="62" t="s">
        <v>119</v>
      </c>
      <c r="D4049" s="64">
        <v>85.0</v>
      </c>
      <c r="E4049" s="62" t="s">
        <v>114</v>
      </c>
      <c r="F4049" s="62" t="s">
        <v>115</v>
      </c>
      <c r="G4049" s="64" t="s">
        <v>64</v>
      </c>
      <c r="H4049" s="3" t="s">
        <v>164</v>
      </c>
      <c r="I4049" s="65">
        <f>IFERROR(VLOOKUP(A4049,'3. Call duration'!$A:$C,3,0),"--")</f>
        <v>28.92394334</v>
      </c>
      <c r="J4049" s="65" t="str">
        <f t="array" ref="J4049">XLOOKUP(H4049,'2. Matching'!$A$2:$A$39,'2. Matching'!$B$2:$B$39,"--")</f>
        <v>SEO</v>
      </c>
      <c r="K4049" s="65" t="str">
        <f t="shared" si="1"/>
        <v>In</v>
      </c>
    </row>
    <row r="4050">
      <c r="A4050" s="62" t="s">
        <v>4188</v>
      </c>
      <c r="B4050" s="63">
        <v>44201.0</v>
      </c>
      <c r="C4050" s="62" t="s">
        <v>119</v>
      </c>
      <c r="D4050" s="64">
        <v>85.0</v>
      </c>
      <c r="E4050" s="62" t="s">
        <v>114</v>
      </c>
      <c r="F4050" s="62" t="s">
        <v>115</v>
      </c>
      <c r="G4050" s="64" t="s">
        <v>62</v>
      </c>
      <c r="H4050" s="3" t="s">
        <v>294</v>
      </c>
      <c r="I4050" s="65">
        <f>IFERROR(VLOOKUP(A4050,'3. Call duration'!$A:$C,3,0),"--")</f>
        <v>28.23627104</v>
      </c>
      <c r="J4050" s="65" t="str">
        <f t="array" ref="J4050">XLOOKUP(H4050,'2. Matching'!$A$2:$A$39,'2. Matching'!$B$2:$B$39,"--")</f>
        <v>Farming</v>
      </c>
      <c r="K4050" s="65" t="str">
        <f t="shared" si="1"/>
        <v>In</v>
      </c>
    </row>
    <row r="4051">
      <c r="A4051" s="62" t="s">
        <v>4189</v>
      </c>
      <c r="B4051" s="63">
        <v>44204.0</v>
      </c>
      <c r="C4051" s="62" t="s">
        <v>119</v>
      </c>
      <c r="D4051" s="64">
        <v>85.0</v>
      </c>
      <c r="E4051" s="62" t="s">
        <v>114</v>
      </c>
      <c r="F4051" s="62" t="s">
        <v>115</v>
      </c>
      <c r="G4051" s="64" t="s">
        <v>62</v>
      </c>
      <c r="H4051" s="3" t="s">
        <v>203</v>
      </c>
      <c r="I4051" s="65">
        <f>IFERROR(VLOOKUP(A4051,'3. Call duration'!$A:$C,3,0),"--")</f>
        <v>25.93696161</v>
      </c>
      <c r="J4051" s="65" t="str">
        <f t="array" ref="J4051">XLOOKUP(H4051,'2. Matching'!$A$2:$A$39,'2. Matching'!$B$2:$B$39,"--")</f>
        <v>Farming</v>
      </c>
      <c r="K4051" s="65" t="str">
        <f t="shared" si="1"/>
        <v>In</v>
      </c>
    </row>
    <row r="4052">
      <c r="A4052" s="62" t="s">
        <v>4190</v>
      </c>
      <c r="B4052" s="63">
        <v>44231.0</v>
      </c>
      <c r="C4052" s="62" t="s">
        <v>119</v>
      </c>
      <c r="D4052" s="64">
        <v>85.0</v>
      </c>
      <c r="E4052" s="62" t="s">
        <v>114</v>
      </c>
      <c r="F4052" s="62" t="s">
        <v>115</v>
      </c>
      <c r="G4052" s="64" t="s">
        <v>64</v>
      </c>
      <c r="H4052" s="3" t="s">
        <v>150</v>
      </c>
      <c r="I4052" s="65">
        <f>IFERROR(VLOOKUP(A4052,'3. Call duration'!$A:$C,3,0),"--")</f>
        <v>21.42749246</v>
      </c>
      <c r="J4052" s="65" t="str">
        <f t="array" ref="J4052">XLOOKUP(H4052,'2. Matching'!$A$2:$A$39,'2. Matching'!$B$2:$B$39,"--")</f>
        <v>SEO</v>
      </c>
      <c r="K4052" s="65" t="str">
        <f t="shared" si="1"/>
        <v>In</v>
      </c>
    </row>
    <row r="4053">
      <c r="A4053" s="62" t="s">
        <v>4191</v>
      </c>
      <c r="B4053" s="63">
        <v>44232.0</v>
      </c>
      <c r="C4053" s="62" t="s">
        <v>119</v>
      </c>
      <c r="D4053" s="64">
        <v>85.0</v>
      </c>
      <c r="E4053" s="62" t="s">
        <v>114</v>
      </c>
      <c r="F4053" s="62" t="s">
        <v>115</v>
      </c>
      <c r="G4053" s="64" t="s">
        <v>64</v>
      </c>
      <c r="H4053" s="3" t="s">
        <v>139</v>
      </c>
      <c r="I4053" s="65">
        <f>IFERROR(VLOOKUP(A4053,'3. Call duration'!$A:$C,3,0),"--")</f>
        <v>16.04530327</v>
      </c>
      <c r="J4053" s="65" t="str">
        <f t="array" ref="J4053">XLOOKUP(H4053,'2. Matching'!$A$2:$A$39,'2. Matching'!$B$2:$B$39,"--")</f>
        <v>Acquisition</v>
      </c>
      <c r="K4053" s="65" t="str">
        <f t="shared" si="1"/>
        <v>In</v>
      </c>
    </row>
    <row r="4054">
      <c r="A4054" s="62" t="s">
        <v>4192</v>
      </c>
      <c r="B4054" s="63">
        <v>44075.0</v>
      </c>
      <c r="C4054" s="62" t="s">
        <v>119</v>
      </c>
      <c r="D4054" s="64">
        <v>85.0</v>
      </c>
      <c r="E4054" s="62" t="s">
        <v>114</v>
      </c>
      <c r="F4054" s="62" t="s">
        <v>115</v>
      </c>
      <c r="G4054" s="64" t="s">
        <v>64</v>
      </c>
      <c r="H4054" s="3" t="s">
        <v>235</v>
      </c>
      <c r="I4054" s="65">
        <f>IFERROR(VLOOKUP(A4054,'3. Call duration'!$A:$C,3,0),"--")</f>
        <v>20.83270228</v>
      </c>
      <c r="J4054" s="65" t="str">
        <f t="array" ref="J4054">XLOOKUP(H4054,'2. Matching'!$A$2:$A$39,'2. Matching'!$B$2:$B$39,"--")</f>
        <v>Farming</v>
      </c>
      <c r="K4054" s="65" t="str">
        <f t="shared" si="1"/>
        <v>In</v>
      </c>
    </row>
    <row r="4055">
      <c r="A4055" s="62" t="s">
        <v>4193</v>
      </c>
      <c r="B4055" s="63">
        <v>44106.0</v>
      </c>
      <c r="C4055" s="62" t="s">
        <v>119</v>
      </c>
      <c r="D4055" s="64">
        <v>85.0</v>
      </c>
      <c r="E4055" s="62" t="s">
        <v>114</v>
      </c>
      <c r="F4055" s="62" t="s">
        <v>110</v>
      </c>
      <c r="G4055" s="64" t="s">
        <v>64</v>
      </c>
      <c r="H4055" s="3" t="s">
        <v>131</v>
      </c>
      <c r="I4055" s="65">
        <f>IFERROR(VLOOKUP(A4055,'3. Call duration'!$A:$C,3,0),"--")</f>
        <v>28.51567383</v>
      </c>
      <c r="J4055" s="65" t="str">
        <f t="array" ref="J4055">XLOOKUP(H4055,'2. Matching'!$A$2:$A$39,'2. Matching'!$B$2:$B$39,"--")</f>
        <v>Acquisition</v>
      </c>
      <c r="K4055" s="65" t="str">
        <f t="shared" si="1"/>
        <v>In</v>
      </c>
    </row>
    <row r="4056">
      <c r="A4056" s="62" t="s">
        <v>4194</v>
      </c>
      <c r="B4056" s="63">
        <v>44216.0</v>
      </c>
      <c r="C4056" s="62" t="s">
        <v>119</v>
      </c>
      <c r="D4056" s="64">
        <v>85.0</v>
      </c>
      <c r="E4056" s="62" t="s">
        <v>114</v>
      </c>
      <c r="F4056" s="62" t="s">
        <v>115</v>
      </c>
      <c r="G4056" s="64" t="s">
        <v>62</v>
      </c>
      <c r="H4056" s="3" t="s">
        <v>286</v>
      </c>
      <c r="I4056" s="65">
        <f>IFERROR(VLOOKUP(A4056,'3. Call duration'!$A:$C,3,0),"--")</f>
        <v>28.98951026</v>
      </c>
      <c r="J4056" s="65" t="str">
        <f t="array" ref="J4056">XLOOKUP(H4056,'2. Matching'!$A$2:$A$39,'2. Matching'!$B$2:$B$39,"--")</f>
        <v>Farming</v>
      </c>
      <c r="K4056" s="65" t="str">
        <f t="shared" si="1"/>
        <v>In</v>
      </c>
    </row>
    <row r="4057">
      <c r="A4057" s="62" t="s">
        <v>4195</v>
      </c>
      <c r="B4057" s="63">
        <v>44229.0</v>
      </c>
      <c r="C4057" s="62" t="s">
        <v>119</v>
      </c>
      <c r="D4057" s="64">
        <v>85.0</v>
      </c>
      <c r="E4057" s="62" t="s">
        <v>114</v>
      </c>
      <c r="F4057" s="62" t="s">
        <v>115</v>
      </c>
      <c r="G4057" s="64" t="s">
        <v>64</v>
      </c>
      <c r="H4057" s="3" t="s">
        <v>135</v>
      </c>
      <c r="I4057" s="65">
        <f>IFERROR(VLOOKUP(A4057,'3. Call duration'!$A:$C,3,0),"--")</f>
        <v>32.45921322</v>
      </c>
      <c r="J4057" s="65" t="str">
        <f t="array" ref="J4057">XLOOKUP(H4057,'2. Matching'!$A$2:$A$39,'2. Matching'!$B$2:$B$39,"--")</f>
        <v>Acquisition</v>
      </c>
      <c r="K4057" s="65" t="str">
        <f t="shared" si="1"/>
        <v>In</v>
      </c>
    </row>
    <row r="4058">
      <c r="A4058" s="62" t="s">
        <v>4196</v>
      </c>
      <c r="B4058" s="63">
        <v>44231.0</v>
      </c>
      <c r="C4058" s="62" t="s">
        <v>119</v>
      </c>
      <c r="D4058" s="64">
        <v>85.0</v>
      </c>
      <c r="E4058" s="62" t="s">
        <v>114</v>
      </c>
      <c r="F4058" s="62" t="s">
        <v>115</v>
      </c>
      <c r="G4058" s="64" t="s">
        <v>64</v>
      </c>
      <c r="H4058" s="3" t="s">
        <v>139</v>
      </c>
      <c r="I4058" s="65">
        <f>IFERROR(VLOOKUP(A4058,'3. Call duration'!$A:$C,3,0),"--")</f>
        <v>42.02185186</v>
      </c>
      <c r="J4058" s="65" t="str">
        <f t="array" ref="J4058">XLOOKUP(H4058,'2. Matching'!$A$2:$A$39,'2. Matching'!$B$2:$B$39,"--")</f>
        <v>Acquisition</v>
      </c>
      <c r="K4058" s="65" t="str">
        <f t="shared" si="1"/>
        <v>In</v>
      </c>
    </row>
    <row r="4059">
      <c r="A4059" s="62" t="s">
        <v>4197</v>
      </c>
      <c r="B4059" s="63">
        <v>44180.0</v>
      </c>
      <c r="C4059" s="62" t="s">
        <v>119</v>
      </c>
      <c r="D4059" s="64">
        <v>85.0</v>
      </c>
      <c r="E4059" s="62" t="s">
        <v>114</v>
      </c>
      <c r="F4059" s="62" t="s">
        <v>115</v>
      </c>
      <c r="G4059" s="64" t="s">
        <v>64</v>
      </c>
      <c r="H4059" s="3" t="s">
        <v>169</v>
      </c>
      <c r="I4059" s="65">
        <f>IFERROR(VLOOKUP(A4059,'3. Call duration'!$A:$C,3,0),"--")</f>
        <v>23.60208915</v>
      </c>
      <c r="J4059" s="65" t="str">
        <f t="array" ref="J4059">XLOOKUP(H4059,'2. Matching'!$A$2:$A$39,'2. Matching'!$B$2:$B$39,"--")</f>
        <v>SEO</v>
      </c>
      <c r="K4059" s="65" t="str">
        <f t="shared" si="1"/>
        <v>In</v>
      </c>
    </row>
    <row r="4060">
      <c r="A4060" s="62" t="s">
        <v>4198</v>
      </c>
      <c r="B4060" s="63">
        <v>44210.0</v>
      </c>
      <c r="C4060" s="62" t="s">
        <v>119</v>
      </c>
      <c r="D4060" s="64">
        <v>85.0</v>
      </c>
      <c r="E4060" s="62" t="s">
        <v>114</v>
      </c>
      <c r="F4060" s="62" t="s">
        <v>110</v>
      </c>
      <c r="G4060" s="64" t="s">
        <v>64</v>
      </c>
      <c r="H4060" s="3" t="s">
        <v>131</v>
      </c>
      <c r="I4060" s="65">
        <f>IFERROR(VLOOKUP(A4060,'3. Call duration'!$A:$C,3,0),"--")</f>
        <v>20.45443083</v>
      </c>
      <c r="J4060" s="65" t="str">
        <f t="array" ref="J4060">XLOOKUP(H4060,'2. Matching'!$A$2:$A$39,'2. Matching'!$B$2:$B$39,"--")</f>
        <v>Acquisition</v>
      </c>
      <c r="K4060" s="65" t="str">
        <f t="shared" si="1"/>
        <v>In</v>
      </c>
    </row>
    <row r="4061">
      <c r="A4061" s="62" t="s">
        <v>4199</v>
      </c>
      <c r="B4061" s="63">
        <v>44227.0</v>
      </c>
      <c r="C4061" s="62" t="s">
        <v>119</v>
      </c>
      <c r="D4061" s="64">
        <v>85.0</v>
      </c>
      <c r="E4061" s="62" t="s">
        <v>114</v>
      </c>
      <c r="F4061" s="62" t="s">
        <v>115</v>
      </c>
      <c r="G4061" s="64" t="s">
        <v>64</v>
      </c>
      <c r="H4061" s="3" t="s">
        <v>139</v>
      </c>
      <c r="I4061" s="65">
        <f>IFERROR(VLOOKUP(A4061,'3. Call duration'!$A:$C,3,0),"--")</f>
        <v>28.77857627</v>
      </c>
      <c r="J4061" s="65" t="str">
        <f t="array" ref="J4061">XLOOKUP(H4061,'2. Matching'!$A$2:$A$39,'2. Matching'!$B$2:$B$39,"--")</f>
        <v>Acquisition</v>
      </c>
      <c r="K4061" s="65" t="str">
        <f t="shared" si="1"/>
        <v>In</v>
      </c>
    </row>
    <row r="4062">
      <c r="A4062" s="62" t="s">
        <v>4200</v>
      </c>
      <c r="B4062" s="63">
        <v>44229.0</v>
      </c>
      <c r="C4062" s="62" t="s">
        <v>119</v>
      </c>
      <c r="D4062" s="64">
        <v>85.0</v>
      </c>
      <c r="E4062" s="62" t="s">
        <v>114</v>
      </c>
      <c r="F4062" s="62" t="s">
        <v>115</v>
      </c>
      <c r="G4062" s="64" t="s">
        <v>64</v>
      </c>
      <c r="H4062" s="3" t="s">
        <v>139</v>
      </c>
      <c r="I4062" s="65">
        <f>IFERROR(VLOOKUP(A4062,'3. Call duration'!$A:$C,3,0),"--")</f>
        <v>24.32478239</v>
      </c>
      <c r="J4062" s="65" t="str">
        <f t="array" ref="J4062">XLOOKUP(H4062,'2. Matching'!$A$2:$A$39,'2. Matching'!$B$2:$B$39,"--")</f>
        <v>Acquisition</v>
      </c>
      <c r="K4062" s="65" t="str">
        <f t="shared" si="1"/>
        <v>In</v>
      </c>
    </row>
    <row r="4063">
      <c r="A4063" s="62" t="s">
        <v>4201</v>
      </c>
      <c r="B4063" s="63">
        <v>44141.0</v>
      </c>
      <c r="C4063" s="62" t="s">
        <v>119</v>
      </c>
      <c r="D4063" s="64">
        <v>85.0</v>
      </c>
      <c r="E4063" s="62" t="s">
        <v>114</v>
      </c>
      <c r="F4063" s="62" t="s">
        <v>110</v>
      </c>
      <c r="G4063" s="64" t="s">
        <v>64</v>
      </c>
      <c r="H4063" s="3" t="s">
        <v>175</v>
      </c>
      <c r="I4063" s="65">
        <f>IFERROR(VLOOKUP(A4063,'3. Call duration'!$A:$C,3,0),"--")</f>
        <v>32.58344568</v>
      </c>
      <c r="J4063" s="65" t="str">
        <f t="array" ref="J4063">XLOOKUP(H4063,'2. Matching'!$A$2:$A$39,'2. Matching'!$B$2:$B$39,"--")</f>
        <v>SEO</v>
      </c>
      <c r="K4063" s="65" t="str">
        <f t="shared" si="1"/>
        <v>In</v>
      </c>
    </row>
    <row r="4064">
      <c r="A4064" s="62" t="s">
        <v>4202</v>
      </c>
      <c r="B4064" s="63">
        <v>44224.0</v>
      </c>
      <c r="C4064" s="62" t="s">
        <v>119</v>
      </c>
      <c r="D4064" s="64">
        <v>85.0</v>
      </c>
      <c r="E4064" s="62" t="s">
        <v>114</v>
      </c>
      <c r="F4064" s="62" t="s">
        <v>115</v>
      </c>
      <c r="G4064" s="64" t="s">
        <v>64</v>
      </c>
      <c r="H4064" s="3" t="s">
        <v>131</v>
      </c>
      <c r="I4064" s="65" t="str">
        <f>IFERROR(VLOOKUP(A4064,'3. Call duration'!$A:$C,3,0),"--")</f>
        <v>--</v>
      </c>
      <c r="J4064" s="65" t="str">
        <f t="array" ref="J4064">XLOOKUP(H4064,'2. Matching'!$A$2:$A$39,'2. Matching'!$B$2:$B$39,"--")</f>
        <v>Acquisition</v>
      </c>
      <c r="K4064" s="65" t="str">
        <f t="shared" si="1"/>
        <v>In</v>
      </c>
    </row>
    <row r="4065">
      <c r="A4065" s="62" t="s">
        <v>4203</v>
      </c>
      <c r="B4065" s="63">
        <v>44102.0</v>
      </c>
      <c r="C4065" s="62" t="s">
        <v>119</v>
      </c>
      <c r="D4065" s="64">
        <v>85.0</v>
      </c>
      <c r="E4065" s="62" t="s">
        <v>114</v>
      </c>
      <c r="F4065" s="62" t="s">
        <v>115</v>
      </c>
      <c r="G4065" s="64" t="s">
        <v>64</v>
      </c>
      <c r="H4065" s="3" t="s">
        <v>139</v>
      </c>
      <c r="I4065" s="65" t="str">
        <f>IFERROR(VLOOKUP(A4065,'3. Call duration'!$A:$C,3,0),"--")</f>
        <v>--</v>
      </c>
      <c r="J4065" s="65" t="str">
        <f t="array" ref="J4065">XLOOKUP(H4065,'2. Matching'!$A$2:$A$39,'2. Matching'!$B$2:$B$39,"--")</f>
        <v>Acquisition</v>
      </c>
      <c r="K4065" s="65" t="str">
        <f t="shared" si="1"/>
        <v>In</v>
      </c>
    </row>
    <row r="4066">
      <c r="A4066" s="62" t="s">
        <v>4204</v>
      </c>
      <c r="B4066" s="63">
        <v>44195.0</v>
      </c>
      <c r="C4066" s="62" t="s">
        <v>119</v>
      </c>
      <c r="D4066" s="64">
        <v>85.0</v>
      </c>
      <c r="E4066" s="62" t="s">
        <v>114</v>
      </c>
      <c r="F4066" s="62" t="s">
        <v>115</v>
      </c>
      <c r="G4066" s="64" t="s">
        <v>64</v>
      </c>
      <c r="H4066" s="3" t="s">
        <v>150</v>
      </c>
      <c r="I4066" s="65">
        <f>IFERROR(VLOOKUP(A4066,'3. Call duration'!$A:$C,3,0),"--")</f>
        <v>31.97982533</v>
      </c>
      <c r="J4066" s="65" t="str">
        <f t="array" ref="J4066">XLOOKUP(H4066,'2. Matching'!$A$2:$A$39,'2. Matching'!$B$2:$B$39,"--")</f>
        <v>SEO</v>
      </c>
      <c r="K4066" s="65" t="str">
        <f t="shared" si="1"/>
        <v>In</v>
      </c>
    </row>
    <row r="4067">
      <c r="A4067" s="62" t="s">
        <v>4205</v>
      </c>
      <c r="B4067" s="63">
        <v>44211.0</v>
      </c>
      <c r="C4067" s="62" t="s">
        <v>119</v>
      </c>
      <c r="D4067" s="64">
        <v>85.0</v>
      </c>
      <c r="E4067" s="62" t="s">
        <v>114</v>
      </c>
      <c r="F4067" s="62" t="s">
        <v>115</v>
      </c>
      <c r="G4067" s="64" t="s">
        <v>64</v>
      </c>
      <c r="H4067" s="3" t="s">
        <v>139</v>
      </c>
      <c r="I4067" s="65">
        <f>IFERROR(VLOOKUP(A4067,'3. Call duration'!$A:$C,3,0),"--")</f>
        <v>25.5468226</v>
      </c>
      <c r="J4067" s="65" t="str">
        <f t="array" ref="J4067">XLOOKUP(H4067,'2. Matching'!$A$2:$A$39,'2. Matching'!$B$2:$B$39,"--")</f>
        <v>Acquisition</v>
      </c>
      <c r="K4067" s="65" t="str">
        <f t="shared" si="1"/>
        <v>In</v>
      </c>
    </row>
    <row r="4068">
      <c r="A4068" s="62" t="s">
        <v>4206</v>
      </c>
      <c r="B4068" s="63">
        <v>44224.0</v>
      </c>
      <c r="C4068" s="62" t="s">
        <v>119</v>
      </c>
      <c r="D4068" s="64">
        <v>85.0</v>
      </c>
      <c r="E4068" s="62" t="s">
        <v>114</v>
      </c>
      <c r="F4068" s="62" t="s">
        <v>110</v>
      </c>
      <c r="G4068" s="64" t="s">
        <v>64</v>
      </c>
      <c r="H4068" s="3" t="s">
        <v>116</v>
      </c>
      <c r="I4068" s="65">
        <f>IFERROR(VLOOKUP(A4068,'3. Call duration'!$A:$C,3,0),"--")</f>
        <v>23.91996019</v>
      </c>
      <c r="J4068" s="65" t="str">
        <f t="array" ref="J4068">XLOOKUP(H4068,'2. Matching'!$A$2:$A$39,'2. Matching'!$B$2:$B$39,"--")</f>
        <v>Acquisition</v>
      </c>
      <c r="K4068" s="65" t="str">
        <f t="shared" si="1"/>
        <v>In</v>
      </c>
    </row>
    <row r="4069">
      <c r="A4069" s="62" t="s">
        <v>4207</v>
      </c>
      <c r="B4069" s="63">
        <v>44162.0</v>
      </c>
      <c r="C4069" s="62" t="s">
        <v>119</v>
      </c>
      <c r="D4069" s="64">
        <v>85.0</v>
      </c>
      <c r="E4069" s="62" t="s">
        <v>114</v>
      </c>
      <c r="F4069" s="62" t="s">
        <v>115</v>
      </c>
      <c r="G4069" s="64" t="s">
        <v>64</v>
      </c>
      <c r="H4069" s="3" t="s">
        <v>169</v>
      </c>
      <c r="I4069" s="65">
        <f>IFERROR(VLOOKUP(A4069,'3. Call duration'!$A:$C,3,0),"--")</f>
        <v>28.97200568</v>
      </c>
      <c r="J4069" s="65" t="str">
        <f t="array" ref="J4069">XLOOKUP(H4069,'2. Matching'!$A$2:$A$39,'2. Matching'!$B$2:$B$39,"--")</f>
        <v>SEO</v>
      </c>
      <c r="K4069" s="65" t="str">
        <f t="shared" si="1"/>
        <v>In</v>
      </c>
    </row>
    <row r="4070">
      <c r="A4070" s="62" t="s">
        <v>4208</v>
      </c>
      <c r="B4070" s="63">
        <v>44232.0</v>
      </c>
      <c r="C4070" s="62" t="s">
        <v>119</v>
      </c>
      <c r="D4070" s="64">
        <v>85.0</v>
      </c>
      <c r="E4070" s="62" t="s">
        <v>114</v>
      </c>
      <c r="F4070" s="62" t="s">
        <v>110</v>
      </c>
      <c r="G4070" s="64" t="s">
        <v>64</v>
      </c>
      <c r="H4070" s="3" t="s">
        <v>131</v>
      </c>
      <c r="I4070" s="65">
        <f>IFERROR(VLOOKUP(A4070,'3. Call duration'!$A:$C,3,0),"--")</f>
        <v>10.56725406</v>
      </c>
      <c r="J4070" s="65" t="str">
        <f t="array" ref="J4070">XLOOKUP(H4070,'2. Matching'!$A$2:$A$39,'2. Matching'!$B$2:$B$39,"--")</f>
        <v>Acquisition</v>
      </c>
      <c r="K4070" s="65" t="str">
        <f t="shared" si="1"/>
        <v>In</v>
      </c>
    </row>
    <row r="4071">
      <c r="A4071" s="62" t="s">
        <v>4209</v>
      </c>
      <c r="B4071" s="63">
        <v>44131.0</v>
      </c>
      <c r="C4071" s="62" t="s">
        <v>119</v>
      </c>
      <c r="D4071" s="64">
        <v>85.0</v>
      </c>
      <c r="E4071" s="62" t="s">
        <v>114</v>
      </c>
      <c r="F4071" s="62" t="s">
        <v>115</v>
      </c>
      <c r="G4071" s="64" t="s">
        <v>64</v>
      </c>
      <c r="H4071" s="3" t="s">
        <v>150</v>
      </c>
      <c r="I4071" s="65">
        <f>IFERROR(VLOOKUP(A4071,'3. Call duration'!$A:$C,3,0),"--")</f>
        <v>30.99202665</v>
      </c>
      <c r="J4071" s="65" t="str">
        <f t="array" ref="J4071">XLOOKUP(H4071,'2. Matching'!$A$2:$A$39,'2. Matching'!$B$2:$B$39,"--")</f>
        <v>SEO</v>
      </c>
      <c r="K4071" s="65" t="str">
        <f t="shared" si="1"/>
        <v>In</v>
      </c>
    </row>
    <row r="4072">
      <c r="A4072" s="62" t="s">
        <v>4210</v>
      </c>
      <c r="B4072" s="63">
        <v>44077.0</v>
      </c>
      <c r="C4072" s="62" t="s">
        <v>119</v>
      </c>
      <c r="D4072" s="64">
        <v>85.0</v>
      </c>
      <c r="E4072" s="62" t="s">
        <v>114</v>
      </c>
      <c r="F4072" s="62" t="s">
        <v>115</v>
      </c>
      <c r="G4072" s="64" t="s">
        <v>64</v>
      </c>
      <c r="H4072" s="3" t="s">
        <v>131</v>
      </c>
      <c r="I4072" s="65">
        <f>IFERROR(VLOOKUP(A4072,'3. Call duration'!$A:$C,3,0),"--")</f>
        <v>33.42553284</v>
      </c>
      <c r="J4072" s="65" t="str">
        <f t="array" ref="J4072">XLOOKUP(H4072,'2. Matching'!$A$2:$A$39,'2. Matching'!$B$2:$B$39,"--")</f>
        <v>Acquisition</v>
      </c>
      <c r="K4072" s="65" t="str">
        <f t="shared" si="1"/>
        <v>In</v>
      </c>
    </row>
    <row r="4073">
      <c r="A4073" s="62" t="s">
        <v>4211</v>
      </c>
      <c r="B4073" s="63">
        <v>44145.0</v>
      </c>
      <c r="C4073" s="62" t="s">
        <v>119</v>
      </c>
      <c r="D4073" s="64">
        <v>85.0</v>
      </c>
      <c r="E4073" s="62" t="s">
        <v>114</v>
      </c>
      <c r="F4073" s="62" t="s">
        <v>110</v>
      </c>
      <c r="G4073" s="64" t="s">
        <v>64</v>
      </c>
      <c r="H4073" s="3" t="s">
        <v>175</v>
      </c>
      <c r="I4073" s="65">
        <f>IFERROR(VLOOKUP(A4073,'3. Call duration'!$A:$C,3,0),"--")</f>
        <v>33.27823827</v>
      </c>
      <c r="J4073" s="65" t="str">
        <f t="array" ref="J4073">XLOOKUP(H4073,'2. Matching'!$A$2:$A$39,'2. Matching'!$B$2:$B$39,"--")</f>
        <v>SEO</v>
      </c>
      <c r="K4073" s="65" t="str">
        <f t="shared" si="1"/>
        <v>In</v>
      </c>
    </row>
    <row r="4074">
      <c r="A4074" s="62" t="s">
        <v>4212</v>
      </c>
      <c r="B4074" s="63">
        <v>44235.0</v>
      </c>
      <c r="C4074" s="62" t="s">
        <v>119</v>
      </c>
      <c r="D4074" s="64">
        <v>85.0</v>
      </c>
      <c r="E4074" s="62" t="s">
        <v>114</v>
      </c>
      <c r="F4074" s="62" t="s">
        <v>115</v>
      </c>
      <c r="G4074" s="64" t="s">
        <v>64</v>
      </c>
      <c r="H4074" s="3" t="s">
        <v>155</v>
      </c>
      <c r="I4074" s="65">
        <f>IFERROR(VLOOKUP(A4074,'3. Call duration'!$A:$C,3,0),"--")</f>
        <v>21.39300982</v>
      </c>
      <c r="J4074" s="65" t="str">
        <f t="array" ref="J4074">XLOOKUP(H4074,'2. Matching'!$A$2:$A$39,'2. Matching'!$B$2:$B$39,"--")</f>
        <v>SEO</v>
      </c>
      <c r="K4074" s="65" t="str">
        <f t="shared" si="1"/>
        <v>In</v>
      </c>
    </row>
    <row r="4075">
      <c r="A4075" s="62" t="s">
        <v>4213</v>
      </c>
      <c r="B4075" s="63">
        <v>44214.0</v>
      </c>
      <c r="C4075" s="62" t="s">
        <v>119</v>
      </c>
      <c r="D4075" s="64">
        <v>85.0</v>
      </c>
      <c r="E4075" s="62" t="s">
        <v>114</v>
      </c>
      <c r="F4075" s="62" t="s">
        <v>110</v>
      </c>
      <c r="G4075" s="64" t="s">
        <v>64</v>
      </c>
      <c r="H4075" s="3" t="s">
        <v>221</v>
      </c>
      <c r="I4075" s="65">
        <f>IFERROR(VLOOKUP(A4075,'3. Call duration'!$A:$C,3,0),"--")</f>
        <v>25.29794447</v>
      </c>
      <c r="J4075" s="65" t="str">
        <f t="array" ref="J4075">XLOOKUP(H4075,'2. Matching'!$A$2:$A$39,'2. Matching'!$B$2:$B$39,"--")</f>
        <v>Farming</v>
      </c>
      <c r="K4075" s="65" t="str">
        <f t="shared" si="1"/>
        <v>In</v>
      </c>
    </row>
    <row r="4076">
      <c r="A4076" s="62" t="s">
        <v>4214</v>
      </c>
      <c r="B4076" s="63">
        <v>44090.0</v>
      </c>
      <c r="C4076" s="62" t="s">
        <v>119</v>
      </c>
      <c r="D4076" s="64">
        <v>85.0</v>
      </c>
      <c r="E4076" s="62" t="s">
        <v>114</v>
      </c>
      <c r="F4076" s="62" t="s">
        <v>115</v>
      </c>
      <c r="G4076" s="64" t="s">
        <v>64</v>
      </c>
      <c r="H4076" s="3" t="s">
        <v>139</v>
      </c>
      <c r="I4076" s="65">
        <f>IFERROR(VLOOKUP(A4076,'3. Call duration'!$A:$C,3,0),"--")</f>
        <v>28.38123693</v>
      </c>
      <c r="J4076" s="65" t="str">
        <f t="array" ref="J4076">XLOOKUP(H4076,'2. Matching'!$A$2:$A$39,'2. Matching'!$B$2:$B$39,"--")</f>
        <v>Acquisition</v>
      </c>
      <c r="K4076" s="65" t="str">
        <f t="shared" si="1"/>
        <v>In</v>
      </c>
    </row>
    <row r="4077">
      <c r="A4077" s="62" t="s">
        <v>4215</v>
      </c>
      <c r="B4077" s="63">
        <v>44166.0</v>
      </c>
      <c r="C4077" s="62" t="s">
        <v>119</v>
      </c>
      <c r="D4077" s="64">
        <v>85.0</v>
      </c>
      <c r="E4077" s="62" t="s">
        <v>114</v>
      </c>
      <c r="F4077" s="62" t="s">
        <v>115</v>
      </c>
      <c r="G4077" s="64" t="s">
        <v>64</v>
      </c>
      <c r="H4077" s="3" t="s">
        <v>164</v>
      </c>
      <c r="I4077" s="65">
        <f>IFERROR(VLOOKUP(A4077,'3. Call duration'!$A:$C,3,0),"--")</f>
        <v>33.53148173</v>
      </c>
      <c r="J4077" s="65" t="str">
        <f t="array" ref="J4077">XLOOKUP(H4077,'2. Matching'!$A$2:$A$39,'2. Matching'!$B$2:$B$39,"--")</f>
        <v>SEO</v>
      </c>
      <c r="K4077" s="65" t="str">
        <f t="shared" si="1"/>
        <v>In</v>
      </c>
    </row>
    <row r="4078">
      <c r="A4078" s="62" t="s">
        <v>4216</v>
      </c>
      <c r="B4078" s="63">
        <v>44141.0</v>
      </c>
      <c r="C4078" s="62" t="s">
        <v>119</v>
      </c>
      <c r="D4078" s="64">
        <v>85.0</v>
      </c>
      <c r="E4078" s="62" t="s">
        <v>114</v>
      </c>
      <c r="F4078" s="62" t="s">
        <v>110</v>
      </c>
      <c r="G4078" s="64" t="s">
        <v>62</v>
      </c>
      <c r="H4078" s="3" t="s">
        <v>286</v>
      </c>
      <c r="I4078" s="65">
        <f>IFERROR(VLOOKUP(A4078,'3. Call duration'!$A:$C,3,0),"--")</f>
        <v>31.30956141</v>
      </c>
      <c r="J4078" s="65" t="str">
        <f t="array" ref="J4078">XLOOKUP(H4078,'2. Matching'!$A$2:$A$39,'2. Matching'!$B$2:$B$39,"--")</f>
        <v>Farming</v>
      </c>
      <c r="K4078" s="65" t="str">
        <f t="shared" si="1"/>
        <v>In</v>
      </c>
    </row>
    <row r="4079">
      <c r="A4079" s="62" t="s">
        <v>4217</v>
      </c>
      <c r="B4079" s="63">
        <v>44187.0</v>
      </c>
      <c r="C4079" s="62" t="s">
        <v>119</v>
      </c>
      <c r="D4079" s="64">
        <v>85.0</v>
      </c>
      <c r="E4079" s="62" t="s">
        <v>114</v>
      </c>
      <c r="F4079" s="62" t="s">
        <v>115</v>
      </c>
      <c r="G4079" s="64" t="s">
        <v>62</v>
      </c>
      <c r="H4079" s="3" t="s">
        <v>294</v>
      </c>
      <c r="I4079" s="65">
        <f>IFERROR(VLOOKUP(A4079,'3. Call duration'!$A:$C,3,0),"--")</f>
        <v>22.68017033</v>
      </c>
      <c r="J4079" s="65" t="str">
        <f t="array" ref="J4079">XLOOKUP(H4079,'2. Matching'!$A$2:$A$39,'2. Matching'!$B$2:$B$39,"--")</f>
        <v>Farming</v>
      </c>
      <c r="K4079" s="65" t="str">
        <f t="shared" si="1"/>
        <v>In</v>
      </c>
    </row>
    <row r="4080">
      <c r="A4080" s="62" t="s">
        <v>4218</v>
      </c>
      <c r="B4080" s="63">
        <v>44135.0</v>
      </c>
      <c r="C4080" s="62" t="s">
        <v>119</v>
      </c>
      <c r="D4080" s="64">
        <v>85.0</v>
      </c>
      <c r="E4080" s="62" t="s">
        <v>114</v>
      </c>
      <c r="F4080" s="62" t="s">
        <v>115</v>
      </c>
      <c r="G4080" s="64" t="s">
        <v>64</v>
      </c>
      <c r="H4080" s="3" t="s">
        <v>221</v>
      </c>
      <c r="I4080" s="65">
        <f>IFERROR(VLOOKUP(A4080,'3. Call duration'!$A:$C,3,0),"--")</f>
        <v>28.90657394</v>
      </c>
      <c r="J4080" s="65" t="str">
        <f t="array" ref="J4080">XLOOKUP(H4080,'2. Matching'!$A$2:$A$39,'2. Matching'!$B$2:$B$39,"--")</f>
        <v>Farming</v>
      </c>
      <c r="K4080" s="65" t="str">
        <f t="shared" si="1"/>
        <v>In</v>
      </c>
    </row>
    <row r="4081">
      <c r="A4081" s="62" t="s">
        <v>4219</v>
      </c>
      <c r="B4081" s="63">
        <v>44108.0</v>
      </c>
      <c r="C4081" s="62" t="s">
        <v>119</v>
      </c>
      <c r="D4081" s="64">
        <v>85.0</v>
      </c>
      <c r="E4081" s="62" t="s">
        <v>114</v>
      </c>
      <c r="F4081" s="62" t="s">
        <v>115</v>
      </c>
      <c r="G4081" s="64" t="s">
        <v>64</v>
      </c>
      <c r="H4081" s="3" t="s">
        <v>139</v>
      </c>
      <c r="I4081" s="65">
        <f>IFERROR(VLOOKUP(A4081,'3. Call duration'!$A:$C,3,0),"--")</f>
        <v>32.39016885</v>
      </c>
      <c r="J4081" s="65" t="str">
        <f t="array" ref="J4081">XLOOKUP(H4081,'2. Matching'!$A$2:$A$39,'2. Matching'!$B$2:$B$39,"--")</f>
        <v>Acquisition</v>
      </c>
      <c r="K4081" s="65" t="str">
        <f t="shared" si="1"/>
        <v>In</v>
      </c>
    </row>
    <row r="4082">
      <c r="A4082" s="62" t="s">
        <v>4220</v>
      </c>
      <c r="B4082" s="63">
        <v>44223.0</v>
      </c>
      <c r="C4082" s="62" t="s">
        <v>119</v>
      </c>
      <c r="D4082" s="64">
        <v>85.0</v>
      </c>
      <c r="E4082" s="62" t="s">
        <v>114</v>
      </c>
      <c r="F4082" s="62" t="s">
        <v>110</v>
      </c>
      <c r="G4082" s="64" t="s">
        <v>64</v>
      </c>
      <c r="H4082" s="3" t="s">
        <v>131</v>
      </c>
      <c r="I4082" s="65">
        <f>IFERROR(VLOOKUP(A4082,'3. Call duration'!$A:$C,3,0),"--")</f>
        <v>33.09680511</v>
      </c>
      <c r="J4082" s="65" t="str">
        <f t="array" ref="J4082">XLOOKUP(H4082,'2. Matching'!$A$2:$A$39,'2. Matching'!$B$2:$B$39,"--")</f>
        <v>Acquisition</v>
      </c>
      <c r="K4082" s="65" t="str">
        <f t="shared" si="1"/>
        <v>In</v>
      </c>
    </row>
    <row r="4083">
      <c r="A4083" s="62" t="s">
        <v>4221</v>
      </c>
      <c r="B4083" s="63">
        <v>44181.0</v>
      </c>
      <c r="C4083" s="62" t="s">
        <v>119</v>
      </c>
      <c r="D4083" s="64">
        <v>85.0</v>
      </c>
      <c r="E4083" s="62" t="s">
        <v>114</v>
      </c>
      <c r="F4083" s="62" t="s">
        <v>115</v>
      </c>
      <c r="G4083" s="64" t="s">
        <v>64</v>
      </c>
      <c r="H4083" s="3" t="s">
        <v>139</v>
      </c>
      <c r="I4083" s="65">
        <f>IFERROR(VLOOKUP(A4083,'3. Call duration'!$A:$C,3,0),"--")</f>
        <v>31.08272468</v>
      </c>
      <c r="J4083" s="65" t="str">
        <f t="array" ref="J4083">XLOOKUP(H4083,'2. Matching'!$A$2:$A$39,'2. Matching'!$B$2:$B$39,"--")</f>
        <v>Acquisition</v>
      </c>
      <c r="K4083" s="65" t="str">
        <f t="shared" si="1"/>
        <v>In</v>
      </c>
    </row>
    <row r="4084">
      <c r="A4084" s="62" t="s">
        <v>4222</v>
      </c>
      <c r="B4084" s="63">
        <v>44235.0</v>
      </c>
      <c r="C4084" s="62" t="s">
        <v>119</v>
      </c>
      <c r="D4084" s="64">
        <v>85.0</v>
      </c>
      <c r="E4084" s="62" t="s">
        <v>114</v>
      </c>
      <c r="F4084" s="62" t="s">
        <v>115</v>
      </c>
      <c r="G4084" s="64" t="s">
        <v>64</v>
      </c>
      <c r="H4084" s="3" t="s">
        <v>155</v>
      </c>
      <c r="I4084" s="65">
        <f>IFERROR(VLOOKUP(A4084,'3. Call duration'!$A:$C,3,0),"--")</f>
        <v>12.07839679</v>
      </c>
      <c r="J4084" s="65" t="str">
        <f t="array" ref="J4084">XLOOKUP(H4084,'2. Matching'!$A$2:$A$39,'2. Matching'!$B$2:$B$39,"--")</f>
        <v>SEO</v>
      </c>
      <c r="K4084" s="65" t="str">
        <f t="shared" si="1"/>
        <v>In</v>
      </c>
    </row>
    <row r="4085">
      <c r="A4085" s="62" t="s">
        <v>4223</v>
      </c>
      <c r="B4085" s="63">
        <v>44218.0</v>
      </c>
      <c r="C4085" s="62" t="s">
        <v>119</v>
      </c>
      <c r="D4085" s="64">
        <v>85.0</v>
      </c>
      <c r="E4085" s="62" t="s">
        <v>114</v>
      </c>
      <c r="F4085" s="62" t="s">
        <v>115</v>
      </c>
      <c r="G4085" s="64" t="s">
        <v>64</v>
      </c>
      <c r="H4085" s="3" t="s">
        <v>139</v>
      </c>
      <c r="I4085" s="65">
        <f>IFERROR(VLOOKUP(A4085,'3. Call duration'!$A:$C,3,0),"--")</f>
        <v>33.15483036</v>
      </c>
      <c r="J4085" s="65" t="str">
        <f t="array" ref="J4085">XLOOKUP(H4085,'2. Matching'!$A$2:$A$39,'2. Matching'!$B$2:$B$39,"--")</f>
        <v>Acquisition</v>
      </c>
      <c r="K4085" s="65" t="str">
        <f t="shared" si="1"/>
        <v>In</v>
      </c>
    </row>
    <row r="4086">
      <c r="A4086" s="62" t="s">
        <v>4224</v>
      </c>
      <c r="B4086" s="63">
        <v>44182.0</v>
      </c>
      <c r="C4086" s="62" t="s">
        <v>119</v>
      </c>
      <c r="D4086" s="64">
        <v>85.0</v>
      </c>
      <c r="E4086" s="62" t="s">
        <v>114</v>
      </c>
      <c r="F4086" s="62" t="s">
        <v>110</v>
      </c>
      <c r="G4086" s="64" t="s">
        <v>62</v>
      </c>
      <c r="H4086" s="3" t="s">
        <v>286</v>
      </c>
      <c r="I4086" s="65">
        <f>IFERROR(VLOOKUP(A4086,'3. Call duration'!$A:$C,3,0),"--")</f>
        <v>39.31633908</v>
      </c>
      <c r="J4086" s="65" t="str">
        <f t="array" ref="J4086">XLOOKUP(H4086,'2. Matching'!$A$2:$A$39,'2. Matching'!$B$2:$B$39,"--")</f>
        <v>Farming</v>
      </c>
      <c r="K4086" s="65" t="str">
        <f t="shared" si="1"/>
        <v>In</v>
      </c>
    </row>
    <row r="4087">
      <c r="A4087" s="62" t="s">
        <v>4225</v>
      </c>
      <c r="B4087" s="63">
        <v>44208.0</v>
      </c>
      <c r="C4087" s="62" t="s">
        <v>119</v>
      </c>
      <c r="D4087" s="64">
        <v>85.0</v>
      </c>
      <c r="E4087" s="62" t="s">
        <v>114</v>
      </c>
      <c r="F4087" s="62" t="s">
        <v>115</v>
      </c>
      <c r="G4087" s="64" t="s">
        <v>64</v>
      </c>
      <c r="H4087" s="3" t="s">
        <v>169</v>
      </c>
      <c r="I4087" s="65">
        <f>IFERROR(VLOOKUP(A4087,'3. Call duration'!$A:$C,3,0),"--")</f>
        <v>13.2556974</v>
      </c>
      <c r="J4087" s="65" t="str">
        <f t="array" ref="J4087">XLOOKUP(H4087,'2. Matching'!$A$2:$A$39,'2. Matching'!$B$2:$B$39,"--")</f>
        <v>SEO</v>
      </c>
      <c r="K4087" s="65" t="str">
        <f t="shared" si="1"/>
        <v>In</v>
      </c>
    </row>
    <row r="4088">
      <c r="A4088" s="62" t="s">
        <v>4226</v>
      </c>
      <c r="B4088" s="63">
        <v>44098.0</v>
      </c>
      <c r="C4088" s="62" t="s">
        <v>119</v>
      </c>
      <c r="D4088" s="64">
        <v>85.0</v>
      </c>
      <c r="E4088" s="62" t="s">
        <v>114</v>
      </c>
      <c r="F4088" s="62" t="s">
        <v>115</v>
      </c>
      <c r="G4088" s="64" t="s">
        <v>62</v>
      </c>
      <c r="H4088" s="3" t="s">
        <v>286</v>
      </c>
      <c r="I4088" s="65" t="str">
        <f>IFERROR(VLOOKUP(A4088,'3. Call duration'!$A:$C,3,0),"--")</f>
        <v>--</v>
      </c>
      <c r="J4088" s="65" t="str">
        <f t="array" ref="J4088">XLOOKUP(H4088,'2. Matching'!$A$2:$A$39,'2. Matching'!$B$2:$B$39,"--")</f>
        <v>Farming</v>
      </c>
      <c r="K4088" s="65" t="str">
        <f t="shared" si="1"/>
        <v>In</v>
      </c>
    </row>
    <row r="4089">
      <c r="A4089" s="62" t="s">
        <v>4227</v>
      </c>
      <c r="B4089" s="63">
        <v>44130.0</v>
      </c>
      <c r="C4089" s="62" t="s">
        <v>119</v>
      </c>
      <c r="D4089" s="64">
        <v>85.0</v>
      </c>
      <c r="E4089" s="62" t="s">
        <v>114</v>
      </c>
      <c r="F4089" s="62" t="s">
        <v>115</v>
      </c>
      <c r="G4089" s="64" t="s">
        <v>64</v>
      </c>
      <c r="H4089" s="3" t="s">
        <v>131</v>
      </c>
      <c r="I4089" s="65">
        <f>IFERROR(VLOOKUP(A4089,'3. Call duration'!$A:$C,3,0),"--")</f>
        <v>30.72718137</v>
      </c>
      <c r="J4089" s="65" t="str">
        <f t="array" ref="J4089">XLOOKUP(H4089,'2. Matching'!$A$2:$A$39,'2. Matching'!$B$2:$B$39,"--")</f>
        <v>Acquisition</v>
      </c>
      <c r="K4089" s="65" t="str">
        <f t="shared" si="1"/>
        <v>In</v>
      </c>
    </row>
    <row r="4090">
      <c r="A4090" s="62" t="s">
        <v>4228</v>
      </c>
      <c r="B4090" s="63">
        <v>44144.0</v>
      </c>
      <c r="C4090" s="62" t="s">
        <v>119</v>
      </c>
      <c r="D4090" s="64">
        <v>85.0</v>
      </c>
      <c r="E4090" s="62" t="s">
        <v>114</v>
      </c>
      <c r="F4090" s="62" t="s">
        <v>110</v>
      </c>
      <c r="G4090" s="64" t="s">
        <v>64</v>
      </c>
      <c r="H4090" s="3" t="s">
        <v>145</v>
      </c>
      <c r="I4090" s="65">
        <f>IFERROR(VLOOKUP(A4090,'3. Call duration'!$A:$C,3,0),"--")</f>
        <v>15.5977014</v>
      </c>
      <c r="J4090" s="65" t="str">
        <f t="array" ref="J4090">XLOOKUP(H4090,'2. Matching'!$A$2:$A$39,'2. Matching'!$B$2:$B$39,"--")</f>
        <v>SEO</v>
      </c>
      <c r="K4090" s="65" t="str">
        <f t="shared" si="1"/>
        <v>In</v>
      </c>
    </row>
    <row r="4091">
      <c r="A4091" s="62" t="s">
        <v>4229</v>
      </c>
      <c r="B4091" s="63">
        <v>44125.0</v>
      </c>
      <c r="C4091" s="62" t="s">
        <v>119</v>
      </c>
      <c r="D4091" s="64">
        <v>85.0</v>
      </c>
      <c r="E4091" s="62" t="s">
        <v>114</v>
      </c>
      <c r="F4091" s="62" t="s">
        <v>115</v>
      </c>
      <c r="G4091" s="64" t="s">
        <v>64</v>
      </c>
      <c r="H4091" s="3" t="s">
        <v>139</v>
      </c>
      <c r="I4091" s="65">
        <f>IFERROR(VLOOKUP(A4091,'3. Call duration'!$A:$C,3,0),"--")</f>
        <v>30.6779697</v>
      </c>
      <c r="J4091" s="65" t="str">
        <f t="array" ref="J4091">XLOOKUP(H4091,'2. Matching'!$A$2:$A$39,'2. Matching'!$B$2:$B$39,"--")</f>
        <v>Acquisition</v>
      </c>
      <c r="K4091" s="65" t="str">
        <f t="shared" si="1"/>
        <v>In</v>
      </c>
    </row>
    <row r="4092">
      <c r="A4092" s="62" t="s">
        <v>4230</v>
      </c>
      <c r="B4092" s="63">
        <v>44179.0</v>
      </c>
      <c r="C4092" s="62" t="s">
        <v>119</v>
      </c>
      <c r="D4092" s="64">
        <v>85.0</v>
      </c>
      <c r="E4092" s="62" t="s">
        <v>114</v>
      </c>
      <c r="F4092" s="62" t="s">
        <v>110</v>
      </c>
      <c r="G4092" s="64" t="s">
        <v>64</v>
      </c>
      <c r="H4092" s="3" t="s">
        <v>131</v>
      </c>
      <c r="I4092" s="65">
        <f>IFERROR(VLOOKUP(A4092,'3. Call duration'!$A:$C,3,0),"--")</f>
        <v>26.89492194</v>
      </c>
      <c r="J4092" s="65" t="str">
        <f t="array" ref="J4092">XLOOKUP(H4092,'2. Matching'!$A$2:$A$39,'2. Matching'!$B$2:$B$39,"--")</f>
        <v>Acquisition</v>
      </c>
      <c r="K4092" s="65" t="str">
        <f t="shared" si="1"/>
        <v>In</v>
      </c>
    </row>
    <row r="4093">
      <c r="A4093" s="62" t="s">
        <v>4231</v>
      </c>
      <c r="B4093" s="63">
        <v>44133.0</v>
      </c>
      <c r="C4093" s="62" t="s">
        <v>119</v>
      </c>
      <c r="D4093" s="64">
        <v>85.0</v>
      </c>
      <c r="E4093" s="62" t="s">
        <v>114</v>
      </c>
      <c r="F4093" s="62" t="s">
        <v>115</v>
      </c>
      <c r="G4093" s="64" t="s">
        <v>62</v>
      </c>
      <c r="H4093" s="3" t="s">
        <v>294</v>
      </c>
      <c r="I4093" s="65">
        <f>IFERROR(VLOOKUP(A4093,'3. Call duration'!$A:$C,3,0),"--")</f>
        <v>44.31916656</v>
      </c>
      <c r="J4093" s="65" t="str">
        <f t="array" ref="J4093">XLOOKUP(H4093,'2. Matching'!$A$2:$A$39,'2. Matching'!$B$2:$B$39,"--")</f>
        <v>Farming</v>
      </c>
      <c r="K4093" s="65" t="str">
        <f t="shared" si="1"/>
        <v>In</v>
      </c>
    </row>
    <row r="4094">
      <c r="A4094" s="62" t="s">
        <v>4232</v>
      </c>
      <c r="B4094" s="63">
        <v>44214.0</v>
      </c>
      <c r="C4094" s="62" t="s">
        <v>119</v>
      </c>
      <c r="D4094" s="64">
        <v>85.0</v>
      </c>
      <c r="E4094" s="62" t="s">
        <v>114</v>
      </c>
      <c r="F4094" s="62" t="s">
        <v>110</v>
      </c>
      <c r="G4094" s="64" t="s">
        <v>64</v>
      </c>
      <c r="H4094" s="3" t="s">
        <v>131</v>
      </c>
      <c r="I4094" s="65">
        <f>IFERROR(VLOOKUP(A4094,'3. Call duration'!$A:$C,3,0),"--")</f>
        <v>44.01862102</v>
      </c>
      <c r="J4094" s="65" t="str">
        <f t="array" ref="J4094">XLOOKUP(H4094,'2. Matching'!$A$2:$A$39,'2. Matching'!$B$2:$B$39,"--")</f>
        <v>Acquisition</v>
      </c>
      <c r="K4094" s="65" t="str">
        <f t="shared" si="1"/>
        <v>In</v>
      </c>
    </row>
    <row r="4095">
      <c r="A4095" s="62" t="s">
        <v>4233</v>
      </c>
      <c r="B4095" s="63">
        <v>44179.0</v>
      </c>
      <c r="C4095" s="62" t="s">
        <v>119</v>
      </c>
      <c r="D4095" s="64">
        <v>85.0</v>
      </c>
      <c r="E4095" s="62" t="s">
        <v>114</v>
      </c>
      <c r="F4095" s="62" t="s">
        <v>115</v>
      </c>
      <c r="G4095" s="64" t="s">
        <v>64</v>
      </c>
      <c r="H4095" s="3" t="s">
        <v>155</v>
      </c>
      <c r="I4095" s="65">
        <f>IFERROR(VLOOKUP(A4095,'3. Call duration'!$A:$C,3,0),"--")</f>
        <v>29.41937822</v>
      </c>
      <c r="J4095" s="65" t="str">
        <f t="array" ref="J4095">XLOOKUP(H4095,'2. Matching'!$A$2:$A$39,'2. Matching'!$B$2:$B$39,"--")</f>
        <v>SEO</v>
      </c>
      <c r="K4095" s="65" t="str">
        <f t="shared" si="1"/>
        <v>In</v>
      </c>
    </row>
    <row r="4096">
      <c r="A4096" s="62" t="s">
        <v>4234</v>
      </c>
      <c r="B4096" s="63">
        <v>44183.0</v>
      </c>
      <c r="C4096" s="62" t="s">
        <v>119</v>
      </c>
      <c r="D4096" s="64">
        <v>85.0</v>
      </c>
      <c r="E4096" s="62" t="s">
        <v>114</v>
      </c>
      <c r="F4096" s="62" t="s">
        <v>110</v>
      </c>
      <c r="G4096" s="64" t="s">
        <v>64</v>
      </c>
      <c r="H4096" s="3" t="s">
        <v>169</v>
      </c>
      <c r="I4096" s="65">
        <f>IFERROR(VLOOKUP(A4096,'3. Call duration'!$A:$C,3,0),"--")</f>
        <v>27.40725409</v>
      </c>
      <c r="J4096" s="65" t="str">
        <f t="array" ref="J4096">XLOOKUP(H4096,'2. Matching'!$A$2:$A$39,'2. Matching'!$B$2:$B$39,"--")</f>
        <v>SEO</v>
      </c>
      <c r="K4096" s="65" t="str">
        <f t="shared" si="1"/>
        <v>In</v>
      </c>
    </row>
    <row r="4097">
      <c r="A4097" s="62" t="s">
        <v>4235</v>
      </c>
      <c r="B4097" s="63">
        <v>44141.0</v>
      </c>
      <c r="C4097" s="62" t="s">
        <v>119</v>
      </c>
      <c r="D4097" s="64">
        <v>85.0</v>
      </c>
      <c r="E4097" s="62" t="s">
        <v>114</v>
      </c>
      <c r="F4097" s="62" t="s">
        <v>115</v>
      </c>
      <c r="G4097" s="64" t="s">
        <v>64</v>
      </c>
      <c r="H4097" s="3" t="s">
        <v>169</v>
      </c>
      <c r="I4097" s="65">
        <f>IFERROR(VLOOKUP(A4097,'3. Call duration'!$A:$C,3,0),"--")</f>
        <v>21.03686862</v>
      </c>
      <c r="J4097" s="65" t="str">
        <f t="array" ref="J4097">XLOOKUP(H4097,'2. Matching'!$A$2:$A$39,'2. Matching'!$B$2:$B$39,"--")</f>
        <v>SEO</v>
      </c>
      <c r="K4097" s="65" t="str">
        <f t="shared" si="1"/>
        <v>In</v>
      </c>
    </row>
    <row r="4098">
      <c r="A4098" s="62" t="s">
        <v>4236</v>
      </c>
      <c r="B4098" s="63">
        <v>44235.0</v>
      </c>
      <c r="C4098" s="62" t="s">
        <v>119</v>
      </c>
      <c r="D4098" s="64">
        <v>85.0</v>
      </c>
      <c r="E4098" s="62" t="s">
        <v>114</v>
      </c>
      <c r="F4098" s="62" t="s">
        <v>115</v>
      </c>
      <c r="G4098" s="64" t="s">
        <v>112</v>
      </c>
      <c r="H4098" s="3"/>
      <c r="I4098" s="65">
        <f>IFERROR(VLOOKUP(A4098,'3. Call duration'!$A:$C,3,0),"--")</f>
        <v>31.02222837</v>
      </c>
      <c r="J4098" s="65" t="str">
        <f t="array" ref="J4098">XLOOKUP(H4098,'2. Matching'!$A$2:$A$39,'2. Matching'!$B$2:$B$39,"--")</f>
        <v>--</v>
      </c>
      <c r="K4098" s="65" t="str">
        <f t="shared" si="1"/>
        <v>In</v>
      </c>
    </row>
    <row r="4099">
      <c r="A4099" s="62" t="s">
        <v>4237</v>
      </c>
      <c r="B4099" s="63">
        <v>44207.0</v>
      </c>
      <c r="C4099" s="62" t="s">
        <v>119</v>
      </c>
      <c r="D4099" s="64">
        <v>85.0</v>
      </c>
      <c r="E4099" s="62" t="s">
        <v>114</v>
      </c>
      <c r="F4099" s="62" t="s">
        <v>115</v>
      </c>
      <c r="G4099" s="64" t="s">
        <v>64</v>
      </c>
      <c r="H4099" s="3" t="s">
        <v>155</v>
      </c>
      <c r="I4099" s="65">
        <f>IFERROR(VLOOKUP(A4099,'3. Call duration'!$A:$C,3,0),"--")</f>
        <v>30.85234734</v>
      </c>
      <c r="J4099" s="65" t="str">
        <f t="array" ref="J4099">XLOOKUP(H4099,'2. Matching'!$A$2:$A$39,'2. Matching'!$B$2:$B$39,"--")</f>
        <v>SEO</v>
      </c>
      <c r="K4099" s="65" t="str">
        <f t="shared" si="1"/>
        <v>In</v>
      </c>
    </row>
    <row r="4100">
      <c r="A4100" s="62" t="s">
        <v>4238</v>
      </c>
      <c r="B4100" s="63">
        <v>44122.0</v>
      </c>
      <c r="C4100" s="62" t="s">
        <v>119</v>
      </c>
      <c r="D4100" s="64">
        <v>85.0</v>
      </c>
      <c r="E4100" s="62" t="s">
        <v>114</v>
      </c>
      <c r="F4100" s="62" t="s">
        <v>115</v>
      </c>
      <c r="G4100" s="64" t="s">
        <v>64</v>
      </c>
      <c r="H4100" s="3" t="s">
        <v>139</v>
      </c>
      <c r="I4100" s="65">
        <f>IFERROR(VLOOKUP(A4100,'3. Call duration'!$A:$C,3,0),"--")</f>
        <v>23.44209073</v>
      </c>
      <c r="J4100" s="65" t="str">
        <f t="array" ref="J4100">XLOOKUP(H4100,'2. Matching'!$A$2:$A$39,'2. Matching'!$B$2:$B$39,"--")</f>
        <v>Acquisition</v>
      </c>
      <c r="K4100" s="65" t="str">
        <f t="shared" si="1"/>
        <v>In</v>
      </c>
    </row>
    <row r="4101">
      <c r="A4101" s="62" t="s">
        <v>4239</v>
      </c>
      <c r="B4101" s="63">
        <v>44252.0</v>
      </c>
      <c r="C4101" s="62" t="s">
        <v>119</v>
      </c>
      <c r="D4101" s="64">
        <v>85.0</v>
      </c>
      <c r="E4101" s="62" t="s">
        <v>114</v>
      </c>
      <c r="F4101" s="62" t="s">
        <v>115</v>
      </c>
      <c r="G4101" s="64" t="s">
        <v>64</v>
      </c>
      <c r="H4101" s="3" t="s">
        <v>185</v>
      </c>
      <c r="I4101" s="65">
        <f>IFERROR(VLOOKUP(A4101,'3. Call duration'!$A:$C,3,0),"--")</f>
        <v>27.56140644</v>
      </c>
      <c r="J4101" s="65" t="str">
        <f t="array" ref="J4101">XLOOKUP(H4101,'2. Matching'!$A$2:$A$39,'2. Matching'!$B$2:$B$39,"--")</f>
        <v>SEO</v>
      </c>
      <c r="K4101" s="65" t="str">
        <f t="shared" si="1"/>
        <v>In</v>
      </c>
    </row>
    <row r="4102">
      <c r="A4102" s="62" t="s">
        <v>4240</v>
      </c>
      <c r="B4102" s="63">
        <v>44244.0</v>
      </c>
      <c r="C4102" s="62" t="s">
        <v>119</v>
      </c>
      <c r="D4102" s="64">
        <v>85.0</v>
      </c>
      <c r="E4102" s="62" t="s">
        <v>114</v>
      </c>
      <c r="F4102" s="62" t="s">
        <v>110</v>
      </c>
      <c r="G4102" s="64" t="s">
        <v>64</v>
      </c>
      <c r="H4102" s="3" t="s">
        <v>297</v>
      </c>
      <c r="I4102" s="65">
        <f>IFERROR(VLOOKUP(A4102,'3. Call duration'!$A:$C,3,0),"--")</f>
        <v>26.12043341</v>
      </c>
      <c r="J4102" s="65" t="str">
        <f t="array" ref="J4102">XLOOKUP(H4102,'2. Matching'!$A$2:$A$39,'2. Matching'!$B$2:$B$39,"--")</f>
        <v>Farming</v>
      </c>
      <c r="K4102" s="65" t="str">
        <f t="shared" si="1"/>
        <v>In</v>
      </c>
    </row>
    <row r="4103">
      <c r="A4103" s="62" t="s">
        <v>4241</v>
      </c>
      <c r="B4103" s="63">
        <v>44245.0</v>
      </c>
      <c r="C4103" s="62" t="s">
        <v>119</v>
      </c>
      <c r="D4103" s="64">
        <v>85.0</v>
      </c>
      <c r="E4103" s="62" t="s">
        <v>114</v>
      </c>
      <c r="F4103" s="62" t="s">
        <v>110</v>
      </c>
      <c r="G4103" s="64" t="s">
        <v>64</v>
      </c>
      <c r="H4103" s="3" t="s">
        <v>131</v>
      </c>
      <c r="I4103" s="65">
        <f>IFERROR(VLOOKUP(A4103,'3. Call duration'!$A:$C,3,0),"--")</f>
        <v>21.54289204</v>
      </c>
      <c r="J4103" s="65" t="str">
        <f t="array" ref="J4103">XLOOKUP(H4103,'2. Matching'!$A$2:$A$39,'2. Matching'!$B$2:$B$39,"--")</f>
        <v>Acquisition</v>
      </c>
      <c r="K4103" s="65" t="str">
        <f t="shared" si="1"/>
        <v>In</v>
      </c>
    </row>
    <row r="4104">
      <c r="A4104" s="62" t="s">
        <v>4242</v>
      </c>
      <c r="B4104" s="63">
        <v>44092.0</v>
      </c>
      <c r="C4104" s="62" t="s">
        <v>119</v>
      </c>
      <c r="D4104" s="64">
        <v>85.0</v>
      </c>
      <c r="E4104" s="62" t="s">
        <v>114</v>
      </c>
      <c r="F4104" s="62" t="s">
        <v>115</v>
      </c>
      <c r="G4104" s="64" t="s">
        <v>64</v>
      </c>
      <c r="H4104" s="3" t="s">
        <v>164</v>
      </c>
      <c r="I4104" s="65">
        <f>IFERROR(VLOOKUP(A4104,'3. Call duration'!$A:$C,3,0),"--")</f>
        <v>23.58643349</v>
      </c>
      <c r="J4104" s="65" t="str">
        <f t="array" ref="J4104">XLOOKUP(H4104,'2. Matching'!$A$2:$A$39,'2. Matching'!$B$2:$B$39,"--")</f>
        <v>SEO</v>
      </c>
      <c r="K4104" s="65" t="str">
        <f t="shared" si="1"/>
        <v>In</v>
      </c>
    </row>
    <row r="4105">
      <c r="A4105" s="62" t="s">
        <v>4243</v>
      </c>
      <c r="B4105" s="63">
        <v>44224.0</v>
      </c>
      <c r="C4105" s="62" t="s">
        <v>119</v>
      </c>
      <c r="D4105" s="64">
        <v>85.0</v>
      </c>
      <c r="E4105" s="62" t="s">
        <v>114</v>
      </c>
      <c r="F4105" s="62" t="s">
        <v>110</v>
      </c>
      <c r="G4105" s="64" t="s">
        <v>64</v>
      </c>
      <c r="H4105" s="3" t="s">
        <v>221</v>
      </c>
      <c r="I4105" s="65">
        <f>IFERROR(VLOOKUP(A4105,'3. Call duration'!$A:$C,3,0),"--")</f>
        <v>28.86839833</v>
      </c>
      <c r="J4105" s="65" t="str">
        <f t="array" ref="J4105">XLOOKUP(H4105,'2. Matching'!$A$2:$A$39,'2. Matching'!$B$2:$B$39,"--")</f>
        <v>Farming</v>
      </c>
      <c r="K4105" s="65" t="str">
        <f t="shared" si="1"/>
        <v>In</v>
      </c>
    </row>
    <row r="4106">
      <c r="A4106" s="62" t="s">
        <v>4244</v>
      </c>
      <c r="B4106" s="63">
        <v>44174.0</v>
      </c>
      <c r="C4106" s="62" t="s">
        <v>119</v>
      </c>
      <c r="D4106" s="64">
        <v>85.0</v>
      </c>
      <c r="E4106" s="62" t="s">
        <v>114</v>
      </c>
      <c r="F4106" s="62" t="s">
        <v>115</v>
      </c>
      <c r="G4106" s="64" t="s">
        <v>64</v>
      </c>
      <c r="H4106" s="3" t="s">
        <v>150</v>
      </c>
      <c r="I4106" s="65">
        <f>IFERROR(VLOOKUP(A4106,'3. Call duration'!$A:$C,3,0),"--")</f>
        <v>31.6679335</v>
      </c>
      <c r="J4106" s="65" t="str">
        <f t="array" ref="J4106">XLOOKUP(H4106,'2. Matching'!$A$2:$A$39,'2. Matching'!$B$2:$B$39,"--")</f>
        <v>SEO</v>
      </c>
      <c r="K4106" s="65" t="str">
        <f t="shared" si="1"/>
        <v>In</v>
      </c>
    </row>
    <row r="4107">
      <c r="A4107" s="62" t="s">
        <v>4245</v>
      </c>
      <c r="B4107" s="63">
        <v>44158.0</v>
      </c>
      <c r="C4107" s="62" t="s">
        <v>119</v>
      </c>
      <c r="D4107" s="64">
        <v>85.0</v>
      </c>
      <c r="E4107" s="62" t="s">
        <v>114</v>
      </c>
      <c r="F4107" s="62" t="s">
        <v>110</v>
      </c>
      <c r="G4107" s="64" t="s">
        <v>62</v>
      </c>
      <c r="H4107" s="3" t="s">
        <v>286</v>
      </c>
      <c r="I4107" s="65">
        <f>IFERROR(VLOOKUP(A4107,'3. Call duration'!$A:$C,3,0),"--")</f>
        <v>16.80696559</v>
      </c>
      <c r="J4107" s="65" t="str">
        <f t="array" ref="J4107">XLOOKUP(H4107,'2. Matching'!$A$2:$A$39,'2. Matching'!$B$2:$B$39,"--")</f>
        <v>Farming</v>
      </c>
      <c r="K4107" s="65" t="str">
        <f t="shared" si="1"/>
        <v>In</v>
      </c>
    </row>
    <row r="4108">
      <c r="A4108" s="62" t="s">
        <v>4246</v>
      </c>
      <c r="B4108" s="63">
        <v>44173.0</v>
      </c>
      <c r="C4108" s="62" t="s">
        <v>119</v>
      </c>
      <c r="D4108" s="64">
        <v>85.0</v>
      </c>
      <c r="E4108" s="62" t="s">
        <v>114</v>
      </c>
      <c r="F4108" s="62" t="s">
        <v>115</v>
      </c>
      <c r="G4108" s="64" t="s">
        <v>64</v>
      </c>
      <c r="H4108" s="3" t="s">
        <v>164</v>
      </c>
      <c r="I4108" s="65">
        <f>IFERROR(VLOOKUP(A4108,'3. Call duration'!$A:$C,3,0),"--")</f>
        <v>34.7699301</v>
      </c>
      <c r="J4108" s="65" t="str">
        <f t="array" ref="J4108">XLOOKUP(H4108,'2. Matching'!$A$2:$A$39,'2. Matching'!$B$2:$B$39,"--")</f>
        <v>SEO</v>
      </c>
      <c r="K4108" s="65" t="str">
        <f t="shared" si="1"/>
        <v>In</v>
      </c>
    </row>
    <row r="4109">
      <c r="A4109" s="62" t="s">
        <v>4247</v>
      </c>
      <c r="B4109" s="63">
        <v>44152.0</v>
      </c>
      <c r="C4109" s="62" t="s">
        <v>119</v>
      </c>
      <c r="D4109" s="64">
        <v>85.0</v>
      </c>
      <c r="E4109" s="62" t="s">
        <v>114</v>
      </c>
      <c r="F4109" s="62" t="s">
        <v>115</v>
      </c>
      <c r="G4109" s="64" t="s">
        <v>64</v>
      </c>
      <c r="H4109" s="3" t="s">
        <v>155</v>
      </c>
      <c r="I4109" s="65">
        <f>IFERROR(VLOOKUP(A4109,'3. Call duration'!$A:$C,3,0),"--")</f>
        <v>37.75988415</v>
      </c>
      <c r="J4109" s="65" t="str">
        <f t="array" ref="J4109">XLOOKUP(H4109,'2. Matching'!$A$2:$A$39,'2. Matching'!$B$2:$B$39,"--")</f>
        <v>SEO</v>
      </c>
      <c r="K4109" s="65" t="str">
        <f t="shared" si="1"/>
        <v>In</v>
      </c>
    </row>
    <row r="4110">
      <c r="A4110" s="62" t="s">
        <v>4248</v>
      </c>
      <c r="B4110" s="63">
        <v>44079.0</v>
      </c>
      <c r="C4110" s="62" t="s">
        <v>119</v>
      </c>
      <c r="D4110" s="64">
        <v>85.0</v>
      </c>
      <c r="E4110" s="62" t="s">
        <v>114</v>
      </c>
      <c r="F4110" s="62" t="s">
        <v>115</v>
      </c>
      <c r="G4110" s="64" t="s">
        <v>64</v>
      </c>
      <c r="H4110" s="3" t="s">
        <v>139</v>
      </c>
      <c r="I4110" s="65">
        <f>IFERROR(VLOOKUP(A4110,'3. Call duration'!$A:$C,3,0),"--")</f>
        <v>46.86471716</v>
      </c>
      <c r="J4110" s="65" t="str">
        <f t="array" ref="J4110">XLOOKUP(H4110,'2. Matching'!$A$2:$A$39,'2. Matching'!$B$2:$B$39,"--")</f>
        <v>Acquisition</v>
      </c>
      <c r="K4110" s="65" t="str">
        <f t="shared" si="1"/>
        <v>In</v>
      </c>
    </row>
    <row r="4111">
      <c r="A4111" s="62" t="s">
        <v>4249</v>
      </c>
      <c r="B4111" s="63">
        <v>44152.0</v>
      </c>
      <c r="C4111" s="62" t="s">
        <v>119</v>
      </c>
      <c r="D4111" s="64">
        <v>85.0</v>
      </c>
      <c r="E4111" s="62" t="s">
        <v>114</v>
      </c>
      <c r="F4111" s="62" t="s">
        <v>115</v>
      </c>
      <c r="G4111" s="64" t="s">
        <v>64</v>
      </c>
      <c r="H4111" s="3" t="s">
        <v>185</v>
      </c>
      <c r="I4111" s="65">
        <f>IFERROR(VLOOKUP(A4111,'3. Call duration'!$A:$C,3,0),"--")</f>
        <v>28.41043003</v>
      </c>
      <c r="J4111" s="65" t="str">
        <f t="array" ref="J4111">XLOOKUP(H4111,'2. Matching'!$A$2:$A$39,'2. Matching'!$B$2:$B$39,"--")</f>
        <v>SEO</v>
      </c>
      <c r="K4111" s="65" t="str">
        <f t="shared" si="1"/>
        <v>In</v>
      </c>
    </row>
    <row r="4112">
      <c r="A4112" s="62" t="s">
        <v>4250</v>
      </c>
      <c r="B4112" s="63">
        <v>44246.0</v>
      </c>
      <c r="C4112" s="62" t="s">
        <v>119</v>
      </c>
      <c r="D4112" s="64">
        <v>85.0</v>
      </c>
      <c r="E4112" s="62" t="s">
        <v>114</v>
      </c>
      <c r="F4112" s="62" t="s">
        <v>115</v>
      </c>
      <c r="G4112" s="64" t="s">
        <v>64</v>
      </c>
      <c r="H4112" s="3" t="s">
        <v>185</v>
      </c>
      <c r="I4112" s="65">
        <f>IFERROR(VLOOKUP(A4112,'3. Call duration'!$A:$C,3,0),"--")</f>
        <v>13.13775126</v>
      </c>
      <c r="J4112" s="65" t="str">
        <f t="array" ref="J4112">XLOOKUP(H4112,'2. Matching'!$A$2:$A$39,'2. Matching'!$B$2:$B$39,"--")</f>
        <v>SEO</v>
      </c>
      <c r="K4112" s="65" t="str">
        <f t="shared" si="1"/>
        <v>In</v>
      </c>
    </row>
    <row r="4113">
      <c r="A4113" s="62" t="s">
        <v>4251</v>
      </c>
      <c r="B4113" s="63">
        <v>44105.0</v>
      </c>
      <c r="C4113" s="62" t="s">
        <v>119</v>
      </c>
      <c r="D4113" s="64">
        <v>85.0</v>
      </c>
      <c r="E4113" s="62" t="s">
        <v>114</v>
      </c>
      <c r="F4113" s="62" t="s">
        <v>115</v>
      </c>
      <c r="G4113" s="64" t="s">
        <v>64</v>
      </c>
      <c r="H4113" s="3" t="s">
        <v>235</v>
      </c>
      <c r="I4113" s="65">
        <f>IFERROR(VLOOKUP(A4113,'3. Call duration'!$A:$C,3,0),"--")</f>
        <v>33.18892952</v>
      </c>
      <c r="J4113" s="65" t="str">
        <f t="array" ref="J4113">XLOOKUP(H4113,'2. Matching'!$A$2:$A$39,'2. Matching'!$B$2:$B$39,"--")</f>
        <v>Farming</v>
      </c>
      <c r="K4113" s="65" t="str">
        <f t="shared" si="1"/>
        <v>In</v>
      </c>
    </row>
    <row r="4114">
      <c r="A4114" s="62" t="s">
        <v>4252</v>
      </c>
      <c r="B4114" s="63">
        <v>44102.0</v>
      </c>
      <c r="C4114" s="62" t="s">
        <v>119</v>
      </c>
      <c r="D4114" s="64">
        <v>85.0</v>
      </c>
      <c r="E4114" s="62" t="s">
        <v>114</v>
      </c>
      <c r="F4114" s="62" t="s">
        <v>115</v>
      </c>
      <c r="G4114" s="64" t="s">
        <v>64</v>
      </c>
      <c r="H4114" s="3" t="s">
        <v>235</v>
      </c>
      <c r="I4114" s="65">
        <f>IFERROR(VLOOKUP(A4114,'3. Call duration'!$A:$C,3,0),"--")</f>
        <v>15.32549683</v>
      </c>
      <c r="J4114" s="65" t="str">
        <f t="array" ref="J4114">XLOOKUP(H4114,'2. Matching'!$A$2:$A$39,'2. Matching'!$B$2:$B$39,"--")</f>
        <v>Farming</v>
      </c>
      <c r="K4114" s="65" t="str">
        <f t="shared" si="1"/>
        <v>In</v>
      </c>
    </row>
    <row r="4115">
      <c r="A4115" s="62" t="s">
        <v>4253</v>
      </c>
      <c r="B4115" s="63">
        <v>44146.0</v>
      </c>
      <c r="C4115" s="62" t="s">
        <v>119</v>
      </c>
      <c r="D4115" s="64">
        <v>85.0</v>
      </c>
      <c r="E4115" s="62" t="s">
        <v>114</v>
      </c>
      <c r="F4115" s="62" t="s">
        <v>110</v>
      </c>
      <c r="G4115" s="64" t="s">
        <v>64</v>
      </c>
      <c r="H4115" s="3" t="s">
        <v>139</v>
      </c>
      <c r="I4115" s="65">
        <f>IFERROR(VLOOKUP(A4115,'3. Call duration'!$A:$C,3,0),"--")</f>
        <v>24.879259</v>
      </c>
      <c r="J4115" s="65" t="str">
        <f t="array" ref="J4115">XLOOKUP(H4115,'2. Matching'!$A$2:$A$39,'2. Matching'!$B$2:$B$39,"--")</f>
        <v>Acquisition</v>
      </c>
      <c r="K4115" s="65" t="str">
        <f t="shared" si="1"/>
        <v>In</v>
      </c>
    </row>
    <row r="4116">
      <c r="A4116" s="62" t="s">
        <v>4254</v>
      </c>
      <c r="B4116" s="63">
        <v>44201.0</v>
      </c>
      <c r="C4116" s="62" t="s">
        <v>119</v>
      </c>
      <c r="D4116" s="64">
        <v>85.0</v>
      </c>
      <c r="E4116" s="62" t="s">
        <v>114</v>
      </c>
      <c r="F4116" s="62" t="s">
        <v>110</v>
      </c>
      <c r="G4116" s="64" t="s">
        <v>64</v>
      </c>
      <c r="H4116" s="3" t="s">
        <v>175</v>
      </c>
      <c r="I4116" s="65">
        <f>IFERROR(VLOOKUP(A4116,'3. Call duration'!$A:$C,3,0),"--")</f>
        <v>13.30723552</v>
      </c>
      <c r="J4116" s="65" t="str">
        <f t="array" ref="J4116">XLOOKUP(H4116,'2. Matching'!$A$2:$A$39,'2. Matching'!$B$2:$B$39,"--")</f>
        <v>SEO</v>
      </c>
      <c r="K4116" s="65" t="str">
        <f t="shared" si="1"/>
        <v>In</v>
      </c>
    </row>
    <row r="4117">
      <c r="A4117" s="62" t="s">
        <v>4255</v>
      </c>
      <c r="B4117" s="63">
        <v>44140.0</v>
      </c>
      <c r="C4117" s="62" t="s">
        <v>119</v>
      </c>
      <c r="D4117" s="64">
        <v>85.0</v>
      </c>
      <c r="E4117" s="62" t="s">
        <v>114</v>
      </c>
      <c r="F4117" s="62" t="s">
        <v>110</v>
      </c>
      <c r="G4117" s="64" t="s">
        <v>64</v>
      </c>
      <c r="H4117" s="3" t="s">
        <v>175</v>
      </c>
      <c r="I4117" s="65">
        <f>IFERROR(VLOOKUP(A4117,'3. Call duration'!$A:$C,3,0),"--")</f>
        <v>15.86083968</v>
      </c>
      <c r="J4117" s="65" t="str">
        <f t="array" ref="J4117">XLOOKUP(H4117,'2. Matching'!$A$2:$A$39,'2. Matching'!$B$2:$B$39,"--")</f>
        <v>SEO</v>
      </c>
      <c r="K4117" s="65" t="str">
        <f t="shared" si="1"/>
        <v>In</v>
      </c>
    </row>
    <row r="4118">
      <c r="A4118" s="62" t="s">
        <v>4256</v>
      </c>
      <c r="B4118" s="63">
        <v>44111.0</v>
      </c>
      <c r="C4118" s="62" t="s">
        <v>119</v>
      </c>
      <c r="D4118" s="64">
        <v>85.0</v>
      </c>
      <c r="E4118" s="62" t="s">
        <v>114</v>
      </c>
      <c r="F4118" s="62" t="s">
        <v>115</v>
      </c>
      <c r="G4118" s="64" t="s">
        <v>64</v>
      </c>
      <c r="H4118" s="3" t="s">
        <v>164</v>
      </c>
      <c r="I4118" s="65">
        <f>IFERROR(VLOOKUP(A4118,'3. Call duration'!$A:$C,3,0),"--")</f>
        <v>24.99780038</v>
      </c>
      <c r="J4118" s="65" t="str">
        <f t="array" ref="J4118">XLOOKUP(H4118,'2. Matching'!$A$2:$A$39,'2. Matching'!$B$2:$B$39,"--")</f>
        <v>SEO</v>
      </c>
      <c r="K4118" s="65" t="str">
        <f t="shared" si="1"/>
        <v>In</v>
      </c>
    </row>
    <row r="4119">
      <c r="A4119" s="62" t="s">
        <v>4257</v>
      </c>
      <c r="B4119" s="63">
        <v>44251.0</v>
      </c>
      <c r="C4119" s="62" t="s">
        <v>119</v>
      </c>
      <c r="D4119" s="64">
        <v>85.0</v>
      </c>
      <c r="E4119" s="62" t="s">
        <v>114</v>
      </c>
      <c r="F4119" s="62" t="s">
        <v>110</v>
      </c>
      <c r="G4119" s="64" t="s">
        <v>64</v>
      </c>
      <c r="H4119" s="3" t="s">
        <v>131</v>
      </c>
      <c r="I4119" s="65">
        <f>IFERROR(VLOOKUP(A4119,'3. Call duration'!$A:$C,3,0),"--")</f>
        <v>26.77241464</v>
      </c>
      <c r="J4119" s="65" t="str">
        <f t="array" ref="J4119">XLOOKUP(H4119,'2. Matching'!$A$2:$A$39,'2. Matching'!$B$2:$B$39,"--")</f>
        <v>Acquisition</v>
      </c>
      <c r="K4119" s="65" t="str">
        <f t="shared" si="1"/>
        <v>In</v>
      </c>
    </row>
    <row r="4120">
      <c r="A4120" s="62" t="s">
        <v>4258</v>
      </c>
      <c r="B4120" s="63">
        <v>44132.0</v>
      </c>
      <c r="C4120" s="62" t="s">
        <v>119</v>
      </c>
      <c r="D4120" s="64">
        <v>85.0</v>
      </c>
      <c r="E4120" s="62" t="s">
        <v>114</v>
      </c>
      <c r="F4120" s="62" t="s">
        <v>110</v>
      </c>
      <c r="G4120" s="64" t="s">
        <v>64</v>
      </c>
      <c r="H4120" s="3" t="s">
        <v>221</v>
      </c>
      <c r="I4120" s="65">
        <f>IFERROR(VLOOKUP(A4120,'3. Call duration'!$A:$C,3,0),"--")</f>
        <v>32.07698353</v>
      </c>
      <c r="J4120" s="65" t="str">
        <f t="array" ref="J4120">XLOOKUP(H4120,'2. Matching'!$A$2:$A$39,'2. Matching'!$B$2:$B$39,"--")</f>
        <v>Farming</v>
      </c>
      <c r="K4120" s="65" t="str">
        <f t="shared" si="1"/>
        <v>In</v>
      </c>
    </row>
    <row r="4121">
      <c r="A4121" s="62" t="s">
        <v>4259</v>
      </c>
      <c r="B4121" s="63">
        <v>44237.0</v>
      </c>
      <c r="C4121" s="62" t="s">
        <v>119</v>
      </c>
      <c r="D4121" s="64">
        <v>85.0</v>
      </c>
      <c r="E4121" s="62" t="s">
        <v>114</v>
      </c>
      <c r="F4121" s="62" t="s">
        <v>110</v>
      </c>
      <c r="G4121" s="64" t="s">
        <v>64</v>
      </c>
      <c r="H4121" s="3" t="s">
        <v>169</v>
      </c>
      <c r="I4121" s="65">
        <f>IFERROR(VLOOKUP(A4121,'3. Call duration'!$A:$C,3,0),"--")</f>
        <v>38.94358468</v>
      </c>
      <c r="J4121" s="65" t="str">
        <f t="array" ref="J4121">XLOOKUP(H4121,'2. Matching'!$A$2:$A$39,'2. Matching'!$B$2:$B$39,"--")</f>
        <v>SEO</v>
      </c>
      <c r="K4121" s="65" t="str">
        <f t="shared" si="1"/>
        <v>In</v>
      </c>
    </row>
    <row r="4122">
      <c r="A4122" s="62" t="s">
        <v>4260</v>
      </c>
      <c r="B4122" s="63">
        <v>44083.0</v>
      </c>
      <c r="C4122" s="62" t="s">
        <v>119</v>
      </c>
      <c r="D4122" s="64">
        <v>85.0</v>
      </c>
      <c r="E4122" s="62" t="s">
        <v>114</v>
      </c>
      <c r="F4122" s="62" t="s">
        <v>115</v>
      </c>
      <c r="G4122" s="64" t="s">
        <v>64</v>
      </c>
      <c r="H4122" s="3" t="s">
        <v>175</v>
      </c>
      <c r="I4122" s="65">
        <f>IFERROR(VLOOKUP(A4122,'3. Call duration'!$A:$C,3,0),"--")</f>
        <v>24.86059014</v>
      </c>
      <c r="J4122" s="65" t="str">
        <f t="array" ref="J4122">XLOOKUP(H4122,'2. Matching'!$A$2:$A$39,'2. Matching'!$B$2:$B$39,"--")</f>
        <v>SEO</v>
      </c>
      <c r="K4122" s="65" t="str">
        <f t="shared" si="1"/>
        <v>In</v>
      </c>
    </row>
    <row r="4123">
      <c r="A4123" s="62" t="s">
        <v>4261</v>
      </c>
      <c r="B4123" s="63">
        <v>44077.0</v>
      </c>
      <c r="C4123" s="62" t="s">
        <v>119</v>
      </c>
      <c r="D4123" s="64">
        <v>85.0</v>
      </c>
      <c r="E4123" s="62" t="s">
        <v>114</v>
      </c>
      <c r="F4123" s="62" t="s">
        <v>110</v>
      </c>
      <c r="G4123" s="64" t="s">
        <v>64</v>
      </c>
      <c r="H4123" s="3" t="s">
        <v>139</v>
      </c>
      <c r="I4123" s="65">
        <f>IFERROR(VLOOKUP(A4123,'3. Call duration'!$A:$C,3,0),"--")</f>
        <v>24.37194073</v>
      </c>
      <c r="J4123" s="65" t="str">
        <f t="array" ref="J4123">XLOOKUP(H4123,'2. Matching'!$A$2:$A$39,'2. Matching'!$B$2:$B$39,"--")</f>
        <v>Acquisition</v>
      </c>
      <c r="K4123" s="65" t="str">
        <f t="shared" si="1"/>
        <v>In</v>
      </c>
    </row>
    <row r="4124">
      <c r="A4124" s="62" t="s">
        <v>4262</v>
      </c>
      <c r="B4124" s="63">
        <v>44127.0</v>
      </c>
      <c r="C4124" s="62" t="s">
        <v>119</v>
      </c>
      <c r="D4124" s="64">
        <v>85.0</v>
      </c>
      <c r="E4124" s="62" t="s">
        <v>114</v>
      </c>
      <c r="F4124" s="62" t="s">
        <v>115</v>
      </c>
      <c r="G4124" s="64" t="s">
        <v>64</v>
      </c>
      <c r="H4124" s="3" t="s">
        <v>139</v>
      </c>
      <c r="I4124" s="65">
        <f>IFERROR(VLOOKUP(A4124,'3. Call duration'!$A:$C,3,0),"--")</f>
        <v>23.60774679</v>
      </c>
      <c r="J4124" s="65" t="str">
        <f t="array" ref="J4124">XLOOKUP(H4124,'2. Matching'!$A$2:$A$39,'2. Matching'!$B$2:$B$39,"--")</f>
        <v>Acquisition</v>
      </c>
      <c r="K4124" s="65" t="str">
        <f t="shared" si="1"/>
        <v>In</v>
      </c>
    </row>
    <row r="4125">
      <c r="A4125" s="62" t="s">
        <v>4263</v>
      </c>
      <c r="B4125" s="63">
        <v>44216.0</v>
      </c>
      <c r="C4125" s="62" t="s">
        <v>119</v>
      </c>
      <c r="D4125" s="64">
        <v>85.0</v>
      </c>
      <c r="E4125" s="62" t="s">
        <v>114</v>
      </c>
      <c r="F4125" s="62" t="s">
        <v>115</v>
      </c>
      <c r="G4125" s="64" t="s">
        <v>64</v>
      </c>
      <c r="H4125" s="3" t="s">
        <v>116</v>
      </c>
      <c r="I4125" s="65">
        <f>IFERROR(VLOOKUP(A4125,'3. Call duration'!$A:$C,3,0),"--")</f>
        <v>22.13445825</v>
      </c>
      <c r="J4125" s="65" t="str">
        <f t="array" ref="J4125">XLOOKUP(H4125,'2. Matching'!$A$2:$A$39,'2. Matching'!$B$2:$B$39,"--")</f>
        <v>Acquisition</v>
      </c>
      <c r="K4125" s="65" t="str">
        <f t="shared" si="1"/>
        <v>In</v>
      </c>
    </row>
    <row r="4126">
      <c r="A4126" s="62" t="s">
        <v>4264</v>
      </c>
      <c r="B4126" s="63">
        <v>44145.0</v>
      </c>
      <c r="C4126" s="62" t="s">
        <v>119</v>
      </c>
      <c r="D4126" s="64">
        <v>85.0</v>
      </c>
      <c r="E4126" s="62" t="s">
        <v>114</v>
      </c>
      <c r="F4126" s="62" t="s">
        <v>115</v>
      </c>
      <c r="G4126" s="64" t="s">
        <v>64</v>
      </c>
      <c r="H4126" s="3" t="s">
        <v>150</v>
      </c>
      <c r="I4126" s="65">
        <f>IFERROR(VLOOKUP(A4126,'3. Call duration'!$A:$C,3,0),"--")</f>
        <v>23.6081868</v>
      </c>
      <c r="J4126" s="65" t="str">
        <f t="array" ref="J4126">XLOOKUP(H4126,'2. Matching'!$A$2:$A$39,'2. Matching'!$B$2:$B$39,"--")</f>
        <v>SEO</v>
      </c>
      <c r="K4126" s="65" t="str">
        <f t="shared" si="1"/>
        <v>In</v>
      </c>
    </row>
    <row r="4127">
      <c r="A4127" s="62" t="s">
        <v>4265</v>
      </c>
      <c r="B4127" s="63">
        <v>44215.0</v>
      </c>
      <c r="C4127" s="62" t="s">
        <v>119</v>
      </c>
      <c r="D4127" s="64">
        <v>85.0</v>
      </c>
      <c r="E4127" s="62" t="s">
        <v>114</v>
      </c>
      <c r="F4127" s="62" t="s">
        <v>115</v>
      </c>
      <c r="G4127" s="64" t="s">
        <v>64</v>
      </c>
      <c r="H4127" s="3" t="s">
        <v>155</v>
      </c>
      <c r="I4127" s="65">
        <f>IFERROR(VLOOKUP(A4127,'3. Call duration'!$A:$C,3,0),"--")</f>
        <v>25.11005513</v>
      </c>
      <c r="J4127" s="65" t="str">
        <f t="array" ref="J4127">XLOOKUP(H4127,'2. Matching'!$A$2:$A$39,'2. Matching'!$B$2:$B$39,"--")</f>
        <v>SEO</v>
      </c>
      <c r="K4127" s="65" t="str">
        <f t="shared" si="1"/>
        <v>In</v>
      </c>
    </row>
    <row r="4128">
      <c r="A4128" s="62" t="s">
        <v>4266</v>
      </c>
      <c r="B4128" s="63">
        <v>44236.0</v>
      </c>
      <c r="C4128" s="62" t="s">
        <v>119</v>
      </c>
      <c r="D4128" s="64">
        <v>85.0</v>
      </c>
      <c r="E4128" s="62" t="s">
        <v>114</v>
      </c>
      <c r="F4128" s="62" t="s">
        <v>115</v>
      </c>
      <c r="G4128" s="64" t="s">
        <v>64</v>
      </c>
      <c r="H4128" s="3" t="s">
        <v>131</v>
      </c>
      <c r="I4128" s="65">
        <f>IFERROR(VLOOKUP(A4128,'3. Call duration'!$A:$C,3,0),"--")</f>
        <v>20.94683339</v>
      </c>
      <c r="J4128" s="65" t="str">
        <f t="array" ref="J4128">XLOOKUP(H4128,'2. Matching'!$A$2:$A$39,'2. Matching'!$B$2:$B$39,"--")</f>
        <v>Acquisition</v>
      </c>
      <c r="K4128" s="65" t="str">
        <f t="shared" si="1"/>
        <v>In</v>
      </c>
    </row>
    <row r="4129">
      <c r="A4129" s="62" t="s">
        <v>4267</v>
      </c>
      <c r="B4129" s="63">
        <v>44210.0</v>
      </c>
      <c r="C4129" s="62" t="s">
        <v>119</v>
      </c>
      <c r="D4129" s="64">
        <v>85.0</v>
      </c>
      <c r="E4129" s="62" t="s">
        <v>114</v>
      </c>
      <c r="F4129" s="62" t="s">
        <v>115</v>
      </c>
      <c r="G4129" s="64" t="s">
        <v>62</v>
      </c>
      <c r="H4129" s="3" t="s">
        <v>294</v>
      </c>
      <c r="I4129" s="65">
        <f>IFERROR(VLOOKUP(A4129,'3. Call duration'!$A:$C,3,0),"--")</f>
        <v>29.51603064</v>
      </c>
      <c r="J4129" s="65" t="str">
        <f t="array" ref="J4129">XLOOKUP(H4129,'2. Matching'!$A$2:$A$39,'2. Matching'!$B$2:$B$39,"--")</f>
        <v>Farming</v>
      </c>
      <c r="K4129" s="65" t="str">
        <f t="shared" si="1"/>
        <v>In</v>
      </c>
    </row>
    <row r="4130">
      <c r="A4130" s="62" t="s">
        <v>4268</v>
      </c>
      <c r="B4130" s="63">
        <v>44202.0</v>
      </c>
      <c r="C4130" s="62" t="s">
        <v>119</v>
      </c>
      <c r="D4130" s="64">
        <v>85.0</v>
      </c>
      <c r="E4130" s="62" t="s">
        <v>114</v>
      </c>
      <c r="F4130" s="62" t="s">
        <v>110</v>
      </c>
      <c r="G4130" s="64" t="s">
        <v>64</v>
      </c>
      <c r="H4130" s="3" t="s">
        <v>169</v>
      </c>
      <c r="I4130" s="65">
        <f>IFERROR(VLOOKUP(A4130,'3. Call duration'!$A:$C,3,0),"--")</f>
        <v>27.79117324</v>
      </c>
      <c r="J4130" s="65" t="str">
        <f t="array" ref="J4130">XLOOKUP(H4130,'2. Matching'!$A$2:$A$39,'2. Matching'!$B$2:$B$39,"--")</f>
        <v>SEO</v>
      </c>
      <c r="K4130" s="65" t="str">
        <f t="shared" si="1"/>
        <v>In</v>
      </c>
    </row>
    <row r="4131">
      <c r="A4131" s="62" t="s">
        <v>4269</v>
      </c>
      <c r="B4131" s="63">
        <v>44147.0</v>
      </c>
      <c r="C4131" s="62" t="s">
        <v>119</v>
      </c>
      <c r="D4131" s="64">
        <v>85.0</v>
      </c>
      <c r="E4131" s="62" t="s">
        <v>114</v>
      </c>
      <c r="F4131" s="62" t="s">
        <v>115</v>
      </c>
      <c r="G4131" s="64" t="s">
        <v>64</v>
      </c>
      <c r="H4131" s="3" t="s">
        <v>169</v>
      </c>
      <c r="I4131" s="65">
        <f>IFERROR(VLOOKUP(A4131,'3. Call duration'!$A:$C,3,0),"--")</f>
        <v>12.66558411</v>
      </c>
      <c r="J4131" s="65" t="str">
        <f t="array" ref="J4131">XLOOKUP(H4131,'2. Matching'!$A$2:$A$39,'2. Matching'!$B$2:$B$39,"--")</f>
        <v>SEO</v>
      </c>
      <c r="K4131" s="65" t="str">
        <f t="shared" si="1"/>
        <v>In</v>
      </c>
    </row>
    <row r="4132">
      <c r="A4132" s="62" t="s">
        <v>4270</v>
      </c>
      <c r="B4132" s="63">
        <v>44163.0</v>
      </c>
      <c r="C4132" s="62" t="s">
        <v>119</v>
      </c>
      <c r="D4132" s="64">
        <v>85.0</v>
      </c>
      <c r="E4132" s="62" t="s">
        <v>114</v>
      </c>
      <c r="F4132" s="62" t="s">
        <v>110</v>
      </c>
      <c r="G4132" s="64" t="s">
        <v>64</v>
      </c>
      <c r="H4132" s="3" t="s">
        <v>139</v>
      </c>
      <c r="I4132" s="65">
        <f>IFERROR(VLOOKUP(A4132,'3. Call duration'!$A:$C,3,0),"--")</f>
        <v>32.87903531</v>
      </c>
      <c r="J4132" s="65" t="str">
        <f t="array" ref="J4132">XLOOKUP(H4132,'2. Matching'!$A$2:$A$39,'2. Matching'!$B$2:$B$39,"--")</f>
        <v>Acquisition</v>
      </c>
      <c r="K4132" s="65" t="str">
        <f t="shared" si="1"/>
        <v>In</v>
      </c>
    </row>
    <row r="4133">
      <c r="A4133" s="62" t="s">
        <v>4271</v>
      </c>
      <c r="B4133" s="63">
        <v>44217.0</v>
      </c>
      <c r="C4133" s="62" t="s">
        <v>119</v>
      </c>
      <c r="D4133" s="64">
        <v>85.0</v>
      </c>
      <c r="E4133" s="62" t="s">
        <v>114</v>
      </c>
      <c r="F4133" s="62" t="s">
        <v>110</v>
      </c>
      <c r="G4133" s="64" t="s">
        <v>64</v>
      </c>
      <c r="H4133" s="3" t="s">
        <v>131</v>
      </c>
      <c r="I4133" s="65">
        <f>IFERROR(VLOOKUP(A4133,'3. Call duration'!$A:$C,3,0),"--")</f>
        <v>32.84949755</v>
      </c>
      <c r="J4133" s="65" t="str">
        <f t="array" ref="J4133">XLOOKUP(H4133,'2. Matching'!$A$2:$A$39,'2. Matching'!$B$2:$B$39,"--")</f>
        <v>Acquisition</v>
      </c>
      <c r="K4133" s="65" t="str">
        <f t="shared" si="1"/>
        <v>In</v>
      </c>
    </row>
    <row r="4134">
      <c r="A4134" s="62" t="s">
        <v>4272</v>
      </c>
      <c r="B4134" s="63">
        <v>44124.0</v>
      </c>
      <c r="C4134" s="62" t="s">
        <v>119</v>
      </c>
      <c r="D4134" s="64">
        <v>85.0</v>
      </c>
      <c r="E4134" s="62" t="s">
        <v>114</v>
      </c>
      <c r="F4134" s="62" t="s">
        <v>110</v>
      </c>
      <c r="G4134" s="64" t="s">
        <v>64</v>
      </c>
      <c r="H4134" s="3" t="s">
        <v>169</v>
      </c>
      <c r="I4134" s="65">
        <f>IFERROR(VLOOKUP(A4134,'3. Call duration'!$A:$C,3,0),"--")</f>
        <v>33.55917792</v>
      </c>
      <c r="J4134" s="65" t="str">
        <f t="array" ref="J4134">XLOOKUP(H4134,'2. Matching'!$A$2:$A$39,'2. Matching'!$B$2:$B$39,"--")</f>
        <v>SEO</v>
      </c>
      <c r="K4134" s="65" t="str">
        <f t="shared" si="1"/>
        <v>In</v>
      </c>
    </row>
    <row r="4135">
      <c r="A4135" s="62" t="s">
        <v>4273</v>
      </c>
      <c r="B4135" s="63">
        <v>44110.0</v>
      </c>
      <c r="C4135" s="62" t="s">
        <v>119</v>
      </c>
      <c r="D4135" s="64">
        <v>85.0</v>
      </c>
      <c r="E4135" s="62" t="s">
        <v>114</v>
      </c>
      <c r="F4135" s="62" t="s">
        <v>110</v>
      </c>
      <c r="G4135" s="64" t="s">
        <v>64</v>
      </c>
      <c r="H4135" s="3" t="s">
        <v>135</v>
      </c>
      <c r="I4135" s="65">
        <f>IFERROR(VLOOKUP(A4135,'3. Call duration'!$A:$C,3,0),"--")</f>
        <v>32.96185087</v>
      </c>
      <c r="J4135" s="65" t="str">
        <f t="array" ref="J4135">XLOOKUP(H4135,'2. Matching'!$A$2:$A$39,'2. Matching'!$B$2:$B$39,"--")</f>
        <v>Acquisition</v>
      </c>
      <c r="K4135" s="65" t="str">
        <f t="shared" si="1"/>
        <v>In</v>
      </c>
    </row>
    <row r="4136">
      <c r="A4136" s="62" t="s">
        <v>4274</v>
      </c>
      <c r="B4136" s="63">
        <v>44145.0</v>
      </c>
      <c r="C4136" s="62" t="s">
        <v>119</v>
      </c>
      <c r="D4136" s="64">
        <v>85.0</v>
      </c>
      <c r="E4136" s="62" t="s">
        <v>114</v>
      </c>
      <c r="F4136" s="62" t="s">
        <v>115</v>
      </c>
      <c r="G4136" s="64" t="s">
        <v>64</v>
      </c>
      <c r="H4136" s="3" t="s">
        <v>164</v>
      </c>
      <c r="I4136" s="65">
        <f>IFERROR(VLOOKUP(A4136,'3. Call duration'!$A:$C,3,0),"--")</f>
        <v>21.6322062</v>
      </c>
      <c r="J4136" s="65" t="str">
        <f t="array" ref="J4136">XLOOKUP(H4136,'2. Matching'!$A$2:$A$39,'2. Matching'!$B$2:$B$39,"--")</f>
        <v>SEO</v>
      </c>
      <c r="K4136" s="65" t="str">
        <f t="shared" si="1"/>
        <v>In</v>
      </c>
    </row>
    <row r="4137">
      <c r="A4137" s="62" t="s">
        <v>4275</v>
      </c>
      <c r="B4137" s="63">
        <v>44118.0</v>
      </c>
      <c r="C4137" s="62" t="s">
        <v>119</v>
      </c>
      <c r="D4137" s="64">
        <v>85.0</v>
      </c>
      <c r="E4137" s="62" t="s">
        <v>114</v>
      </c>
      <c r="F4137" s="62" t="s">
        <v>115</v>
      </c>
      <c r="G4137" s="64" t="s">
        <v>64</v>
      </c>
      <c r="H4137" s="3" t="s">
        <v>164</v>
      </c>
      <c r="I4137" s="65">
        <f>IFERROR(VLOOKUP(A4137,'3. Call duration'!$A:$C,3,0),"--")</f>
        <v>20.3064813</v>
      </c>
      <c r="J4137" s="65" t="str">
        <f t="array" ref="J4137">XLOOKUP(H4137,'2. Matching'!$A$2:$A$39,'2. Matching'!$B$2:$B$39,"--")</f>
        <v>SEO</v>
      </c>
      <c r="K4137" s="65" t="str">
        <f t="shared" si="1"/>
        <v>In</v>
      </c>
    </row>
    <row r="4138">
      <c r="A4138" s="62" t="s">
        <v>4276</v>
      </c>
      <c r="B4138" s="63">
        <v>44110.0</v>
      </c>
      <c r="C4138" s="62" t="s">
        <v>119</v>
      </c>
      <c r="D4138" s="64">
        <v>85.0</v>
      </c>
      <c r="E4138" s="62" t="s">
        <v>114</v>
      </c>
      <c r="F4138" s="62" t="s">
        <v>115</v>
      </c>
      <c r="G4138" s="64" t="s">
        <v>64</v>
      </c>
      <c r="H4138" s="3" t="s">
        <v>139</v>
      </c>
      <c r="I4138" s="65">
        <f>IFERROR(VLOOKUP(A4138,'3. Call duration'!$A:$C,3,0),"--")</f>
        <v>30.94005165</v>
      </c>
      <c r="J4138" s="65" t="str">
        <f t="array" ref="J4138">XLOOKUP(H4138,'2. Matching'!$A$2:$A$39,'2. Matching'!$B$2:$B$39,"--")</f>
        <v>Acquisition</v>
      </c>
      <c r="K4138" s="65" t="str">
        <f t="shared" si="1"/>
        <v>In</v>
      </c>
    </row>
    <row r="4139">
      <c r="A4139" s="62" t="s">
        <v>4277</v>
      </c>
      <c r="B4139" s="63">
        <v>44243.0</v>
      </c>
      <c r="C4139" s="62" t="s">
        <v>119</v>
      </c>
      <c r="D4139" s="64">
        <v>85.0</v>
      </c>
      <c r="E4139" s="62" t="s">
        <v>114</v>
      </c>
      <c r="F4139" s="62" t="s">
        <v>115</v>
      </c>
      <c r="G4139" s="64" t="s">
        <v>112</v>
      </c>
      <c r="H4139" s="3"/>
      <c r="I4139" s="65">
        <f>IFERROR(VLOOKUP(A4139,'3. Call duration'!$A:$C,3,0),"--")</f>
        <v>32.21452091</v>
      </c>
      <c r="J4139" s="65" t="str">
        <f t="array" ref="J4139">XLOOKUP(H4139,'2. Matching'!$A$2:$A$39,'2. Matching'!$B$2:$B$39,"--")</f>
        <v>--</v>
      </c>
      <c r="K4139" s="65" t="str">
        <f t="shared" si="1"/>
        <v>In</v>
      </c>
    </row>
    <row r="4140">
      <c r="A4140" s="62" t="s">
        <v>4278</v>
      </c>
      <c r="B4140" s="63">
        <v>44224.0</v>
      </c>
      <c r="C4140" s="62" t="s">
        <v>119</v>
      </c>
      <c r="D4140" s="64">
        <v>85.0</v>
      </c>
      <c r="E4140" s="62" t="s">
        <v>114</v>
      </c>
      <c r="F4140" s="62" t="s">
        <v>110</v>
      </c>
      <c r="G4140" s="64" t="s">
        <v>64</v>
      </c>
      <c r="H4140" s="3" t="s">
        <v>131</v>
      </c>
      <c r="I4140" s="65">
        <f>IFERROR(VLOOKUP(A4140,'3. Call duration'!$A:$C,3,0),"--")</f>
        <v>25.54032595</v>
      </c>
      <c r="J4140" s="65" t="str">
        <f t="array" ref="J4140">XLOOKUP(H4140,'2. Matching'!$A$2:$A$39,'2. Matching'!$B$2:$B$39,"--")</f>
        <v>Acquisition</v>
      </c>
      <c r="K4140" s="65" t="str">
        <f t="shared" si="1"/>
        <v>In</v>
      </c>
    </row>
    <row r="4141">
      <c r="A4141" s="62" t="s">
        <v>4279</v>
      </c>
      <c r="B4141" s="63">
        <v>44138.0</v>
      </c>
      <c r="C4141" s="62" t="s">
        <v>119</v>
      </c>
      <c r="D4141" s="64">
        <v>85.0</v>
      </c>
      <c r="E4141" s="62" t="s">
        <v>114</v>
      </c>
      <c r="F4141" s="62" t="s">
        <v>115</v>
      </c>
      <c r="G4141" s="64" t="s">
        <v>64</v>
      </c>
      <c r="H4141" s="3" t="s">
        <v>171</v>
      </c>
      <c r="I4141" s="65">
        <f>IFERROR(VLOOKUP(A4141,'3. Call duration'!$A:$C,3,0),"--")</f>
        <v>31.85771319</v>
      </c>
      <c r="J4141" s="65" t="str">
        <f t="array" ref="J4141">XLOOKUP(H4141,'2. Matching'!$A$2:$A$39,'2. Matching'!$B$2:$B$39,"--")</f>
        <v>SEO</v>
      </c>
      <c r="K4141" s="65" t="str">
        <f t="shared" si="1"/>
        <v>In</v>
      </c>
    </row>
    <row r="4142">
      <c r="A4142" s="62" t="s">
        <v>4280</v>
      </c>
      <c r="B4142" s="63">
        <v>44089.0</v>
      </c>
      <c r="C4142" s="62" t="s">
        <v>119</v>
      </c>
      <c r="D4142" s="64">
        <v>85.0</v>
      </c>
      <c r="E4142" s="62" t="s">
        <v>114</v>
      </c>
      <c r="F4142" s="62" t="s">
        <v>110</v>
      </c>
      <c r="G4142" s="64" t="s">
        <v>64</v>
      </c>
      <c r="H4142" s="3" t="s">
        <v>135</v>
      </c>
      <c r="I4142" s="65">
        <f>IFERROR(VLOOKUP(A4142,'3. Call duration'!$A:$C,3,0),"--")</f>
        <v>24.62097542</v>
      </c>
      <c r="J4142" s="65" t="str">
        <f t="array" ref="J4142">XLOOKUP(H4142,'2. Matching'!$A$2:$A$39,'2. Matching'!$B$2:$B$39,"--")</f>
        <v>Acquisition</v>
      </c>
      <c r="K4142" s="65" t="str">
        <f t="shared" si="1"/>
        <v>In</v>
      </c>
    </row>
    <row r="4143">
      <c r="A4143" s="62" t="s">
        <v>4281</v>
      </c>
      <c r="B4143" s="63">
        <v>44159.0</v>
      </c>
      <c r="C4143" s="62" t="s">
        <v>119</v>
      </c>
      <c r="D4143" s="64">
        <v>85.0</v>
      </c>
      <c r="E4143" s="62" t="s">
        <v>114</v>
      </c>
      <c r="F4143" s="62" t="s">
        <v>110</v>
      </c>
      <c r="G4143" s="64" t="s">
        <v>62</v>
      </c>
      <c r="H4143" s="3" t="s">
        <v>294</v>
      </c>
      <c r="I4143" s="65">
        <f>IFERROR(VLOOKUP(A4143,'3. Call duration'!$A:$C,3,0),"--")</f>
        <v>24.70570961</v>
      </c>
      <c r="J4143" s="65" t="str">
        <f t="array" ref="J4143">XLOOKUP(H4143,'2. Matching'!$A$2:$A$39,'2. Matching'!$B$2:$B$39,"--")</f>
        <v>Farming</v>
      </c>
      <c r="K4143" s="65" t="str">
        <f t="shared" si="1"/>
        <v>In</v>
      </c>
    </row>
    <row r="4144">
      <c r="A4144" s="62" t="s">
        <v>4282</v>
      </c>
      <c r="B4144" s="63">
        <v>44232.0</v>
      </c>
      <c r="C4144" s="62" t="s">
        <v>119</v>
      </c>
      <c r="D4144" s="64">
        <v>85.0</v>
      </c>
      <c r="E4144" s="62" t="s">
        <v>114</v>
      </c>
      <c r="F4144" s="62" t="s">
        <v>115</v>
      </c>
      <c r="G4144" s="64" t="s">
        <v>64</v>
      </c>
      <c r="H4144" s="3" t="s">
        <v>139</v>
      </c>
      <c r="I4144" s="65">
        <f>IFERROR(VLOOKUP(A4144,'3. Call duration'!$A:$C,3,0),"--")</f>
        <v>25.51449516</v>
      </c>
      <c r="J4144" s="65" t="str">
        <f t="array" ref="J4144">XLOOKUP(H4144,'2. Matching'!$A$2:$A$39,'2. Matching'!$B$2:$B$39,"--")</f>
        <v>Acquisition</v>
      </c>
      <c r="K4144" s="65" t="str">
        <f t="shared" si="1"/>
        <v>In</v>
      </c>
    </row>
    <row r="4145">
      <c r="A4145" s="62" t="s">
        <v>4283</v>
      </c>
      <c r="B4145" s="63">
        <v>44223.0</v>
      </c>
      <c r="C4145" s="62" t="s">
        <v>119</v>
      </c>
      <c r="D4145" s="64">
        <v>85.0</v>
      </c>
      <c r="E4145" s="62" t="s">
        <v>114</v>
      </c>
      <c r="F4145" s="62" t="s">
        <v>115</v>
      </c>
      <c r="G4145" s="64" t="s">
        <v>64</v>
      </c>
      <c r="H4145" s="3" t="s">
        <v>169</v>
      </c>
      <c r="I4145" s="65">
        <f>IFERROR(VLOOKUP(A4145,'3. Call duration'!$A:$C,3,0),"--")</f>
        <v>25.9353109</v>
      </c>
      <c r="J4145" s="65" t="str">
        <f t="array" ref="J4145">XLOOKUP(H4145,'2. Matching'!$A$2:$A$39,'2. Matching'!$B$2:$B$39,"--")</f>
        <v>SEO</v>
      </c>
      <c r="K4145" s="65" t="str">
        <f t="shared" si="1"/>
        <v>In</v>
      </c>
    </row>
    <row r="4146">
      <c r="A4146" s="62" t="s">
        <v>4284</v>
      </c>
      <c r="B4146" s="63">
        <v>44166.0</v>
      </c>
      <c r="C4146" s="62" t="s">
        <v>119</v>
      </c>
      <c r="D4146" s="64">
        <v>85.0</v>
      </c>
      <c r="E4146" s="62" t="s">
        <v>114</v>
      </c>
      <c r="F4146" s="62" t="s">
        <v>110</v>
      </c>
      <c r="G4146" s="64" t="s">
        <v>64</v>
      </c>
      <c r="H4146" s="3" t="s">
        <v>155</v>
      </c>
      <c r="I4146" s="65">
        <f>IFERROR(VLOOKUP(A4146,'3. Call duration'!$A:$C,3,0),"--")</f>
        <v>50.06460242</v>
      </c>
      <c r="J4146" s="65" t="str">
        <f t="array" ref="J4146">XLOOKUP(H4146,'2. Matching'!$A$2:$A$39,'2. Matching'!$B$2:$B$39,"--")</f>
        <v>SEO</v>
      </c>
      <c r="K4146" s="65" t="str">
        <f t="shared" si="1"/>
        <v>In</v>
      </c>
    </row>
    <row r="4147">
      <c r="A4147" s="62" t="s">
        <v>4285</v>
      </c>
      <c r="B4147" s="63">
        <v>44168.0</v>
      </c>
      <c r="C4147" s="62" t="s">
        <v>119</v>
      </c>
      <c r="D4147" s="64">
        <v>85.0</v>
      </c>
      <c r="E4147" s="62" t="s">
        <v>114</v>
      </c>
      <c r="F4147" s="62" t="s">
        <v>115</v>
      </c>
      <c r="G4147" s="64" t="s">
        <v>64</v>
      </c>
      <c r="H4147" s="3" t="s">
        <v>139</v>
      </c>
      <c r="I4147" s="65">
        <f>IFERROR(VLOOKUP(A4147,'3. Call duration'!$A:$C,3,0),"--")</f>
        <v>26.5536267</v>
      </c>
      <c r="J4147" s="65" t="str">
        <f t="array" ref="J4147">XLOOKUP(H4147,'2. Matching'!$A$2:$A$39,'2. Matching'!$B$2:$B$39,"--")</f>
        <v>Acquisition</v>
      </c>
      <c r="K4147" s="65" t="str">
        <f t="shared" si="1"/>
        <v>In</v>
      </c>
    </row>
    <row r="4148">
      <c r="A4148" s="62" t="s">
        <v>4286</v>
      </c>
      <c r="B4148" s="63">
        <v>44102.0</v>
      </c>
      <c r="C4148" s="62" t="s">
        <v>119</v>
      </c>
      <c r="D4148" s="64">
        <v>85.0</v>
      </c>
      <c r="E4148" s="62" t="s">
        <v>114</v>
      </c>
      <c r="F4148" s="62" t="s">
        <v>115</v>
      </c>
      <c r="G4148" s="64" t="s">
        <v>64</v>
      </c>
      <c r="H4148" s="3" t="s">
        <v>139</v>
      </c>
      <c r="I4148" s="65">
        <f>IFERROR(VLOOKUP(A4148,'3. Call duration'!$A:$C,3,0),"--")</f>
        <v>42.93614492</v>
      </c>
      <c r="J4148" s="65" t="str">
        <f t="array" ref="J4148">XLOOKUP(H4148,'2. Matching'!$A$2:$A$39,'2. Matching'!$B$2:$B$39,"--")</f>
        <v>Acquisition</v>
      </c>
      <c r="K4148" s="65" t="str">
        <f t="shared" si="1"/>
        <v>In</v>
      </c>
    </row>
    <row r="4149">
      <c r="A4149" s="62" t="s">
        <v>4287</v>
      </c>
      <c r="B4149" s="63">
        <v>44077.0</v>
      </c>
      <c r="C4149" s="62" t="s">
        <v>119</v>
      </c>
      <c r="D4149" s="64">
        <v>85.0</v>
      </c>
      <c r="E4149" s="62" t="s">
        <v>114</v>
      </c>
      <c r="F4149" s="62" t="s">
        <v>115</v>
      </c>
      <c r="G4149" s="64" t="s">
        <v>64</v>
      </c>
      <c r="H4149" s="3" t="s">
        <v>139</v>
      </c>
      <c r="I4149" s="65">
        <f>IFERROR(VLOOKUP(A4149,'3. Call duration'!$A:$C,3,0),"--")</f>
        <v>36.65961924</v>
      </c>
      <c r="J4149" s="65" t="str">
        <f t="array" ref="J4149">XLOOKUP(H4149,'2. Matching'!$A$2:$A$39,'2. Matching'!$B$2:$B$39,"--")</f>
        <v>Acquisition</v>
      </c>
      <c r="K4149" s="65" t="str">
        <f t="shared" si="1"/>
        <v>In</v>
      </c>
    </row>
    <row r="4150">
      <c r="A4150" s="62" t="s">
        <v>4288</v>
      </c>
      <c r="B4150" s="63">
        <v>44204.0</v>
      </c>
      <c r="C4150" s="62" t="s">
        <v>119</v>
      </c>
      <c r="D4150" s="64">
        <v>85.0</v>
      </c>
      <c r="E4150" s="62" t="s">
        <v>114</v>
      </c>
      <c r="F4150" s="62" t="s">
        <v>110</v>
      </c>
      <c r="G4150" s="64" t="s">
        <v>62</v>
      </c>
      <c r="H4150" s="3" t="s">
        <v>203</v>
      </c>
      <c r="I4150" s="65">
        <f>IFERROR(VLOOKUP(A4150,'3. Call duration'!$A:$C,3,0),"--")</f>
        <v>25.79166639</v>
      </c>
      <c r="J4150" s="65" t="str">
        <f t="array" ref="J4150">XLOOKUP(H4150,'2. Matching'!$A$2:$A$39,'2. Matching'!$B$2:$B$39,"--")</f>
        <v>Farming</v>
      </c>
      <c r="K4150" s="65" t="str">
        <f t="shared" si="1"/>
        <v>In</v>
      </c>
    </row>
    <row r="4151">
      <c r="A4151" s="62" t="s">
        <v>4289</v>
      </c>
      <c r="B4151" s="63">
        <v>44209.0</v>
      </c>
      <c r="C4151" s="62" t="s">
        <v>119</v>
      </c>
      <c r="D4151" s="64">
        <v>85.0</v>
      </c>
      <c r="E4151" s="62" t="s">
        <v>114</v>
      </c>
      <c r="F4151" s="62" t="s">
        <v>115</v>
      </c>
      <c r="G4151" s="64" t="s">
        <v>64</v>
      </c>
      <c r="H4151" s="3" t="s">
        <v>169</v>
      </c>
      <c r="I4151" s="65">
        <f>IFERROR(VLOOKUP(A4151,'3. Call duration'!$A:$C,3,0),"--")</f>
        <v>21.6848529</v>
      </c>
      <c r="J4151" s="65" t="str">
        <f t="array" ref="J4151">XLOOKUP(H4151,'2. Matching'!$A$2:$A$39,'2. Matching'!$B$2:$B$39,"--")</f>
        <v>SEO</v>
      </c>
      <c r="K4151" s="65" t="str">
        <f t="shared" si="1"/>
        <v>In</v>
      </c>
    </row>
    <row r="4152">
      <c r="A4152" s="62" t="s">
        <v>4290</v>
      </c>
      <c r="B4152" s="63">
        <v>44203.0</v>
      </c>
      <c r="C4152" s="62" t="s">
        <v>119</v>
      </c>
      <c r="D4152" s="64">
        <v>85.0</v>
      </c>
      <c r="E4152" s="62" t="s">
        <v>114</v>
      </c>
      <c r="F4152" s="62" t="s">
        <v>115</v>
      </c>
      <c r="G4152" s="64" t="s">
        <v>62</v>
      </c>
      <c r="H4152" s="3" t="s">
        <v>286</v>
      </c>
      <c r="I4152" s="65">
        <f>IFERROR(VLOOKUP(A4152,'3. Call duration'!$A:$C,3,0),"--")</f>
        <v>30.05671517</v>
      </c>
      <c r="J4152" s="65" t="str">
        <f t="array" ref="J4152">XLOOKUP(H4152,'2. Matching'!$A$2:$A$39,'2. Matching'!$B$2:$B$39,"--")</f>
        <v>Farming</v>
      </c>
      <c r="K4152" s="65" t="str">
        <f t="shared" si="1"/>
        <v>In</v>
      </c>
    </row>
    <row r="4153">
      <c r="A4153" s="62" t="s">
        <v>4291</v>
      </c>
      <c r="B4153" s="63">
        <v>44110.0</v>
      </c>
      <c r="C4153" s="62" t="s">
        <v>119</v>
      </c>
      <c r="D4153" s="64">
        <v>85.0</v>
      </c>
      <c r="E4153" s="62" t="s">
        <v>114</v>
      </c>
      <c r="F4153" s="62" t="s">
        <v>115</v>
      </c>
      <c r="G4153" s="64" t="s">
        <v>64</v>
      </c>
      <c r="H4153" s="3" t="s">
        <v>139</v>
      </c>
      <c r="I4153" s="65" t="str">
        <f>IFERROR(VLOOKUP(A4153,'3. Call duration'!$A:$C,3,0),"--")</f>
        <v>--</v>
      </c>
      <c r="J4153" s="65" t="str">
        <f t="array" ref="J4153">XLOOKUP(H4153,'2. Matching'!$A$2:$A$39,'2. Matching'!$B$2:$B$39,"--")</f>
        <v>Acquisition</v>
      </c>
      <c r="K4153" s="65" t="str">
        <f t="shared" si="1"/>
        <v>In</v>
      </c>
    </row>
    <row r="4154">
      <c r="A4154" s="62" t="s">
        <v>4292</v>
      </c>
      <c r="B4154" s="63">
        <v>44216.0</v>
      </c>
      <c r="C4154" s="62" t="s">
        <v>119</v>
      </c>
      <c r="D4154" s="64">
        <v>85.0</v>
      </c>
      <c r="E4154" s="62" t="s">
        <v>114</v>
      </c>
      <c r="F4154" s="62" t="s">
        <v>110</v>
      </c>
      <c r="G4154" s="64" t="s">
        <v>64</v>
      </c>
      <c r="H4154" s="3" t="s">
        <v>135</v>
      </c>
      <c r="I4154" s="65">
        <f>IFERROR(VLOOKUP(A4154,'3. Call duration'!$A:$C,3,0),"--")</f>
        <v>21.76992953</v>
      </c>
      <c r="J4154" s="65" t="str">
        <f t="array" ref="J4154">XLOOKUP(H4154,'2. Matching'!$A$2:$A$39,'2. Matching'!$B$2:$B$39,"--")</f>
        <v>Acquisition</v>
      </c>
      <c r="K4154" s="65" t="str">
        <f t="shared" si="1"/>
        <v>In</v>
      </c>
    </row>
    <row r="4155">
      <c r="A4155" s="62" t="s">
        <v>4293</v>
      </c>
      <c r="B4155" s="63">
        <v>44076.0</v>
      </c>
      <c r="C4155" s="62" t="s">
        <v>119</v>
      </c>
      <c r="D4155" s="64">
        <v>85.0</v>
      </c>
      <c r="E4155" s="62" t="s">
        <v>114</v>
      </c>
      <c r="F4155" s="62" t="s">
        <v>115</v>
      </c>
      <c r="G4155" s="64" t="s">
        <v>64</v>
      </c>
      <c r="H4155" s="3" t="s">
        <v>150</v>
      </c>
      <c r="I4155" s="65">
        <f>IFERROR(VLOOKUP(A4155,'3. Call duration'!$A:$C,3,0),"--")</f>
        <v>49.02285464</v>
      </c>
      <c r="J4155" s="65" t="str">
        <f t="array" ref="J4155">XLOOKUP(H4155,'2. Matching'!$A$2:$A$39,'2. Matching'!$B$2:$B$39,"--")</f>
        <v>SEO</v>
      </c>
      <c r="K4155" s="65" t="str">
        <f t="shared" si="1"/>
        <v>In</v>
      </c>
    </row>
    <row r="4156">
      <c r="A4156" s="62" t="s">
        <v>4294</v>
      </c>
      <c r="B4156" s="63">
        <v>44182.0</v>
      </c>
      <c r="C4156" s="62" t="s">
        <v>119</v>
      </c>
      <c r="D4156" s="64">
        <v>85.0</v>
      </c>
      <c r="E4156" s="62" t="s">
        <v>114</v>
      </c>
      <c r="F4156" s="62" t="s">
        <v>115</v>
      </c>
      <c r="G4156" s="64" t="s">
        <v>62</v>
      </c>
      <c r="H4156" s="3" t="s">
        <v>286</v>
      </c>
      <c r="I4156" s="65">
        <f>IFERROR(VLOOKUP(A4156,'3. Call duration'!$A:$C,3,0),"--")</f>
        <v>23.16156231</v>
      </c>
      <c r="J4156" s="65" t="str">
        <f t="array" ref="J4156">XLOOKUP(H4156,'2. Matching'!$A$2:$A$39,'2. Matching'!$B$2:$B$39,"--")</f>
        <v>Farming</v>
      </c>
      <c r="K4156" s="65" t="str">
        <f t="shared" si="1"/>
        <v>In</v>
      </c>
    </row>
    <row r="4157">
      <c r="A4157" s="62" t="s">
        <v>4295</v>
      </c>
      <c r="B4157" s="63">
        <v>44225.0</v>
      </c>
      <c r="C4157" s="62" t="s">
        <v>119</v>
      </c>
      <c r="D4157" s="64">
        <v>85.0</v>
      </c>
      <c r="E4157" s="62" t="s">
        <v>114</v>
      </c>
      <c r="F4157" s="62" t="s">
        <v>110</v>
      </c>
      <c r="G4157" s="64" t="s">
        <v>64</v>
      </c>
      <c r="H4157" s="3" t="s">
        <v>221</v>
      </c>
      <c r="I4157" s="65">
        <f>IFERROR(VLOOKUP(A4157,'3. Call duration'!$A:$C,3,0),"--")</f>
        <v>23.86151463</v>
      </c>
      <c r="J4157" s="65" t="str">
        <f t="array" ref="J4157">XLOOKUP(H4157,'2. Matching'!$A$2:$A$39,'2. Matching'!$B$2:$B$39,"--")</f>
        <v>Farming</v>
      </c>
      <c r="K4157" s="65" t="str">
        <f t="shared" si="1"/>
        <v>In</v>
      </c>
    </row>
    <row r="4158">
      <c r="A4158" s="62" t="s">
        <v>4296</v>
      </c>
      <c r="B4158" s="63">
        <v>44091.0</v>
      </c>
      <c r="C4158" s="62" t="s">
        <v>119</v>
      </c>
      <c r="D4158" s="64">
        <v>85.0</v>
      </c>
      <c r="E4158" s="62" t="s">
        <v>114</v>
      </c>
      <c r="F4158" s="62" t="s">
        <v>115</v>
      </c>
      <c r="G4158" s="64" t="s">
        <v>64</v>
      </c>
      <c r="H4158" s="3" t="s">
        <v>150</v>
      </c>
      <c r="I4158" s="65">
        <f>IFERROR(VLOOKUP(A4158,'3. Call duration'!$A:$C,3,0),"--")</f>
        <v>21.93645651</v>
      </c>
      <c r="J4158" s="65" t="str">
        <f t="array" ref="J4158">XLOOKUP(H4158,'2. Matching'!$A$2:$A$39,'2. Matching'!$B$2:$B$39,"--")</f>
        <v>SEO</v>
      </c>
      <c r="K4158" s="65" t="str">
        <f t="shared" si="1"/>
        <v>In</v>
      </c>
    </row>
    <row r="4159">
      <c r="A4159" s="62" t="s">
        <v>4297</v>
      </c>
      <c r="B4159" s="63">
        <v>44172.0</v>
      </c>
      <c r="C4159" s="62" t="s">
        <v>119</v>
      </c>
      <c r="D4159" s="64">
        <v>85.0</v>
      </c>
      <c r="E4159" s="62" t="s">
        <v>114</v>
      </c>
      <c r="F4159" s="62" t="s">
        <v>115</v>
      </c>
      <c r="G4159" s="64" t="s">
        <v>64</v>
      </c>
      <c r="H4159" s="3" t="s">
        <v>139</v>
      </c>
      <c r="I4159" s="65">
        <f>IFERROR(VLOOKUP(A4159,'3. Call duration'!$A:$C,3,0),"--")</f>
        <v>23.02197373</v>
      </c>
      <c r="J4159" s="65" t="str">
        <f t="array" ref="J4159">XLOOKUP(H4159,'2. Matching'!$A$2:$A$39,'2. Matching'!$B$2:$B$39,"--")</f>
        <v>Acquisition</v>
      </c>
      <c r="K4159" s="65" t="str">
        <f t="shared" si="1"/>
        <v>In</v>
      </c>
    </row>
    <row r="4160">
      <c r="A4160" s="62" t="s">
        <v>4298</v>
      </c>
      <c r="B4160" s="63">
        <v>44120.0</v>
      </c>
      <c r="C4160" s="62" t="s">
        <v>119</v>
      </c>
      <c r="D4160" s="64">
        <v>85.0</v>
      </c>
      <c r="E4160" s="62" t="s">
        <v>114</v>
      </c>
      <c r="F4160" s="62" t="s">
        <v>115</v>
      </c>
      <c r="G4160" s="64" t="s">
        <v>64</v>
      </c>
      <c r="H4160" s="3" t="s">
        <v>155</v>
      </c>
      <c r="I4160" s="65">
        <f>IFERROR(VLOOKUP(A4160,'3. Call duration'!$A:$C,3,0),"--")</f>
        <v>27.8058403</v>
      </c>
      <c r="J4160" s="65" t="str">
        <f t="array" ref="J4160">XLOOKUP(H4160,'2. Matching'!$A$2:$A$39,'2. Matching'!$B$2:$B$39,"--")</f>
        <v>SEO</v>
      </c>
      <c r="K4160" s="65" t="str">
        <f t="shared" si="1"/>
        <v>In</v>
      </c>
    </row>
    <row r="4161">
      <c r="A4161" s="62" t="s">
        <v>4299</v>
      </c>
      <c r="B4161" s="63">
        <v>44125.0</v>
      </c>
      <c r="C4161" s="62" t="s">
        <v>119</v>
      </c>
      <c r="D4161" s="64">
        <v>85.0</v>
      </c>
      <c r="E4161" s="62" t="s">
        <v>114</v>
      </c>
      <c r="F4161" s="62" t="s">
        <v>115</v>
      </c>
      <c r="G4161" s="64" t="s">
        <v>64</v>
      </c>
      <c r="H4161" s="3" t="s">
        <v>164</v>
      </c>
      <c r="I4161" s="65">
        <f>IFERROR(VLOOKUP(A4161,'3. Call duration'!$A:$C,3,0),"--")</f>
        <v>21.42437822</v>
      </c>
      <c r="J4161" s="65" t="str">
        <f t="array" ref="J4161">XLOOKUP(H4161,'2. Matching'!$A$2:$A$39,'2. Matching'!$B$2:$B$39,"--")</f>
        <v>SEO</v>
      </c>
      <c r="K4161" s="65" t="str">
        <f t="shared" si="1"/>
        <v>In</v>
      </c>
    </row>
    <row r="4162">
      <c r="A4162" s="62" t="s">
        <v>4300</v>
      </c>
      <c r="B4162" s="63">
        <v>44173.0</v>
      </c>
      <c r="C4162" s="62" t="s">
        <v>119</v>
      </c>
      <c r="D4162" s="64">
        <v>85.0</v>
      </c>
      <c r="E4162" s="62" t="s">
        <v>114</v>
      </c>
      <c r="F4162" s="62" t="s">
        <v>115</v>
      </c>
      <c r="G4162" s="64" t="s">
        <v>64</v>
      </c>
      <c r="H4162" s="3" t="s">
        <v>155</v>
      </c>
      <c r="I4162" s="65">
        <f>IFERROR(VLOOKUP(A4162,'3. Call duration'!$A:$C,3,0),"--")</f>
        <v>20.29919231</v>
      </c>
      <c r="J4162" s="65" t="str">
        <f t="array" ref="J4162">XLOOKUP(H4162,'2. Matching'!$A$2:$A$39,'2. Matching'!$B$2:$B$39,"--")</f>
        <v>SEO</v>
      </c>
      <c r="K4162" s="65" t="str">
        <f t="shared" si="1"/>
        <v>In</v>
      </c>
    </row>
    <row r="4163">
      <c r="A4163" s="62" t="s">
        <v>4301</v>
      </c>
      <c r="B4163" s="63">
        <v>44194.0</v>
      </c>
      <c r="C4163" s="62" t="s">
        <v>119</v>
      </c>
      <c r="D4163" s="64">
        <v>85.0</v>
      </c>
      <c r="E4163" s="62" t="s">
        <v>114</v>
      </c>
      <c r="F4163" s="62" t="s">
        <v>115</v>
      </c>
      <c r="G4163" s="64" t="s">
        <v>64</v>
      </c>
      <c r="H4163" s="3" t="s">
        <v>185</v>
      </c>
      <c r="I4163" s="65">
        <f>IFERROR(VLOOKUP(A4163,'3. Call duration'!$A:$C,3,0),"--")</f>
        <v>21.24685339</v>
      </c>
      <c r="J4163" s="65" t="str">
        <f t="array" ref="J4163">XLOOKUP(H4163,'2. Matching'!$A$2:$A$39,'2. Matching'!$B$2:$B$39,"--")</f>
        <v>SEO</v>
      </c>
      <c r="K4163" s="65" t="str">
        <f t="shared" si="1"/>
        <v>In</v>
      </c>
    </row>
    <row r="4164">
      <c r="A4164" s="62" t="s">
        <v>4302</v>
      </c>
      <c r="B4164" s="63">
        <v>44110.0</v>
      </c>
      <c r="C4164" s="62" t="s">
        <v>119</v>
      </c>
      <c r="D4164" s="64">
        <v>85.0</v>
      </c>
      <c r="E4164" s="62" t="s">
        <v>114</v>
      </c>
      <c r="F4164" s="62" t="s">
        <v>115</v>
      </c>
      <c r="G4164" s="64" t="s">
        <v>64</v>
      </c>
      <c r="H4164" s="3" t="s">
        <v>164</v>
      </c>
      <c r="I4164" s="65">
        <f>IFERROR(VLOOKUP(A4164,'3. Call duration'!$A:$C,3,0),"--")</f>
        <v>25.23758152</v>
      </c>
      <c r="J4164" s="65" t="str">
        <f t="array" ref="J4164">XLOOKUP(H4164,'2. Matching'!$A$2:$A$39,'2. Matching'!$B$2:$B$39,"--")</f>
        <v>SEO</v>
      </c>
      <c r="K4164" s="65" t="str">
        <f t="shared" si="1"/>
        <v>In</v>
      </c>
    </row>
    <row r="4165">
      <c r="A4165" s="62" t="s">
        <v>4303</v>
      </c>
      <c r="B4165" s="63">
        <v>44236.0</v>
      </c>
      <c r="C4165" s="62" t="s">
        <v>119</v>
      </c>
      <c r="D4165" s="64">
        <v>85.0</v>
      </c>
      <c r="E4165" s="62" t="s">
        <v>114</v>
      </c>
      <c r="F4165" s="62" t="s">
        <v>115</v>
      </c>
      <c r="G4165" s="64" t="s">
        <v>64</v>
      </c>
      <c r="H4165" s="3" t="s">
        <v>150</v>
      </c>
      <c r="I4165" s="65">
        <f>IFERROR(VLOOKUP(A4165,'3. Call duration'!$A:$C,3,0),"--")</f>
        <v>21.78600129</v>
      </c>
      <c r="J4165" s="65" t="str">
        <f t="array" ref="J4165">XLOOKUP(H4165,'2. Matching'!$A$2:$A$39,'2. Matching'!$B$2:$B$39,"--")</f>
        <v>SEO</v>
      </c>
      <c r="K4165" s="65" t="str">
        <f t="shared" si="1"/>
        <v>In</v>
      </c>
    </row>
    <row r="4166">
      <c r="A4166" s="62" t="s">
        <v>4304</v>
      </c>
      <c r="B4166" s="63">
        <v>44082.0</v>
      </c>
      <c r="C4166" s="62" t="s">
        <v>119</v>
      </c>
      <c r="D4166" s="64">
        <v>85.0</v>
      </c>
      <c r="E4166" s="62" t="s">
        <v>114</v>
      </c>
      <c r="F4166" s="62" t="s">
        <v>115</v>
      </c>
      <c r="G4166" s="64" t="s">
        <v>64</v>
      </c>
      <c r="H4166" s="3" t="s">
        <v>175</v>
      </c>
      <c r="I4166" s="65">
        <f>IFERROR(VLOOKUP(A4166,'3. Call duration'!$A:$C,3,0),"--")</f>
        <v>29.36184708</v>
      </c>
      <c r="J4166" s="65" t="str">
        <f t="array" ref="J4166">XLOOKUP(H4166,'2. Matching'!$A$2:$A$39,'2. Matching'!$B$2:$B$39,"--")</f>
        <v>SEO</v>
      </c>
      <c r="K4166" s="65" t="str">
        <f t="shared" si="1"/>
        <v>In</v>
      </c>
    </row>
    <row r="4167">
      <c r="A4167" s="62" t="s">
        <v>4305</v>
      </c>
      <c r="B4167" s="63">
        <v>44124.0</v>
      </c>
      <c r="C4167" s="62" t="s">
        <v>119</v>
      </c>
      <c r="D4167" s="64">
        <v>85.0</v>
      </c>
      <c r="E4167" s="62" t="s">
        <v>114</v>
      </c>
      <c r="F4167" s="62" t="s">
        <v>110</v>
      </c>
      <c r="G4167" s="64" t="s">
        <v>64</v>
      </c>
      <c r="H4167" s="3" t="s">
        <v>131</v>
      </c>
      <c r="I4167" s="65">
        <f>IFERROR(VLOOKUP(A4167,'3. Call duration'!$A:$C,3,0),"--")</f>
        <v>30.72704159</v>
      </c>
      <c r="J4167" s="65" t="str">
        <f t="array" ref="J4167">XLOOKUP(H4167,'2. Matching'!$A$2:$A$39,'2. Matching'!$B$2:$B$39,"--")</f>
        <v>Acquisition</v>
      </c>
      <c r="K4167" s="65" t="str">
        <f t="shared" si="1"/>
        <v>In</v>
      </c>
    </row>
    <row r="4168">
      <c r="A4168" s="62" t="s">
        <v>4306</v>
      </c>
      <c r="B4168" s="63">
        <v>44225.0</v>
      </c>
      <c r="C4168" s="62" t="s">
        <v>119</v>
      </c>
      <c r="D4168" s="64">
        <v>85.0</v>
      </c>
      <c r="E4168" s="62" t="s">
        <v>114</v>
      </c>
      <c r="F4168" s="62" t="s">
        <v>115</v>
      </c>
      <c r="G4168" s="64" t="s">
        <v>64</v>
      </c>
      <c r="H4168" s="3" t="s">
        <v>145</v>
      </c>
      <c r="I4168" s="65">
        <f>IFERROR(VLOOKUP(A4168,'3. Call duration'!$A:$C,3,0),"--")</f>
        <v>39.78017524</v>
      </c>
      <c r="J4168" s="65" t="str">
        <f t="array" ref="J4168">XLOOKUP(H4168,'2. Matching'!$A$2:$A$39,'2. Matching'!$B$2:$B$39,"--")</f>
        <v>SEO</v>
      </c>
      <c r="K4168" s="65" t="str">
        <f t="shared" si="1"/>
        <v>In</v>
      </c>
    </row>
    <row r="4169">
      <c r="A4169" s="62" t="s">
        <v>4307</v>
      </c>
      <c r="B4169" s="63">
        <v>44223.0</v>
      </c>
      <c r="C4169" s="62" t="s">
        <v>119</v>
      </c>
      <c r="D4169" s="64">
        <v>85.0</v>
      </c>
      <c r="E4169" s="62" t="s">
        <v>114</v>
      </c>
      <c r="F4169" s="62" t="s">
        <v>110</v>
      </c>
      <c r="G4169" s="64" t="s">
        <v>64</v>
      </c>
      <c r="H4169" s="3" t="s">
        <v>139</v>
      </c>
      <c r="I4169" s="65">
        <f>IFERROR(VLOOKUP(A4169,'3. Call duration'!$A:$C,3,0),"--")</f>
        <v>30.97109295</v>
      </c>
      <c r="J4169" s="65" t="str">
        <f t="array" ref="J4169">XLOOKUP(H4169,'2. Matching'!$A$2:$A$39,'2. Matching'!$B$2:$B$39,"--")</f>
        <v>Acquisition</v>
      </c>
      <c r="K4169" s="65" t="str">
        <f t="shared" si="1"/>
        <v>In</v>
      </c>
    </row>
    <row r="4170">
      <c r="A4170" s="62" t="s">
        <v>4308</v>
      </c>
      <c r="B4170" s="63">
        <v>44165.0</v>
      </c>
      <c r="C4170" s="62" t="s">
        <v>119</v>
      </c>
      <c r="D4170" s="64">
        <v>85.0</v>
      </c>
      <c r="E4170" s="62" t="s">
        <v>114</v>
      </c>
      <c r="F4170" s="62" t="s">
        <v>115</v>
      </c>
      <c r="G4170" s="64" t="s">
        <v>64</v>
      </c>
      <c r="H4170" s="3" t="s">
        <v>139</v>
      </c>
      <c r="I4170" s="65">
        <f>IFERROR(VLOOKUP(A4170,'3. Call duration'!$A:$C,3,0),"--")</f>
        <v>20.64145637</v>
      </c>
      <c r="J4170" s="65" t="str">
        <f t="array" ref="J4170">XLOOKUP(H4170,'2. Matching'!$A$2:$A$39,'2. Matching'!$B$2:$B$39,"--")</f>
        <v>Acquisition</v>
      </c>
      <c r="K4170" s="65" t="str">
        <f t="shared" si="1"/>
        <v>In</v>
      </c>
    </row>
    <row r="4171">
      <c r="A4171" s="62" t="s">
        <v>4309</v>
      </c>
      <c r="B4171" s="63">
        <v>44144.0</v>
      </c>
      <c r="C4171" s="62" t="s">
        <v>119</v>
      </c>
      <c r="D4171" s="64">
        <v>85.0</v>
      </c>
      <c r="E4171" s="62" t="s">
        <v>114</v>
      </c>
      <c r="F4171" s="62" t="s">
        <v>115</v>
      </c>
      <c r="G4171" s="64" t="s">
        <v>64</v>
      </c>
      <c r="H4171" s="3" t="s">
        <v>139</v>
      </c>
      <c r="I4171" s="65">
        <f>IFERROR(VLOOKUP(A4171,'3. Call duration'!$A:$C,3,0),"--")</f>
        <v>31.17908446</v>
      </c>
      <c r="J4171" s="65" t="str">
        <f t="array" ref="J4171">XLOOKUP(H4171,'2. Matching'!$A$2:$A$39,'2. Matching'!$B$2:$B$39,"--")</f>
        <v>Acquisition</v>
      </c>
      <c r="K4171" s="65" t="str">
        <f t="shared" si="1"/>
        <v>In</v>
      </c>
    </row>
    <row r="4172">
      <c r="A4172" s="62" t="s">
        <v>4310</v>
      </c>
      <c r="B4172" s="63">
        <v>44131.0</v>
      </c>
      <c r="C4172" s="62" t="s">
        <v>119</v>
      </c>
      <c r="D4172" s="64">
        <v>85.0</v>
      </c>
      <c r="E4172" s="62" t="s">
        <v>114</v>
      </c>
      <c r="F4172" s="62" t="s">
        <v>115</v>
      </c>
      <c r="G4172" s="64" t="s">
        <v>64</v>
      </c>
      <c r="H4172" s="3" t="s">
        <v>139</v>
      </c>
      <c r="I4172" s="65">
        <f>IFERROR(VLOOKUP(A4172,'3. Call duration'!$A:$C,3,0),"--")</f>
        <v>33.18378327</v>
      </c>
      <c r="J4172" s="65" t="str">
        <f t="array" ref="J4172">XLOOKUP(H4172,'2. Matching'!$A$2:$A$39,'2. Matching'!$B$2:$B$39,"--")</f>
        <v>Acquisition</v>
      </c>
      <c r="K4172" s="65" t="str">
        <f t="shared" si="1"/>
        <v>In</v>
      </c>
    </row>
    <row r="4173">
      <c r="A4173" s="62" t="s">
        <v>4311</v>
      </c>
      <c r="B4173" s="63">
        <v>44144.0</v>
      </c>
      <c r="C4173" s="62" t="s">
        <v>119</v>
      </c>
      <c r="D4173" s="64">
        <v>85.0</v>
      </c>
      <c r="E4173" s="62" t="s">
        <v>114</v>
      </c>
      <c r="F4173" s="62" t="s">
        <v>115</v>
      </c>
      <c r="G4173" s="64" t="s">
        <v>64</v>
      </c>
      <c r="H4173" s="3" t="s">
        <v>185</v>
      </c>
      <c r="I4173" s="65">
        <f>IFERROR(VLOOKUP(A4173,'3. Call duration'!$A:$C,3,0),"--")</f>
        <v>20.59174396</v>
      </c>
      <c r="J4173" s="65" t="str">
        <f t="array" ref="J4173">XLOOKUP(H4173,'2. Matching'!$A$2:$A$39,'2. Matching'!$B$2:$B$39,"--")</f>
        <v>SEO</v>
      </c>
      <c r="K4173" s="65" t="str">
        <f t="shared" si="1"/>
        <v>In</v>
      </c>
    </row>
    <row r="4174">
      <c r="A4174" s="62" t="s">
        <v>4312</v>
      </c>
      <c r="B4174" s="63">
        <v>44080.0</v>
      </c>
      <c r="C4174" s="62" t="s">
        <v>119</v>
      </c>
      <c r="D4174" s="64">
        <v>85.0</v>
      </c>
      <c r="E4174" s="62" t="s">
        <v>114</v>
      </c>
      <c r="F4174" s="62" t="s">
        <v>115</v>
      </c>
      <c r="G4174" s="64" t="s">
        <v>64</v>
      </c>
      <c r="H4174" s="3" t="s">
        <v>150</v>
      </c>
      <c r="I4174" s="65">
        <f>IFERROR(VLOOKUP(A4174,'3. Call duration'!$A:$C,3,0),"--")</f>
        <v>32.80956132</v>
      </c>
      <c r="J4174" s="65" t="str">
        <f t="array" ref="J4174">XLOOKUP(H4174,'2. Matching'!$A$2:$A$39,'2. Matching'!$B$2:$B$39,"--")</f>
        <v>SEO</v>
      </c>
      <c r="K4174" s="65" t="str">
        <f t="shared" si="1"/>
        <v>In</v>
      </c>
    </row>
    <row r="4175">
      <c r="A4175" s="62" t="s">
        <v>4313</v>
      </c>
      <c r="B4175" s="63">
        <v>44093.0</v>
      </c>
      <c r="C4175" s="62" t="s">
        <v>119</v>
      </c>
      <c r="D4175" s="64">
        <v>85.0</v>
      </c>
      <c r="E4175" s="62" t="s">
        <v>114</v>
      </c>
      <c r="F4175" s="62" t="s">
        <v>115</v>
      </c>
      <c r="G4175" s="64" t="s">
        <v>64</v>
      </c>
      <c r="H4175" s="3" t="s">
        <v>235</v>
      </c>
      <c r="I4175" s="65">
        <f>IFERROR(VLOOKUP(A4175,'3. Call duration'!$A:$C,3,0),"--")</f>
        <v>30.39631369</v>
      </c>
      <c r="J4175" s="65" t="str">
        <f t="array" ref="J4175">XLOOKUP(H4175,'2. Matching'!$A$2:$A$39,'2. Matching'!$B$2:$B$39,"--")</f>
        <v>Farming</v>
      </c>
      <c r="K4175" s="65" t="str">
        <f t="shared" si="1"/>
        <v>In</v>
      </c>
    </row>
    <row r="4176">
      <c r="A4176" s="62" t="s">
        <v>4314</v>
      </c>
      <c r="B4176" s="63">
        <v>44176.0</v>
      </c>
      <c r="C4176" s="62" t="s">
        <v>119</v>
      </c>
      <c r="D4176" s="64">
        <v>85.0</v>
      </c>
      <c r="E4176" s="62" t="s">
        <v>114</v>
      </c>
      <c r="F4176" s="62" t="s">
        <v>115</v>
      </c>
      <c r="G4176" s="64" t="s">
        <v>64</v>
      </c>
      <c r="H4176" s="3" t="s">
        <v>139</v>
      </c>
      <c r="I4176" s="65">
        <f>IFERROR(VLOOKUP(A4176,'3. Call duration'!$A:$C,3,0),"--")</f>
        <v>23.50570748</v>
      </c>
      <c r="J4176" s="65" t="str">
        <f t="array" ref="J4176">XLOOKUP(H4176,'2. Matching'!$A$2:$A$39,'2. Matching'!$B$2:$B$39,"--")</f>
        <v>Acquisition</v>
      </c>
      <c r="K4176" s="65" t="str">
        <f t="shared" si="1"/>
        <v>In</v>
      </c>
    </row>
    <row r="4177">
      <c r="A4177" s="62" t="s">
        <v>4315</v>
      </c>
      <c r="B4177" s="63">
        <v>44204.0</v>
      </c>
      <c r="C4177" s="62" t="s">
        <v>119</v>
      </c>
      <c r="D4177" s="64">
        <v>85.0</v>
      </c>
      <c r="E4177" s="62" t="s">
        <v>114</v>
      </c>
      <c r="F4177" s="62" t="s">
        <v>115</v>
      </c>
      <c r="G4177" s="64" t="s">
        <v>64</v>
      </c>
      <c r="H4177" s="3" t="s">
        <v>169</v>
      </c>
      <c r="I4177" s="65">
        <f>IFERROR(VLOOKUP(A4177,'3. Call duration'!$A:$C,3,0),"--")</f>
        <v>31.84071171</v>
      </c>
      <c r="J4177" s="65" t="str">
        <f t="array" ref="J4177">XLOOKUP(H4177,'2. Matching'!$A$2:$A$39,'2. Matching'!$B$2:$B$39,"--")</f>
        <v>SEO</v>
      </c>
      <c r="K4177" s="65" t="str">
        <f t="shared" si="1"/>
        <v>In</v>
      </c>
    </row>
    <row r="4178">
      <c r="A4178" s="62" t="s">
        <v>4316</v>
      </c>
      <c r="B4178" s="63">
        <v>44119.0</v>
      </c>
      <c r="C4178" s="62" t="s">
        <v>119</v>
      </c>
      <c r="D4178" s="64">
        <v>85.0</v>
      </c>
      <c r="E4178" s="62" t="s">
        <v>114</v>
      </c>
      <c r="F4178" s="62" t="s">
        <v>115</v>
      </c>
      <c r="G4178" s="64" t="s">
        <v>64</v>
      </c>
      <c r="H4178" s="3" t="s">
        <v>150</v>
      </c>
      <c r="I4178" s="65">
        <f>IFERROR(VLOOKUP(A4178,'3. Call duration'!$A:$C,3,0),"--")</f>
        <v>31.02371455</v>
      </c>
      <c r="J4178" s="65" t="str">
        <f t="array" ref="J4178">XLOOKUP(H4178,'2. Matching'!$A$2:$A$39,'2. Matching'!$B$2:$B$39,"--")</f>
        <v>SEO</v>
      </c>
      <c r="K4178" s="65" t="str">
        <f t="shared" si="1"/>
        <v>In</v>
      </c>
    </row>
    <row r="4179">
      <c r="A4179" s="62" t="s">
        <v>4317</v>
      </c>
      <c r="B4179" s="63">
        <v>44201.0</v>
      </c>
      <c r="C4179" s="62" t="s">
        <v>119</v>
      </c>
      <c r="D4179" s="64">
        <v>85.0</v>
      </c>
      <c r="E4179" s="62" t="s">
        <v>114</v>
      </c>
      <c r="F4179" s="62" t="s">
        <v>115</v>
      </c>
      <c r="G4179" s="64" t="s">
        <v>62</v>
      </c>
      <c r="H4179" s="3" t="s">
        <v>294</v>
      </c>
      <c r="I4179" s="65" t="str">
        <f>IFERROR(VLOOKUP(A4179,'3. Call duration'!$A:$C,3,0),"--")</f>
        <v>--</v>
      </c>
      <c r="J4179" s="65" t="str">
        <f t="array" ref="J4179">XLOOKUP(H4179,'2. Matching'!$A$2:$A$39,'2. Matching'!$B$2:$B$39,"--")</f>
        <v>Farming</v>
      </c>
      <c r="K4179" s="65" t="str">
        <f t="shared" si="1"/>
        <v>In</v>
      </c>
    </row>
    <row r="4180">
      <c r="A4180" s="62" t="s">
        <v>4318</v>
      </c>
      <c r="B4180" s="63">
        <v>44246.0</v>
      </c>
      <c r="C4180" s="62" t="s">
        <v>119</v>
      </c>
      <c r="D4180" s="64">
        <v>85.0</v>
      </c>
      <c r="E4180" s="62" t="s">
        <v>114</v>
      </c>
      <c r="F4180" s="62" t="s">
        <v>115</v>
      </c>
      <c r="G4180" s="64" t="s">
        <v>64</v>
      </c>
      <c r="H4180" s="3" t="s">
        <v>150</v>
      </c>
      <c r="I4180" s="65">
        <f>IFERROR(VLOOKUP(A4180,'3. Call duration'!$A:$C,3,0),"--")</f>
        <v>23.09832607</v>
      </c>
      <c r="J4180" s="65" t="str">
        <f t="array" ref="J4180">XLOOKUP(H4180,'2. Matching'!$A$2:$A$39,'2. Matching'!$B$2:$B$39,"--")</f>
        <v>SEO</v>
      </c>
      <c r="K4180" s="65" t="str">
        <f t="shared" si="1"/>
        <v>In</v>
      </c>
    </row>
    <row r="4181">
      <c r="A4181" s="62" t="s">
        <v>4319</v>
      </c>
      <c r="B4181" s="63">
        <v>44170.0</v>
      </c>
      <c r="C4181" s="62" t="s">
        <v>119</v>
      </c>
      <c r="D4181" s="64">
        <v>85.0</v>
      </c>
      <c r="E4181" s="62" t="s">
        <v>114</v>
      </c>
      <c r="F4181" s="62" t="s">
        <v>110</v>
      </c>
      <c r="G4181" s="64" t="s">
        <v>64</v>
      </c>
      <c r="H4181" s="3" t="s">
        <v>221</v>
      </c>
      <c r="I4181" s="65">
        <f>IFERROR(VLOOKUP(A4181,'3. Call duration'!$A:$C,3,0),"--")</f>
        <v>24.34225984</v>
      </c>
      <c r="J4181" s="65" t="str">
        <f t="array" ref="J4181">XLOOKUP(H4181,'2. Matching'!$A$2:$A$39,'2. Matching'!$B$2:$B$39,"--")</f>
        <v>Farming</v>
      </c>
      <c r="K4181" s="65" t="str">
        <f t="shared" si="1"/>
        <v>In</v>
      </c>
    </row>
    <row r="4182">
      <c r="A4182" s="62" t="s">
        <v>4320</v>
      </c>
      <c r="B4182" s="63">
        <v>44076.0</v>
      </c>
      <c r="C4182" s="62" t="s">
        <v>119</v>
      </c>
      <c r="D4182" s="64">
        <v>85.0</v>
      </c>
      <c r="E4182" s="62" t="s">
        <v>114</v>
      </c>
      <c r="F4182" s="62" t="s">
        <v>115</v>
      </c>
      <c r="G4182" s="64" t="s">
        <v>64</v>
      </c>
      <c r="H4182" s="3" t="s">
        <v>139</v>
      </c>
      <c r="I4182" s="65">
        <f>IFERROR(VLOOKUP(A4182,'3. Call duration'!$A:$C,3,0),"--")</f>
        <v>22.02702826</v>
      </c>
      <c r="J4182" s="65" t="str">
        <f t="array" ref="J4182">XLOOKUP(H4182,'2. Matching'!$A$2:$A$39,'2. Matching'!$B$2:$B$39,"--")</f>
        <v>Acquisition</v>
      </c>
      <c r="K4182" s="65" t="str">
        <f t="shared" si="1"/>
        <v>In</v>
      </c>
    </row>
    <row r="4183">
      <c r="A4183" s="62" t="s">
        <v>4321</v>
      </c>
      <c r="B4183" s="63">
        <v>44217.0</v>
      </c>
      <c r="C4183" s="62" t="s">
        <v>119</v>
      </c>
      <c r="D4183" s="64">
        <v>85.0</v>
      </c>
      <c r="E4183" s="62" t="s">
        <v>114</v>
      </c>
      <c r="F4183" s="62" t="s">
        <v>110</v>
      </c>
      <c r="G4183" s="64" t="s">
        <v>64</v>
      </c>
      <c r="H4183" s="3" t="s">
        <v>150</v>
      </c>
      <c r="I4183" s="65">
        <f>IFERROR(VLOOKUP(A4183,'3. Call duration'!$A:$C,3,0),"--")</f>
        <v>27.76294855</v>
      </c>
      <c r="J4183" s="65" t="str">
        <f t="array" ref="J4183">XLOOKUP(H4183,'2. Matching'!$A$2:$A$39,'2. Matching'!$B$2:$B$39,"--")</f>
        <v>SEO</v>
      </c>
      <c r="K4183" s="65" t="str">
        <f t="shared" si="1"/>
        <v>In</v>
      </c>
    </row>
    <row r="4184">
      <c r="A4184" s="62" t="s">
        <v>4322</v>
      </c>
      <c r="B4184" s="63">
        <v>44153.0</v>
      </c>
      <c r="C4184" s="62" t="s">
        <v>119</v>
      </c>
      <c r="D4184" s="64">
        <v>85.0</v>
      </c>
      <c r="E4184" s="62" t="s">
        <v>114</v>
      </c>
      <c r="F4184" s="62" t="s">
        <v>115</v>
      </c>
      <c r="G4184" s="64" t="s">
        <v>62</v>
      </c>
      <c r="H4184" s="3" t="s">
        <v>294</v>
      </c>
      <c r="I4184" s="65">
        <f>IFERROR(VLOOKUP(A4184,'3. Call duration'!$A:$C,3,0),"--")</f>
        <v>22.79703998</v>
      </c>
      <c r="J4184" s="65" t="str">
        <f t="array" ref="J4184">XLOOKUP(H4184,'2. Matching'!$A$2:$A$39,'2. Matching'!$B$2:$B$39,"--")</f>
        <v>Farming</v>
      </c>
      <c r="K4184" s="65" t="str">
        <f t="shared" si="1"/>
        <v>In</v>
      </c>
    </row>
    <row r="4185">
      <c r="A4185" s="62" t="s">
        <v>4323</v>
      </c>
      <c r="B4185" s="63">
        <v>44083.0</v>
      </c>
      <c r="C4185" s="62" t="s">
        <v>119</v>
      </c>
      <c r="D4185" s="64">
        <v>85.0</v>
      </c>
      <c r="E4185" s="62" t="s">
        <v>114</v>
      </c>
      <c r="F4185" s="62" t="s">
        <v>115</v>
      </c>
      <c r="G4185" s="64" t="s">
        <v>64</v>
      </c>
      <c r="H4185" s="3" t="s">
        <v>139</v>
      </c>
      <c r="I4185" s="65">
        <f>IFERROR(VLOOKUP(A4185,'3. Call duration'!$A:$C,3,0),"--")</f>
        <v>25.2488734</v>
      </c>
      <c r="J4185" s="65" t="str">
        <f t="array" ref="J4185">XLOOKUP(H4185,'2. Matching'!$A$2:$A$39,'2. Matching'!$B$2:$B$39,"--")</f>
        <v>Acquisition</v>
      </c>
      <c r="K4185" s="65" t="str">
        <f t="shared" si="1"/>
        <v>In</v>
      </c>
    </row>
    <row r="4186">
      <c r="A4186" s="62" t="s">
        <v>4324</v>
      </c>
      <c r="B4186" s="63">
        <v>44163.0</v>
      </c>
      <c r="C4186" s="62" t="s">
        <v>119</v>
      </c>
      <c r="D4186" s="64">
        <v>85.0</v>
      </c>
      <c r="E4186" s="62" t="s">
        <v>114</v>
      </c>
      <c r="F4186" s="62" t="s">
        <v>115</v>
      </c>
      <c r="G4186" s="64" t="s">
        <v>64</v>
      </c>
      <c r="H4186" s="3" t="s">
        <v>139</v>
      </c>
      <c r="I4186" s="65">
        <f>IFERROR(VLOOKUP(A4186,'3. Call duration'!$A:$C,3,0),"--")</f>
        <v>29.35970156</v>
      </c>
      <c r="J4186" s="65" t="str">
        <f t="array" ref="J4186">XLOOKUP(H4186,'2. Matching'!$A$2:$A$39,'2. Matching'!$B$2:$B$39,"--")</f>
        <v>Acquisition</v>
      </c>
      <c r="K4186" s="65" t="str">
        <f t="shared" si="1"/>
        <v>In</v>
      </c>
    </row>
    <row r="4187">
      <c r="A4187" s="62" t="s">
        <v>4325</v>
      </c>
      <c r="B4187" s="63">
        <v>44166.0</v>
      </c>
      <c r="C4187" s="62" t="s">
        <v>119</v>
      </c>
      <c r="D4187" s="64">
        <v>85.0</v>
      </c>
      <c r="E4187" s="62" t="s">
        <v>114</v>
      </c>
      <c r="F4187" s="62" t="s">
        <v>110</v>
      </c>
      <c r="G4187" s="64" t="s">
        <v>64</v>
      </c>
      <c r="H4187" s="3" t="s">
        <v>175</v>
      </c>
      <c r="I4187" s="65">
        <f>IFERROR(VLOOKUP(A4187,'3. Call duration'!$A:$C,3,0),"--")</f>
        <v>27.3202675</v>
      </c>
      <c r="J4187" s="65" t="str">
        <f t="array" ref="J4187">XLOOKUP(H4187,'2. Matching'!$A$2:$A$39,'2. Matching'!$B$2:$B$39,"--")</f>
        <v>SEO</v>
      </c>
      <c r="K4187" s="65" t="str">
        <f t="shared" si="1"/>
        <v>In</v>
      </c>
    </row>
    <row r="4188">
      <c r="A4188" s="62" t="s">
        <v>4326</v>
      </c>
      <c r="B4188" s="63">
        <v>44249.0</v>
      </c>
      <c r="C4188" s="62" t="s">
        <v>119</v>
      </c>
      <c r="D4188" s="64">
        <v>85.0</v>
      </c>
      <c r="E4188" s="62" t="s">
        <v>114</v>
      </c>
      <c r="F4188" s="62" t="s">
        <v>115</v>
      </c>
      <c r="G4188" s="64" t="s">
        <v>64</v>
      </c>
      <c r="H4188" s="3" t="s">
        <v>164</v>
      </c>
      <c r="I4188" s="65">
        <f>IFERROR(VLOOKUP(A4188,'3. Call duration'!$A:$C,3,0),"--")</f>
        <v>20.70838943</v>
      </c>
      <c r="J4188" s="65" t="str">
        <f t="array" ref="J4188">XLOOKUP(H4188,'2. Matching'!$A$2:$A$39,'2. Matching'!$B$2:$B$39,"--")</f>
        <v>SEO</v>
      </c>
      <c r="K4188" s="65" t="str">
        <f t="shared" si="1"/>
        <v>In</v>
      </c>
    </row>
    <row r="4189">
      <c r="A4189" s="62" t="s">
        <v>4327</v>
      </c>
      <c r="B4189" s="63">
        <v>44223.0</v>
      </c>
      <c r="C4189" s="62" t="s">
        <v>119</v>
      </c>
      <c r="D4189" s="64">
        <v>85.0</v>
      </c>
      <c r="E4189" s="62" t="s">
        <v>114</v>
      </c>
      <c r="F4189" s="62" t="s">
        <v>110</v>
      </c>
      <c r="G4189" s="64" t="s">
        <v>64</v>
      </c>
      <c r="H4189" s="3" t="s">
        <v>169</v>
      </c>
      <c r="I4189" s="65">
        <f>IFERROR(VLOOKUP(A4189,'3. Call duration'!$A:$C,3,0),"--")</f>
        <v>26.08341098</v>
      </c>
      <c r="J4189" s="65" t="str">
        <f t="array" ref="J4189">XLOOKUP(H4189,'2. Matching'!$A$2:$A$39,'2. Matching'!$B$2:$B$39,"--")</f>
        <v>SEO</v>
      </c>
      <c r="K4189" s="65" t="str">
        <f t="shared" si="1"/>
        <v>In</v>
      </c>
    </row>
    <row r="4190">
      <c r="A4190" s="62" t="s">
        <v>4328</v>
      </c>
      <c r="B4190" s="63">
        <v>44166.0</v>
      </c>
      <c r="C4190" s="62" t="s">
        <v>119</v>
      </c>
      <c r="D4190" s="64">
        <v>85.0</v>
      </c>
      <c r="E4190" s="62" t="s">
        <v>114</v>
      </c>
      <c r="F4190" s="62" t="s">
        <v>115</v>
      </c>
      <c r="G4190" s="64" t="s">
        <v>64</v>
      </c>
      <c r="H4190" s="3" t="s">
        <v>155</v>
      </c>
      <c r="I4190" s="65">
        <f>IFERROR(VLOOKUP(A4190,'3. Call duration'!$A:$C,3,0),"--")</f>
        <v>25.69781366</v>
      </c>
      <c r="J4190" s="65" t="str">
        <f t="array" ref="J4190">XLOOKUP(H4190,'2. Matching'!$A$2:$A$39,'2. Matching'!$B$2:$B$39,"--")</f>
        <v>SEO</v>
      </c>
      <c r="K4190" s="65" t="str">
        <f t="shared" si="1"/>
        <v>In</v>
      </c>
    </row>
    <row r="4191">
      <c r="A4191" s="62" t="s">
        <v>4329</v>
      </c>
      <c r="B4191" s="63">
        <v>44251.0</v>
      </c>
      <c r="C4191" s="62" t="s">
        <v>119</v>
      </c>
      <c r="D4191" s="64">
        <v>85.0</v>
      </c>
      <c r="E4191" s="62" t="s">
        <v>114</v>
      </c>
      <c r="F4191" s="62" t="s">
        <v>110</v>
      </c>
      <c r="G4191" s="64" t="s">
        <v>64</v>
      </c>
      <c r="H4191" s="3" t="s">
        <v>169</v>
      </c>
      <c r="I4191" s="65">
        <f>IFERROR(VLOOKUP(A4191,'3. Call duration'!$A:$C,3,0),"--")</f>
        <v>32.73576512</v>
      </c>
      <c r="J4191" s="65" t="str">
        <f t="array" ref="J4191">XLOOKUP(H4191,'2. Matching'!$A$2:$A$39,'2. Matching'!$B$2:$B$39,"--")</f>
        <v>SEO</v>
      </c>
      <c r="K4191" s="65" t="str">
        <f t="shared" si="1"/>
        <v>In</v>
      </c>
    </row>
    <row r="4192">
      <c r="A4192" s="62" t="s">
        <v>4330</v>
      </c>
      <c r="B4192" s="63">
        <v>44232.0</v>
      </c>
      <c r="C4192" s="62" t="s">
        <v>119</v>
      </c>
      <c r="D4192" s="64">
        <v>85.0</v>
      </c>
      <c r="E4192" s="62" t="s">
        <v>114</v>
      </c>
      <c r="F4192" s="62" t="s">
        <v>110</v>
      </c>
      <c r="G4192" s="64" t="s">
        <v>61</v>
      </c>
      <c r="H4192" s="3" t="s">
        <v>69</v>
      </c>
      <c r="I4192" s="65">
        <f>IFERROR(VLOOKUP(A4192,'3. Call duration'!$A:$C,3,0),"--")</f>
        <v>24.67426183</v>
      </c>
      <c r="J4192" s="65" t="str">
        <f t="array" ref="J4192">XLOOKUP(H4192,'2. Matching'!$A$2:$A$39,'2. Matching'!$B$2:$B$39,"--")</f>
        <v>Acquisition</v>
      </c>
      <c r="K4192" s="65" t="str">
        <f t="shared" si="1"/>
        <v>In</v>
      </c>
    </row>
    <row r="4193">
      <c r="A4193" s="62" t="s">
        <v>4331</v>
      </c>
      <c r="B4193" s="63">
        <v>44246.0</v>
      </c>
      <c r="C4193" s="62" t="s">
        <v>119</v>
      </c>
      <c r="D4193" s="64">
        <v>85.0</v>
      </c>
      <c r="E4193" s="62" t="s">
        <v>114</v>
      </c>
      <c r="F4193" s="62" t="s">
        <v>115</v>
      </c>
      <c r="G4193" s="64" t="s">
        <v>64</v>
      </c>
      <c r="H4193" s="3" t="s">
        <v>155</v>
      </c>
      <c r="I4193" s="65">
        <f>IFERROR(VLOOKUP(A4193,'3. Call duration'!$A:$C,3,0),"--")</f>
        <v>32.57629312</v>
      </c>
      <c r="J4193" s="65" t="str">
        <f t="array" ref="J4193">XLOOKUP(H4193,'2. Matching'!$A$2:$A$39,'2. Matching'!$B$2:$B$39,"--")</f>
        <v>SEO</v>
      </c>
      <c r="K4193" s="65" t="str">
        <f t="shared" si="1"/>
        <v>In</v>
      </c>
    </row>
    <row r="4194">
      <c r="A4194" s="62" t="s">
        <v>4332</v>
      </c>
      <c r="B4194" s="63">
        <v>44230.0</v>
      </c>
      <c r="C4194" s="62" t="s">
        <v>119</v>
      </c>
      <c r="D4194" s="64">
        <v>85.0</v>
      </c>
      <c r="E4194" s="62" t="s">
        <v>114</v>
      </c>
      <c r="F4194" s="62" t="s">
        <v>115</v>
      </c>
      <c r="G4194" s="64" t="s">
        <v>64</v>
      </c>
      <c r="H4194" s="3" t="s">
        <v>221</v>
      </c>
      <c r="I4194" s="65">
        <f>IFERROR(VLOOKUP(A4194,'3. Call duration'!$A:$C,3,0),"--")</f>
        <v>27.52888921</v>
      </c>
      <c r="J4194" s="65" t="str">
        <f t="array" ref="J4194">XLOOKUP(H4194,'2. Matching'!$A$2:$A$39,'2. Matching'!$B$2:$B$39,"--")</f>
        <v>Farming</v>
      </c>
      <c r="K4194" s="65" t="str">
        <f t="shared" si="1"/>
        <v>In</v>
      </c>
    </row>
    <row r="4195">
      <c r="A4195" s="62" t="s">
        <v>4333</v>
      </c>
      <c r="B4195" s="63">
        <v>44091.0</v>
      </c>
      <c r="C4195" s="62" t="s">
        <v>119</v>
      </c>
      <c r="D4195" s="64">
        <v>85.0</v>
      </c>
      <c r="E4195" s="62" t="s">
        <v>114</v>
      </c>
      <c r="F4195" s="62" t="s">
        <v>115</v>
      </c>
      <c r="G4195" s="64" t="s">
        <v>64</v>
      </c>
      <c r="H4195" s="3" t="s">
        <v>155</v>
      </c>
      <c r="I4195" s="65">
        <f>IFERROR(VLOOKUP(A4195,'3. Call duration'!$A:$C,3,0),"--")</f>
        <v>29.9995976</v>
      </c>
      <c r="J4195" s="65" t="str">
        <f t="array" ref="J4195">XLOOKUP(H4195,'2. Matching'!$A$2:$A$39,'2. Matching'!$B$2:$B$39,"--")</f>
        <v>SEO</v>
      </c>
      <c r="K4195" s="65" t="str">
        <f t="shared" si="1"/>
        <v>In</v>
      </c>
    </row>
    <row r="4196">
      <c r="A4196" s="62" t="s">
        <v>4334</v>
      </c>
      <c r="B4196" s="63">
        <v>44165.0</v>
      </c>
      <c r="C4196" s="62" t="s">
        <v>119</v>
      </c>
      <c r="D4196" s="64">
        <v>85.0</v>
      </c>
      <c r="E4196" s="62" t="s">
        <v>114</v>
      </c>
      <c r="F4196" s="62" t="s">
        <v>115</v>
      </c>
      <c r="G4196" s="64" t="s">
        <v>64</v>
      </c>
      <c r="H4196" s="3" t="s">
        <v>139</v>
      </c>
      <c r="I4196" s="65">
        <f>IFERROR(VLOOKUP(A4196,'3. Call duration'!$A:$C,3,0),"--")</f>
        <v>34.75377301</v>
      </c>
      <c r="J4196" s="65" t="str">
        <f t="array" ref="J4196">XLOOKUP(H4196,'2. Matching'!$A$2:$A$39,'2. Matching'!$B$2:$B$39,"--")</f>
        <v>Acquisition</v>
      </c>
      <c r="K4196" s="65" t="str">
        <f t="shared" si="1"/>
        <v>In</v>
      </c>
    </row>
    <row r="4197">
      <c r="A4197" s="62" t="s">
        <v>4335</v>
      </c>
      <c r="B4197" s="63">
        <v>44120.0</v>
      </c>
      <c r="C4197" s="62" t="s">
        <v>119</v>
      </c>
      <c r="D4197" s="64">
        <v>85.0</v>
      </c>
      <c r="E4197" s="62" t="s">
        <v>114</v>
      </c>
      <c r="F4197" s="62" t="s">
        <v>115</v>
      </c>
      <c r="G4197" s="64" t="s">
        <v>64</v>
      </c>
      <c r="H4197" s="3" t="s">
        <v>131</v>
      </c>
      <c r="I4197" s="65">
        <f>IFERROR(VLOOKUP(A4197,'3. Call duration'!$A:$C,3,0),"--")</f>
        <v>26.10826898</v>
      </c>
      <c r="J4197" s="65" t="str">
        <f t="array" ref="J4197">XLOOKUP(H4197,'2. Matching'!$A$2:$A$39,'2. Matching'!$B$2:$B$39,"--")</f>
        <v>Acquisition</v>
      </c>
      <c r="K4197" s="65" t="str">
        <f t="shared" si="1"/>
        <v>In</v>
      </c>
    </row>
    <row r="4198">
      <c r="A4198" s="62" t="s">
        <v>4336</v>
      </c>
      <c r="B4198" s="63">
        <v>44104.0</v>
      </c>
      <c r="C4198" s="62" t="s">
        <v>119</v>
      </c>
      <c r="D4198" s="64">
        <v>85.0</v>
      </c>
      <c r="E4198" s="62" t="s">
        <v>114</v>
      </c>
      <c r="F4198" s="62" t="s">
        <v>115</v>
      </c>
      <c r="G4198" s="64" t="s">
        <v>64</v>
      </c>
      <c r="H4198" s="3" t="s">
        <v>139</v>
      </c>
      <c r="I4198" s="65">
        <f>IFERROR(VLOOKUP(A4198,'3. Call duration'!$A:$C,3,0),"--")</f>
        <v>49.49314501</v>
      </c>
      <c r="J4198" s="65" t="str">
        <f t="array" ref="J4198">XLOOKUP(H4198,'2. Matching'!$A$2:$A$39,'2. Matching'!$B$2:$B$39,"--")</f>
        <v>Acquisition</v>
      </c>
      <c r="K4198" s="65" t="str">
        <f t="shared" si="1"/>
        <v>In</v>
      </c>
    </row>
    <row r="4199">
      <c r="A4199" s="62" t="s">
        <v>4337</v>
      </c>
      <c r="B4199" s="63">
        <v>44207.0</v>
      </c>
      <c r="C4199" s="62" t="s">
        <v>119</v>
      </c>
      <c r="D4199" s="64">
        <v>85.0</v>
      </c>
      <c r="E4199" s="62" t="s">
        <v>114</v>
      </c>
      <c r="F4199" s="62" t="s">
        <v>115</v>
      </c>
      <c r="G4199" s="64" t="s">
        <v>64</v>
      </c>
      <c r="H4199" s="3" t="s">
        <v>164</v>
      </c>
      <c r="I4199" s="65">
        <f>IFERROR(VLOOKUP(A4199,'3. Call duration'!$A:$C,3,0),"--")</f>
        <v>30.61178837</v>
      </c>
      <c r="J4199" s="65" t="str">
        <f t="array" ref="J4199">XLOOKUP(H4199,'2. Matching'!$A$2:$A$39,'2. Matching'!$B$2:$B$39,"--")</f>
        <v>SEO</v>
      </c>
      <c r="K4199" s="65" t="str">
        <f t="shared" si="1"/>
        <v>In</v>
      </c>
    </row>
    <row r="4200">
      <c r="A4200" s="62" t="s">
        <v>4338</v>
      </c>
      <c r="B4200" s="63">
        <v>44211.0</v>
      </c>
      <c r="C4200" s="62" t="s">
        <v>119</v>
      </c>
      <c r="D4200" s="64">
        <v>85.0</v>
      </c>
      <c r="E4200" s="62" t="s">
        <v>114</v>
      </c>
      <c r="F4200" s="62" t="s">
        <v>115</v>
      </c>
      <c r="G4200" s="64" t="s">
        <v>64</v>
      </c>
      <c r="H4200" s="3" t="s">
        <v>169</v>
      </c>
      <c r="I4200" s="65" t="str">
        <f>IFERROR(VLOOKUP(A4200,'3. Call duration'!$A:$C,3,0),"--")</f>
        <v>--</v>
      </c>
      <c r="J4200" s="65" t="str">
        <f t="array" ref="J4200">XLOOKUP(H4200,'2. Matching'!$A$2:$A$39,'2. Matching'!$B$2:$B$39,"--")</f>
        <v>SEO</v>
      </c>
      <c r="K4200" s="65" t="str">
        <f t="shared" si="1"/>
        <v>In</v>
      </c>
    </row>
    <row r="4201">
      <c r="A4201" s="62" t="s">
        <v>4339</v>
      </c>
      <c r="B4201" s="63">
        <v>44254.0</v>
      </c>
      <c r="C4201" s="62" t="s">
        <v>119</v>
      </c>
      <c r="D4201" s="64">
        <v>85.0</v>
      </c>
      <c r="E4201" s="62" t="s">
        <v>114</v>
      </c>
      <c r="F4201" s="62" t="s">
        <v>115</v>
      </c>
      <c r="G4201" s="64" t="s">
        <v>64</v>
      </c>
      <c r="H4201" s="3" t="s">
        <v>141</v>
      </c>
      <c r="I4201" s="65">
        <f>IFERROR(VLOOKUP(A4201,'3. Call duration'!$A:$C,3,0),"--")</f>
        <v>27.63023777</v>
      </c>
      <c r="J4201" s="65" t="str">
        <f t="array" ref="J4201">XLOOKUP(H4201,'2. Matching'!$A$2:$A$39,'2. Matching'!$B$2:$B$39,"--")</f>
        <v>Acquisition</v>
      </c>
      <c r="K4201" s="65" t="str">
        <f t="shared" si="1"/>
        <v>In</v>
      </c>
    </row>
    <row r="4202">
      <c r="A4202" s="62" t="s">
        <v>4340</v>
      </c>
      <c r="B4202" s="63">
        <v>44162.0</v>
      </c>
      <c r="C4202" s="62" t="s">
        <v>119</v>
      </c>
      <c r="D4202" s="64">
        <v>85.0</v>
      </c>
      <c r="E4202" s="62" t="s">
        <v>114</v>
      </c>
      <c r="F4202" s="62" t="s">
        <v>110</v>
      </c>
      <c r="G4202" s="64" t="s">
        <v>64</v>
      </c>
      <c r="H4202" s="3" t="s">
        <v>131</v>
      </c>
      <c r="I4202" s="65">
        <f>IFERROR(VLOOKUP(A4202,'3. Call duration'!$A:$C,3,0),"--")</f>
        <v>23.78386295</v>
      </c>
      <c r="J4202" s="65" t="str">
        <f t="array" ref="J4202">XLOOKUP(H4202,'2. Matching'!$A$2:$A$39,'2. Matching'!$B$2:$B$39,"--")</f>
        <v>Acquisition</v>
      </c>
      <c r="K4202" s="65" t="str">
        <f t="shared" si="1"/>
        <v>In</v>
      </c>
    </row>
    <row r="4203">
      <c r="A4203" s="62" t="s">
        <v>4341</v>
      </c>
      <c r="B4203" s="63">
        <v>44078.0</v>
      </c>
      <c r="C4203" s="62" t="s">
        <v>119</v>
      </c>
      <c r="D4203" s="64">
        <v>85.0</v>
      </c>
      <c r="E4203" s="62" t="s">
        <v>114</v>
      </c>
      <c r="F4203" s="62" t="s">
        <v>115</v>
      </c>
      <c r="G4203" s="64" t="s">
        <v>64</v>
      </c>
      <c r="H4203" s="3" t="s">
        <v>175</v>
      </c>
      <c r="I4203" s="65">
        <f>IFERROR(VLOOKUP(A4203,'3. Call duration'!$A:$C,3,0),"--")</f>
        <v>30.95950967</v>
      </c>
      <c r="J4203" s="65" t="str">
        <f t="array" ref="J4203">XLOOKUP(H4203,'2. Matching'!$A$2:$A$39,'2. Matching'!$B$2:$B$39,"--")</f>
        <v>SEO</v>
      </c>
      <c r="K4203" s="65" t="str">
        <f t="shared" si="1"/>
        <v>In</v>
      </c>
    </row>
    <row r="4204">
      <c r="A4204" s="62" t="s">
        <v>4342</v>
      </c>
      <c r="B4204" s="63">
        <v>44102.0</v>
      </c>
      <c r="C4204" s="62" t="s">
        <v>119</v>
      </c>
      <c r="D4204" s="64">
        <v>85.0</v>
      </c>
      <c r="E4204" s="62" t="s">
        <v>114</v>
      </c>
      <c r="F4204" s="62" t="s">
        <v>110</v>
      </c>
      <c r="G4204" s="64" t="s">
        <v>62</v>
      </c>
      <c r="H4204" s="3" t="s">
        <v>294</v>
      </c>
      <c r="I4204" s="65">
        <f>IFERROR(VLOOKUP(A4204,'3. Call duration'!$A:$C,3,0),"--")</f>
        <v>23.35406844</v>
      </c>
      <c r="J4204" s="65" t="str">
        <f t="array" ref="J4204">XLOOKUP(H4204,'2. Matching'!$A$2:$A$39,'2. Matching'!$B$2:$B$39,"--")</f>
        <v>Farming</v>
      </c>
      <c r="K4204" s="65" t="str">
        <f t="shared" si="1"/>
        <v>In</v>
      </c>
    </row>
    <row r="4205">
      <c r="A4205" s="62" t="s">
        <v>4343</v>
      </c>
      <c r="B4205" s="63">
        <v>44243.0</v>
      </c>
      <c r="C4205" s="62" t="s">
        <v>119</v>
      </c>
      <c r="D4205" s="64">
        <v>85.0</v>
      </c>
      <c r="E4205" s="62" t="s">
        <v>114</v>
      </c>
      <c r="F4205" s="62" t="s">
        <v>115</v>
      </c>
      <c r="G4205" s="64" t="s">
        <v>112</v>
      </c>
      <c r="H4205" s="3"/>
      <c r="I4205" s="65">
        <f>IFERROR(VLOOKUP(A4205,'3. Call duration'!$A:$C,3,0),"--")</f>
        <v>22.27752043</v>
      </c>
      <c r="J4205" s="65" t="str">
        <f t="array" ref="J4205">XLOOKUP(H4205,'2. Matching'!$A$2:$A$39,'2. Matching'!$B$2:$B$39,"--")</f>
        <v>--</v>
      </c>
      <c r="K4205" s="65" t="str">
        <f t="shared" si="1"/>
        <v>In</v>
      </c>
    </row>
    <row r="4206">
      <c r="A4206" s="62" t="s">
        <v>4344</v>
      </c>
      <c r="B4206" s="63">
        <v>44170.0</v>
      </c>
      <c r="C4206" s="62" t="s">
        <v>119</v>
      </c>
      <c r="D4206" s="64">
        <v>85.0</v>
      </c>
      <c r="E4206" s="62" t="s">
        <v>114</v>
      </c>
      <c r="F4206" s="62" t="s">
        <v>115</v>
      </c>
      <c r="G4206" s="64" t="s">
        <v>64</v>
      </c>
      <c r="H4206" s="3" t="s">
        <v>139</v>
      </c>
      <c r="I4206" s="65">
        <f>IFERROR(VLOOKUP(A4206,'3. Call duration'!$A:$C,3,0),"--")</f>
        <v>31.20078851</v>
      </c>
      <c r="J4206" s="65" t="str">
        <f t="array" ref="J4206">XLOOKUP(H4206,'2. Matching'!$A$2:$A$39,'2. Matching'!$B$2:$B$39,"--")</f>
        <v>Acquisition</v>
      </c>
      <c r="K4206" s="65" t="str">
        <f t="shared" si="1"/>
        <v>In</v>
      </c>
    </row>
    <row r="4207">
      <c r="A4207" s="62" t="s">
        <v>4345</v>
      </c>
      <c r="B4207" s="63">
        <v>44224.0</v>
      </c>
      <c r="C4207" s="62" t="s">
        <v>119</v>
      </c>
      <c r="D4207" s="64">
        <v>85.0</v>
      </c>
      <c r="E4207" s="62" t="s">
        <v>114</v>
      </c>
      <c r="F4207" s="62" t="s">
        <v>110</v>
      </c>
      <c r="G4207" s="64" t="s">
        <v>64</v>
      </c>
      <c r="H4207" s="3" t="s">
        <v>169</v>
      </c>
      <c r="I4207" s="65">
        <f>IFERROR(VLOOKUP(A4207,'3. Call duration'!$A:$C,3,0),"--")</f>
        <v>15.91203183</v>
      </c>
      <c r="J4207" s="65" t="str">
        <f t="array" ref="J4207">XLOOKUP(H4207,'2. Matching'!$A$2:$A$39,'2. Matching'!$B$2:$B$39,"--")</f>
        <v>SEO</v>
      </c>
      <c r="K4207" s="65" t="str">
        <f t="shared" si="1"/>
        <v>In</v>
      </c>
    </row>
    <row r="4208">
      <c r="A4208" s="62" t="s">
        <v>4346</v>
      </c>
      <c r="B4208" s="63">
        <v>44254.0</v>
      </c>
      <c r="C4208" s="62" t="s">
        <v>119</v>
      </c>
      <c r="D4208" s="64">
        <v>85.0</v>
      </c>
      <c r="E4208" s="62" t="s">
        <v>114</v>
      </c>
      <c r="F4208" s="62" t="s">
        <v>110</v>
      </c>
      <c r="G4208" s="64" t="s">
        <v>64</v>
      </c>
      <c r="H4208" s="3" t="s">
        <v>139</v>
      </c>
      <c r="I4208" s="65">
        <f>IFERROR(VLOOKUP(A4208,'3. Call duration'!$A:$C,3,0),"--")</f>
        <v>12.7474004</v>
      </c>
      <c r="J4208" s="65" t="str">
        <f t="array" ref="J4208">XLOOKUP(H4208,'2. Matching'!$A$2:$A$39,'2. Matching'!$B$2:$B$39,"--")</f>
        <v>Acquisition</v>
      </c>
      <c r="K4208" s="65" t="str">
        <f t="shared" si="1"/>
        <v>In</v>
      </c>
    </row>
    <row r="4209">
      <c r="A4209" s="62" t="s">
        <v>4347</v>
      </c>
      <c r="B4209" s="63">
        <v>44245.0</v>
      </c>
      <c r="C4209" s="62" t="s">
        <v>119</v>
      </c>
      <c r="D4209" s="64">
        <v>85.0</v>
      </c>
      <c r="E4209" s="62" t="s">
        <v>114</v>
      </c>
      <c r="F4209" s="62" t="s">
        <v>115</v>
      </c>
      <c r="G4209" s="64" t="s">
        <v>64</v>
      </c>
      <c r="H4209" s="3" t="s">
        <v>155</v>
      </c>
      <c r="I4209" s="65">
        <f>IFERROR(VLOOKUP(A4209,'3. Call duration'!$A:$C,3,0),"--")</f>
        <v>33.11240622</v>
      </c>
      <c r="J4209" s="65" t="str">
        <f t="array" ref="J4209">XLOOKUP(H4209,'2. Matching'!$A$2:$A$39,'2. Matching'!$B$2:$B$39,"--")</f>
        <v>SEO</v>
      </c>
      <c r="K4209" s="65" t="str">
        <f t="shared" si="1"/>
        <v>In</v>
      </c>
    </row>
    <row r="4210">
      <c r="A4210" s="62" t="s">
        <v>4348</v>
      </c>
      <c r="B4210" s="63">
        <v>44123.0</v>
      </c>
      <c r="C4210" s="62" t="s">
        <v>119</v>
      </c>
      <c r="D4210" s="64">
        <v>85.0</v>
      </c>
      <c r="E4210" s="62" t="s">
        <v>114</v>
      </c>
      <c r="F4210" s="62" t="s">
        <v>110</v>
      </c>
      <c r="G4210" s="64" t="s">
        <v>64</v>
      </c>
      <c r="H4210" s="3" t="s">
        <v>135</v>
      </c>
      <c r="I4210" s="65">
        <f>IFERROR(VLOOKUP(A4210,'3. Call duration'!$A:$C,3,0),"--")</f>
        <v>31.07603739</v>
      </c>
      <c r="J4210" s="65" t="str">
        <f t="array" ref="J4210">XLOOKUP(H4210,'2. Matching'!$A$2:$A$39,'2. Matching'!$B$2:$B$39,"--")</f>
        <v>Acquisition</v>
      </c>
      <c r="K4210" s="65" t="str">
        <f t="shared" si="1"/>
        <v>In</v>
      </c>
    </row>
    <row r="4211">
      <c r="A4211" s="62" t="s">
        <v>4349</v>
      </c>
      <c r="B4211" s="63">
        <v>44096.0</v>
      </c>
      <c r="C4211" s="62" t="s">
        <v>119</v>
      </c>
      <c r="D4211" s="64">
        <v>85.0</v>
      </c>
      <c r="E4211" s="62" t="s">
        <v>114</v>
      </c>
      <c r="F4211" s="62" t="s">
        <v>115</v>
      </c>
      <c r="G4211" s="64" t="s">
        <v>64</v>
      </c>
      <c r="H4211" s="3" t="s">
        <v>150</v>
      </c>
      <c r="I4211" s="65">
        <f>IFERROR(VLOOKUP(A4211,'3. Call duration'!$A:$C,3,0),"--")</f>
        <v>25.19599222</v>
      </c>
      <c r="J4211" s="65" t="str">
        <f t="array" ref="J4211">XLOOKUP(H4211,'2. Matching'!$A$2:$A$39,'2. Matching'!$B$2:$B$39,"--")</f>
        <v>SEO</v>
      </c>
      <c r="K4211" s="65" t="str">
        <f t="shared" si="1"/>
        <v>In</v>
      </c>
    </row>
    <row r="4212">
      <c r="A4212" s="62" t="s">
        <v>4350</v>
      </c>
      <c r="B4212" s="63">
        <v>44232.0</v>
      </c>
      <c r="C4212" s="62" t="s">
        <v>119</v>
      </c>
      <c r="D4212" s="64">
        <v>85.0</v>
      </c>
      <c r="E4212" s="62" t="s">
        <v>114</v>
      </c>
      <c r="F4212" s="62" t="s">
        <v>115</v>
      </c>
      <c r="G4212" s="64" t="s">
        <v>64</v>
      </c>
      <c r="H4212" s="3" t="s">
        <v>175</v>
      </c>
      <c r="I4212" s="65">
        <f>IFERROR(VLOOKUP(A4212,'3. Call duration'!$A:$C,3,0),"--")</f>
        <v>22.58935967</v>
      </c>
      <c r="J4212" s="65" t="str">
        <f t="array" ref="J4212">XLOOKUP(H4212,'2. Matching'!$A$2:$A$39,'2. Matching'!$B$2:$B$39,"--")</f>
        <v>SEO</v>
      </c>
      <c r="K4212" s="65" t="str">
        <f t="shared" si="1"/>
        <v>In</v>
      </c>
    </row>
    <row r="4213">
      <c r="A4213" s="62" t="s">
        <v>4351</v>
      </c>
      <c r="B4213" s="63">
        <v>44082.0</v>
      </c>
      <c r="C4213" s="62" t="s">
        <v>119</v>
      </c>
      <c r="D4213" s="64">
        <v>85.0</v>
      </c>
      <c r="E4213" s="62" t="s">
        <v>114</v>
      </c>
      <c r="F4213" s="62" t="s">
        <v>115</v>
      </c>
      <c r="G4213" s="64" t="s">
        <v>64</v>
      </c>
      <c r="H4213" s="3" t="s">
        <v>150</v>
      </c>
      <c r="I4213" s="65">
        <f>IFERROR(VLOOKUP(A4213,'3. Call duration'!$A:$C,3,0),"--")</f>
        <v>29.24507007</v>
      </c>
      <c r="J4213" s="65" t="str">
        <f t="array" ref="J4213">XLOOKUP(H4213,'2. Matching'!$A$2:$A$39,'2. Matching'!$B$2:$B$39,"--")</f>
        <v>SEO</v>
      </c>
      <c r="K4213" s="65" t="str">
        <f t="shared" si="1"/>
        <v>In</v>
      </c>
    </row>
    <row r="4214">
      <c r="A4214" s="62" t="s">
        <v>4352</v>
      </c>
      <c r="B4214" s="63">
        <v>44249.0</v>
      </c>
      <c r="C4214" s="62" t="s">
        <v>119</v>
      </c>
      <c r="D4214" s="64">
        <v>85.0</v>
      </c>
      <c r="E4214" s="62" t="s">
        <v>114</v>
      </c>
      <c r="F4214" s="62" t="s">
        <v>115</v>
      </c>
      <c r="G4214" s="64" t="s">
        <v>64</v>
      </c>
      <c r="H4214" s="3" t="s">
        <v>139</v>
      </c>
      <c r="I4214" s="65">
        <f>IFERROR(VLOOKUP(A4214,'3. Call duration'!$A:$C,3,0),"--")</f>
        <v>23.27981946</v>
      </c>
      <c r="J4214" s="65" t="str">
        <f t="array" ref="J4214">XLOOKUP(H4214,'2. Matching'!$A$2:$A$39,'2. Matching'!$B$2:$B$39,"--")</f>
        <v>Acquisition</v>
      </c>
      <c r="K4214" s="65" t="str">
        <f t="shared" si="1"/>
        <v>In</v>
      </c>
    </row>
    <row r="4215">
      <c r="A4215" s="62" t="s">
        <v>4353</v>
      </c>
      <c r="B4215" s="63">
        <v>44098.0</v>
      </c>
      <c r="C4215" s="62" t="s">
        <v>119</v>
      </c>
      <c r="D4215" s="64">
        <v>85.0</v>
      </c>
      <c r="E4215" s="62" t="s">
        <v>114</v>
      </c>
      <c r="F4215" s="62" t="s">
        <v>110</v>
      </c>
      <c r="G4215" s="64" t="s">
        <v>64</v>
      </c>
      <c r="H4215" s="3" t="s">
        <v>135</v>
      </c>
      <c r="I4215" s="65">
        <f>IFERROR(VLOOKUP(A4215,'3. Call duration'!$A:$C,3,0),"--")</f>
        <v>26.73149829</v>
      </c>
      <c r="J4215" s="65" t="str">
        <f t="array" ref="J4215">XLOOKUP(H4215,'2. Matching'!$A$2:$A$39,'2. Matching'!$B$2:$B$39,"--")</f>
        <v>Acquisition</v>
      </c>
      <c r="K4215" s="65" t="str">
        <f t="shared" si="1"/>
        <v>In</v>
      </c>
    </row>
    <row r="4216">
      <c r="A4216" s="62" t="s">
        <v>4354</v>
      </c>
      <c r="B4216" s="63">
        <v>44181.0</v>
      </c>
      <c r="C4216" s="62" t="s">
        <v>119</v>
      </c>
      <c r="D4216" s="64">
        <v>85.0</v>
      </c>
      <c r="E4216" s="62" t="s">
        <v>114</v>
      </c>
      <c r="F4216" s="62" t="s">
        <v>115</v>
      </c>
      <c r="G4216" s="64" t="s">
        <v>64</v>
      </c>
      <c r="H4216" s="3" t="s">
        <v>139</v>
      </c>
      <c r="I4216" s="65">
        <f>IFERROR(VLOOKUP(A4216,'3. Call duration'!$A:$C,3,0),"--")</f>
        <v>21.90241684</v>
      </c>
      <c r="J4216" s="65" t="str">
        <f t="array" ref="J4216">XLOOKUP(H4216,'2. Matching'!$A$2:$A$39,'2. Matching'!$B$2:$B$39,"--")</f>
        <v>Acquisition</v>
      </c>
      <c r="K4216" s="65" t="str">
        <f t="shared" si="1"/>
        <v>In</v>
      </c>
    </row>
    <row r="4217">
      <c r="A4217" s="62" t="s">
        <v>4355</v>
      </c>
      <c r="B4217" s="63">
        <v>44225.0</v>
      </c>
      <c r="C4217" s="62" t="s">
        <v>119</v>
      </c>
      <c r="D4217" s="64">
        <v>85.0</v>
      </c>
      <c r="E4217" s="62" t="s">
        <v>114</v>
      </c>
      <c r="F4217" s="62" t="s">
        <v>110</v>
      </c>
      <c r="G4217" s="64" t="s">
        <v>64</v>
      </c>
      <c r="H4217" s="3" t="s">
        <v>175</v>
      </c>
      <c r="I4217" s="65">
        <f>IFERROR(VLOOKUP(A4217,'3. Call duration'!$A:$C,3,0),"--")</f>
        <v>11.0671911</v>
      </c>
      <c r="J4217" s="65" t="str">
        <f t="array" ref="J4217">XLOOKUP(H4217,'2. Matching'!$A$2:$A$39,'2. Matching'!$B$2:$B$39,"--")</f>
        <v>SEO</v>
      </c>
      <c r="K4217" s="65" t="str">
        <f t="shared" si="1"/>
        <v>In</v>
      </c>
    </row>
    <row r="4218">
      <c r="A4218" s="62" t="s">
        <v>4356</v>
      </c>
      <c r="B4218" s="63">
        <v>44211.0</v>
      </c>
      <c r="C4218" s="62" t="s">
        <v>119</v>
      </c>
      <c r="D4218" s="64">
        <v>85.0</v>
      </c>
      <c r="E4218" s="62" t="s">
        <v>114</v>
      </c>
      <c r="F4218" s="62" t="s">
        <v>115</v>
      </c>
      <c r="G4218" s="64" t="s">
        <v>64</v>
      </c>
      <c r="H4218" s="3" t="s">
        <v>169</v>
      </c>
      <c r="I4218" s="65">
        <f>IFERROR(VLOOKUP(A4218,'3. Call duration'!$A:$C,3,0),"--")</f>
        <v>33.40359647</v>
      </c>
      <c r="J4218" s="65" t="str">
        <f t="array" ref="J4218">XLOOKUP(H4218,'2. Matching'!$A$2:$A$39,'2. Matching'!$B$2:$B$39,"--")</f>
        <v>SEO</v>
      </c>
      <c r="K4218" s="65" t="str">
        <f t="shared" si="1"/>
        <v>In</v>
      </c>
    </row>
    <row r="4219">
      <c r="A4219" s="62" t="s">
        <v>4357</v>
      </c>
      <c r="B4219" s="63">
        <v>44176.0</v>
      </c>
      <c r="C4219" s="62" t="s">
        <v>119</v>
      </c>
      <c r="D4219" s="64">
        <v>85.0</v>
      </c>
      <c r="E4219" s="62" t="s">
        <v>114</v>
      </c>
      <c r="F4219" s="62" t="s">
        <v>115</v>
      </c>
      <c r="G4219" s="64" t="s">
        <v>64</v>
      </c>
      <c r="H4219" s="3" t="s">
        <v>235</v>
      </c>
      <c r="I4219" s="65">
        <f>IFERROR(VLOOKUP(A4219,'3. Call duration'!$A:$C,3,0),"--")</f>
        <v>23.44866492</v>
      </c>
      <c r="J4219" s="65" t="str">
        <f t="array" ref="J4219">XLOOKUP(H4219,'2. Matching'!$A$2:$A$39,'2. Matching'!$B$2:$B$39,"--")</f>
        <v>Farming</v>
      </c>
      <c r="K4219" s="65" t="str">
        <f t="shared" si="1"/>
        <v>In</v>
      </c>
    </row>
    <row r="4220">
      <c r="A4220" s="62" t="s">
        <v>4358</v>
      </c>
      <c r="B4220" s="63">
        <v>44121.0</v>
      </c>
      <c r="C4220" s="62" t="s">
        <v>119</v>
      </c>
      <c r="D4220" s="64">
        <v>85.0</v>
      </c>
      <c r="E4220" s="62" t="s">
        <v>114</v>
      </c>
      <c r="F4220" s="62" t="s">
        <v>115</v>
      </c>
      <c r="G4220" s="64" t="s">
        <v>64</v>
      </c>
      <c r="H4220" s="3" t="s">
        <v>139</v>
      </c>
      <c r="I4220" s="65">
        <f>IFERROR(VLOOKUP(A4220,'3. Call duration'!$A:$C,3,0),"--")</f>
        <v>40.5813027</v>
      </c>
      <c r="J4220" s="65" t="str">
        <f t="array" ref="J4220">XLOOKUP(H4220,'2. Matching'!$A$2:$A$39,'2. Matching'!$B$2:$B$39,"--")</f>
        <v>Acquisition</v>
      </c>
      <c r="K4220" s="65" t="str">
        <f t="shared" si="1"/>
        <v>In</v>
      </c>
    </row>
    <row r="4221">
      <c r="A4221" s="62" t="s">
        <v>4359</v>
      </c>
      <c r="B4221" s="63">
        <v>44239.0</v>
      </c>
      <c r="C4221" s="62" t="s">
        <v>119</v>
      </c>
      <c r="D4221" s="64">
        <v>85.0</v>
      </c>
      <c r="E4221" s="62" t="s">
        <v>114</v>
      </c>
      <c r="F4221" s="62" t="s">
        <v>115</v>
      </c>
      <c r="G4221" s="64" t="s">
        <v>64</v>
      </c>
      <c r="H4221" s="3" t="s">
        <v>139</v>
      </c>
      <c r="I4221" s="65">
        <f>IFERROR(VLOOKUP(A4221,'3. Call duration'!$A:$C,3,0),"--")</f>
        <v>31.94035849</v>
      </c>
      <c r="J4221" s="65" t="str">
        <f t="array" ref="J4221">XLOOKUP(H4221,'2. Matching'!$A$2:$A$39,'2. Matching'!$B$2:$B$39,"--")</f>
        <v>Acquisition</v>
      </c>
      <c r="K4221" s="65" t="str">
        <f t="shared" si="1"/>
        <v>In</v>
      </c>
    </row>
    <row r="4222">
      <c r="A4222" s="62" t="s">
        <v>4360</v>
      </c>
      <c r="B4222" s="63">
        <v>44178.0</v>
      </c>
      <c r="C4222" s="62" t="s">
        <v>119</v>
      </c>
      <c r="D4222" s="64">
        <v>85.0</v>
      </c>
      <c r="E4222" s="62" t="s">
        <v>114</v>
      </c>
      <c r="F4222" s="62" t="s">
        <v>115</v>
      </c>
      <c r="G4222" s="64" t="s">
        <v>64</v>
      </c>
      <c r="H4222" s="3" t="s">
        <v>150</v>
      </c>
      <c r="I4222" s="65">
        <f>IFERROR(VLOOKUP(A4222,'3. Call duration'!$A:$C,3,0),"--")</f>
        <v>26.2279934</v>
      </c>
      <c r="J4222" s="65" t="str">
        <f t="array" ref="J4222">XLOOKUP(H4222,'2. Matching'!$A$2:$A$39,'2. Matching'!$B$2:$B$39,"--")</f>
        <v>SEO</v>
      </c>
      <c r="K4222" s="65" t="str">
        <f t="shared" si="1"/>
        <v>In</v>
      </c>
    </row>
    <row r="4223">
      <c r="A4223" s="62" t="s">
        <v>4361</v>
      </c>
      <c r="B4223" s="63">
        <v>44091.0</v>
      </c>
      <c r="C4223" s="62" t="s">
        <v>119</v>
      </c>
      <c r="D4223" s="64">
        <v>85.0</v>
      </c>
      <c r="E4223" s="62" t="s">
        <v>114</v>
      </c>
      <c r="F4223" s="62" t="s">
        <v>115</v>
      </c>
      <c r="G4223" s="64" t="s">
        <v>64</v>
      </c>
      <c r="H4223" s="3" t="s">
        <v>155</v>
      </c>
      <c r="I4223" s="65">
        <f>IFERROR(VLOOKUP(A4223,'3. Call duration'!$A:$C,3,0),"--")</f>
        <v>31.38151834</v>
      </c>
      <c r="J4223" s="65" t="str">
        <f t="array" ref="J4223">XLOOKUP(H4223,'2. Matching'!$A$2:$A$39,'2. Matching'!$B$2:$B$39,"--")</f>
        <v>SEO</v>
      </c>
      <c r="K4223" s="65" t="str">
        <f t="shared" si="1"/>
        <v>In</v>
      </c>
    </row>
    <row r="4224">
      <c r="A4224" s="62" t="s">
        <v>4362</v>
      </c>
      <c r="B4224" s="63">
        <v>44211.0</v>
      </c>
      <c r="C4224" s="62" t="s">
        <v>119</v>
      </c>
      <c r="D4224" s="64">
        <v>85.0</v>
      </c>
      <c r="E4224" s="62" t="s">
        <v>114</v>
      </c>
      <c r="F4224" s="62" t="s">
        <v>110</v>
      </c>
      <c r="G4224" s="64" t="s">
        <v>64</v>
      </c>
      <c r="H4224" s="3" t="s">
        <v>139</v>
      </c>
      <c r="I4224" s="65">
        <f>IFERROR(VLOOKUP(A4224,'3. Call duration'!$A:$C,3,0),"--")</f>
        <v>33.64522027</v>
      </c>
      <c r="J4224" s="65" t="str">
        <f t="array" ref="J4224">XLOOKUP(H4224,'2. Matching'!$A$2:$A$39,'2. Matching'!$B$2:$B$39,"--")</f>
        <v>Acquisition</v>
      </c>
      <c r="K4224" s="65" t="str">
        <f t="shared" si="1"/>
        <v>In</v>
      </c>
    </row>
    <row r="4225">
      <c r="A4225" s="62" t="s">
        <v>4363</v>
      </c>
      <c r="B4225" s="63">
        <v>44081.0</v>
      </c>
      <c r="C4225" s="62" t="s">
        <v>119</v>
      </c>
      <c r="D4225" s="64">
        <v>85.0</v>
      </c>
      <c r="E4225" s="62" t="s">
        <v>114</v>
      </c>
      <c r="F4225" s="62" t="s">
        <v>110</v>
      </c>
      <c r="G4225" s="64" t="s">
        <v>64</v>
      </c>
      <c r="H4225" s="3" t="s">
        <v>175</v>
      </c>
      <c r="I4225" s="65">
        <f>IFERROR(VLOOKUP(A4225,'3. Call duration'!$A:$C,3,0),"--")</f>
        <v>29.91783548</v>
      </c>
      <c r="J4225" s="65" t="str">
        <f t="array" ref="J4225">XLOOKUP(H4225,'2. Matching'!$A$2:$A$39,'2. Matching'!$B$2:$B$39,"--")</f>
        <v>SEO</v>
      </c>
      <c r="K4225" s="65" t="str">
        <f t="shared" si="1"/>
        <v>In</v>
      </c>
    </row>
    <row r="4226">
      <c r="A4226" s="62" t="s">
        <v>4364</v>
      </c>
      <c r="B4226" s="63">
        <v>44235.0</v>
      </c>
      <c r="C4226" s="62" t="s">
        <v>119</v>
      </c>
      <c r="D4226" s="64">
        <v>85.0</v>
      </c>
      <c r="E4226" s="62" t="s">
        <v>114</v>
      </c>
      <c r="F4226" s="62" t="s">
        <v>115</v>
      </c>
      <c r="G4226" s="64" t="s">
        <v>64</v>
      </c>
      <c r="H4226" s="3" t="s">
        <v>131</v>
      </c>
      <c r="I4226" s="65">
        <f>IFERROR(VLOOKUP(A4226,'3. Call duration'!$A:$C,3,0),"--")</f>
        <v>32.92345558</v>
      </c>
      <c r="J4226" s="65" t="str">
        <f t="array" ref="J4226">XLOOKUP(H4226,'2. Matching'!$A$2:$A$39,'2. Matching'!$B$2:$B$39,"--")</f>
        <v>Acquisition</v>
      </c>
      <c r="K4226" s="65" t="str">
        <f t="shared" si="1"/>
        <v>In</v>
      </c>
    </row>
    <row r="4227">
      <c r="A4227" s="62" t="s">
        <v>4365</v>
      </c>
      <c r="B4227" s="63">
        <v>44169.0</v>
      </c>
      <c r="C4227" s="62" t="s">
        <v>119</v>
      </c>
      <c r="D4227" s="64">
        <v>85.0</v>
      </c>
      <c r="E4227" s="62" t="s">
        <v>114</v>
      </c>
      <c r="F4227" s="62" t="s">
        <v>115</v>
      </c>
      <c r="G4227" s="64" t="s">
        <v>112</v>
      </c>
      <c r="H4227" s="3"/>
      <c r="I4227" s="65">
        <f>IFERROR(VLOOKUP(A4227,'3. Call duration'!$A:$C,3,0),"--")</f>
        <v>33.3366351</v>
      </c>
      <c r="J4227" s="65" t="str">
        <f t="array" ref="J4227">XLOOKUP(H4227,'2. Matching'!$A$2:$A$39,'2. Matching'!$B$2:$B$39,"--")</f>
        <v>--</v>
      </c>
      <c r="K4227" s="65" t="str">
        <f t="shared" si="1"/>
        <v>In</v>
      </c>
    </row>
    <row r="4228">
      <c r="A4228" s="62" t="s">
        <v>4366</v>
      </c>
      <c r="B4228" s="63">
        <v>44236.0</v>
      </c>
      <c r="C4228" s="62" t="s">
        <v>119</v>
      </c>
      <c r="D4228" s="64">
        <v>85.0</v>
      </c>
      <c r="E4228" s="62" t="s">
        <v>114</v>
      </c>
      <c r="F4228" s="62" t="s">
        <v>110</v>
      </c>
      <c r="G4228" s="64" t="s">
        <v>64</v>
      </c>
      <c r="H4228" s="3" t="s">
        <v>131</v>
      </c>
      <c r="I4228" s="65">
        <f>IFERROR(VLOOKUP(A4228,'3. Call duration'!$A:$C,3,0),"--")</f>
        <v>41.7485173</v>
      </c>
      <c r="J4228" s="65" t="str">
        <f t="array" ref="J4228">XLOOKUP(H4228,'2. Matching'!$A$2:$A$39,'2. Matching'!$B$2:$B$39,"--")</f>
        <v>Acquisition</v>
      </c>
      <c r="K4228" s="65" t="str">
        <f t="shared" si="1"/>
        <v>In</v>
      </c>
    </row>
    <row r="4229">
      <c r="A4229" s="62" t="s">
        <v>4367</v>
      </c>
      <c r="B4229" s="63">
        <v>44109.0</v>
      </c>
      <c r="C4229" s="62" t="s">
        <v>119</v>
      </c>
      <c r="D4229" s="64">
        <v>85.0</v>
      </c>
      <c r="E4229" s="62" t="s">
        <v>114</v>
      </c>
      <c r="F4229" s="62" t="s">
        <v>115</v>
      </c>
      <c r="G4229" s="64" t="s">
        <v>64</v>
      </c>
      <c r="H4229" s="3" t="s">
        <v>139</v>
      </c>
      <c r="I4229" s="65">
        <f>IFERROR(VLOOKUP(A4229,'3. Call duration'!$A:$C,3,0),"--")</f>
        <v>28.81231775</v>
      </c>
      <c r="J4229" s="65" t="str">
        <f t="array" ref="J4229">XLOOKUP(H4229,'2. Matching'!$A$2:$A$39,'2. Matching'!$B$2:$B$39,"--")</f>
        <v>Acquisition</v>
      </c>
      <c r="K4229" s="65" t="str">
        <f t="shared" si="1"/>
        <v>In</v>
      </c>
    </row>
    <row r="4230">
      <c r="A4230" s="62" t="s">
        <v>4368</v>
      </c>
      <c r="B4230" s="63">
        <v>44148.0</v>
      </c>
      <c r="C4230" s="62" t="s">
        <v>119</v>
      </c>
      <c r="D4230" s="64">
        <v>85.0</v>
      </c>
      <c r="E4230" s="62" t="s">
        <v>114</v>
      </c>
      <c r="F4230" s="62" t="s">
        <v>110</v>
      </c>
      <c r="G4230" s="64" t="s">
        <v>64</v>
      </c>
      <c r="H4230" s="3" t="s">
        <v>175</v>
      </c>
      <c r="I4230" s="65">
        <f>IFERROR(VLOOKUP(A4230,'3. Call duration'!$A:$C,3,0),"--")</f>
        <v>21.51809941</v>
      </c>
      <c r="J4230" s="65" t="str">
        <f t="array" ref="J4230">XLOOKUP(H4230,'2. Matching'!$A$2:$A$39,'2. Matching'!$B$2:$B$39,"--")</f>
        <v>SEO</v>
      </c>
      <c r="K4230" s="65" t="str">
        <f t="shared" si="1"/>
        <v>In</v>
      </c>
    </row>
    <row r="4231">
      <c r="A4231" s="62" t="s">
        <v>4369</v>
      </c>
      <c r="B4231" s="63">
        <v>44082.0</v>
      </c>
      <c r="C4231" s="62" t="s">
        <v>119</v>
      </c>
      <c r="D4231" s="64">
        <v>85.0</v>
      </c>
      <c r="E4231" s="62" t="s">
        <v>114</v>
      </c>
      <c r="F4231" s="62" t="s">
        <v>115</v>
      </c>
      <c r="G4231" s="64" t="s">
        <v>64</v>
      </c>
      <c r="H4231" s="3" t="s">
        <v>139</v>
      </c>
      <c r="I4231" s="65">
        <f>IFERROR(VLOOKUP(A4231,'3. Call duration'!$A:$C,3,0),"--")</f>
        <v>29.12879486</v>
      </c>
      <c r="J4231" s="65" t="str">
        <f t="array" ref="J4231">XLOOKUP(H4231,'2. Matching'!$A$2:$A$39,'2. Matching'!$B$2:$B$39,"--")</f>
        <v>Acquisition</v>
      </c>
      <c r="K4231" s="65" t="str">
        <f t="shared" si="1"/>
        <v>In</v>
      </c>
    </row>
    <row r="4232">
      <c r="A4232" s="62" t="s">
        <v>4370</v>
      </c>
      <c r="B4232" s="63">
        <v>44155.0</v>
      </c>
      <c r="C4232" s="62" t="s">
        <v>119</v>
      </c>
      <c r="D4232" s="64">
        <v>85.0</v>
      </c>
      <c r="E4232" s="62" t="s">
        <v>114</v>
      </c>
      <c r="F4232" s="62" t="s">
        <v>110</v>
      </c>
      <c r="G4232" s="64" t="s">
        <v>64</v>
      </c>
      <c r="H4232" s="3" t="s">
        <v>145</v>
      </c>
      <c r="I4232" s="65" t="str">
        <f>IFERROR(VLOOKUP(A4232,'3. Call duration'!$A:$C,3,0),"--")</f>
        <v>--</v>
      </c>
      <c r="J4232" s="65" t="str">
        <f t="array" ref="J4232">XLOOKUP(H4232,'2. Matching'!$A$2:$A$39,'2. Matching'!$B$2:$B$39,"--")</f>
        <v>SEO</v>
      </c>
      <c r="K4232" s="65" t="str">
        <f t="shared" si="1"/>
        <v>In</v>
      </c>
    </row>
    <row r="4233">
      <c r="A4233" s="62" t="s">
        <v>4371</v>
      </c>
      <c r="B4233" s="63">
        <v>44207.0</v>
      </c>
      <c r="C4233" s="62" t="s">
        <v>119</v>
      </c>
      <c r="D4233" s="64">
        <v>85.0</v>
      </c>
      <c r="E4233" s="62" t="s">
        <v>114</v>
      </c>
      <c r="F4233" s="62" t="s">
        <v>115</v>
      </c>
      <c r="G4233" s="64" t="s">
        <v>64</v>
      </c>
      <c r="H4233" s="3" t="s">
        <v>169</v>
      </c>
      <c r="I4233" s="65">
        <f>IFERROR(VLOOKUP(A4233,'3. Call duration'!$A:$C,3,0),"--")</f>
        <v>27.54035089</v>
      </c>
      <c r="J4233" s="65" t="str">
        <f t="array" ref="J4233">XLOOKUP(H4233,'2. Matching'!$A$2:$A$39,'2. Matching'!$B$2:$B$39,"--")</f>
        <v>SEO</v>
      </c>
      <c r="K4233" s="65" t="str">
        <f t="shared" si="1"/>
        <v>In</v>
      </c>
    </row>
    <row r="4234">
      <c r="A4234" s="62" t="s">
        <v>4372</v>
      </c>
      <c r="B4234" s="63">
        <v>44124.0</v>
      </c>
      <c r="C4234" s="62" t="s">
        <v>119</v>
      </c>
      <c r="D4234" s="64">
        <v>85.0</v>
      </c>
      <c r="E4234" s="62" t="s">
        <v>114</v>
      </c>
      <c r="F4234" s="62" t="s">
        <v>115</v>
      </c>
      <c r="G4234" s="64" t="s">
        <v>62</v>
      </c>
      <c r="H4234" s="3" t="s">
        <v>286</v>
      </c>
      <c r="I4234" s="65" t="str">
        <f>IFERROR(VLOOKUP(A4234,'3. Call duration'!$A:$C,3,0),"--")</f>
        <v>--</v>
      </c>
      <c r="J4234" s="65" t="str">
        <f t="array" ref="J4234">XLOOKUP(H4234,'2. Matching'!$A$2:$A$39,'2. Matching'!$B$2:$B$39,"--")</f>
        <v>Farming</v>
      </c>
      <c r="K4234" s="65" t="str">
        <f t="shared" si="1"/>
        <v>In</v>
      </c>
    </row>
    <row r="4235">
      <c r="A4235" s="62" t="s">
        <v>4373</v>
      </c>
      <c r="B4235" s="63">
        <v>44252.0</v>
      </c>
      <c r="C4235" s="62" t="s">
        <v>119</v>
      </c>
      <c r="D4235" s="64">
        <v>85.0</v>
      </c>
      <c r="E4235" s="62" t="s">
        <v>114</v>
      </c>
      <c r="F4235" s="62" t="s">
        <v>115</v>
      </c>
      <c r="G4235" s="64" t="s">
        <v>64</v>
      </c>
      <c r="H4235" s="3" t="s">
        <v>139</v>
      </c>
      <c r="I4235" s="65">
        <f>IFERROR(VLOOKUP(A4235,'3. Call duration'!$A:$C,3,0),"--")</f>
        <v>22.69485675</v>
      </c>
      <c r="J4235" s="65" t="str">
        <f t="array" ref="J4235">XLOOKUP(H4235,'2. Matching'!$A$2:$A$39,'2. Matching'!$B$2:$B$39,"--")</f>
        <v>Acquisition</v>
      </c>
      <c r="K4235" s="65" t="str">
        <f t="shared" si="1"/>
        <v>In</v>
      </c>
    </row>
    <row r="4236">
      <c r="A4236" s="62" t="s">
        <v>4374</v>
      </c>
      <c r="B4236" s="63">
        <v>44162.0</v>
      </c>
      <c r="C4236" s="62" t="s">
        <v>119</v>
      </c>
      <c r="D4236" s="64">
        <v>85.0</v>
      </c>
      <c r="E4236" s="62" t="s">
        <v>114</v>
      </c>
      <c r="F4236" s="62" t="s">
        <v>115</v>
      </c>
      <c r="G4236" s="64" t="s">
        <v>64</v>
      </c>
      <c r="H4236" s="3" t="s">
        <v>139</v>
      </c>
      <c r="I4236" s="65">
        <f>IFERROR(VLOOKUP(A4236,'3. Call duration'!$A:$C,3,0),"--")</f>
        <v>26.2927841</v>
      </c>
      <c r="J4236" s="65" t="str">
        <f t="array" ref="J4236">XLOOKUP(H4236,'2. Matching'!$A$2:$A$39,'2. Matching'!$B$2:$B$39,"--")</f>
        <v>Acquisition</v>
      </c>
      <c r="K4236" s="65" t="str">
        <f t="shared" si="1"/>
        <v>In</v>
      </c>
    </row>
    <row r="4237">
      <c r="A4237" s="62" t="s">
        <v>4375</v>
      </c>
      <c r="B4237" s="63">
        <v>44209.0</v>
      </c>
      <c r="C4237" s="62" t="s">
        <v>119</v>
      </c>
      <c r="D4237" s="64">
        <v>85.0</v>
      </c>
      <c r="E4237" s="62" t="s">
        <v>114</v>
      </c>
      <c r="F4237" s="62" t="s">
        <v>115</v>
      </c>
      <c r="G4237" s="64" t="s">
        <v>64</v>
      </c>
      <c r="H4237" s="3" t="s">
        <v>131</v>
      </c>
      <c r="I4237" s="65">
        <f>IFERROR(VLOOKUP(A4237,'3. Call duration'!$A:$C,3,0),"--")</f>
        <v>23.10201631</v>
      </c>
      <c r="J4237" s="65" t="str">
        <f t="array" ref="J4237">XLOOKUP(H4237,'2. Matching'!$A$2:$A$39,'2. Matching'!$B$2:$B$39,"--")</f>
        <v>Acquisition</v>
      </c>
      <c r="K4237" s="65" t="str">
        <f t="shared" si="1"/>
        <v>In</v>
      </c>
    </row>
    <row r="4238">
      <c r="A4238" s="62" t="s">
        <v>4376</v>
      </c>
      <c r="B4238" s="63">
        <v>44156.0</v>
      </c>
      <c r="C4238" s="62" t="s">
        <v>119</v>
      </c>
      <c r="D4238" s="64">
        <v>85.0</v>
      </c>
      <c r="E4238" s="62" t="s">
        <v>114</v>
      </c>
      <c r="F4238" s="62" t="s">
        <v>115</v>
      </c>
      <c r="G4238" s="64" t="s">
        <v>64</v>
      </c>
      <c r="H4238" s="3" t="s">
        <v>139</v>
      </c>
      <c r="I4238" s="65">
        <f>IFERROR(VLOOKUP(A4238,'3. Call duration'!$A:$C,3,0),"--")</f>
        <v>27.93484452</v>
      </c>
      <c r="J4238" s="65" t="str">
        <f t="array" ref="J4238">XLOOKUP(H4238,'2. Matching'!$A$2:$A$39,'2. Matching'!$B$2:$B$39,"--")</f>
        <v>Acquisition</v>
      </c>
      <c r="K4238" s="65" t="str">
        <f t="shared" si="1"/>
        <v>In</v>
      </c>
    </row>
    <row r="4239">
      <c r="A4239" s="62" t="s">
        <v>4377</v>
      </c>
      <c r="B4239" s="63">
        <v>44250.0</v>
      </c>
      <c r="C4239" s="62" t="s">
        <v>119</v>
      </c>
      <c r="D4239" s="64">
        <v>85.0</v>
      </c>
      <c r="E4239" s="62" t="s">
        <v>114</v>
      </c>
      <c r="F4239" s="62" t="s">
        <v>115</v>
      </c>
      <c r="G4239" s="64" t="s">
        <v>64</v>
      </c>
      <c r="H4239" s="3" t="s">
        <v>139</v>
      </c>
      <c r="I4239" s="65">
        <f>IFERROR(VLOOKUP(A4239,'3. Call duration'!$A:$C,3,0),"--")</f>
        <v>30.30483579</v>
      </c>
      <c r="J4239" s="65" t="str">
        <f t="array" ref="J4239">XLOOKUP(H4239,'2. Matching'!$A$2:$A$39,'2. Matching'!$B$2:$B$39,"--")</f>
        <v>Acquisition</v>
      </c>
      <c r="K4239" s="65" t="str">
        <f t="shared" si="1"/>
        <v>In</v>
      </c>
    </row>
    <row r="4240">
      <c r="A4240" s="62" t="s">
        <v>4378</v>
      </c>
      <c r="B4240" s="63">
        <v>44145.0</v>
      </c>
      <c r="C4240" s="62" t="s">
        <v>119</v>
      </c>
      <c r="D4240" s="64">
        <v>85.0</v>
      </c>
      <c r="E4240" s="62" t="s">
        <v>114</v>
      </c>
      <c r="F4240" s="62" t="s">
        <v>115</v>
      </c>
      <c r="G4240" s="64" t="s">
        <v>64</v>
      </c>
      <c r="H4240" s="3" t="s">
        <v>139</v>
      </c>
      <c r="I4240" s="65">
        <f>IFERROR(VLOOKUP(A4240,'3. Call duration'!$A:$C,3,0),"--")</f>
        <v>21.20004362</v>
      </c>
      <c r="J4240" s="65" t="str">
        <f t="array" ref="J4240">XLOOKUP(H4240,'2. Matching'!$A$2:$A$39,'2. Matching'!$B$2:$B$39,"--")</f>
        <v>Acquisition</v>
      </c>
      <c r="K4240" s="65" t="str">
        <f t="shared" si="1"/>
        <v>In</v>
      </c>
    </row>
    <row r="4241">
      <c r="A4241" s="62" t="s">
        <v>4379</v>
      </c>
      <c r="B4241" s="63">
        <v>44218.0</v>
      </c>
      <c r="C4241" s="62" t="s">
        <v>119</v>
      </c>
      <c r="D4241" s="64">
        <v>85.0</v>
      </c>
      <c r="E4241" s="62" t="s">
        <v>114</v>
      </c>
      <c r="F4241" s="62" t="s">
        <v>115</v>
      </c>
      <c r="G4241" s="64" t="s">
        <v>64</v>
      </c>
      <c r="H4241" s="3" t="s">
        <v>150</v>
      </c>
      <c r="I4241" s="65">
        <f>IFERROR(VLOOKUP(A4241,'3. Call duration'!$A:$C,3,0),"--")</f>
        <v>13.85749981</v>
      </c>
      <c r="J4241" s="65" t="str">
        <f t="array" ref="J4241">XLOOKUP(H4241,'2. Matching'!$A$2:$A$39,'2. Matching'!$B$2:$B$39,"--")</f>
        <v>SEO</v>
      </c>
      <c r="K4241" s="65" t="str">
        <f t="shared" si="1"/>
        <v>In</v>
      </c>
    </row>
    <row r="4242">
      <c r="A4242" s="62" t="s">
        <v>4380</v>
      </c>
      <c r="B4242" s="63">
        <v>44137.0</v>
      </c>
      <c r="C4242" s="62" t="s">
        <v>119</v>
      </c>
      <c r="D4242" s="64">
        <v>85.0</v>
      </c>
      <c r="E4242" s="62" t="s">
        <v>114</v>
      </c>
      <c r="F4242" s="62" t="s">
        <v>115</v>
      </c>
      <c r="G4242" s="64" t="s">
        <v>64</v>
      </c>
      <c r="H4242" s="3" t="s">
        <v>221</v>
      </c>
      <c r="I4242" s="65">
        <f>IFERROR(VLOOKUP(A4242,'3. Call duration'!$A:$C,3,0),"--")</f>
        <v>31.71979929</v>
      </c>
      <c r="J4242" s="65" t="str">
        <f t="array" ref="J4242">XLOOKUP(H4242,'2. Matching'!$A$2:$A$39,'2. Matching'!$B$2:$B$39,"--")</f>
        <v>Farming</v>
      </c>
      <c r="K4242" s="65" t="str">
        <f t="shared" si="1"/>
        <v>In</v>
      </c>
    </row>
    <row r="4243">
      <c r="A4243" s="62" t="s">
        <v>4381</v>
      </c>
      <c r="B4243" s="63">
        <v>44134.0</v>
      </c>
      <c r="C4243" s="62" t="s">
        <v>119</v>
      </c>
      <c r="D4243" s="64">
        <v>85.0</v>
      </c>
      <c r="E4243" s="62" t="s">
        <v>114</v>
      </c>
      <c r="F4243" s="62" t="s">
        <v>115</v>
      </c>
      <c r="G4243" s="64" t="s">
        <v>64</v>
      </c>
      <c r="H4243" s="3" t="s">
        <v>139</v>
      </c>
      <c r="I4243" s="65">
        <f>IFERROR(VLOOKUP(A4243,'3. Call duration'!$A:$C,3,0),"--")</f>
        <v>30.32922339</v>
      </c>
      <c r="J4243" s="65" t="str">
        <f t="array" ref="J4243">XLOOKUP(H4243,'2. Matching'!$A$2:$A$39,'2. Matching'!$B$2:$B$39,"--")</f>
        <v>Acquisition</v>
      </c>
      <c r="K4243" s="65" t="str">
        <f t="shared" si="1"/>
        <v>In</v>
      </c>
    </row>
    <row r="4244">
      <c r="A4244" s="62" t="s">
        <v>4382</v>
      </c>
      <c r="B4244" s="63">
        <v>44251.0</v>
      </c>
      <c r="C4244" s="62" t="s">
        <v>119</v>
      </c>
      <c r="D4244" s="64">
        <v>85.0</v>
      </c>
      <c r="E4244" s="62" t="s">
        <v>114</v>
      </c>
      <c r="F4244" s="62" t="s">
        <v>110</v>
      </c>
      <c r="G4244" s="64" t="s">
        <v>64</v>
      </c>
      <c r="H4244" s="3" t="s">
        <v>131</v>
      </c>
      <c r="I4244" s="65">
        <f>IFERROR(VLOOKUP(A4244,'3. Call duration'!$A:$C,3,0),"--")</f>
        <v>31.26687171</v>
      </c>
      <c r="J4244" s="65" t="str">
        <f t="array" ref="J4244">XLOOKUP(H4244,'2. Matching'!$A$2:$A$39,'2. Matching'!$B$2:$B$39,"--")</f>
        <v>Acquisition</v>
      </c>
      <c r="K4244" s="65" t="str">
        <f t="shared" si="1"/>
        <v>In</v>
      </c>
    </row>
    <row r="4245">
      <c r="A4245" s="62" t="s">
        <v>4383</v>
      </c>
      <c r="B4245" s="63">
        <v>44181.0</v>
      </c>
      <c r="C4245" s="62" t="s">
        <v>119</v>
      </c>
      <c r="D4245" s="64">
        <v>85.0</v>
      </c>
      <c r="E4245" s="62" t="s">
        <v>114</v>
      </c>
      <c r="F4245" s="62" t="s">
        <v>110</v>
      </c>
      <c r="G4245" s="64" t="s">
        <v>64</v>
      </c>
      <c r="H4245" s="3" t="s">
        <v>145</v>
      </c>
      <c r="I4245" s="65">
        <f>IFERROR(VLOOKUP(A4245,'3. Call duration'!$A:$C,3,0),"--")</f>
        <v>10.3618645</v>
      </c>
      <c r="J4245" s="65" t="str">
        <f t="array" ref="J4245">XLOOKUP(H4245,'2. Matching'!$A$2:$A$39,'2. Matching'!$B$2:$B$39,"--")</f>
        <v>SEO</v>
      </c>
      <c r="K4245" s="65" t="str">
        <f t="shared" si="1"/>
        <v>In</v>
      </c>
    </row>
    <row r="4246">
      <c r="A4246" s="62" t="s">
        <v>4384</v>
      </c>
      <c r="B4246" s="63">
        <v>44083.0</v>
      </c>
      <c r="C4246" s="62" t="s">
        <v>119</v>
      </c>
      <c r="D4246" s="64">
        <v>85.0</v>
      </c>
      <c r="E4246" s="62" t="s">
        <v>114</v>
      </c>
      <c r="F4246" s="62" t="s">
        <v>115</v>
      </c>
      <c r="G4246" s="64" t="s">
        <v>64</v>
      </c>
      <c r="H4246" s="3" t="s">
        <v>139</v>
      </c>
      <c r="I4246" s="65">
        <f>IFERROR(VLOOKUP(A4246,'3. Call duration'!$A:$C,3,0),"--")</f>
        <v>14.34946461</v>
      </c>
      <c r="J4246" s="65" t="str">
        <f t="array" ref="J4246">XLOOKUP(H4246,'2. Matching'!$A$2:$A$39,'2. Matching'!$B$2:$B$39,"--")</f>
        <v>Acquisition</v>
      </c>
      <c r="K4246" s="65" t="str">
        <f t="shared" si="1"/>
        <v>In</v>
      </c>
    </row>
    <row r="4247">
      <c r="A4247" s="62" t="s">
        <v>4385</v>
      </c>
      <c r="B4247" s="63">
        <v>44079.0</v>
      </c>
      <c r="C4247" s="62" t="s">
        <v>119</v>
      </c>
      <c r="D4247" s="64">
        <v>85.0</v>
      </c>
      <c r="E4247" s="62" t="s">
        <v>114</v>
      </c>
      <c r="F4247" s="62" t="s">
        <v>110</v>
      </c>
      <c r="G4247" s="64" t="s">
        <v>64</v>
      </c>
      <c r="H4247" s="3" t="s">
        <v>139</v>
      </c>
      <c r="I4247" s="65">
        <f>IFERROR(VLOOKUP(A4247,'3. Call duration'!$A:$C,3,0),"--")</f>
        <v>30.97962173</v>
      </c>
      <c r="J4247" s="65" t="str">
        <f t="array" ref="J4247">XLOOKUP(H4247,'2. Matching'!$A$2:$A$39,'2. Matching'!$B$2:$B$39,"--")</f>
        <v>Acquisition</v>
      </c>
      <c r="K4247" s="65" t="str">
        <f t="shared" si="1"/>
        <v>In</v>
      </c>
    </row>
    <row r="4248">
      <c r="A4248" s="62" t="s">
        <v>4386</v>
      </c>
      <c r="B4248" s="63">
        <v>44121.0</v>
      </c>
      <c r="C4248" s="62" t="s">
        <v>119</v>
      </c>
      <c r="D4248" s="64">
        <v>85.0</v>
      </c>
      <c r="E4248" s="62" t="s">
        <v>114</v>
      </c>
      <c r="F4248" s="62" t="s">
        <v>115</v>
      </c>
      <c r="G4248" s="64" t="s">
        <v>64</v>
      </c>
      <c r="H4248" s="3" t="s">
        <v>139</v>
      </c>
      <c r="I4248" s="65">
        <f>IFERROR(VLOOKUP(A4248,'3. Call duration'!$A:$C,3,0),"--")</f>
        <v>29.38964514</v>
      </c>
      <c r="J4248" s="65" t="str">
        <f t="array" ref="J4248">XLOOKUP(H4248,'2. Matching'!$A$2:$A$39,'2. Matching'!$B$2:$B$39,"--")</f>
        <v>Acquisition</v>
      </c>
      <c r="K4248" s="65" t="str">
        <f t="shared" si="1"/>
        <v>In</v>
      </c>
    </row>
    <row r="4249">
      <c r="A4249" s="62" t="s">
        <v>4387</v>
      </c>
      <c r="B4249" s="63">
        <v>44081.0</v>
      </c>
      <c r="C4249" s="62" t="s">
        <v>119</v>
      </c>
      <c r="D4249" s="64">
        <v>85.0</v>
      </c>
      <c r="E4249" s="62" t="s">
        <v>114</v>
      </c>
      <c r="F4249" s="62" t="s">
        <v>115</v>
      </c>
      <c r="G4249" s="64" t="s">
        <v>62</v>
      </c>
      <c r="H4249" s="3" t="s">
        <v>203</v>
      </c>
      <c r="I4249" s="65">
        <f>IFERROR(VLOOKUP(A4249,'3. Call duration'!$A:$C,3,0),"--")</f>
        <v>12.82458915</v>
      </c>
      <c r="J4249" s="65" t="str">
        <f t="array" ref="J4249">XLOOKUP(H4249,'2. Matching'!$A$2:$A$39,'2. Matching'!$B$2:$B$39,"--")</f>
        <v>Farming</v>
      </c>
      <c r="K4249" s="65" t="str">
        <f t="shared" si="1"/>
        <v>In</v>
      </c>
    </row>
    <row r="4250">
      <c r="A4250" s="62" t="s">
        <v>4388</v>
      </c>
      <c r="B4250" s="63">
        <v>44243.0</v>
      </c>
      <c r="C4250" s="62" t="s">
        <v>119</v>
      </c>
      <c r="D4250" s="64">
        <v>85.0</v>
      </c>
      <c r="E4250" s="62" t="s">
        <v>114</v>
      </c>
      <c r="F4250" s="62" t="s">
        <v>115</v>
      </c>
      <c r="G4250" s="64" t="s">
        <v>64</v>
      </c>
      <c r="H4250" s="3" t="s">
        <v>150</v>
      </c>
      <c r="I4250" s="65" t="str">
        <f>IFERROR(VLOOKUP(A4250,'3. Call duration'!$A:$C,3,0),"--")</f>
        <v>--</v>
      </c>
      <c r="J4250" s="65" t="str">
        <f t="array" ref="J4250">XLOOKUP(H4250,'2. Matching'!$A$2:$A$39,'2. Matching'!$B$2:$B$39,"--")</f>
        <v>SEO</v>
      </c>
      <c r="K4250" s="65" t="str">
        <f t="shared" si="1"/>
        <v>In</v>
      </c>
    </row>
    <row r="4251">
      <c r="A4251" s="62" t="s">
        <v>4389</v>
      </c>
      <c r="B4251" s="63">
        <v>44238.0</v>
      </c>
      <c r="C4251" s="62" t="s">
        <v>119</v>
      </c>
      <c r="D4251" s="64">
        <v>85.0</v>
      </c>
      <c r="E4251" s="62" t="s">
        <v>114</v>
      </c>
      <c r="F4251" s="62" t="s">
        <v>110</v>
      </c>
      <c r="G4251" s="64" t="s">
        <v>64</v>
      </c>
      <c r="H4251" s="3" t="s">
        <v>221</v>
      </c>
      <c r="I4251" s="65" t="str">
        <f>IFERROR(VLOOKUP(A4251,'3. Call duration'!$A:$C,3,0),"--")</f>
        <v>--</v>
      </c>
      <c r="J4251" s="65" t="str">
        <f t="array" ref="J4251">XLOOKUP(H4251,'2. Matching'!$A$2:$A$39,'2. Matching'!$B$2:$B$39,"--")</f>
        <v>Farming</v>
      </c>
      <c r="K4251" s="65" t="str">
        <f t="shared" si="1"/>
        <v>In</v>
      </c>
    </row>
    <row r="4252">
      <c r="A4252" s="62" t="s">
        <v>4390</v>
      </c>
      <c r="B4252" s="63">
        <v>44250.0</v>
      </c>
      <c r="C4252" s="62" t="s">
        <v>119</v>
      </c>
      <c r="D4252" s="64">
        <v>85.0</v>
      </c>
      <c r="E4252" s="62" t="s">
        <v>114</v>
      </c>
      <c r="F4252" s="62" t="s">
        <v>115</v>
      </c>
      <c r="G4252" s="64" t="s">
        <v>63</v>
      </c>
      <c r="H4252" s="3" t="s">
        <v>189</v>
      </c>
      <c r="I4252" s="65">
        <f>IFERROR(VLOOKUP(A4252,'3. Call duration'!$A:$C,3,0),"--")</f>
        <v>28.31965055</v>
      </c>
      <c r="J4252" s="65" t="str">
        <f t="array" ref="J4252">XLOOKUP(H4252,'2. Matching'!$A$2:$A$39,'2. Matching'!$B$2:$B$39,"--")</f>
        <v>SEO</v>
      </c>
      <c r="K4252" s="65" t="str">
        <f t="shared" si="1"/>
        <v>Out</v>
      </c>
    </row>
    <row r="4253">
      <c r="A4253" s="62" t="s">
        <v>4391</v>
      </c>
      <c r="B4253" s="63">
        <v>44108.0</v>
      </c>
      <c r="C4253" s="62" t="s">
        <v>119</v>
      </c>
      <c r="D4253" s="64">
        <v>85.0</v>
      </c>
      <c r="E4253" s="62" t="s">
        <v>114</v>
      </c>
      <c r="F4253" s="62" t="s">
        <v>110</v>
      </c>
      <c r="G4253" s="64" t="s">
        <v>64</v>
      </c>
      <c r="H4253" s="3" t="s">
        <v>139</v>
      </c>
      <c r="I4253" s="65">
        <f>IFERROR(VLOOKUP(A4253,'3. Call duration'!$A:$C,3,0),"--")</f>
        <v>28.11887228</v>
      </c>
      <c r="J4253" s="65" t="str">
        <f t="array" ref="J4253">XLOOKUP(H4253,'2. Matching'!$A$2:$A$39,'2. Matching'!$B$2:$B$39,"--")</f>
        <v>Acquisition</v>
      </c>
      <c r="K4253" s="65" t="str">
        <f t="shared" si="1"/>
        <v>In</v>
      </c>
    </row>
    <row r="4254">
      <c r="A4254" s="62" t="s">
        <v>4392</v>
      </c>
      <c r="B4254" s="63">
        <v>44231.0</v>
      </c>
      <c r="C4254" s="62" t="s">
        <v>119</v>
      </c>
      <c r="D4254" s="64">
        <v>85.0</v>
      </c>
      <c r="E4254" s="62" t="s">
        <v>114</v>
      </c>
      <c r="F4254" s="62" t="s">
        <v>115</v>
      </c>
      <c r="G4254" s="64" t="s">
        <v>64</v>
      </c>
      <c r="H4254" s="3" t="s">
        <v>139</v>
      </c>
      <c r="I4254" s="65">
        <f>IFERROR(VLOOKUP(A4254,'3. Call duration'!$A:$C,3,0),"--")</f>
        <v>29.81741703</v>
      </c>
      <c r="J4254" s="65" t="str">
        <f t="array" ref="J4254">XLOOKUP(H4254,'2. Matching'!$A$2:$A$39,'2. Matching'!$B$2:$B$39,"--")</f>
        <v>Acquisition</v>
      </c>
      <c r="K4254" s="65" t="str">
        <f t="shared" si="1"/>
        <v>In</v>
      </c>
    </row>
    <row r="4255">
      <c r="A4255" s="62" t="s">
        <v>4393</v>
      </c>
      <c r="B4255" s="63">
        <v>44237.0</v>
      </c>
      <c r="C4255" s="62" t="s">
        <v>119</v>
      </c>
      <c r="D4255" s="64">
        <v>85.0</v>
      </c>
      <c r="E4255" s="62" t="s">
        <v>114</v>
      </c>
      <c r="F4255" s="62" t="s">
        <v>115</v>
      </c>
      <c r="G4255" s="64" t="s">
        <v>64</v>
      </c>
      <c r="H4255" s="3" t="s">
        <v>164</v>
      </c>
      <c r="I4255" s="65">
        <f>IFERROR(VLOOKUP(A4255,'3. Call duration'!$A:$C,3,0),"--")</f>
        <v>32.92525444</v>
      </c>
      <c r="J4255" s="65" t="str">
        <f t="array" ref="J4255">XLOOKUP(H4255,'2. Matching'!$A$2:$A$39,'2. Matching'!$B$2:$B$39,"--")</f>
        <v>SEO</v>
      </c>
      <c r="K4255" s="65" t="str">
        <f t="shared" si="1"/>
        <v>In</v>
      </c>
    </row>
    <row r="4256">
      <c r="A4256" s="62" t="s">
        <v>4394</v>
      </c>
      <c r="B4256" s="63">
        <v>44204.0</v>
      </c>
      <c r="C4256" s="62" t="s">
        <v>119</v>
      </c>
      <c r="D4256" s="64">
        <v>85.0</v>
      </c>
      <c r="E4256" s="62" t="s">
        <v>114</v>
      </c>
      <c r="F4256" s="62" t="s">
        <v>115</v>
      </c>
      <c r="G4256" s="64" t="s">
        <v>64</v>
      </c>
      <c r="H4256" s="3" t="s">
        <v>155</v>
      </c>
      <c r="I4256" s="65">
        <f>IFERROR(VLOOKUP(A4256,'3. Call duration'!$A:$C,3,0),"--")</f>
        <v>25.81835859</v>
      </c>
      <c r="J4256" s="65" t="str">
        <f t="array" ref="J4256">XLOOKUP(H4256,'2. Matching'!$A$2:$A$39,'2. Matching'!$B$2:$B$39,"--")</f>
        <v>SEO</v>
      </c>
      <c r="K4256" s="65" t="str">
        <f t="shared" si="1"/>
        <v>In</v>
      </c>
    </row>
    <row r="4257">
      <c r="A4257" s="62" t="s">
        <v>4395</v>
      </c>
      <c r="B4257" s="63">
        <v>44182.0</v>
      </c>
      <c r="C4257" s="62" t="s">
        <v>119</v>
      </c>
      <c r="D4257" s="64">
        <v>85.0</v>
      </c>
      <c r="E4257" s="62" t="s">
        <v>114</v>
      </c>
      <c r="F4257" s="62" t="s">
        <v>110</v>
      </c>
      <c r="G4257" s="64" t="s">
        <v>64</v>
      </c>
      <c r="H4257" s="3" t="s">
        <v>139</v>
      </c>
      <c r="I4257" s="65">
        <f>IFERROR(VLOOKUP(A4257,'3. Call duration'!$A:$C,3,0),"--")</f>
        <v>32.92044547</v>
      </c>
      <c r="J4257" s="65" t="str">
        <f t="array" ref="J4257">XLOOKUP(H4257,'2. Matching'!$A$2:$A$39,'2. Matching'!$B$2:$B$39,"--")</f>
        <v>Acquisition</v>
      </c>
      <c r="K4257" s="65" t="str">
        <f t="shared" si="1"/>
        <v>In</v>
      </c>
    </row>
    <row r="4258">
      <c r="A4258" s="62" t="s">
        <v>4396</v>
      </c>
      <c r="B4258" s="63">
        <v>44166.0</v>
      </c>
      <c r="C4258" s="62" t="s">
        <v>119</v>
      </c>
      <c r="D4258" s="64">
        <v>85.0</v>
      </c>
      <c r="E4258" s="62" t="s">
        <v>114</v>
      </c>
      <c r="F4258" s="62" t="s">
        <v>115</v>
      </c>
      <c r="G4258" s="64" t="s">
        <v>64</v>
      </c>
      <c r="H4258" s="3" t="s">
        <v>169</v>
      </c>
      <c r="I4258" s="65">
        <f>IFERROR(VLOOKUP(A4258,'3. Call duration'!$A:$C,3,0),"--")</f>
        <v>32.50951096</v>
      </c>
      <c r="J4258" s="65" t="str">
        <f t="array" ref="J4258">XLOOKUP(H4258,'2. Matching'!$A$2:$A$39,'2. Matching'!$B$2:$B$39,"--")</f>
        <v>SEO</v>
      </c>
      <c r="K4258" s="65" t="str">
        <f t="shared" si="1"/>
        <v>In</v>
      </c>
    </row>
    <row r="4259">
      <c r="A4259" s="62" t="s">
        <v>4397</v>
      </c>
      <c r="B4259" s="63">
        <v>44213.0</v>
      </c>
      <c r="C4259" s="62" t="s">
        <v>119</v>
      </c>
      <c r="D4259" s="64">
        <v>85.0</v>
      </c>
      <c r="E4259" s="62" t="s">
        <v>114</v>
      </c>
      <c r="F4259" s="62" t="s">
        <v>115</v>
      </c>
      <c r="G4259" s="64" t="s">
        <v>64</v>
      </c>
      <c r="H4259" s="3" t="s">
        <v>139</v>
      </c>
      <c r="I4259" s="65">
        <f>IFERROR(VLOOKUP(A4259,'3. Call duration'!$A:$C,3,0),"--")</f>
        <v>27.65485682</v>
      </c>
      <c r="J4259" s="65" t="str">
        <f t="array" ref="J4259">XLOOKUP(H4259,'2. Matching'!$A$2:$A$39,'2. Matching'!$B$2:$B$39,"--")</f>
        <v>Acquisition</v>
      </c>
      <c r="K4259" s="65" t="str">
        <f t="shared" si="1"/>
        <v>In</v>
      </c>
    </row>
    <row r="4260">
      <c r="A4260" s="62" t="s">
        <v>4398</v>
      </c>
      <c r="B4260" s="63">
        <v>44104.0</v>
      </c>
      <c r="C4260" s="62" t="s">
        <v>119</v>
      </c>
      <c r="D4260" s="64">
        <v>85.0</v>
      </c>
      <c r="E4260" s="62" t="s">
        <v>114</v>
      </c>
      <c r="F4260" s="62" t="s">
        <v>115</v>
      </c>
      <c r="G4260" s="64" t="s">
        <v>64</v>
      </c>
      <c r="H4260" s="3" t="s">
        <v>139</v>
      </c>
      <c r="I4260" s="65">
        <f>IFERROR(VLOOKUP(A4260,'3. Call duration'!$A:$C,3,0),"--")</f>
        <v>23.55623058</v>
      </c>
      <c r="J4260" s="65" t="str">
        <f t="array" ref="J4260">XLOOKUP(H4260,'2. Matching'!$A$2:$A$39,'2. Matching'!$B$2:$B$39,"--")</f>
        <v>Acquisition</v>
      </c>
      <c r="K4260" s="65" t="str">
        <f t="shared" si="1"/>
        <v>In</v>
      </c>
    </row>
    <row r="4261">
      <c r="A4261" s="62" t="s">
        <v>4399</v>
      </c>
      <c r="B4261" s="63">
        <v>44242.0</v>
      </c>
      <c r="C4261" s="62" t="s">
        <v>119</v>
      </c>
      <c r="D4261" s="64">
        <v>85.0</v>
      </c>
      <c r="E4261" s="62" t="s">
        <v>114</v>
      </c>
      <c r="F4261" s="62" t="s">
        <v>115</v>
      </c>
      <c r="G4261" s="64" t="s">
        <v>64</v>
      </c>
      <c r="H4261" s="3" t="s">
        <v>139</v>
      </c>
      <c r="I4261" s="65">
        <f>IFERROR(VLOOKUP(A4261,'3. Call duration'!$A:$C,3,0),"--")</f>
        <v>29.91413835</v>
      </c>
      <c r="J4261" s="65" t="str">
        <f t="array" ref="J4261">XLOOKUP(H4261,'2. Matching'!$A$2:$A$39,'2. Matching'!$B$2:$B$39,"--")</f>
        <v>Acquisition</v>
      </c>
      <c r="K4261" s="65" t="str">
        <f t="shared" si="1"/>
        <v>In</v>
      </c>
    </row>
    <row r="4262">
      <c r="A4262" s="62" t="s">
        <v>4400</v>
      </c>
      <c r="B4262" s="63">
        <v>44179.0</v>
      </c>
      <c r="C4262" s="62" t="s">
        <v>119</v>
      </c>
      <c r="D4262" s="64">
        <v>85.0</v>
      </c>
      <c r="E4262" s="62" t="s">
        <v>114</v>
      </c>
      <c r="F4262" s="62" t="s">
        <v>110</v>
      </c>
      <c r="G4262" s="64" t="s">
        <v>62</v>
      </c>
      <c r="H4262" s="3" t="s">
        <v>286</v>
      </c>
      <c r="I4262" s="65">
        <f>IFERROR(VLOOKUP(A4262,'3. Call duration'!$A:$C,3,0),"--")</f>
        <v>30.89793871</v>
      </c>
      <c r="J4262" s="65" t="str">
        <f t="array" ref="J4262">XLOOKUP(H4262,'2. Matching'!$A$2:$A$39,'2. Matching'!$B$2:$B$39,"--")</f>
        <v>Farming</v>
      </c>
      <c r="K4262" s="65" t="str">
        <f t="shared" si="1"/>
        <v>In</v>
      </c>
    </row>
    <row r="4263">
      <c r="A4263" s="62" t="s">
        <v>4401</v>
      </c>
      <c r="B4263" s="63">
        <v>44242.0</v>
      </c>
      <c r="C4263" s="62" t="s">
        <v>119</v>
      </c>
      <c r="D4263" s="64">
        <v>85.0</v>
      </c>
      <c r="E4263" s="62" t="s">
        <v>114</v>
      </c>
      <c r="F4263" s="62" t="s">
        <v>115</v>
      </c>
      <c r="G4263" s="64" t="s">
        <v>64</v>
      </c>
      <c r="H4263" s="3" t="s">
        <v>297</v>
      </c>
      <c r="I4263" s="65">
        <f>IFERROR(VLOOKUP(A4263,'3. Call duration'!$A:$C,3,0),"--")</f>
        <v>28.53069258</v>
      </c>
      <c r="J4263" s="65" t="str">
        <f t="array" ref="J4263">XLOOKUP(H4263,'2. Matching'!$A$2:$A$39,'2. Matching'!$B$2:$B$39,"--")</f>
        <v>Farming</v>
      </c>
      <c r="K4263" s="65" t="str">
        <f t="shared" si="1"/>
        <v>In</v>
      </c>
    </row>
    <row r="4264">
      <c r="A4264" s="62" t="s">
        <v>4402</v>
      </c>
      <c r="B4264" s="63">
        <v>44230.0</v>
      </c>
      <c r="C4264" s="62" t="s">
        <v>119</v>
      </c>
      <c r="D4264" s="64">
        <v>85.0</v>
      </c>
      <c r="E4264" s="62" t="s">
        <v>114</v>
      </c>
      <c r="F4264" s="62" t="s">
        <v>110</v>
      </c>
      <c r="G4264" s="64" t="s">
        <v>64</v>
      </c>
      <c r="H4264" s="3" t="s">
        <v>131</v>
      </c>
      <c r="I4264" s="65">
        <f>IFERROR(VLOOKUP(A4264,'3. Call duration'!$A:$C,3,0),"--")</f>
        <v>28.77637037</v>
      </c>
      <c r="J4264" s="65" t="str">
        <f t="array" ref="J4264">XLOOKUP(H4264,'2. Matching'!$A$2:$A$39,'2. Matching'!$B$2:$B$39,"--")</f>
        <v>Acquisition</v>
      </c>
      <c r="K4264" s="65" t="str">
        <f t="shared" si="1"/>
        <v>In</v>
      </c>
    </row>
    <row r="4265">
      <c r="A4265" s="62" t="s">
        <v>4403</v>
      </c>
      <c r="B4265" s="63">
        <v>44092.0</v>
      </c>
      <c r="C4265" s="62" t="s">
        <v>119</v>
      </c>
      <c r="D4265" s="64">
        <v>85.0</v>
      </c>
      <c r="E4265" s="62" t="s">
        <v>114</v>
      </c>
      <c r="F4265" s="62" t="s">
        <v>110</v>
      </c>
      <c r="G4265" s="64" t="s">
        <v>64</v>
      </c>
      <c r="H4265" s="3" t="s">
        <v>169</v>
      </c>
      <c r="I4265" s="65">
        <f>IFERROR(VLOOKUP(A4265,'3. Call duration'!$A:$C,3,0),"--")</f>
        <v>21.07711248</v>
      </c>
      <c r="J4265" s="65" t="str">
        <f t="array" ref="J4265">XLOOKUP(H4265,'2. Matching'!$A$2:$A$39,'2. Matching'!$B$2:$B$39,"--")</f>
        <v>SEO</v>
      </c>
      <c r="K4265" s="65" t="str">
        <f t="shared" si="1"/>
        <v>In</v>
      </c>
    </row>
    <row r="4266">
      <c r="A4266" s="62" t="s">
        <v>4404</v>
      </c>
      <c r="B4266" s="63">
        <v>44155.0</v>
      </c>
      <c r="C4266" s="62" t="s">
        <v>119</v>
      </c>
      <c r="D4266" s="64">
        <v>85.0</v>
      </c>
      <c r="E4266" s="62" t="s">
        <v>114</v>
      </c>
      <c r="F4266" s="62" t="s">
        <v>115</v>
      </c>
      <c r="G4266" s="64" t="s">
        <v>64</v>
      </c>
      <c r="H4266" s="3" t="s">
        <v>155</v>
      </c>
      <c r="I4266" s="65">
        <f>IFERROR(VLOOKUP(A4266,'3. Call duration'!$A:$C,3,0),"--")</f>
        <v>16.28678337</v>
      </c>
      <c r="J4266" s="65" t="str">
        <f t="array" ref="J4266">XLOOKUP(H4266,'2. Matching'!$A$2:$A$39,'2. Matching'!$B$2:$B$39,"--")</f>
        <v>SEO</v>
      </c>
      <c r="K4266" s="65" t="str">
        <f t="shared" si="1"/>
        <v>In</v>
      </c>
    </row>
    <row r="4267">
      <c r="A4267" s="62" t="s">
        <v>4405</v>
      </c>
      <c r="B4267" s="63">
        <v>44174.0</v>
      </c>
      <c r="C4267" s="62" t="s">
        <v>119</v>
      </c>
      <c r="D4267" s="64">
        <v>85.0</v>
      </c>
      <c r="E4267" s="62" t="s">
        <v>114</v>
      </c>
      <c r="F4267" s="62" t="s">
        <v>110</v>
      </c>
      <c r="G4267" s="64" t="s">
        <v>64</v>
      </c>
      <c r="H4267" s="3" t="s">
        <v>150</v>
      </c>
      <c r="I4267" s="65">
        <f>IFERROR(VLOOKUP(A4267,'3. Call duration'!$A:$C,3,0),"--")</f>
        <v>10.94722168</v>
      </c>
      <c r="J4267" s="65" t="str">
        <f t="array" ref="J4267">XLOOKUP(H4267,'2. Matching'!$A$2:$A$39,'2. Matching'!$B$2:$B$39,"--")</f>
        <v>SEO</v>
      </c>
      <c r="K4267" s="65" t="str">
        <f t="shared" si="1"/>
        <v>In</v>
      </c>
    </row>
    <row r="4268">
      <c r="A4268" s="62" t="s">
        <v>4406</v>
      </c>
      <c r="B4268" s="63">
        <v>44183.0</v>
      </c>
      <c r="C4268" s="62" t="s">
        <v>119</v>
      </c>
      <c r="D4268" s="64">
        <v>85.0</v>
      </c>
      <c r="E4268" s="62" t="s">
        <v>114</v>
      </c>
      <c r="F4268" s="62" t="s">
        <v>115</v>
      </c>
      <c r="G4268" s="64" t="s">
        <v>64</v>
      </c>
      <c r="H4268" s="3" t="s">
        <v>185</v>
      </c>
      <c r="I4268" s="65">
        <f>IFERROR(VLOOKUP(A4268,'3. Call duration'!$A:$C,3,0),"--")</f>
        <v>32.53528968</v>
      </c>
      <c r="J4268" s="65" t="str">
        <f t="array" ref="J4268">XLOOKUP(H4268,'2. Matching'!$A$2:$A$39,'2. Matching'!$B$2:$B$39,"--")</f>
        <v>SEO</v>
      </c>
      <c r="K4268" s="65" t="str">
        <f t="shared" si="1"/>
        <v>In</v>
      </c>
    </row>
    <row r="4269">
      <c r="A4269" s="62" t="s">
        <v>4407</v>
      </c>
      <c r="B4269" s="63">
        <v>44165.0</v>
      </c>
      <c r="C4269" s="62" t="s">
        <v>119</v>
      </c>
      <c r="D4269" s="64">
        <v>85.0</v>
      </c>
      <c r="E4269" s="62" t="s">
        <v>114</v>
      </c>
      <c r="F4269" s="62" t="s">
        <v>115</v>
      </c>
      <c r="G4269" s="64" t="s">
        <v>64</v>
      </c>
      <c r="H4269" s="3" t="s">
        <v>139</v>
      </c>
      <c r="I4269" s="65">
        <f>IFERROR(VLOOKUP(A4269,'3. Call duration'!$A:$C,3,0),"--")</f>
        <v>28.70443245</v>
      </c>
      <c r="J4269" s="65" t="str">
        <f t="array" ref="J4269">XLOOKUP(H4269,'2. Matching'!$A$2:$A$39,'2. Matching'!$B$2:$B$39,"--")</f>
        <v>Acquisition</v>
      </c>
      <c r="K4269" s="65" t="str">
        <f t="shared" si="1"/>
        <v>In</v>
      </c>
    </row>
    <row r="4270">
      <c r="A4270" s="62" t="s">
        <v>4408</v>
      </c>
      <c r="B4270" s="63">
        <v>44076.0</v>
      </c>
      <c r="C4270" s="62" t="s">
        <v>119</v>
      </c>
      <c r="D4270" s="64">
        <v>85.0</v>
      </c>
      <c r="E4270" s="62" t="s">
        <v>114</v>
      </c>
      <c r="F4270" s="62" t="s">
        <v>115</v>
      </c>
      <c r="G4270" s="64" t="s">
        <v>64</v>
      </c>
      <c r="H4270" s="3" t="s">
        <v>175</v>
      </c>
      <c r="I4270" s="65">
        <f>IFERROR(VLOOKUP(A4270,'3. Call duration'!$A:$C,3,0),"--")</f>
        <v>28.72559741</v>
      </c>
      <c r="J4270" s="65" t="str">
        <f t="array" ref="J4270">XLOOKUP(H4270,'2. Matching'!$A$2:$A$39,'2. Matching'!$B$2:$B$39,"--")</f>
        <v>SEO</v>
      </c>
      <c r="K4270" s="65" t="str">
        <f t="shared" si="1"/>
        <v>In</v>
      </c>
    </row>
    <row r="4271">
      <c r="A4271" s="62" t="s">
        <v>4409</v>
      </c>
      <c r="B4271" s="63">
        <v>44180.0</v>
      </c>
      <c r="C4271" s="62" t="s">
        <v>119</v>
      </c>
      <c r="D4271" s="64">
        <v>85.0</v>
      </c>
      <c r="E4271" s="62" t="s">
        <v>114</v>
      </c>
      <c r="F4271" s="62" t="s">
        <v>115</v>
      </c>
      <c r="G4271" s="64" t="s">
        <v>64</v>
      </c>
      <c r="H4271" s="3" t="s">
        <v>116</v>
      </c>
      <c r="I4271" s="65">
        <f>IFERROR(VLOOKUP(A4271,'3. Call duration'!$A:$C,3,0),"--")</f>
        <v>30.60685918</v>
      </c>
      <c r="J4271" s="65" t="str">
        <f t="array" ref="J4271">XLOOKUP(H4271,'2. Matching'!$A$2:$A$39,'2. Matching'!$B$2:$B$39,"--")</f>
        <v>Acquisition</v>
      </c>
      <c r="K4271" s="65" t="str">
        <f t="shared" si="1"/>
        <v>In</v>
      </c>
    </row>
    <row r="4272">
      <c r="A4272" s="62" t="s">
        <v>4410</v>
      </c>
      <c r="B4272" s="63">
        <v>44240.0</v>
      </c>
      <c r="C4272" s="62" t="s">
        <v>119</v>
      </c>
      <c r="D4272" s="64">
        <v>85.0</v>
      </c>
      <c r="E4272" s="62" t="s">
        <v>114</v>
      </c>
      <c r="F4272" s="62" t="s">
        <v>110</v>
      </c>
      <c r="G4272" s="64" t="s">
        <v>64</v>
      </c>
      <c r="H4272" s="3" t="s">
        <v>139</v>
      </c>
      <c r="I4272" s="65">
        <f>IFERROR(VLOOKUP(A4272,'3. Call duration'!$A:$C,3,0),"--")</f>
        <v>26.24098178</v>
      </c>
      <c r="J4272" s="65" t="str">
        <f t="array" ref="J4272">XLOOKUP(H4272,'2. Matching'!$A$2:$A$39,'2. Matching'!$B$2:$B$39,"--")</f>
        <v>Acquisition</v>
      </c>
      <c r="K4272" s="65" t="str">
        <f t="shared" si="1"/>
        <v>In</v>
      </c>
    </row>
    <row r="4273">
      <c r="A4273" s="62" t="s">
        <v>4411</v>
      </c>
      <c r="B4273" s="63">
        <v>44194.0</v>
      </c>
      <c r="C4273" s="62" t="s">
        <v>119</v>
      </c>
      <c r="D4273" s="64">
        <v>85.0</v>
      </c>
      <c r="E4273" s="62" t="s">
        <v>114</v>
      </c>
      <c r="F4273" s="62" t="s">
        <v>115</v>
      </c>
      <c r="G4273" s="64" t="s">
        <v>64</v>
      </c>
      <c r="H4273" s="3" t="s">
        <v>139</v>
      </c>
      <c r="I4273" s="65">
        <f>IFERROR(VLOOKUP(A4273,'3. Call duration'!$A:$C,3,0),"--")</f>
        <v>31.1453542</v>
      </c>
      <c r="J4273" s="65" t="str">
        <f t="array" ref="J4273">XLOOKUP(H4273,'2. Matching'!$A$2:$A$39,'2. Matching'!$B$2:$B$39,"--")</f>
        <v>Acquisition</v>
      </c>
      <c r="K4273" s="65" t="str">
        <f t="shared" si="1"/>
        <v>In</v>
      </c>
    </row>
    <row r="4274">
      <c r="A4274" s="62" t="s">
        <v>4412</v>
      </c>
      <c r="B4274" s="63">
        <v>44246.0</v>
      </c>
      <c r="C4274" s="62" t="s">
        <v>119</v>
      </c>
      <c r="D4274" s="64">
        <v>85.0</v>
      </c>
      <c r="E4274" s="62" t="s">
        <v>114</v>
      </c>
      <c r="F4274" s="62" t="s">
        <v>115</v>
      </c>
      <c r="G4274" s="64" t="s">
        <v>64</v>
      </c>
      <c r="H4274" s="3" t="s">
        <v>169</v>
      </c>
      <c r="I4274" s="65">
        <f>IFERROR(VLOOKUP(A4274,'3. Call duration'!$A:$C,3,0),"--")</f>
        <v>27.14932345</v>
      </c>
      <c r="J4274" s="65" t="str">
        <f t="array" ref="J4274">XLOOKUP(H4274,'2. Matching'!$A$2:$A$39,'2. Matching'!$B$2:$B$39,"--")</f>
        <v>SEO</v>
      </c>
      <c r="K4274" s="65" t="str">
        <f t="shared" si="1"/>
        <v>In</v>
      </c>
    </row>
    <row r="4275">
      <c r="A4275" s="62" t="s">
        <v>4413</v>
      </c>
      <c r="B4275" s="63">
        <v>44221.0</v>
      </c>
      <c r="C4275" s="62" t="s">
        <v>119</v>
      </c>
      <c r="D4275" s="64">
        <v>85.0</v>
      </c>
      <c r="E4275" s="62" t="s">
        <v>114</v>
      </c>
      <c r="F4275" s="62" t="s">
        <v>110</v>
      </c>
      <c r="G4275" s="64" t="s">
        <v>64</v>
      </c>
      <c r="H4275" s="3" t="s">
        <v>131</v>
      </c>
      <c r="I4275" s="65">
        <f>IFERROR(VLOOKUP(A4275,'3. Call duration'!$A:$C,3,0),"--")</f>
        <v>33.10658517</v>
      </c>
      <c r="J4275" s="65" t="str">
        <f t="array" ref="J4275">XLOOKUP(H4275,'2. Matching'!$A$2:$A$39,'2. Matching'!$B$2:$B$39,"--")</f>
        <v>Acquisition</v>
      </c>
      <c r="K4275" s="65" t="str">
        <f t="shared" si="1"/>
        <v>In</v>
      </c>
    </row>
    <row r="4276">
      <c r="A4276" s="62" t="s">
        <v>4414</v>
      </c>
      <c r="B4276" s="63">
        <v>44217.0</v>
      </c>
      <c r="C4276" s="62" t="s">
        <v>119</v>
      </c>
      <c r="D4276" s="64">
        <v>85.0</v>
      </c>
      <c r="E4276" s="62" t="s">
        <v>114</v>
      </c>
      <c r="F4276" s="62" t="s">
        <v>115</v>
      </c>
      <c r="G4276" s="64" t="s">
        <v>64</v>
      </c>
      <c r="H4276" s="3" t="s">
        <v>169</v>
      </c>
      <c r="I4276" s="65">
        <f>IFERROR(VLOOKUP(A4276,'3. Call duration'!$A:$C,3,0),"--")</f>
        <v>22.10362329</v>
      </c>
      <c r="J4276" s="65" t="str">
        <f t="array" ref="J4276">XLOOKUP(H4276,'2. Matching'!$A$2:$A$39,'2. Matching'!$B$2:$B$39,"--")</f>
        <v>SEO</v>
      </c>
      <c r="K4276" s="65" t="str">
        <f t="shared" si="1"/>
        <v>In</v>
      </c>
    </row>
    <row r="4277">
      <c r="A4277" s="62" t="s">
        <v>4415</v>
      </c>
      <c r="B4277" s="63">
        <v>44177.0</v>
      </c>
      <c r="C4277" s="62" t="s">
        <v>119</v>
      </c>
      <c r="D4277" s="64">
        <v>85.0</v>
      </c>
      <c r="E4277" s="62" t="s">
        <v>114</v>
      </c>
      <c r="F4277" s="62" t="s">
        <v>115</v>
      </c>
      <c r="G4277" s="64" t="s">
        <v>64</v>
      </c>
      <c r="H4277" s="3" t="s">
        <v>139</v>
      </c>
      <c r="I4277" s="65">
        <f>IFERROR(VLOOKUP(A4277,'3. Call duration'!$A:$C,3,0),"--")</f>
        <v>41.77809135</v>
      </c>
      <c r="J4277" s="65" t="str">
        <f t="array" ref="J4277">XLOOKUP(H4277,'2. Matching'!$A$2:$A$39,'2. Matching'!$B$2:$B$39,"--")</f>
        <v>Acquisition</v>
      </c>
      <c r="K4277" s="65" t="str">
        <f t="shared" si="1"/>
        <v>In</v>
      </c>
    </row>
    <row r="4278">
      <c r="A4278" s="62" t="s">
        <v>4416</v>
      </c>
      <c r="B4278" s="63">
        <v>44175.0</v>
      </c>
      <c r="C4278" s="62" t="s">
        <v>119</v>
      </c>
      <c r="D4278" s="64">
        <v>85.0</v>
      </c>
      <c r="E4278" s="62" t="s">
        <v>114</v>
      </c>
      <c r="F4278" s="62" t="s">
        <v>115</v>
      </c>
      <c r="G4278" s="64" t="s">
        <v>64</v>
      </c>
      <c r="H4278" s="3" t="s">
        <v>150</v>
      </c>
      <c r="I4278" s="65">
        <f>IFERROR(VLOOKUP(A4278,'3. Call duration'!$A:$C,3,0),"--")</f>
        <v>21.37689134</v>
      </c>
      <c r="J4278" s="65" t="str">
        <f t="array" ref="J4278">XLOOKUP(H4278,'2. Matching'!$A$2:$A$39,'2. Matching'!$B$2:$B$39,"--")</f>
        <v>SEO</v>
      </c>
      <c r="K4278" s="65" t="str">
        <f t="shared" si="1"/>
        <v>In</v>
      </c>
    </row>
    <row r="4279">
      <c r="A4279" s="62" t="s">
        <v>4417</v>
      </c>
      <c r="B4279" s="63">
        <v>44077.0</v>
      </c>
      <c r="C4279" s="62" t="s">
        <v>119</v>
      </c>
      <c r="D4279" s="64">
        <v>85.0</v>
      </c>
      <c r="E4279" s="62" t="s">
        <v>114</v>
      </c>
      <c r="F4279" s="62" t="s">
        <v>115</v>
      </c>
      <c r="G4279" s="64" t="s">
        <v>64</v>
      </c>
      <c r="H4279" s="3" t="s">
        <v>116</v>
      </c>
      <c r="I4279" s="65">
        <f>IFERROR(VLOOKUP(A4279,'3. Call duration'!$A:$C,3,0),"--")</f>
        <v>20.22935538</v>
      </c>
      <c r="J4279" s="65" t="str">
        <f t="array" ref="J4279">XLOOKUP(H4279,'2. Matching'!$A$2:$A$39,'2. Matching'!$B$2:$B$39,"--")</f>
        <v>Acquisition</v>
      </c>
      <c r="K4279" s="65" t="str">
        <f t="shared" si="1"/>
        <v>In</v>
      </c>
    </row>
    <row r="4280">
      <c r="A4280" s="62" t="s">
        <v>4418</v>
      </c>
      <c r="B4280" s="63">
        <v>44110.0</v>
      </c>
      <c r="C4280" s="62" t="s">
        <v>119</v>
      </c>
      <c r="D4280" s="64">
        <v>85.0</v>
      </c>
      <c r="E4280" s="62" t="s">
        <v>114</v>
      </c>
      <c r="F4280" s="62" t="s">
        <v>115</v>
      </c>
      <c r="G4280" s="64" t="s">
        <v>64</v>
      </c>
      <c r="H4280" s="3" t="s">
        <v>116</v>
      </c>
      <c r="I4280" s="65">
        <f>IFERROR(VLOOKUP(A4280,'3. Call duration'!$A:$C,3,0),"--")</f>
        <v>28.17015819</v>
      </c>
      <c r="J4280" s="65" t="str">
        <f t="array" ref="J4280">XLOOKUP(H4280,'2. Matching'!$A$2:$A$39,'2. Matching'!$B$2:$B$39,"--")</f>
        <v>Acquisition</v>
      </c>
      <c r="K4280" s="65" t="str">
        <f t="shared" si="1"/>
        <v>In</v>
      </c>
    </row>
    <row r="4281">
      <c r="A4281" s="62" t="s">
        <v>4419</v>
      </c>
      <c r="B4281" s="63">
        <v>44096.0</v>
      </c>
      <c r="C4281" s="62" t="s">
        <v>119</v>
      </c>
      <c r="D4281" s="64">
        <v>85.0</v>
      </c>
      <c r="E4281" s="62" t="s">
        <v>114</v>
      </c>
      <c r="F4281" s="62" t="s">
        <v>115</v>
      </c>
      <c r="G4281" s="64" t="s">
        <v>64</v>
      </c>
      <c r="H4281" s="3" t="s">
        <v>139</v>
      </c>
      <c r="I4281" s="65">
        <f>IFERROR(VLOOKUP(A4281,'3. Call duration'!$A:$C,3,0),"--")</f>
        <v>30.97094135</v>
      </c>
      <c r="J4281" s="65" t="str">
        <f t="array" ref="J4281">XLOOKUP(H4281,'2. Matching'!$A$2:$A$39,'2. Matching'!$B$2:$B$39,"--")</f>
        <v>Acquisition</v>
      </c>
      <c r="K4281" s="65" t="str">
        <f t="shared" si="1"/>
        <v>In</v>
      </c>
    </row>
    <row r="4282">
      <c r="A4282" s="62" t="s">
        <v>4420</v>
      </c>
      <c r="B4282" s="63">
        <v>44121.0</v>
      </c>
      <c r="C4282" s="62" t="s">
        <v>119</v>
      </c>
      <c r="D4282" s="64">
        <v>85.0</v>
      </c>
      <c r="E4282" s="62" t="s">
        <v>114</v>
      </c>
      <c r="F4282" s="62" t="s">
        <v>115</v>
      </c>
      <c r="G4282" s="64" t="s">
        <v>64</v>
      </c>
      <c r="H4282" s="3" t="s">
        <v>139</v>
      </c>
      <c r="I4282" s="65">
        <f>IFERROR(VLOOKUP(A4282,'3. Call duration'!$A:$C,3,0),"--")</f>
        <v>20.06923663</v>
      </c>
      <c r="J4282" s="65" t="str">
        <f t="array" ref="J4282">XLOOKUP(H4282,'2. Matching'!$A$2:$A$39,'2. Matching'!$B$2:$B$39,"--")</f>
        <v>Acquisition</v>
      </c>
      <c r="K4282" s="65" t="str">
        <f t="shared" si="1"/>
        <v>In</v>
      </c>
    </row>
    <row r="4283">
      <c r="A4283" s="62" t="s">
        <v>4421</v>
      </c>
      <c r="B4283" s="63">
        <v>44153.0</v>
      </c>
      <c r="C4283" s="62" t="s">
        <v>119</v>
      </c>
      <c r="D4283" s="64">
        <v>85.0</v>
      </c>
      <c r="E4283" s="62" t="s">
        <v>114</v>
      </c>
      <c r="F4283" s="62" t="s">
        <v>110</v>
      </c>
      <c r="G4283" s="64" t="s">
        <v>64</v>
      </c>
      <c r="H4283" s="3" t="s">
        <v>131</v>
      </c>
      <c r="I4283" s="65">
        <f>IFERROR(VLOOKUP(A4283,'3. Call duration'!$A:$C,3,0),"--")</f>
        <v>31.1449141</v>
      </c>
      <c r="J4283" s="65" t="str">
        <f t="array" ref="J4283">XLOOKUP(H4283,'2. Matching'!$A$2:$A$39,'2. Matching'!$B$2:$B$39,"--")</f>
        <v>Acquisition</v>
      </c>
      <c r="K4283" s="65" t="str">
        <f t="shared" si="1"/>
        <v>In</v>
      </c>
    </row>
    <row r="4284">
      <c r="A4284" s="62" t="s">
        <v>4422</v>
      </c>
      <c r="B4284" s="63">
        <v>44174.0</v>
      </c>
      <c r="C4284" s="62" t="s">
        <v>119</v>
      </c>
      <c r="D4284" s="64">
        <v>85.0</v>
      </c>
      <c r="E4284" s="62" t="s">
        <v>114</v>
      </c>
      <c r="F4284" s="62" t="s">
        <v>115</v>
      </c>
      <c r="G4284" s="64" t="s">
        <v>64</v>
      </c>
      <c r="H4284" s="3" t="s">
        <v>164</v>
      </c>
      <c r="I4284" s="65">
        <f>IFERROR(VLOOKUP(A4284,'3. Call duration'!$A:$C,3,0),"--")</f>
        <v>27.52544607</v>
      </c>
      <c r="J4284" s="65" t="str">
        <f t="array" ref="J4284">XLOOKUP(H4284,'2. Matching'!$A$2:$A$39,'2. Matching'!$B$2:$B$39,"--")</f>
        <v>SEO</v>
      </c>
      <c r="K4284" s="65" t="str">
        <f t="shared" si="1"/>
        <v>In</v>
      </c>
    </row>
    <row r="4285">
      <c r="A4285" s="62" t="s">
        <v>4423</v>
      </c>
      <c r="B4285" s="63">
        <v>44182.0</v>
      </c>
      <c r="C4285" s="62" t="s">
        <v>119</v>
      </c>
      <c r="D4285" s="64">
        <v>85.0</v>
      </c>
      <c r="E4285" s="62" t="s">
        <v>114</v>
      </c>
      <c r="F4285" s="62" t="s">
        <v>115</v>
      </c>
      <c r="G4285" s="64" t="s">
        <v>64</v>
      </c>
      <c r="H4285" s="3" t="s">
        <v>164</v>
      </c>
      <c r="I4285" s="65">
        <f>IFERROR(VLOOKUP(A4285,'3. Call duration'!$A:$C,3,0),"--")</f>
        <v>23.51589354</v>
      </c>
      <c r="J4285" s="65" t="str">
        <f t="array" ref="J4285">XLOOKUP(H4285,'2. Matching'!$A$2:$A$39,'2. Matching'!$B$2:$B$39,"--")</f>
        <v>SEO</v>
      </c>
      <c r="K4285" s="65" t="str">
        <f t="shared" si="1"/>
        <v>In</v>
      </c>
    </row>
    <row r="4286">
      <c r="A4286" s="62" t="s">
        <v>4424</v>
      </c>
      <c r="B4286" s="63">
        <v>44161.0</v>
      </c>
      <c r="C4286" s="62" t="s">
        <v>119</v>
      </c>
      <c r="D4286" s="64">
        <v>85.0</v>
      </c>
      <c r="E4286" s="62" t="s">
        <v>114</v>
      </c>
      <c r="F4286" s="62" t="s">
        <v>115</v>
      </c>
      <c r="G4286" s="64" t="s">
        <v>64</v>
      </c>
      <c r="H4286" s="3" t="s">
        <v>221</v>
      </c>
      <c r="I4286" s="65">
        <f>IFERROR(VLOOKUP(A4286,'3. Call duration'!$A:$C,3,0),"--")</f>
        <v>26.50619984</v>
      </c>
      <c r="J4286" s="65" t="str">
        <f t="array" ref="J4286">XLOOKUP(H4286,'2. Matching'!$A$2:$A$39,'2. Matching'!$B$2:$B$39,"--")</f>
        <v>Farming</v>
      </c>
      <c r="K4286" s="65" t="str">
        <f t="shared" si="1"/>
        <v>In</v>
      </c>
    </row>
    <row r="4287">
      <c r="A4287" s="62" t="s">
        <v>4425</v>
      </c>
      <c r="B4287" s="63">
        <v>44172.0</v>
      </c>
      <c r="C4287" s="62" t="s">
        <v>119</v>
      </c>
      <c r="D4287" s="64">
        <v>85.0</v>
      </c>
      <c r="E4287" s="62" t="s">
        <v>114</v>
      </c>
      <c r="F4287" s="62" t="s">
        <v>115</v>
      </c>
      <c r="G4287" s="64" t="s">
        <v>64</v>
      </c>
      <c r="H4287" s="3" t="s">
        <v>155</v>
      </c>
      <c r="I4287" s="65">
        <f>IFERROR(VLOOKUP(A4287,'3. Call duration'!$A:$C,3,0),"--")</f>
        <v>44.59486695</v>
      </c>
      <c r="J4287" s="65" t="str">
        <f t="array" ref="J4287">XLOOKUP(H4287,'2. Matching'!$A$2:$A$39,'2. Matching'!$B$2:$B$39,"--")</f>
        <v>SEO</v>
      </c>
      <c r="K4287" s="65" t="str">
        <f t="shared" si="1"/>
        <v>In</v>
      </c>
    </row>
    <row r="4288">
      <c r="A4288" s="62" t="s">
        <v>4426</v>
      </c>
      <c r="B4288" s="63">
        <v>44233.0</v>
      </c>
      <c r="C4288" s="62" t="s">
        <v>119</v>
      </c>
      <c r="D4288" s="64">
        <v>85.0</v>
      </c>
      <c r="E4288" s="62" t="s">
        <v>114</v>
      </c>
      <c r="F4288" s="62" t="s">
        <v>110</v>
      </c>
      <c r="G4288" s="64" t="s">
        <v>64</v>
      </c>
      <c r="H4288" s="3" t="s">
        <v>164</v>
      </c>
      <c r="I4288" s="65">
        <f>IFERROR(VLOOKUP(A4288,'3. Call duration'!$A:$C,3,0),"--")</f>
        <v>29.85513107</v>
      </c>
      <c r="J4288" s="65" t="str">
        <f t="array" ref="J4288">XLOOKUP(H4288,'2. Matching'!$A$2:$A$39,'2. Matching'!$B$2:$B$39,"--")</f>
        <v>SEO</v>
      </c>
      <c r="K4288" s="65" t="str">
        <f t="shared" si="1"/>
        <v>In</v>
      </c>
    </row>
    <row r="4289">
      <c r="A4289" s="62" t="s">
        <v>4427</v>
      </c>
      <c r="B4289" s="63">
        <v>44207.0</v>
      </c>
      <c r="C4289" s="62" t="s">
        <v>119</v>
      </c>
      <c r="D4289" s="64">
        <v>85.0</v>
      </c>
      <c r="E4289" s="62" t="s">
        <v>114</v>
      </c>
      <c r="F4289" s="62" t="s">
        <v>115</v>
      </c>
      <c r="G4289" s="64" t="s">
        <v>64</v>
      </c>
      <c r="H4289" s="3" t="s">
        <v>169</v>
      </c>
      <c r="I4289" s="65">
        <f>IFERROR(VLOOKUP(A4289,'3. Call duration'!$A:$C,3,0),"--")</f>
        <v>32.18807475</v>
      </c>
      <c r="J4289" s="65" t="str">
        <f t="array" ref="J4289">XLOOKUP(H4289,'2. Matching'!$A$2:$A$39,'2. Matching'!$B$2:$B$39,"--")</f>
        <v>SEO</v>
      </c>
      <c r="K4289" s="65" t="str">
        <f t="shared" si="1"/>
        <v>In</v>
      </c>
    </row>
    <row r="4290">
      <c r="A4290" s="62" t="s">
        <v>4428</v>
      </c>
      <c r="B4290" s="63">
        <v>44196.0</v>
      </c>
      <c r="C4290" s="62" t="s">
        <v>119</v>
      </c>
      <c r="D4290" s="64">
        <v>85.0</v>
      </c>
      <c r="E4290" s="62" t="s">
        <v>114</v>
      </c>
      <c r="F4290" s="62" t="s">
        <v>115</v>
      </c>
      <c r="G4290" s="64" t="s">
        <v>64</v>
      </c>
      <c r="H4290" s="3" t="s">
        <v>150</v>
      </c>
      <c r="I4290" s="65">
        <f>IFERROR(VLOOKUP(A4290,'3. Call duration'!$A:$C,3,0),"--")</f>
        <v>27.72603221</v>
      </c>
      <c r="J4290" s="65" t="str">
        <f t="array" ref="J4290">XLOOKUP(H4290,'2. Matching'!$A$2:$A$39,'2. Matching'!$B$2:$B$39,"--")</f>
        <v>SEO</v>
      </c>
      <c r="K4290" s="65" t="str">
        <f t="shared" si="1"/>
        <v>In</v>
      </c>
    </row>
    <row r="4291">
      <c r="A4291" s="62" t="s">
        <v>4429</v>
      </c>
      <c r="B4291" s="63">
        <v>44141.0</v>
      </c>
      <c r="C4291" s="62" t="s">
        <v>119</v>
      </c>
      <c r="D4291" s="64">
        <v>85.0</v>
      </c>
      <c r="E4291" s="62" t="s">
        <v>114</v>
      </c>
      <c r="F4291" s="62" t="s">
        <v>115</v>
      </c>
      <c r="G4291" s="64" t="s">
        <v>64</v>
      </c>
      <c r="H4291" s="3" t="s">
        <v>139</v>
      </c>
      <c r="I4291" s="65">
        <f>IFERROR(VLOOKUP(A4291,'3. Call duration'!$A:$C,3,0),"--")</f>
        <v>25.44701046</v>
      </c>
      <c r="J4291" s="65" t="str">
        <f t="array" ref="J4291">XLOOKUP(H4291,'2. Matching'!$A$2:$A$39,'2. Matching'!$B$2:$B$39,"--")</f>
        <v>Acquisition</v>
      </c>
      <c r="K4291" s="65" t="str">
        <f t="shared" si="1"/>
        <v>In</v>
      </c>
    </row>
    <row r="4292">
      <c r="A4292" s="62" t="s">
        <v>4430</v>
      </c>
      <c r="B4292" s="63">
        <v>44203.0</v>
      </c>
      <c r="C4292" s="62" t="s">
        <v>119</v>
      </c>
      <c r="D4292" s="64">
        <v>85.0</v>
      </c>
      <c r="E4292" s="62" t="s">
        <v>114</v>
      </c>
      <c r="F4292" s="62" t="s">
        <v>115</v>
      </c>
      <c r="G4292" s="64" t="s">
        <v>64</v>
      </c>
      <c r="H4292" s="3" t="s">
        <v>155</v>
      </c>
      <c r="I4292" s="65">
        <f>IFERROR(VLOOKUP(A4292,'3. Call duration'!$A:$C,3,0),"--")</f>
        <v>23.42147011</v>
      </c>
      <c r="J4292" s="65" t="str">
        <f t="array" ref="J4292">XLOOKUP(H4292,'2. Matching'!$A$2:$A$39,'2. Matching'!$B$2:$B$39,"--")</f>
        <v>SEO</v>
      </c>
      <c r="K4292" s="65" t="str">
        <f t="shared" si="1"/>
        <v>In</v>
      </c>
    </row>
    <row r="4293">
      <c r="A4293" s="62" t="s">
        <v>4431</v>
      </c>
      <c r="B4293" s="63">
        <v>44151.0</v>
      </c>
      <c r="C4293" s="62" t="s">
        <v>119</v>
      </c>
      <c r="D4293" s="64">
        <v>85.0</v>
      </c>
      <c r="E4293" s="62" t="s">
        <v>114</v>
      </c>
      <c r="F4293" s="62" t="s">
        <v>110</v>
      </c>
      <c r="G4293" s="64" t="s">
        <v>64</v>
      </c>
      <c r="H4293" s="3" t="s">
        <v>139</v>
      </c>
      <c r="I4293" s="65">
        <f>IFERROR(VLOOKUP(A4293,'3. Call duration'!$A:$C,3,0),"--")</f>
        <v>30.29664105</v>
      </c>
      <c r="J4293" s="65" t="str">
        <f t="array" ref="J4293">XLOOKUP(H4293,'2. Matching'!$A$2:$A$39,'2. Matching'!$B$2:$B$39,"--")</f>
        <v>Acquisition</v>
      </c>
      <c r="K4293" s="65" t="str">
        <f t="shared" si="1"/>
        <v>In</v>
      </c>
    </row>
    <row r="4294">
      <c r="A4294" s="62" t="s">
        <v>4432</v>
      </c>
      <c r="B4294" s="63">
        <v>44274.0</v>
      </c>
      <c r="C4294" s="62" t="s">
        <v>119</v>
      </c>
      <c r="D4294" s="64">
        <v>45.0</v>
      </c>
      <c r="E4294" s="62" t="s">
        <v>109</v>
      </c>
      <c r="F4294" s="62" t="s">
        <v>115</v>
      </c>
      <c r="G4294" s="64" t="s">
        <v>64</v>
      </c>
      <c r="H4294" s="3" t="s">
        <v>155</v>
      </c>
      <c r="I4294" s="65">
        <f>IFERROR(VLOOKUP(A4294,'3. Call duration'!$A:$C,3,0),"--")</f>
        <v>22.49670503</v>
      </c>
      <c r="J4294" s="65" t="str">
        <f t="array" ref="J4294">XLOOKUP(H4294,'2. Matching'!$A$2:$A$39,'2. Matching'!$B$2:$B$39,"--")</f>
        <v>SEO</v>
      </c>
      <c r="K4294" s="65" t="str">
        <f t="shared" si="1"/>
        <v>In</v>
      </c>
    </row>
    <row r="4295">
      <c r="A4295" s="62" t="s">
        <v>4433</v>
      </c>
      <c r="B4295" s="63">
        <v>44295.0</v>
      </c>
      <c r="C4295" s="62" t="s">
        <v>119</v>
      </c>
      <c r="D4295" s="64">
        <v>45.0</v>
      </c>
      <c r="E4295" s="62" t="s">
        <v>109</v>
      </c>
      <c r="F4295" s="62" t="s">
        <v>110</v>
      </c>
      <c r="G4295" s="64" t="s">
        <v>64</v>
      </c>
      <c r="H4295" s="3" t="s">
        <v>131</v>
      </c>
      <c r="I4295" s="65">
        <f>IFERROR(VLOOKUP(A4295,'3. Call duration'!$A:$C,3,0),"--")</f>
        <v>27.38493652</v>
      </c>
      <c r="J4295" s="65" t="str">
        <f t="array" ref="J4295">XLOOKUP(H4295,'2. Matching'!$A$2:$A$39,'2. Matching'!$B$2:$B$39,"--")</f>
        <v>Acquisition</v>
      </c>
      <c r="K4295" s="65" t="str">
        <f t="shared" si="1"/>
        <v>In</v>
      </c>
    </row>
    <row r="4296">
      <c r="A4296" s="62" t="s">
        <v>4434</v>
      </c>
      <c r="B4296" s="63">
        <v>44267.0</v>
      </c>
      <c r="C4296" s="62" t="s">
        <v>119</v>
      </c>
      <c r="D4296" s="64">
        <v>45.0</v>
      </c>
      <c r="E4296" s="62" t="s">
        <v>109</v>
      </c>
      <c r="F4296" s="62" t="s">
        <v>110</v>
      </c>
      <c r="G4296" s="64" t="s">
        <v>64</v>
      </c>
      <c r="H4296" s="3" t="s">
        <v>131</v>
      </c>
      <c r="I4296" s="65">
        <f>IFERROR(VLOOKUP(A4296,'3. Call duration'!$A:$C,3,0),"--")</f>
        <v>20.58132629</v>
      </c>
      <c r="J4296" s="65" t="str">
        <f t="array" ref="J4296">XLOOKUP(H4296,'2. Matching'!$A$2:$A$39,'2. Matching'!$B$2:$B$39,"--")</f>
        <v>Acquisition</v>
      </c>
      <c r="K4296" s="65" t="str">
        <f t="shared" si="1"/>
        <v>In</v>
      </c>
    </row>
    <row r="4297">
      <c r="A4297" s="62" t="s">
        <v>4435</v>
      </c>
      <c r="B4297" s="63">
        <v>44270.0</v>
      </c>
      <c r="C4297" s="62" t="s">
        <v>119</v>
      </c>
      <c r="D4297" s="64">
        <v>45.0</v>
      </c>
      <c r="E4297" s="62" t="s">
        <v>109</v>
      </c>
      <c r="F4297" s="62" t="s">
        <v>115</v>
      </c>
      <c r="G4297" s="64" t="s">
        <v>64</v>
      </c>
      <c r="H4297" s="3" t="s">
        <v>116</v>
      </c>
      <c r="I4297" s="65">
        <f>IFERROR(VLOOKUP(A4297,'3. Call duration'!$A:$C,3,0),"--")</f>
        <v>27.27520024</v>
      </c>
      <c r="J4297" s="65" t="str">
        <f t="array" ref="J4297">XLOOKUP(H4297,'2. Matching'!$A$2:$A$39,'2. Matching'!$B$2:$B$39,"--")</f>
        <v>Acquisition</v>
      </c>
      <c r="K4297" s="65" t="str">
        <f t="shared" si="1"/>
        <v>In</v>
      </c>
    </row>
    <row r="4298">
      <c r="A4298" s="62" t="s">
        <v>4436</v>
      </c>
      <c r="B4298" s="63">
        <v>44292.0</v>
      </c>
      <c r="C4298" s="62" t="s">
        <v>119</v>
      </c>
      <c r="D4298" s="64">
        <v>45.0</v>
      </c>
      <c r="E4298" s="62" t="s">
        <v>109</v>
      </c>
      <c r="F4298" s="62" t="s">
        <v>110</v>
      </c>
      <c r="G4298" s="64" t="s">
        <v>64</v>
      </c>
      <c r="H4298" s="3" t="s">
        <v>185</v>
      </c>
      <c r="I4298" s="65">
        <f>IFERROR(VLOOKUP(A4298,'3. Call duration'!$A:$C,3,0),"--")</f>
        <v>23.75722426</v>
      </c>
      <c r="J4298" s="65" t="str">
        <f t="array" ref="J4298">XLOOKUP(H4298,'2. Matching'!$A$2:$A$39,'2. Matching'!$B$2:$B$39,"--")</f>
        <v>SEO</v>
      </c>
      <c r="K4298" s="65" t="str">
        <f t="shared" si="1"/>
        <v>In</v>
      </c>
    </row>
    <row r="4299">
      <c r="A4299" s="62" t="s">
        <v>4437</v>
      </c>
      <c r="B4299" s="63">
        <v>44265.0</v>
      </c>
      <c r="C4299" s="62" t="s">
        <v>119</v>
      </c>
      <c r="D4299" s="64">
        <v>45.0</v>
      </c>
      <c r="E4299" s="62" t="s">
        <v>109</v>
      </c>
      <c r="F4299" s="62" t="s">
        <v>110</v>
      </c>
      <c r="G4299" s="64" t="s">
        <v>64</v>
      </c>
      <c r="H4299" s="3" t="s">
        <v>175</v>
      </c>
      <c r="I4299" s="65" t="str">
        <f>IFERROR(VLOOKUP(A4299,'3. Call duration'!$A:$C,3,0),"--")</f>
        <v>--</v>
      </c>
      <c r="J4299" s="65" t="str">
        <f t="array" ref="J4299">XLOOKUP(H4299,'2. Matching'!$A$2:$A$39,'2. Matching'!$B$2:$B$39,"--")</f>
        <v>SEO</v>
      </c>
      <c r="K4299" s="65" t="str">
        <f t="shared" si="1"/>
        <v>In</v>
      </c>
    </row>
    <row r="4300">
      <c r="A4300" s="62" t="s">
        <v>4438</v>
      </c>
      <c r="B4300" s="63">
        <v>44284.0</v>
      </c>
      <c r="C4300" s="62" t="s">
        <v>119</v>
      </c>
      <c r="D4300" s="64">
        <v>45.0</v>
      </c>
      <c r="E4300" s="62" t="s">
        <v>109</v>
      </c>
      <c r="F4300" s="62" t="s">
        <v>115</v>
      </c>
      <c r="G4300" s="64" t="s">
        <v>64</v>
      </c>
      <c r="H4300" s="3" t="s">
        <v>185</v>
      </c>
      <c r="I4300" s="65">
        <f>IFERROR(VLOOKUP(A4300,'3. Call duration'!$A:$C,3,0),"--")</f>
        <v>13.02058431</v>
      </c>
      <c r="J4300" s="65" t="str">
        <f t="array" ref="J4300">XLOOKUP(H4300,'2. Matching'!$A$2:$A$39,'2. Matching'!$B$2:$B$39,"--")</f>
        <v>SEO</v>
      </c>
      <c r="K4300" s="65" t="str">
        <f t="shared" si="1"/>
        <v>In</v>
      </c>
    </row>
    <row r="4301">
      <c r="A4301" s="62" t="s">
        <v>4439</v>
      </c>
      <c r="B4301" s="63">
        <v>44267.0</v>
      </c>
      <c r="C4301" s="62" t="s">
        <v>119</v>
      </c>
      <c r="D4301" s="64">
        <v>45.0</v>
      </c>
      <c r="E4301" s="62" t="s">
        <v>109</v>
      </c>
      <c r="F4301" s="62" t="s">
        <v>110</v>
      </c>
      <c r="G4301" s="64" t="s">
        <v>64</v>
      </c>
      <c r="H4301" s="3" t="s">
        <v>54</v>
      </c>
      <c r="I4301" s="65">
        <f>IFERROR(VLOOKUP(A4301,'3. Call duration'!$A:$C,3,0),"--")</f>
        <v>21.41374467</v>
      </c>
      <c r="J4301" s="65" t="str">
        <f t="array" ref="J4301">XLOOKUP(H4301,'2. Matching'!$A$2:$A$39,'2. Matching'!$B$2:$B$39,"--")</f>
        <v>Partnerships</v>
      </c>
      <c r="K4301" s="65" t="str">
        <f t="shared" si="1"/>
        <v>In</v>
      </c>
    </row>
    <row r="4302">
      <c r="A4302" s="62" t="s">
        <v>4440</v>
      </c>
      <c r="B4302" s="63">
        <v>44305.0</v>
      </c>
      <c r="C4302" s="62" t="s">
        <v>119</v>
      </c>
      <c r="D4302" s="64">
        <v>45.0</v>
      </c>
      <c r="E4302" s="62" t="s">
        <v>109</v>
      </c>
      <c r="F4302" s="62" t="s">
        <v>115</v>
      </c>
      <c r="G4302" s="64" t="s">
        <v>64</v>
      </c>
      <c r="H4302" s="3" t="s">
        <v>55</v>
      </c>
      <c r="I4302" s="65">
        <f>IFERROR(VLOOKUP(A4302,'3. Call duration'!$A:$C,3,0),"--")</f>
        <v>20.375098</v>
      </c>
      <c r="J4302" s="65" t="str">
        <f t="array" ref="J4302">XLOOKUP(H4302,'2. Matching'!$A$2:$A$39,'2. Matching'!$B$2:$B$39,"--")</f>
        <v>Partnerships</v>
      </c>
      <c r="K4302" s="65" t="str">
        <f t="shared" si="1"/>
        <v>In</v>
      </c>
    </row>
    <row r="4303">
      <c r="A4303" s="62" t="s">
        <v>4441</v>
      </c>
      <c r="B4303" s="63">
        <v>44274.0</v>
      </c>
      <c r="C4303" s="62" t="s">
        <v>119</v>
      </c>
      <c r="D4303" s="64">
        <v>45.0</v>
      </c>
      <c r="E4303" s="62" t="s">
        <v>109</v>
      </c>
      <c r="F4303" s="62" t="s">
        <v>115</v>
      </c>
      <c r="G4303" s="64" t="s">
        <v>64</v>
      </c>
      <c r="H4303" s="3" t="s">
        <v>155</v>
      </c>
      <c r="I4303" s="65">
        <f>IFERROR(VLOOKUP(A4303,'3. Call duration'!$A:$C,3,0),"--")</f>
        <v>28.61262996</v>
      </c>
      <c r="J4303" s="65" t="str">
        <f t="array" ref="J4303">XLOOKUP(H4303,'2. Matching'!$A$2:$A$39,'2. Matching'!$B$2:$B$39,"--")</f>
        <v>SEO</v>
      </c>
      <c r="K4303" s="65" t="str">
        <f t="shared" si="1"/>
        <v>In</v>
      </c>
    </row>
    <row r="4304">
      <c r="A4304" s="62" t="s">
        <v>4442</v>
      </c>
      <c r="B4304" s="63">
        <v>44267.0</v>
      </c>
      <c r="C4304" s="62" t="s">
        <v>119</v>
      </c>
      <c r="D4304" s="64">
        <v>45.0</v>
      </c>
      <c r="E4304" s="62" t="s">
        <v>109</v>
      </c>
      <c r="F4304" s="62" t="s">
        <v>115</v>
      </c>
      <c r="G4304" s="64" t="s">
        <v>64</v>
      </c>
      <c r="H4304" s="3" t="s">
        <v>297</v>
      </c>
      <c r="I4304" s="65" t="str">
        <f>IFERROR(VLOOKUP(A4304,'3. Call duration'!$A:$C,3,0),"--")</f>
        <v>--</v>
      </c>
      <c r="J4304" s="65" t="str">
        <f t="array" ref="J4304">XLOOKUP(H4304,'2. Matching'!$A$2:$A$39,'2. Matching'!$B$2:$B$39,"--")</f>
        <v>Farming</v>
      </c>
      <c r="K4304" s="65" t="str">
        <f t="shared" si="1"/>
        <v>In</v>
      </c>
    </row>
    <row r="4305">
      <c r="A4305" s="62" t="s">
        <v>4443</v>
      </c>
      <c r="B4305" s="63">
        <v>44265.0</v>
      </c>
      <c r="C4305" s="62" t="s">
        <v>119</v>
      </c>
      <c r="D4305" s="64">
        <v>45.0</v>
      </c>
      <c r="E4305" s="62" t="s">
        <v>109</v>
      </c>
      <c r="F4305" s="62" t="s">
        <v>110</v>
      </c>
      <c r="G4305" s="64" t="s">
        <v>64</v>
      </c>
      <c r="H4305" s="3" t="s">
        <v>175</v>
      </c>
      <c r="I4305" s="65" t="str">
        <f>IFERROR(VLOOKUP(A4305,'3. Call duration'!$A:$C,3,0),"--")</f>
        <v>--</v>
      </c>
      <c r="J4305" s="65" t="str">
        <f t="array" ref="J4305">XLOOKUP(H4305,'2. Matching'!$A$2:$A$39,'2. Matching'!$B$2:$B$39,"--")</f>
        <v>SEO</v>
      </c>
      <c r="K4305" s="65" t="str">
        <f t="shared" si="1"/>
        <v>In</v>
      </c>
    </row>
    <row r="4306">
      <c r="A4306" s="62" t="s">
        <v>4444</v>
      </c>
      <c r="B4306" s="63">
        <v>44315.0</v>
      </c>
      <c r="C4306" s="62" t="s">
        <v>119</v>
      </c>
      <c r="D4306" s="64">
        <v>45.0</v>
      </c>
      <c r="E4306" s="62" t="s">
        <v>109</v>
      </c>
      <c r="F4306" s="62" t="s">
        <v>115</v>
      </c>
      <c r="G4306" s="64" t="s">
        <v>64</v>
      </c>
      <c r="H4306" s="3" t="s">
        <v>175</v>
      </c>
      <c r="I4306" s="65">
        <f>IFERROR(VLOOKUP(A4306,'3. Call duration'!$A:$C,3,0),"--")</f>
        <v>26.57423979</v>
      </c>
      <c r="J4306" s="65" t="str">
        <f t="array" ref="J4306">XLOOKUP(H4306,'2. Matching'!$A$2:$A$39,'2. Matching'!$B$2:$B$39,"--")</f>
        <v>SEO</v>
      </c>
      <c r="K4306" s="65" t="str">
        <f t="shared" si="1"/>
        <v>In</v>
      </c>
    </row>
    <row r="4307">
      <c r="A4307" s="62" t="s">
        <v>4445</v>
      </c>
      <c r="B4307" s="63">
        <v>44315.0</v>
      </c>
      <c r="C4307" s="62" t="s">
        <v>119</v>
      </c>
      <c r="D4307" s="64">
        <v>45.0</v>
      </c>
      <c r="E4307" s="62" t="s">
        <v>109</v>
      </c>
      <c r="F4307" s="62" t="s">
        <v>110</v>
      </c>
      <c r="G4307" s="64" t="s">
        <v>64</v>
      </c>
      <c r="H4307" s="3" t="s">
        <v>221</v>
      </c>
      <c r="I4307" s="65" t="str">
        <f>IFERROR(VLOOKUP(A4307,'3. Call duration'!$A:$C,3,0),"--")</f>
        <v>--</v>
      </c>
      <c r="J4307" s="65" t="str">
        <f t="array" ref="J4307">XLOOKUP(H4307,'2. Matching'!$A$2:$A$39,'2. Matching'!$B$2:$B$39,"--")</f>
        <v>Farming</v>
      </c>
      <c r="K4307" s="65" t="str">
        <f t="shared" si="1"/>
        <v>In</v>
      </c>
    </row>
    <row r="4308">
      <c r="A4308" s="62" t="s">
        <v>4446</v>
      </c>
      <c r="B4308" s="63">
        <v>44309.0</v>
      </c>
      <c r="C4308" s="62" t="s">
        <v>119</v>
      </c>
      <c r="D4308" s="64">
        <v>45.0</v>
      </c>
      <c r="E4308" s="62" t="s">
        <v>109</v>
      </c>
      <c r="F4308" s="62" t="s">
        <v>110</v>
      </c>
      <c r="G4308" s="64" t="s">
        <v>64</v>
      </c>
      <c r="H4308" s="3" t="s">
        <v>297</v>
      </c>
      <c r="I4308" s="65">
        <f>IFERROR(VLOOKUP(A4308,'3. Call duration'!$A:$C,3,0),"--")</f>
        <v>30.27177235</v>
      </c>
      <c r="J4308" s="65" t="str">
        <f t="array" ref="J4308">XLOOKUP(H4308,'2. Matching'!$A$2:$A$39,'2. Matching'!$B$2:$B$39,"--")</f>
        <v>Farming</v>
      </c>
      <c r="K4308" s="65" t="str">
        <f t="shared" si="1"/>
        <v>In</v>
      </c>
    </row>
    <row r="4309">
      <c r="A4309" s="62" t="s">
        <v>4447</v>
      </c>
      <c r="B4309" s="63">
        <v>44274.0</v>
      </c>
      <c r="C4309" s="62" t="s">
        <v>119</v>
      </c>
      <c r="D4309" s="64">
        <v>45.0</v>
      </c>
      <c r="E4309" s="62" t="s">
        <v>109</v>
      </c>
      <c r="F4309" s="62" t="s">
        <v>115</v>
      </c>
      <c r="G4309" s="64" t="s">
        <v>64</v>
      </c>
      <c r="H4309" s="3" t="s">
        <v>131</v>
      </c>
      <c r="I4309" s="65">
        <f>IFERROR(VLOOKUP(A4309,'3. Call duration'!$A:$C,3,0),"--")</f>
        <v>30.54201599</v>
      </c>
      <c r="J4309" s="65" t="str">
        <f t="array" ref="J4309">XLOOKUP(H4309,'2. Matching'!$A$2:$A$39,'2. Matching'!$B$2:$B$39,"--")</f>
        <v>Acquisition</v>
      </c>
      <c r="K4309" s="65" t="str">
        <f t="shared" si="1"/>
        <v>In</v>
      </c>
    </row>
    <row r="4310">
      <c r="A4310" s="62" t="s">
        <v>4448</v>
      </c>
      <c r="B4310" s="63">
        <v>44294.0</v>
      </c>
      <c r="C4310" s="62" t="s">
        <v>119</v>
      </c>
      <c r="D4310" s="64">
        <v>45.0</v>
      </c>
      <c r="E4310" s="62" t="s">
        <v>109</v>
      </c>
      <c r="F4310" s="62" t="s">
        <v>110</v>
      </c>
      <c r="G4310" s="64" t="s">
        <v>63</v>
      </c>
      <c r="H4310" s="3" t="s">
        <v>128</v>
      </c>
      <c r="I4310" s="65">
        <f>IFERROR(VLOOKUP(A4310,'3. Call duration'!$A:$C,3,0),"--")</f>
        <v>36.54312364</v>
      </c>
      <c r="J4310" s="65" t="str">
        <f t="array" ref="J4310">XLOOKUP(H4310,'2. Matching'!$A$2:$A$39,'2. Matching'!$B$2:$B$39,"--")</f>
        <v>Acquisition</v>
      </c>
      <c r="K4310" s="65" t="str">
        <f t="shared" si="1"/>
        <v>In</v>
      </c>
    </row>
    <row r="4311">
      <c r="A4311" s="62" t="s">
        <v>4449</v>
      </c>
      <c r="B4311" s="63">
        <v>44316.0</v>
      </c>
      <c r="C4311" s="62" t="s">
        <v>119</v>
      </c>
      <c r="D4311" s="64">
        <v>45.0</v>
      </c>
      <c r="E4311" s="62" t="s">
        <v>109</v>
      </c>
      <c r="F4311" s="62" t="s">
        <v>110</v>
      </c>
      <c r="G4311" s="64" t="s">
        <v>64</v>
      </c>
      <c r="H4311" s="3" t="s">
        <v>131</v>
      </c>
      <c r="I4311" s="65">
        <f>IFERROR(VLOOKUP(A4311,'3. Call duration'!$A:$C,3,0),"--")</f>
        <v>25.01255658</v>
      </c>
      <c r="J4311" s="65" t="str">
        <f t="array" ref="J4311">XLOOKUP(H4311,'2. Matching'!$A$2:$A$39,'2. Matching'!$B$2:$B$39,"--")</f>
        <v>Acquisition</v>
      </c>
      <c r="K4311" s="65" t="str">
        <f t="shared" si="1"/>
        <v>In</v>
      </c>
    </row>
    <row r="4312">
      <c r="A4312" s="62" t="s">
        <v>4450</v>
      </c>
      <c r="B4312" s="63">
        <v>44288.0</v>
      </c>
      <c r="C4312" s="62" t="s">
        <v>119</v>
      </c>
      <c r="D4312" s="64">
        <v>45.0</v>
      </c>
      <c r="E4312" s="62" t="s">
        <v>109</v>
      </c>
      <c r="F4312" s="62" t="s">
        <v>115</v>
      </c>
      <c r="G4312" s="64" t="s">
        <v>64</v>
      </c>
      <c r="H4312" s="3" t="s">
        <v>49</v>
      </c>
      <c r="I4312" s="65">
        <f>IFERROR(VLOOKUP(A4312,'3. Call duration'!$A:$C,3,0),"--")</f>
        <v>23.38427036</v>
      </c>
      <c r="J4312" s="65" t="str">
        <f t="array" ref="J4312">XLOOKUP(H4312,'2. Matching'!$A$2:$A$39,'2. Matching'!$B$2:$B$39,"--")</f>
        <v>Partnerships</v>
      </c>
      <c r="K4312" s="65" t="str">
        <f t="shared" si="1"/>
        <v>In</v>
      </c>
    </row>
    <row r="4313">
      <c r="A4313" s="62" t="s">
        <v>4451</v>
      </c>
      <c r="B4313" s="63">
        <v>44300.0</v>
      </c>
      <c r="C4313" s="62" t="s">
        <v>119</v>
      </c>
      <c r="D4313" s="64">
        <v>45.0</v>
      </c>
      <c r="E4313" s="62" t="s">
        <v>109</v>
      </c>
      <c r="F4313" s="62" t="s">
        <v>115</v>
      </c>
      <c r="G4313" s="64" t="s">
        <v>64</v>
      </c>
      <c r="H4313" s="3" t="s">
        <v>131</v>
      </c>
      <c r="I4313" s="65">
        <f>IFERROR(VLOOKUP(A4313,'3. Call duration'!$A:$C,3,0),"--")</f>
        <v>14.4079741</v>
      </c>
      <c r="J4313" s="65" t="str">
        <f t="array" ref="J4313">XLOOKUP(H4313,'2. Matching'!$A$2:$A$39,'2. Matching'!$B$2:$B$39,"--")</f>
        <v>Acquisition</v>
      </c>
      <c r="K4313" s="65" t="str">
        <f t="shared" si="1"/>
        <v>In</v>
      </c>
    </row>
    <row r="4314">
      <c r="A4314" s="62" t="s">
        <v>4452</v>
      </c>
      <c r="B4314" s="63">
        <v>44259.0</v>
      </c>
      <c r="C4314" s="62" t="s">
        <v>119</v>
      </c>
      <c r="D4314" s="64">
        <v>45.0</v>
      </c>
      <c r="E4314" s="62" t="s">
        <v>109</v>
      </c>
      <c r="F4314" s="62" t="s">
        <v>115</v>
      </c>
      <c r="G4314" s="64" t="s">
        <v>64</v>
      </c>
      <c r="H4314" s="3" t="s">
        <v>155</v>
      </c>
      <c r="I4314" s="65">
        <f>IFERROR(VLOOKUP(A4314,'3. Call duration'!$A:$C,3,0),"--")</f>
        <v>29.1823759</v>
      </c>
      <c r="J4314" s="65" t="str">
        <f t="array" ref="J4314">XLOOKUP(H4314,'2. Matching'!$A$2:$A$39,'2. Matching'!$B$2:$B$39,"--")</f>
        <v>SEO</v>
      </c>
      <c r="K4314" s="65" t="str">
        <f t="shared" si="1"/>
        <v>In</v>
      </c>
    </row>
    <row r="4315">
      <c r="A4315" s="62" t="s">
        <v>4453</v>
      </c>
      <c r="B4315" s="63">
        <v>44280.0</v>
      </c>
      <c r="C4315" s="62" t="s">
        <v>119</v>
      </c>
      <c r="D4315" s="64">
        <v>45.0</v>
      </c>
      <c r="E4315" s="62" t="s">
        <v>109</v>
      </c>
      <c r="F4315" s="62" t="s">
        <v>115</v>
      </c>
      <c r="G4315" s="64" t="s">
        <v>64</v>
      </c>
      <c r="H4315" s="3" t="s">
        <v>141</v>
      </c>
      <c r="I4315" s="65">
        <f>IFERROR(VLOOKUP(A4315,'3. Call duration'!$A:$C,3,0),"--")</f>
        <v>50.41133086</v>
      </c>
      <c r="J4315" s="65" t="str">
        <f t="array" ref="J4315">XLOOKUP(H4315,'2. Matching'!$A$2:$A$39,'2. Matching'!$B$2:$B$39,"--")</f>
        <v>Acquisition</v>
      </c>
      <c r="K4315" s="65" t="str">
        <f t="shared" si="1"/>
        <v>In</v>
      </c>
    </row>
    <row r="4316">
      <c r="A4316" s="62" t="s">
        <v>4454</v>
      </c>
      <c r="B4316" s="63">
        <v>44263.0</v>
      </c>
      <c r="C4316" s="62" t="s">
        <v>119</v>
      </c>
      <c r="D4316" s="64">
        <v>45.0</v>
      </c>
      <c r="E4316" s="62" t="s">
        <v>109</v>
      </c>
      <c r="F4316" s="62" t="s">
        <v>110</v>
      </c>
      <c r="G4316" s="64" t="s">
        <v>64</v>
      </c>
      <c r="H4316" s="3" t="s">
        <v>297</v>
      </c>
      <c r="I4316" s="65">
        <f>IFERROR(VLOOKUP(A4316,'3. Call duration'!$A:$C,3,0),"--")</f>
        <v>26.70899078</v>
      </c>
      <c r="J4316" s="65" t="str">
        <f t="array" ref="J4316">XLOOKUP(H4316,'2. Matching'!$A$2:$A$39,'2. Matching'!$B$2:$B$39,"--")</f>
        <v>Farming</v>
      </c>
      <c r="K4316" s="65" t="str">
        <f t="shared" si="1"/>
        <v>In</v>
      </c>
    </row>
    <row r="4317">
      <c r="A4317" s="62" t="s">
        <v>4455</v>
      </c>
      <c r="B4317" s="63">
        <v>44298.0</v>
      </c>
      <c r="C4317" s="62" t="s">
        <v>119</v>
      </c>
      <c r="D4317" s="64">
        <v>45.0</v>
      </c>
      <c r="E4317" s="62" t="s">
        <v>109</v>
      </c>
      <c r="F4317" s="62" t="s">
        <v>115</v>
      </c>
      <c r="G4317" s="64" t="s">
        <v>64</v>
      </c>
      <c r="H4317" s="3" t="s">
        <v>116</v>
      </c>
      <c r="I4317" s="65">
        <f>IFERROR(VLOOKUP(A4317,'3. Call duration'!$A:$C,3,0),"--")</f>
        <v>31.31977209</v>
      </c>
      <c r="J4317" s="65" t="str">
        <f t="array" ref="J4317">XLOOKUP(H4317,'2. Matching'!$A$2:$A$39,'2. Matching'!$B$2:$B$39,"--")</f>
        <v>Acquisition</v>
      </c>
      <c r="K4317" s="65" t="str">
        <f t="shared" si="1"/>
        <v>In</v>
      </c>
    </row>
    <row r="4318">
      <c r="A4318" s="62" t="s">
        <v>4456</v>
      </c>
      <c r="B4318" s="63">
        <v>44270.0</v>
      </c>
      <c r="C4318" s="62" t="s">
        <v>119</v>
      </c>
      <c r="D4318" s="64">
        <v>45.0</v>
      </c>
      <c r="E4318" s="62" t="s">
        <v>109</v>
      </c>
      <c r="F4318" s="62" t="s">
        <v>115</v>
      </c>
      <c r="G4318" s="64" t="s">
        <v>64</v>
      </c>
      <c r="H4318" s="3" t="s">
        <v>139</v>
      </c>
      <c r="I4318" s="65">
        <f>IFERROR(VLOOKUP(A4318,'3. Call duration'!$A:$C,3,0),"--")</f>
        <v>32.71492615</v>
      </c>
      <c r="J4318" s="65" t="str">
        <f t="array" ref="J4318">XLOOKUP(H4318,'2. Matching'!$A$2:$A$39,'2. Matching'!$B$2:$B$39,"--")</f>
        <v>Acquisition</v>
      </c>
      <c r="K4318" s="65" t="str">
        <f t="shared" si="1"/>
        <v>In</v>
      </c>
    </row>
    <row r="4319">
      <c r="A4319" s="62" t="s">
        <v>4457</v>
      </c>
      <c r="B4319" s="63">
        <v>44298.0</v>
      </c>
      <c r="C4319" s="62" t="s">
        <v>119</v>
      </c>
      <c r="D4319" s="64">
        <v>45.0</v>
      </c>
      <c r="E4319" s="62" t="s">
        <v>109</v>
      </c>
      <c r="F4319" s="62" t="s">
        <v>115</v>
      </c>
      <c r="G4319" s="64" t="s">
        <v>112</v>
      </c>
      <c r="H4319" s="3"/>
      <c r="I4319" s="65">
        <f>IFERROR(VLOOKUP(A4319,'3. Call duration'!$A:$C,3,0),"--")</f>
        <v>23.01990247</v>
      </c>
      <c r="J4319" s="65" t="str">
        <f t="array" ref="J4319">XLOOKUP(H4319,'2. Matching'!$A$2:$A$39,'2. Matching'!$B$2:$B$39,"--")</f>
        <v>--</v>
      </c>
      <c r="K4319" s="65" t="str">
        <f t="shared" si="1"/>
        <v>In</v>
      </c>
    </row>
    <row r="4320">
      <c r="A4320" s="62" t="s">
        <v>4458</v>
      </c>
      <c r="B4320" s="63">
        <v>44295.0</v>
      </c>
      <c r="C4320" s="62" t="s">
        <v>119</v>
      </c>
      <c r="D4320" s="64">
        <v>45.0</v>
      </c>
      <c r="E4320" s="62" t="s">
        <v>109</v>
      </c>
      <c r="F4320" s="62" t="s">
        <v>110</v>
      </c>
      <c r="G4320" s="64" t="s">
        <v>63</v>
      </c>
      <c r="H4320" s="3" t="s">
        <v>189</v>
      </c>
      <c r="I4320" s="65">
        <f>IFERROR(VLOOKUP(A4320,'3. Call duration'!$A:$C,3,0),"--")</f>
        <v>22.53958426</v>
      </c>
      <c r="J4320" s="65" t="str">
        <f t="array" ref="J4320">XLOOKUP(H4320,'2. Matching'!$A$2:$A$39,'2. Matching'!$B$2:$B$39,"--")</f>
        <v>SEO</v>
      </c>
      <c r="K4320" s="65" t="str">
        <f t="shared" si="1"/>
        <v>Out</v>
      </c>
    </row>
    <row r="4321">
      <c r="A4321" s="62" t="s">
        <v>4459</v>
      </c>
      <c r="B4321" s="63">
        <v>44277.0</v>
      </c>
      <c r="C4321" s="62" t="s">
        <v>119</v>
      </c>
      <c r="D4321" s="64">
        <v>45.0</v>
      </c>
      <c r="E4321" s="62" t="s">
        <v>109</v>
      </c>
      <c r="F4321" s="62" t="s">
        <v>110</v>
      </c>
      <c r="G4321" s="64" t="s">
        <v>64</v>
      </c>
      <c r="H4321" s="3" t="s">
        <v>185</v>
      </c>
      <c r="I4321" s="65">
        <f>IFERROR(VLOOKUP(A4321,'3. Call duration'!$A:$C,3,0),"--")</f>
        <v>30.8390337</v>
      </c>
      <c r="J4321" s="65" t="str">
        <f t="array" ref="J4321">XLOOKUP(H4321,'2. Matching'!$A$2:$A$39,'2. Matching'!$B$2:$B$39,"--")</f>
        <v>SEO</v>
      </c>
      <c r="K4321" s="65" t="str">
        <f t="shared" si="1"/>
        <v>In</v>
      </c>
    </row>
    <row r="4322">
      <c r="A4322" s="62" t="s">
        <v>4460</v>
      </c>
      <c r="B4322" s="63">
        <v>44284.0</v>
      </c>
      <c r="C4322" s="62" t="s">
        <v>119</v>
      </c>
      <c r="D4322" s="64">
        <v>45.0</v>
      </c>
      <c r="E4322" s="62" t="s">
        <v>109</v>
      </c>
      <c r="F4322" s="62" t="s">
        <v>115</v>
      </c>
      <c r="G4322" s="64" t="s">
        <v>64</v>
      </c>
      <c r="H4322" s="3" t="s">
        <v>164</v>
      </c>
      <c r="I4322" s="65">
        <f>IFERROR(VLOOKUP(A4322,'3. Call duration'!$A:$C,3,0),"--")</f>
        <v>30.85005935</v>
      </c>
      <c r="J4322" s="65" t="str">
        <f t="array" ref="J4322">XLOOKUP(H4322,'2. Matching'!$A$2:$A$39,'2. Matching'!$B$2:$B$39,"--")</f>
        <v>SEO</v>
      </c>
      <c r="K4322" s="65" t="str">
        <f t="shared" si="1"/>
        <v>In</v>
      </c>
    </row>
    <row r="4323">
      <c r="A4323" s="62" t="s">
        <v>4461</v>
      </c>
      <c r="B4323" s="63">
        <v>44271.0</v>
      </c>
      <c r="C4323" s="62" t="s">
        <v>119</v>
      </c>
      <c r="D4323" s="64">
        <v>45.0</v>
      </c>
      <c r="E4323" s="62" t="s">
        <v>109</v>
      </c>
      <c r="F4323" s="62" t="s">
        <v>110</v>
      </c>
      <c r="G4323" s="64" t="s">
        <v>64</v>
      </c>
      <c r="H4323" s="3" t="s">
        <v>116</v>
      </c>
      <c r="I4323" s="65">
        <f>IFERROR(VLOOKUP(A4323,'3. Call duration'!$A:$C,3,0),"--")</f>
        <v>23.33144321</v>
      </c>
      <c r="J4323" s="65" t="str">
        <f t="array" ref="J4323">XLOOKUP(H4323,'2. Matching'!$A$2:$A$39,'2. Matching'!$B$2:$B$39,"--")</f>
        <v>Acquisition</v>
      </c>
      <c r="K4323" s="65" t="str">
        <f t="shared" si="1"/>
        <v>In</v>
      </c>
    </row>
    <row r="4324">
      <c r="A4324" s="62" t="s">
        <v>4462</v>
      </c>
      <c r="B4324" s="63">
        <v>44286.0</v>
      </c>
      <c r="C4324" s="62" t="s">
        <v>119</v>
      </c>
      <c r="D4324" s="64">
        <v>45.0</v>
      </c>
      <c r="E4324" s="62" t="s">
        <v>109</v>
      </c>
      <c r="F4324" s="62" t="s">
        <v>110</v>
      </c>
      <c r="G4324" s="64" t="s">
        <v>64</v>
      </c>
      <c r="H4324" s="3" t="s">
        <v>297</v>
      </c>
      <c r="I4324" s="65">
        <f>IFERROR(VLOOKUP(A4324,'3. Call duration'!$A:$C,3,0),"--")</f>
        <v>27.76341476</v>
      </c>
      <c r="J4324" s="65" t="str">
        <f t="array" ref="J4324">XLOOKUP(H4324,'2. Matching'!$A$2:$A$39,'2. Matching'!$B$2:$B$39,"--")</f>
        <v>Farming</v>
      </c>
      <c r="K4324" s="65" t="str">
        <f t="shared" si="1"/>
        <v>In</v>
      </c>
    </row>
    <row r="4325">
      <c r="A4325" s="62" t="s">
        <v>4463</v>
      </c>
      <c r="B4325" s="63">
        <v>44274.0</v>
      </c>
      <c r="C4325" s="62" t="s">
        <v>119</v>
      </c>
      <c r="D4325" s="64">
        <v>45.0</v>
      </c>
      <c r="E4325" s="62" t="s">
        <v>109</v>
      </c>
      <c r="F4325" s="62" t="s">
        <v>110</v>
      </c>
      <c r="G4325" s="64" t="s">
        <v>64</v>
      </c>
      <c r="H4325" s="3" t="s">
        <v>116</v>
      </c>
      <c r="I4325" s="65">
        <f>IFERROR(VLOOKUP(A4325,'3. Call duration'!$A:$C,3,0),"--")</f>
        <v>33.26125511</v>
      </c>
      <c r="J4325" s="65" t="str">
        <f t="array" ref="J4325">XLOOKUP(H4325,'2. Matching'!$A$2:$A$39,'2. Matching'!$B$2:$B$39,"--")</f>
        <v>Acquisition</v>
      </c>
      <c r="K4325" s="65" t="str">
        <f t="shared" si="1"/>
        <v>In</v>
      </c>
    </row>
    <row r="4326">
      <c r="A4326" s="62" t="s">
        <v>4464</v>
      </c>
      <c r="B4326" s="63">
        <v>44286.0</v>
      </c>
      <c r="C4326" s="62" t="s">
        <v>119</v>
      </c>
      <c r="D4326" s="64">
        <v>45.0</v>
      </c>
      <c r="E4326" s="62" t="s">
        <v>109</v>
      </c>
      <c r="F4326" s="62" t="s">
        <v>110</v>
      </c>
      <c r="G4326" s="64" t="s">
        <v>64</v>
      </c>
      <c r="H4326" s="3" t="s">
        <v>297</v>
      </c>
      <c r="I4326" s="65">
        <f>IFERROR(VLOOKUP(A4326,'3. Call duration'!$A:$C,3,0),"--")</f>
        <v>29.58566491</v>
      </c>
      <c r="J4326" s="65" t="str">
        <f t="array" ref="J4326">XLOOKUP(H4326,'2. Matching'!$A$2:$A$39,'2. Matching'!$B$2:$B$39,"--")</f>
        <v>Farming</v>
      </c>
      <c r="K4326" s="65" t="str">
        <f t="shared" si="1"/>
        <v>In</v>
      </c>
    </row>
    <row r="4327">
      <c r="A4327" s="62" t="s">
        <v>4465</v>
      </c>
      <c r="B4327" s="63">
        <v>44279.0</v>
      </c>
      <c r="C4327" s="62" t="s">
        <v>119</v>
      </c>
      <c r="D4327" s="64">
        <v>45.0</v>
      </c>
      <c r="E4327" s="62" t="s">
        <v>109</v>
      </c>
      <c r="F4327" s="62" t="s">
        <v>115</v>
      </c>
      <c r="G4327" s="64" t="s">
        <v>64</v>
      </c>
      <c r="H4327" s="3" t="s">
        <v>169</v>
      </c>
      <c r="I4327" s="65">
        <f>IFERROR(VLOOKUP(A4327,'3. Call duration'!$A:$C,3,0),"--")</f>
        <v>26.9902099</v>
      </c>
      <c r="J4327" s="65" t="str">
        <f t="array" ref="J4327">XLOOKUP(H4327,'2. Matching'!$A$2:$A$39,'2. Matching'!$B$2:$B$39,"--")</f>
        <v>SEO</v>
      </c>
      <c r="K4327" s="65" t="str">
        <f t="shared" si="1"/>
        <v>In</v>
      </c>
    </row>
    <row r="4328">
      <c r="A4328" s="62" t="s">
        <v>4466</v>
      </c>
      <c r="B4328" s="63">
        <v>44257.0</v>
      </c>
      <c r="C4328" s="62" t="s">
        <v>119</v>
      </c>
      <c r="D4328" s="64">
        <v>45.0</v>
      </c>
      <c r="E4328" s="62" t="s">
        <v>109</v>
      </c>
      <c r="F4328" s="62" t="s">
        <v>115</v>
      </c>
      <c r="G4328" s="64" t="s">
        <v>64</v>
      </c>
      <c r="H4328" s="3" t="s">
        <v>139</v>
      </c>
      <c r="I4328" s="65">
        <f>IFERROR(VLOOKUP(A4328,'3. Call duration'!$A:$C,3,0),"--")</f>
        <v>29.18102337</v>
      </c>
      <c r="J4328" s="65" t="str">
        <f t="array" ref="J4328">XLOOKUP(H4328,'2. Matching'!$A$2:$A$39,'2. Matching'!$B$2:$B$39,"--")</f>
        <v>Acquisition</v>
      </c>
      <c r="K4328" s="65" t="str">
        <f t="shared" si="1"/>
        <v>In</v>
      </c>
    </row>
    <row r="4329">
      <c r="A4329" s="62" t="s">
        <v>4467</v>
      </c>
      <c r="B4329" s="63">
        <v>44298.0</v>
      </c>
      <c r="C4329" s="62" t="s">
        <v>119</v>
      </c>
      <c r="D4329" s="64">
        <v>45.0</v>
      </c>
      <c r="E4329" s="62" t="s">
        <v>109</v>
      </c>
      <c r="F4329" s="62" t="s">
        <v>115</v>
      </c>
      <c r="G4329" s="64" t="s">
        <v>63</v>
      </c>
      <c r="H4329" s="3" t="s">
        <v>128</v>
      </c>
      <c r="I4329" s="65">
        <f>IFERROR(VLOOKUP(A4329,'3. Call duration'!$A:$C,3,0),"--")</f>
        <v>33.014704</v>
      </c>
      <c r="J4329" s="65" t="str">
        <f t="array" ref="J4329">XLOOKUP(H4329,'2. Matching'!$A$2:$A$39,'2. Matching'!$B$2:$B$39,"--")</f>
        <v>Acquisition</v>
      </c>
      <c r="K4329" s="65" t="str">
        <f t="shared" si="1"/>
        <v>In</v>
      </c>
    </row>
    <row r="4330">
      <c r="A4330" s="62" t="s">
        <v>4468</v>
      </c>
      <c r="B4330" s="63">
        <v>44267.0</v>
      </c>
      <c r="C4330" s="62" t="s">
        <v>119</v>
      </c>
      <c r="D4330" s="64">
        <v>45.0</v>
      </c>
      <c r="E4330" s="62" t="s">
        <v>109</v>
      </c>
      <c r="F4330" s="62" t="s">
        <v>115</v>
      </c>
      <c r="G4330" s="64" t="s">
        <v>64</v>
      </c>
      <c r="H4330" s="3" t="s">
        <v>169</v>
      </c>
      <c r="I4330" s="65">
        <f>IFERROR(VLOOKUP(A4330,'3. Call duration'!$A:$C,3,0),"--")</f>
        <v>22.66173386</v>
      </c>
      <c r="J4330" s="65" t="str">
        <f t="array" ref="J4330">XLOOKUP(H4330,'2. Matching'!$A$2:$A$39,'2. Matching'!$B$2:$B$39,"--")</f>
        <v>SEO</v>
      </c>
      <c r="K4330" s="65" t="str">
        <f t="shared" si="1"/>
        <v>In</v>
      </c>
    </row>
    <row r="4331">
      <c r="A4331" s="62" t="s">
        <v>4469</v>
      </c>
      <c r="B4331" s="63">
        <v>44307.0</v>
      </c>
      <c r="C4331" s="62" t="s">
        <v>119</v>
      </c>
      <c r="D4331" s="64">
        <v>45.0</v>
      </c>
      <c r="E4331" s="62" t="s">
        <v>109</v>
      </c>
      <c r="F4331" s="62" t="s">
        <v>115</v>
      </c>
      <c r="G4331" s="64" t="s">
        <v>64</v>
      </c>
      <c r="H4331" s="3" t="s">
        <v>221</v>
      </c>
      <c r="I4331" s="65">
        <f>IFERROR(VLOOKUP(A4331,'3. Call duration'!$A:$C,3,0),"--")</f>
        <v>15.62806424</v>
      </c>
      <c r="J4331" s="65" t="str">
        <f t="array" ref="J4331">XLOOKUP(H4331,'2. Matching'!$A$2:$A$39,'2. Matching'!$B$2:$B$39,"--")</f>
        <v>Farming</v>
      </c>
      <c r="K4331" s="65" t="str">
        <f t="shared" si="1"/>
        <v>In</v>
      </c>
    </row>
    <row r="4332">
      <c r="A4332" s="62" t="s">
        <v>4470</v>
      </c>
      <c r="B4332" s="63">
        <v>44314.0</v>
      </c>
      <c r="C4332" s="62" t="s">
        <v>119</v>
      </c>
      <c r="D4332" s="64">
        <v>45.0</v>
      </c>
      <c r="E4332" s="62" t="s">
        <v>109</v>
      </c>
      <c r="F4332" s="62" t="s">
        <v>110</v>
      </c>
      <c r="G4332" s="64" t="s">
        <v>64</v>
      </c>
      <c r="H4332" s="3" t="s">
        <v>131</v>
      </c>
      <c r="I4332" s="65" t="str">
        <f>IFERROR(VLOOKUP(A4332,'3. Call duration'!$A:$C,3,0),"--")</f>
        <v>--</v>
      </c>
      <c r="J4332" s="65" t="str">
        <f t="array" ref="J4332">XLOOKUP(H4332,'2. Matching'!$A$2:$A$39,'2. Matching'!$B$2:$B$39,"--")</f>
        <v>Acquisition</v>
      </c>
      <c r="K4332" s="65" t="str">
        <f t="shared" si="1"/>
        <v>In</v>
      </c>
    </row>
    <row r="4333">
      <c r="A4333" s="62" t="s">
        <v>4471</v>
      </c>
      <c r="B4333" s="63">
        <v>44315.0</v>
      </c>
      <c r="C4333" s="62" t="s">
        <v>119</v>
      </c>
      <c r="D4333" s="64">
        <v>45.0</v>
      </c>
      <c r="E4333" s="62" t="s">
        <v>109</v>
      </c>
      <c r="F4333" s="62" t="s">
        <v>110</v>
      </c>
      <c r="G4333" s="64" t="s">
        <v>64</v>
      </c>
      <c r="H4333" s="3" t="s">
        <v>297</v>
      </c>
      <c r="I4333" s="65" t="str">
        <f>IFERROR(VLOOKUP(A4333,'3. Call duration'!$A:$C,3,0),"--")</f>
        <v>--</v>
      </c>
      <c r="J4333" s="65" t="str">
        <f t="array" ref="J4333">XLOOKUP(H4333,'2. Matching'!$A$2:$A$39,'2. Matching'!$B$2:$B$39,"--")</f>
        <v>Farming</v>
      </c>
      <c r="K4333" s="65" t="str">
        <f t="shared" si="1"/>
        <v>In</v>
      </c>
    </row>
    <row r="4334">
      <c r="A4334" s="62" t="s">
        <v>4472</v>
      </c>
      <c r="B4334" s="63">
        <v>44301.0</v>
      </c>
      <c r="C4334" s="62" t="s">
        <v>119</v>
      </c>
      <c r="D4334" s="64">
        <v>45.0</v>
      </c>
      <c r="E4334" s="62" t="s">
        <v>109</v>
      </c>
      <c r="F4334" s="62" t="s">
        <v>115</v>
      </c>
      <c r="G4334" s="64" t="s">
        <v>64</v>
      </c>
      <c r="H4334" s="3" t="s">
        <v>155</v>
      </c>
      <c r="I4334" s="65">
        <f>IFERROR(VLOOKUP(A4334,'3. Call duration'!$A:$C,3,0),"--")</f>
        <v>35.67795194</v>
      </c>
      <c r="J4334" s="65" t="str">
        <f t="array" ref="J4334">XLOOKUP(H4334,'2. Matching'!$A$2:$A$39,'2. Matching'!$B$2:$B$39,"--")</f>
        <v>SEO</v>
      </c>
      <c r="K4334" s="65" t="str">
        <f t="shared" si="1"/>
        <v>In</v>
      </c>
    </row>
    <row r="4335">
      <c r="A4335" s="62" t="s">
        <v>4473</v>
      </c>
      <c r="B4335" s="63">
        <v>44315.0</v>
      </c>
      <c r="C4335" s="62" t="s">
        <v>119</v>
      </c>
      <c r="D4335" s="64">
        <v>45.0</v>
      </c>
      <c r="E4335" s="62" t="s">
        <v>109</v>
      </c>
      <c r="F4335" s="62" t="s">
        <v>110</v>
      </c>
      <c r="G4335" s="64" t="s">
        <v>64</v>
      </c>
      <c r="H4335" s="3" t="s">
        <v>175</v>
      </c>
      <c r="I4335" s="65">
        <f>IFERROR(VLOOKUP(A4335,'3. Call duration'!$A:$C,3,0),"--")</f>
        <v>29.28947251</v>
      </c>
      <c r="J4335" s="65" t="str">
        <f t="array" ref="J4335">XLOOKUP(H4335,'2. Matching'!$A$2:$A$39,'2. Matching'!$B$2:$B$39,"--")</f>
        <v>SEO</v>
      </c>
      <c r="K4335" s="65" t="str">
        <f t="shared" si="1"/>
        <v>In</v>
      </c>
    </row>
    <row r="4336">
      <c r="A4336" s="62" t="s">
        <v>4474</v>
      </c>
      <c r="B4336" s="63">
        <v>44281.0</v>
      </c>
      <c r="C4336" s="62" t="s">
        <v>119</v>
      </c>
      <c r="D4336" s="64">
        <v>45.0</v>
      </c>
      <c r="E4336" s="62" t="s">
        <v>109</v>
      </c>
      <c r="F4336" s="62" t="s">
        <v>115</v>
      </c>
      <c r="G4336" s="64" t="s">
        <v>64</v>
      </c>
      <c r="H4336" s="3" t="s">
        <v>169</v>
      </c>
      <c r="I4336" s="65">
        <f>IFERROR(VLOOKUP(A4336,'3. Call duration'!$A:$C,3,0),"--")</f>
        <v>22.13015208</v>
      </c>
      <c r="J4336" s="65" t="str">
        <f t="array" ref="J4336">XLOOKUP(H4336,'2. Matching'!$A$2:$A$39,'2. Matching'!$B$2:$B$39,"--")</f>
        <v>SEO</v>
      </c>
      <c r="K4336" s="65" t="str">
        <f t="shared" si="1"/>
        <v>In</v>
      </c>
    </row>
    <row r="4337">
      <c r="A4337" s="62" t="s">
        <v>4475</v>
      </c>
      <c r="B4337" s="63">
        <v>44268.0</v>
      </c>
      <c r="C4337" s="62" t="s">
        <v>119</v>
      </c>
      <c r="D4337" s="64">
        <v>45.0</v>
      </c>
      <c r="E4337" s="62" t="s">
        <v>109</v>
      </c>
      <c r="F4337" s="62" t="s">
        <v>115</v>
      </c>
      <c r="G4337" s="64" t="s">
        <v>64</v>
      </c>
      <c r="H4337" s="3" t="s">
        <v>139</v>
      </c>
      <c r="I4337" s="65">
        <f>IFERROR(VLOOKUP(A4337,'3. Call duration'!$A:$C,3,0),"--")</f>
        <v>33.43178057</v>
      </c>
      <c r="J4337" s="65" t="str">
        <f t="array" ref="J4337">XLOOKUP(H4337,'2. Matching'!$A$2:$A$39,'2. Matching'!$B$2:$B$39,"--")</f>
        <v>Acquisition</v>
      </c>
      <c r="K4337" s="65" t="str">
        <f t="shared" si="1"/>
        <v>In</v>
      </c>
    </row>
    <row r="4338">
      <c r="A4338" s="62" t="s">
        <v>4476</v>
      </c>
      <c r="B4338" s="63">
        <v>44257.0</v>
      </c>
      <c r="C4338" s="62" t="s">
        <v>119</v>
      </c>
      <c r="D4338" s="64">
        <v>45.0</v>
      </c>
      <c r="E4338" s="62" t="s">
        <v>109</v>
      </c>
      <c r="F4338" s="62" t="s">
        <v>115</v>
      </c>
      <c r="G4338" s="64" t="s">
        <v>64</v>
      </c>
      <c r="H4338" s="3" t="s">
        <v>139</v>
      </c>
      <c r="I4338" s="65">
        <f>IFERROR(VLOOKUP(A4338,'3. Call duration'!$A:$C,3,0),"--")</f>
        <v>10.5511447</v>
      </c>
      <c r="J4338" s="65" t="str">
        <f t="array" ref="J4338">XLOOKUP(H4338,'2. Matching'!$A$2:$A$39,'2. Matching'!$B$2:$B$39,"--")</f>
        <v>Acquisition</v>
      </c>
      <c r="K4338" s="65" t="str">
        <f t="shared" si="1"/>
        <v>In</v>
      </c>
    </row>
    <row r="4339">
      <c r="A4339" s="62" t="s">
        <v>4477</v>
      </c>
      <c r="B4339" s="63">
        <v>44313.0</v>
      </c>
      <c r="C4339" s="62" t="s">
        <v>119</v>
      </c>
      <c r="D4339" s="64">
        <v>45.0</v>
      </c>
      <c r="E4339" s="62" t="s">
        <v>109</v>
      </c>
      <c r="F4339" s="62" t="s">
        <v>115</v>
      </c>
      <c r="G4339" s="64" t="s">
        <v>64</v>
      </c>
      <c r="H4339" s="3" t="s">
        <v>185</v>
      </c>
      <c r="I4339" s="65">
        <f>IFERROR(VLOOKUP(A4339,'3. Call duration'!$A:$C,3,0),"--")</f>
        <v>22.14425037</v>
      </c>
      <c r="J4339" s="65" t="str">
        <f t="array" ref="J4339">XLOOKUP(H4339,'2. Matching'!$A$2:$A$39,'2. Matching'!$B$2:$B$39,"--")</f>
        <v>SEO</v>
      </c>
      <c r="K4339" s="65" t="str">
        <f t="shared" si="1"/>
        <v>In</v>
      </c>
    </row>
    <row r="4340">
      <c r="A4340" s="62" t="s">
        <v>4478</v>
      </c>
      <c r="B4340" s="63">
        <v>44264.0</v>
      </c>
      <c r="C4340" s="62" t="s">
        <v>119</v>
      </c>
      <c r="D4340" s="64">
        <v>45.0</v>
      </c>
      <c r="E4340" s="62" t="s">
        <v>109</v>
      </c>
      <c r="F4340" s="62" t="s">
        <v>115</v>
      </c>
      <c r="G4340" s="64" t="s">
        <v>62</v>
      </c>
      <c r="H4340" s="3" t="s">
        <v>203</v>
      </c>
      <c r="I4340" s="65">
        <f>IFERROR(VLOOKUP(A4340,'3. Call duration'!$A:$C,3,0),"--")</f>
        <v>22.50876041</v>
      </c>
      <c r="J4340" s="65" t="str">
        <f t="array" ref="J4340">XLOOKUP(H4340,'2. Matching'!$A$2:$A$39,'2. Matching'!$B$2:$B$39,"--")</f>
        <v>Farming</v>
      </c>
      <c r="K4340" s="65" t="str">
        <f t="shared" si="1"/>
        <v>In</v>
      </c>
    </row>
    <row r="4341">
      <c r="A4341" s="62" t="s">
        <v>4479</v>
      </c>
      <c r="B4341" s="63">
        <v>44277.0</v>
      </c>
      <c r="C4341" s="62" t="s">
        <v>119</v>
      </c>
      <c r="D4341" s="64">
        <v>45.0</v>
      </c>
      <c r="E4341" s="62" t="s">
        <v>109</v>
      </c>
      <c r="F4341" s="62" t="s">
        <v>110</v>
      </c>
      <c r="G4341" s="64" t="s">
        <v>64</v>
      </c>
      <c r="H4341" s="3" t="s">
        <v>175</v>
      </c>
      <c r="I4341" s="65" t="str">
        <f>IFERROR(VLOOKUP(A4341,'3. Call duration'!$A:$C,3,0),"--")</f>
        <v>--</v>
      </c>
      <c r="J4341" s="65" t="str">
        <f t="array" ref="J4341">XLOOKUP(H4341,'2. Matching'!$A$2:$A$39,'2. Matching'!$B$2:$B$39,"--")</f>
        <v>SEO</v>
      </c>
      <c r="K4341" s="65" t="str">
        <f t="shared" si="1"/>
        <v>In</v>
      </c>
    </row>
    <row r="4342">
      <c r="A4342" s="62" t="s">
        <v>4480</v>
      </c>
      <c r="B4342" s="63">
        <v>44309.0</v>
      </c>
      <c r="C4342" s="62" t="s">
        <v>119</v>
      </c>
      <c r="D4342" s="64">
        <v>45.0</v>
      </c>
      <c r="E4342" s="62" t="s">
        <v>109</v>
      </c>
      <c r="F4342" s="62" t="s">
        <v>110</v>
      </c>
      <c r="G4342" s="64" t="s">
        <v>64</v>
      </c>
      <c r="H4342" s="3" t="s">
        <v>297</v>
      </c>
      <c r="I4342" s="65">
        <f>IFERROR(VLOOKUP(A4342,'3. Call duration'!$A:$C,3,0),"--")</f>
        <v>26.36620759</v>
      </c>
      <c r="J4342" s="65" t="str">
        <f t="array" ref="J4342">XLOOKUP(H4342,'2. Matching'!$A$2:$A$39,'2. Matching'!$B$2:$B$39,"--")</f>
        <v>Farming</v>
      </c>
      <c r="K4342" s="65" t="str">
        <f t="shared" si="1"/>
        <v>In</v>
      </c>
    </row>
    <row r="4343">
      <c r="A4343" s="62" t="s">
        <v>4481</v>
      </c>
      <c r="B4343" s="63">
        <v>44273.0</v>
      </c>
      <c r="C4343" s="62" t="s">
        <v>119</v>
      </c>
      <c r="D4343" s="64">
        <v>45.0</v>
      </c>
      <c r="E4343" s="62" t="s">
        <v>109</v>
      </c>
      <c r="F4343" s="62" t="s">
        <v>110</v>
      </c>
      <c r="G4343" s="64" t="s">
        <v>64</v>
      </c>
      <c r="H4343" s="3" t="s">
        <v>49</v>
      </c>
      <c r="I4343" s="65">
        <f>IFERROR(VLOOKUP(A4343,'3. Call duration'!$A:$C,3,0),"--")</f>
        <v>18.72557923</v>
      </c>
      <c r="J4343" s="65" t="str">
        <f t="array" ref="J4343">XLOOKUP(H4343,'2. Matching'!$A$2:$A$39,'2. Matching'!$B$2:$B$39,"--")</f>
        <v>Partnerships</v>
      </c>
      <c r="K4343" s="65" t="str">
        <f t="shared" si="1"/>
        <v>In</v>
      </c>
    </row>
    <row r="4344">
      <c r="A4344" s="62" t="s">
        <v>4482</v>
      </c>
      <c r="B4344" s="63">
        <v>44281.0</v>
      </c>
      <c r="C4344" s="62" t="s">
        <v>119</v>
      </c>
      <c r="D4344" s="64">
        <v>45.0</v>
      </c>
      <c r="E4344" s="62" t="s">
        <v>109</v>
      </c>
      <c r="F4344" s="62" t="s">
        <v>115</v>
      </c>
      <c r="G4344" s="64" t="s">
        <v>64</v>
      </c>
      <c r="H4344" s="3" t="s">
        <v>49</v>
      </c>
      <c r="I4344" s="65">
        <f>IFERROR(VLOOKUP(A4344,'3. Call duration'!$A:$C,3,0),"--")</f>
        <v>22.50278025</v>
      </c>
      <c r="J4344" s="65" t="str">
        <f t="array" ref="J4344">XLOOKUP(H4344,'2. Matching'!$A$2:$A$39,'2. Matching'!$B$2:$B$39,"--")</f>
        <v>Partnerships</v>
      </c>
      <c r="K4344" s="65" t="str">
        <f t="shared" si="1"/>
        <v>In</v>
      </c>
    </row>
    <row r="4345">
      <c r="A4345" s="62" t="s">
        <v>4483</v>
      </c>
      <c r="B4345" s="63">
        <v>44270.0</v>
      </c>
      <c r="C4345" s="62" t="s">
        <v>119</v>
      </c>
      <c r="D4345" s="64">
        <v>45.0</v>
      </c>
      <c r="E4345" s="62" t="s">
        <v>109</v>
      </c>
      <c r="F4345" s="62" t="s">
        <v>115</v>
      </c>
      <c r="G4345" s="64" t="s">
        <v>64</v>
      </c>
      <c r="H4345" s="3" t="s">
        <v>139</v>
      </c>
      <c r="I4345" s="65">
        <f>IFERROR(VLOOKUP(A4345,'3. Call duration'!$A:$C,3,0),"--")</f>
        <v>25.68816742</v>
      </c>
      <c r="J4345" s="65" t="str">
        <f t="array" ref="J4345">XLOOKUP(H4345,'2. Matching'!$A$2:$A$39,'2. Matching'!$B$2:$B$39,"--")</f>
        <v>Acquisition</v>
      </c>
      <c r="K4345" s="65" t="str">
        <f t="shared" si="1"/>
        <v>In</v>
      </c>
    </row>
    <row r="4346">
      <c r="A4346" s="62" t="s">
        <v>4484</v>
      </c>
      <c r="B4346" s="63">
        <v>44274.0</v>
      </c>
      <c r="C4346" s="62" t="s">
        <v>119</v>
      </c>
      <c r="D4346" s="64">
        <v>45.0</v>
      </c>
      <c r="E4346" s="62" t="s">
        <v>109</v>
      </c>
      <c r="F4346" s="62" t="s">
        <v>110</v>
      </c>
      <c r="G4346" s="64" t="s">
        <v>64</v>
      </c>
      <c r="H4346" s="3" t="s">
        <v>52</v>
      </c>
      <c r="I4346" s="65">
        <f>IFERROR(VLOOKUP(A4346,'3. Call duration'!$A:$C,3,0),"--")</f>
        <v>14.65210287</v>
      </c>
      <c r="J4346" s="65" t="str">
        <f t="array" ref="J4346">XLOOKUP(H4346,'2. Matching'!$A$2:$A$39,'2. Matching'!$B$2:$B$39,"--")</f>
        <v>Partnerships</v>
      </c>
      <c r="K4346" s="65" t="str">
        <f t="shared" si="1"/>
        <v>In</v>
      </c>
    </row>
    <row r="4347">
      <c r="A4347" s="62" t="s">
        <v>4485</v>
      </c>
      <c r="B4347" s="63">
        <v>44279.0</v>
      </c>
      <c r="C4347" s="62" t="s">
        <v>119</v>
      </c>
      <c r="D4347" s="64">
        <v>45.0</v>
      </c>
      <c r="E4347" s="62" t="s">
        <v>109</v>
      </c>
      <c r="F4347" s="62" t="s">
        <v>110</v>
      </c>
      <c r="G4347" s="64" t="s">
        <v>63</v>
      </c>
      <c r="H4347" s="3" t="s">
        <v>128</v>
      </c>
      <c r="I4347" s="65">
        <f>IFERROR(VLOOKUP(A4347,'3. Call duration'!$A:$C,3,0),"--")</f>
        <v>20.36692115</v>
      </c>
      <c r="J4347" s="65" t="str">
        <f t="array" ref="J4347">XLOOKUP(H4347,'2. Matching'!$A$2:$A$39,'2. Matching'!$B$2:$B$39,"--")</f>
        <v>Acquisition</v>
      </c>
      <c r="K4347" s="65" t="str">
        <f t="shared" si="1"/>
        <v>In</v>
      </c>
    </row>
    <row r="4348">
      <c r="A4348" s="62" t="s">
        <v>4486</v>
      </c>
      <c r="B4348" s="63">
        <v>44284.0</v>
      </c>
      <c r="C4348" s="62" t="s">
        <v>119</v>
      </c>
      <c r="D4348" s="64">
        <v>45.0</v>
      </c>
      <c r="E4348" s="62" t="s">
        <v>109</v>
      </c>
      <c r="F4348" s="62" t="s">
        <v>115</v>
      </c>
      <c r="G4348" s="64" t="s">
        <v>60</v>
      </c>
      <c r="H4348" s="3" t="s">
        <v>68</v>
      </c>
      <c r="I4348" s="65">
        <f>IFERROR(VLOOKUP(A4348,'3. Call duration'!$A:$C,3,0),"--")</f>
        <v>29.65757118</v>
      </c>
      <c r="J4348" s="65" t="str">
        <f t="array" ref="J4348">XLOOKUP(H4348,'2. Matching'!$A$2:$A$39,'2. Matching'!$B$2:$B$39,"--")</f>
        <v>Acquisition</v>
      </c>
      <c r="K4348" s="65" t="str">
        <f t="shared" si="1"/>
        <v>In</v>
      </c>
    </row>
    <row r="4349">
      <c r="A4349" s="62" t="s">
        <v>4487</v>
      </c>
      <c r="B4349" s="63">
        <v>44306.0</v>
      </c>
      <c r="C4349" s="62" t="s">
        <v>119</v>
      </c>
      <c r="D4349" s="64">
        <v>45.0</v>
      </c>
      <c r="E4349" s="62" t="s">
        <v>109</v>
      </c>
      <c r="F4349" s="62" t="s">
        <v>110</v>
      </c>
      <c r="G4349" s="64" t="s">
        <v>63</v>
      </c>
      <c r="H4349" s="3" t="s">
        <v>189</v>
      </c>
      <c r="I4349" s="65">
        <f>IFERROR(VLOOKUP(A4349,'3. Call duration'!$A:$C,3,0),"--")</f>
        <v>31.84724356</v>
      </c>
      <c r="J4349" s="65" t="str">
        <f t="array" ref="J4349">XLOOKUP(H4349,'2. Matching'!$A$2:$A$39,'2. Matching'!$B$2:$B$39,"--")</f>
        <v>SEO</v>
      </c>
      <c r="K4349" s="65" t="str">
        <f t="shared" si="1"/>
        <v>Out</v>
      </c>
    </row>
    <row r="4350">
      <c r="A4350" s="62" t="s">
        <v>4488</v>
      </c>
      <c r="B4350" s="63">
        <v>44287.0</v>
      </c>
      <c r="C4350" s="62" t="s">
        <v>119</v>
      </c>
      <c r="D4350" s="64">
        <v>45.0</v>
      </c>
      <c r="E4350" s="62" t="s">
        <v>109</v>
      </c>
      <c r="F4350" s="62" t="s">
        <v>115</v>
      </c>
      <c r="G4350" s="64" t="s">
        <v>64</v>
      </c>
      <c r="H4350" s="3" t="s">
        <v>221</v>
      </c>
      <c r="I4350" s="65">
        <f>IFERROR(VLOOKUP(A4350,'3. Call duration'!$A:$C,3,0),"--")</f>
        <v>29.80032075</v>
      </c>
      <c r="J4350" s="65" t="str">
        <f t="array" ref="J4350">XLOOKUP(H4350,'2. Matching'!$A$2:$A$39,'2. Matching'!$B$2:$B$39,"--")</f>
        <v>Farming</v>
      </c>
      <c r="K4350" s="65" t="str">
        <f t="shared" si="1"/>
        <v>In</v>
      </c>
    </row>
    <row r="4351">
      <c r="A4351" s="62" t="s">
        <v>4489</v>
      </c>
      <c r="B4351" s="63">
        <v>44279.0</v>
      </c>
      <c r="C4351" s="62" t="s">
        <v>119</v>
      </c>
      <c r="D4351" s="64">
        <v>45.0</v>
      </c>
      <c r="E4351" s="62" t="s">
        <v>109</v>
      </c>
      <c r="F4351" s="62" t="s">
        <v>110</v>
      </c>
      <c r="G4351" s="64" t="s">
        <v>64</v>
      </c>
      <c r="H4351" s="3" t="s">
        <v>116</v>
      </c>
      <c r="I4351" s="65">
        <f>IFERROR(VLOOKUP(A4351,'3. Call duration'!$A:$C,3,0),"--")</f>
        <v>28.89140821</v>
      </c>
      <c r="J4351" s="65" t="str">
        <f t="array" ref="J4351">XLOOKUP(H4351,'2. Matching'!$A$2:$A$39,'2. Matching'!$B$2:$B$39,"--")</f>
        <v>Acquisition</v>
      </c>
      <c r="K4351" s="65" t="str">
        <f t="shared" si="1"/>
        <v>In</v>
      </c>
    </row>
    <row r="4352">
      <c r="A4352" s="62" t="s">
        <v>4490</v>
      </c>
      <c r="B4352" s="63">
        <v>44306.0</v>
      </c>
      <c r="C4352" s="62" t="s">
        <v>119</v>
      </c>
      <c r="D4352" s="64">
        <v>45.0</v>
      </c>
      <c r="E4352" s="62" t="s">
        <v>109</v>
      </c>
      <c r="F4352" s="62" t="s">
        <v>110</v>
      </c>
      <c r="G4352" s="64" t="s">
        <v>63</v>
      </c>
      <c r="H4352" s="3" t="s">
        <v>189</v>
      </c>
      <c r="I4352" s="65">
        <f>IFERROR(VLOOKUP(A4352,'3. Call duration'!$A:$C,3,0),"--")</f>
        <v>20.15758487</v>
      </c>
      <c r="J4352" s="65" t="str">
        <f t="array" ref="J4352">XLOOKUP(H4352,'2. Matching'!$A$2:$A$39,'2. Matching'!$B$2:$B$39,"--")</f>
        <v>SEO</v>
      </c>
      <c r="K4352" s="65" t="str">
        <f t="shared" si="1"/>
        <v>Out</v>
      </c>
    </row>
    <row r="4353">
      <c r="A4353" s="62" t="s">
        <v>4491</v>
      </c>
      <c r="B4353" s="63">
        <v>44296.0</v>
      </c>
      <c r="C4353" s="62" t="s">
        <v>119</v>
      </c>
      <c r="D4353" s="64">
        <v>45.0</v>
      </c>
      <c r="E4353" s="62" t="s">
        <v>109</v>
      </c>
      <c r="F4353" s="62" t="s">
        <v>115</v>
      </c>
      <c r="G4353" s="64" t="s">
        <v>64</v>
      </c>
      <c r="H4353" s="3" t="s">
        <v>139</v>
      </c>
      <c r="I4353" s="65">
        <f>IFERROR(VLOOKUP(A4353,'3. Call duration'!$A:$C,3,0),"--")</f>
        <v>21.95601539</v>
      </c>
      <c r="J4353" s="65" t="str">
        <f t="array" ref="J4353">XLOOKUP(H4353,'2. Matching'!$A$2:$A$39,'2. Matching'!$B$2:$B$39,"--")</f>
        <v>Acquisition</v>
      </c>
      <c r="K4353" s="65" t="str">
        <f t="shared" si="1"/>
        <v>In</v>
      </c>
    </row>
    <row r="4354">
      <c r="A4354" s="62" t="s">
        <v>4492</v>
      </c>
      <c r="B4354" s="63">
        <v>44309.0</v>
      </c>
      <c r="C4354" s="62" t="s">
        <v>119</v>
      </c>
      <c r="D4354" s="64">
        <v>45.0</v>
      </c>
      <c r="E4354" s="62" t="s">
        <v>109</v>
      </c>
      <c r="F4354" s="62" t="s">
        <v>110</v>
      </c>
      <c r="G4354" s="64" t="s">
        <v>64</v>
      </c>
      <c r="H4354" s="3" t="s">
        <v>155</v>
      </c>
      <c r="I4354" s="65">
        <f>IFERROR(VLOOKUP(A4354,'3. Call duration'!$A:$C,3,0),"--")</f>
        <v>16.39660978</v>
      </c>
      <c r="J4354" s="65" t="str">
        <f t="array" ref="J4354">XLOOKUP(H4354,'2. Matching'!$A$2:$A$39,'2. Matching'!$B$2:$B$39,"--")</f>
        <v>SEO</v>
      </c>
      <c r="K4354" s="65" t="str">
        <f t="shared" si="1"/>
        <v>In</v>
      </c>
    </row>
    <row r="4355">
      <c r="A4355" s="62" t="s">
        <v>4493</v>
      </c>
      <c r="B4355" s="63">
        <v>44256.0</v>
      </c>
      <c r="C4355" s="62" t="s">
        <v>119</v>
      </c>
      <c r="D4355" s="64">
        <v>45.0</v>
      </c>
      <c r="E4355" s="62" t="s">
        <v>109</v>
      </c>
      <c r="F4355" s="62" t="s">
        <v>110</v>
      </c>
      <c r="G4355" s="64" t="s">
        <v>64</v>
      </c>
      <c r="H4355" s="3" t="s">
        <v>131</v>
      </c>
      <c r="I4355" s="65">
        <f>IFERROR(VLOOKUP(A4355,'3. Call duration'!$A:$C,3,0),"--")</f>
        <v>30.75463794</v>
      </c>
      <c r="J4355" s="65" t="str">
        <f t="array" ref="J4355">XLOOKUP(H4355,'2. Matching'!$A$2:$A$39,'2. Matching'!$B$2:$B$39,"--")</f>
        <v>Acquisition</v>
      </c>
      <c r="K4355" s="65" t="str">
        <f t="shared" si="1"/>
        <v>In</v>
      </c>
    </row>
    <row r="4356">
      <c r="A4356" s="62" t="s">
        <v>4494</v>
      </c>
      <c r="B4356" s="63">
        <v>44277.0</v>
      </c>
      <c r="C4356" s="62" t="s">
        <v>119</v>
      </c>
      <c r="D4356" s="64">
        <v>45.0</v>
      </c>
      <c r="E4356" s="62" t="s">
        <v>109</v>
      </c>
      <c r="F4356" s="62" t="s">
        <v>110</v>
      </c>
      <c r="G4356" s="64" t="s">
        <v>64</v>
      </c>
      <c r="H4356" s="3" t="s">
        <v>221</v>
      </c>
      <c r="I4356" s="65">
        <f>IFERROR(VLOOKUP(A4356,'3. Call duration'!$A:$C,3,0),"--")</f>
        <v>30.66371053</v>
      </c>
      <c r="J4356" s="65" t="str">
        <f t="array" ref="J4356">XLOOKUP(H4356,'2. Matching'!$A$2:$A$39,'2. Matching'!$B$2:$B$39,"--")</f>
        <v>Farming</v>
      </c>
      <c r="K4356" s="65" t="str">
        <f t="shared" si="1"/>
        <v>In</v>
      </c>
    </row>
    <row r="4357">
      <c r="A4357" s="62" t="s">
        <v>4495</v>
      </c>
      <c r="B4357" s="63">
        <v>44278.0</v>
      </c>
      <c r="C4357" s="62" t="s">
        <v>119</v>
      </c>
      <c r="D4357" s="64">
        <v>45.0</v>
      </c>
      <c r="E4357" s="62" t="s">
        <v>109</v>
      </c>
      <c r="F4357" s="62" t="s">
        <v>110</v>
      </c>
      <c r="G4357" s="64" t="s">
        <v>63</v>
      </c>
      <c r="H4357" s="3" t="s">
        <v>128</v>
      </c>
      <c r="I4357" s="65">
        <f>IFERROR(VLOOKUP(A4357,'3. Call duration'!$A:$C,3,0),"--")</f>
        <v>25.97322852</v>
      </c>
      <c r="J4357" s="65" t="str">
        <f t="array" ref="J4357">XLOOKUP(H4357,'2. Matching'!$A$2:$A$39,'2. Matching'!$B$2:$B$39,"--")</f>
        <v>Acquisition</v>
      </c>
      <c r="K4357" s="65" t="str">
        <f t="shared" si="1"/>
        <v>In</v>
      </c>
    </row>
    <row r="4358">
      <c r="A4358" s="62" t="s">
        <v>4496</v>
      </c>
      <c r="B4358" s="63">
        <v>44277.0</v>
      </c>
      <c r="C4358" s="62" t="s">
        <v>119</v>
      </c>
      <c r="D4358" s="64">
        <v>45.0</v>
      </c>
      <c r="E4358" s="62" t="s">
        <v>109</v>
      </c>
      <c r="F4358" s="62" t="s">
        <v>110</v>
      </c>
      <c r="G4358" s="64" t="s">
        <v>64</v>
      </c>
      <c r="H4358" s="3" t="s">
        <v>145</v>
      </c>
      <c r="I4358" s="65">
        <f>IFERROR(VLOOKUP(A4358,'3. Call duration'!$A:$C,3,0),"--")</f>
        <v>23.73509706</v>
      </c>
      <c r="J4358" s="65" t="str">
        <f t="array" ref="J4358">XLOOKUP(H4358,'2. Matching'!$A$2:$A$39,'2. Matching'!$B$2:$B$39,"--")</f>
        <v>SEO</v>
      </c>
      <c r="K4358" s="65" t="str">
        <f t="shared" si="1"/>
        <v>In</v>
      </c>
    </row>
    <row r="4359">
      <c r="A4359" s="62" t="s">
        <v>4497</v>
      </c>
      <c r="B4359" s="63">
        <v>44277.0</v>
      </c>
      <c r="C4359" s="62" t="s">
        <v>119</v>
      </c>
      <c r="D4359" s="64">
        <v>45.0</v>
      </c>
      <c r="E4359" s="62" t="s">
        <v>109</v>
      </c>
      <c r="F4359" s="62" t="s">
        <v>115</v>
      </c>
      <c r="G4359" s="64" t="s">
        <v>64</v>
      </c>
      <c r="H4359" s="3" t="s">
        <v>164</v>
      </c>
      <c r="I4359" s="65">
        <f>IFERROR(VLOOKUP(A4359,'3. Call duration'!$A:$C,3,0),"--")</f>
        <v>27.85215641</v>
      </c>
      <c r="J4359" s="65" t="str">
        <f t="array" ref="J4359">XLOOKUP(H4359,'2. Matching'!$A$2:$A$39,'2. Matching'!$B$2:$B$39,"--")</f>
        <v>SEO</v>
      </c>
      <c r="K4359" s="65" t="str">
        <f t="shared" si="1"/>
        <v>In</v>
      </c>
    </row>
    <row r="4360">
      <c r="A4360" s="62" t="s">
        <v>4498</v>
      </c>
      <c r="B4360" s="63">
        <v>44280.0</v>
      </c>
      <c r="C4360" s="62" t="s">
        <v>119</v>
      </c>
      <c r="D4360" s="64">
        <v>45.0</v>
      </c>
      <c r="E4360" s="62" t="s">
        <v>109</v>
      </c>
      <c r="F4360" s="62" t="s">
        <v>115</v>
      </c>
      <c r="G4360" s="64" t="s">
        <v>64</v>
      </c>
      <c r="H4360" s="3" t="s">
        <v>141</v>
      </c>
      <c r="I4360" s="65">
        <f>IFERROR(VLOOKUP(A4360,'3. Call duration'!$A:$C,3,0),"--")</f>
        <v>12.46978645</v>
      </c>
      <c r="J4360" s="65" t="str">
        <f t="array" ref="J4360">XLOOKUP(H4360,'2. Matching'!$A$2:$A$39,'2. Matching'!$B$2:$B$39,"--")</f>
        <v>Acquisition</v>
      </c>
      <c r="K4360" s="65" t="str">
        <f t="shared" si="1"/>
        <v>In</v>
      </c>
    </row>
    <row r="4361">
      <c r="A4361" s="62" t="s">
        <v>4499</v>
      </c>
      <c r="B4361" s="63">
        <v>44274.0</v>
      </c>
      <c r="C4361" s="62" t="s">
        <v>119</v>
      </c>
      <c r="D4361" s="64">
        <v>45.0</v>
      </c>
      <c r="E4361" s="62" t="s">
        <v>109</v>
      </c>
      <c r="F4361" s="62" t="s">
        <v>115</v>
      </c>
      <c r="G4361" s="64" t="s">
        <v>64</v>
      </c>
      <c r="H4361" s="3" t="s">
        <v>169</v>
      </c>
      <c r="I4361" s="65">
        <f>IFERROR(VLOOKUP(A4361,'3. Call duration'!$A:$C,3,0),"--")</f>
        <v>33.48970757</v>
      </c>
      <c r="J4361" s="65" t="str">
        <f t="array" ref="J4361">XLOOKUP(H4361,'2. Matching'!$A$2:$A$39,'2. Matching'!$B$2:$B$39,"--")</f>
        <v>SEO</v>
      </c>
      <c r="K4361" s="65" t="str">
        <f t="shared" si="1"/>
        <v>In</v>
      </c>
    </row>
    <row r="4362">
      <c r="A4362" s="62" t="s">
        <v>4500</v>
      </c>
      <c r="B4362" s="63">
        <v>44272.0</v>
      </c>
      <c r="C4362" s="62" t="s">
        <v>119</v>
      </c>
      <c r="D4362" s="64">
        <v>45.0</v>
      </c>
      <c r="E4362" s="62" t="s">
        <v>109</v>
      </c>
      <c r="F4362" s="62" t="s">
        <v>115</v>
      </c>
      <c r="G4362" s="64" t="s">
        <v>64</v>
      </c>
      <c r="H4362" s="3" t="s">
        <v>141</v>
      </c>
      <c r="I4362" s="65">
        <f>IFERROR(VLOOKUP(A4362,'3. Call duration'!$A:$C,3,0),"--")</f>
        <v>30.5130759</v>
      </c>
      <c r="J4362" s="65" t="str">
        <f t="array" ref="J4362">XLOOKUP(H4362,'2. Matching'!$A$2:$A$39,'2. Matching'!$B$2:$B$39,"--")</f>
        <v>Acquisition</v>
      </c>
      <c r="K4362" s="65" t="str">
        <f t="shared" si="1"/>
        <v>In</v>
      </c>
    </row>
    <row r="4363">
      <c r="A4363" s="62" t="s">
        <v>4501</v>
      </c>
      <c r="B4363" s="63">
        <v>44280.0</v>
      </c>
      <c r="C4363" s="62" t="s">
        <v>119</v>
      </c>
      <c r="D4363" s="64">
        <v>45.0</v>
      </c>
      <c r="E4363" s="62" t="s">
        <v>109</v>
      </c>
      <c r="F4363" s="62" t="s">
        <v>115</v>
      </c>
      <c r="G4363" s="64" t="s">
        <v>64</v>
      </c>
      <c r="H4363" s="3" t="s">
        <v>49</v>
      </c>
      <c r="I4363" s="65">
        <f>IFERROR(VLOOKUP(A4363,'3. Call duration'!$A:$C,3,0),"--")</f>
        <v>18.30150062</v>
      </c>
      <c r="J4363" s="65" t="str">
        <f t="array" ref="J4363">XLOOKUP(H4363,'2. Matching'!$A$2:$A$39,'2. Matching'!$B$2:$B$39,"--")</f>
        <v>Partnerships</v>
      </c>
      <c r="K4363" s="65" t="str">
        <f t="shared" si="1"/>
        <v>In</v>
      </c>
    </row>
    <row r="4364">
      <c r="A4364" s="62" t="s">
        <v>4502</v>
      </c>
      <c r="B4364" s="63">
        <v>44298.0</v>
      </c>
      <c r="C4364" s="62" t="s">
        <v>119</v>
      </c>
      <c r="D4364" s="64">
        <v>45.0</v>
      </c>
      <c r="E4364" s="62" t="s">
        <v>109</v>
      </c>
      <c r="F4364" s="62" t="s">
        <v>115</v>
      </c>
      <c r="G4364" s="64" t="s">
        <v>64</v>
      </c>
      <c r="H4364" s="3" t="s">
        <v>169</v>
      </c>
      <c r="I4364" s="65">
        <f>IFERROR(VLOOKUP(A4364,'3. Call duration'!$A:$C,3,0),"--")</f>
        <v>42.26331813</v>
      </c>
      <c r="J4364" s="65" t="str">
        <f t="array" ref="J4364">XLOOKUP(H4364,'2. Matching'!$A$2:$A$39,'2. Matching'!$B$2:$B$39,"--")</f>
        <v>SEO</v>
      </c>
      <c r="K4364" s="65" t="str">
        <f t="shared" si="1"/>
        <v>In</v>
      </c>
    </row>
    <row r="4365">
      <c r="A4365" s="62" t="s">
        <v>4503</v>
      </c>
      <c r="B4365" s="63">
        <v>44268.0</v>
      </c>
      <c r="C4365" s="62" t="s">
        <v>119</v>
      </c>
      <c r="D4365" s="64">
        <v>45.0</v>
      </c>
      <c r="E4365" s="62" t="s">
        <v>109</v>
      </c>
      <c r="F4365" s="62" t="s">
        <v>115</v>
      </c>
      <c r="G4365" s="64" t="s">
        <v>64</v>
      </c>
      <c r="H4365" s="3" t="s">
        <v>185</v>
      </c>
      <c r="I4365" s="65">
        <f>IFERROR(VLOOKUP(A4365,'3. Call duration'!$A:$C,3,0),"--")</f>
        <v>26.79435848</v>
      </c>
      <c r="J4365" s="65" t="str">
        <f t="array" ref="J4365">XLOOKUP(H4365,'2. Matching'!$A$2:$A$39,'2. Matching'!$B$2:$B$39,"--")</f>
        <v>SEO</v>
      </c>
      <c r="K4365" s="65" t="str">
        <f t="shared" si="1"/>
        <v>In</v>
      </c>
    </row>
    <row r="4366">
      <c r="A4366" s="62" t="s">
        <v>4504</v>
      </c>
      <c r="B4366" s="63">
        <v>44270.0</v>
      </c>
      <c r="C4366" s="62" t="s">
        <v>119</v>
      </c>
      <c r="D4366" s="64">
        <v>45.0</v>
      </c>
      <c r="E4366" s="62" t="s">
        <v>109</v>
      </c>
      <c r="F4366" s="62" t="s">
        <v>115</v>
      </c>
      <c r="G4366" s="64" t="s">
        <v>64</v>
      </c>
      <c r="H4366" s="3" t="s">
        <v>175</v>
      </c>
      <c r="I4366" s="65">
        <f>IFERROR(VLOOKUP(A4366,'3. Call duration'!$A:$C,3,0),"--")</f>
        <v>21.07726188</v>
      </c>
      <c r="J4366" s="65" t="str">
        <f t="array" ref="J4366">XLOOKUP(H4366,'2. Matching'!$A$2:$A$39,'2. Matching'!$B$2:$B$39,"--")</f>
        <v>SEO</v>
      </c>
      <c r="K4366" s="65" t="str">
        <f t="shared" si="1"/>
        <v>In</v>
      </c>
    </row>
    <row r="4367">
      <c r="A4367" s="62" t="s">
        <v>4505</v>
      </c>
      <c r="B4367" s="63">
        <v>44267.0</v>
      </c>
      <c r="C4367" s="62" t="s">
        <v>119</v>
      </c>
      <c r="D4367" s="64">
        <v>45.0</v>
      </c>
      <c r="E4367" s="62" t="s">
        <v>109</v>
      </c>
      <c r="F4367" s="62" t="s">
        <v>110</v>
      </c>
      <c r="G4367" s="64" t="s">
        <v>64</v>
      </c>
      <c r="H4367" s="3" t="s">
        <v>175</v>
      </c>
      <c r="I4367" s="65">
        <f>IFERROR(VLOOKUP(A4367,'3. Call duration'!$A:$C,3,0),"--")</f>
        <v>33.1842192</v>
      </c>
      <c r="J4367" s="65" t="str">
        <f t="array" ref="J4367">XLOOKUP(H4367,'2. Matching'!$A$2:$A$39,'2. Matching'!$B$2:$B$39,"--")</f>
        <v>SEO</v>
      </c>
      <c r="K4367" s="65" t="str">
        <f t="shared" si="1"/>
        <v>In</v>
      </c>
    </row>
    <row r="4368">
      <c r="A4368" s="62" t="s">
        <v>4506</v>
      </c>
      <c r="B4368" s="63">
        <v>44274.0</v>
      </c>
      <c r="C4368" s="62" t="s">
        <v>119</v>
      </c>
      <c r="D4368" s="64">
        <v>45.0</v>
      </c>
      <c r="E4368" s="62" t="s">
        <v>109</v>
      </c>
      <c r="F4368" s="62" t="s">
        <v>115</v>
      </c>
      <c r="G4368" s="64" t="s">
        <v>64</v>
      </c>
      <c r="H4368" s="3" t="s">
        <v>185</v>
      </c>
      <c r="I4368" s="65">
        <f>IFERROR(VLOOKUP(A4368,'3. Call duration'!$A:$C,3,0),"--")</f>
        <v>29.00474729</v>
      </c>
      <c r="J4368" s="65" t="str">
        <f t="array" ref="J4368">XLOOKUP(H4368,'2. Matching'!$A$2:$A$39,'2. Matching'!$B$2:$B$39,"--")</f>
        <v>SEO</v>
      </c>
      <c r="K4368" s="65" t="str">
        <f t="shared" si="1"/>
        <v>In</v>
      </c>
    </row>
    <row r="4369">
      <c r="A4369" s="62" t="s">
        <v>4507</v>
      </c>
      <c r="B4369" s="63">
        <v>44312.0</v>
      </c>
      <c r="C4369" s="62" t="s">
        <v>119</v>
      </c>
      <c r="D4369" s="64">
        <v>45.0</v>
      </c>
      <c r="E4369" s="62" t="s">
        <v>109</v>
      </c>
      <c r="F4369" s="62" t="s">
        <v>110</v>
      </c>
      <c r="G4369" s="64" t="s">
        <v>64</v>
      </c>
      <c r="H4369" s="3" t="s">
        <v>169</v>
      </c>
      <c r="I4369" s="65">
        <f>IFERROR(VLOOKUP(A4369,'3. Call duration'!$A:$C,3,0),"--")</f>
        <v>48.15715388</v>
      </c>
      <c r="J4369" s="65" t="str">
        <f t="array" ref="J4369">XLOOKUP(H4369,'2. Matching'!$A$2:$A$39,'2. Matching'!$B$2:$B$39,"--")</f>
        <v>SEO</v>
      </c>
      <c r="K4369" s="65" t="str">
        <f t="shared" si="1"/>
        <v>In</v>
      </c>
    </row>
    <row r="4370">
      <c r="A4370" s="62" t="s">
        <v>4508</v>
      </c>
      <c r="B4370" s="63">
        <v>44279.0</v>
      </c>
      <c r="C4370" s="62" t="s">
        <v>119</v>
      </c>
      <c r="D4370" s="64">
        <v>45.0</v>
      </c>
      <c r="E4370" s="62" t="s">
        <v>109</v>
      </c>
      <c r="F4370" s="62" t="s">
        <v>115</v>
      </c>
      <c r="G4370" s="64" t="s">
        <v>64</v>
      </c>
      <c r="H4370" s="3" t="s">
        <v>169</v>
      </c>
      <c r="I4370" s="65">
        <f>IFERROR(VLOOKUP(A4370,'3. Call duration'!$A:$C,3,0),"--")</f>
        <v>16.00107158</v>
      </c>
      <c r="J4370" s="65" t="str">
        <f t="array" ref="J4370">XLOOKUP(H4370,'2. Matching'!$A$2:$A$39,'2. Matching'!$B$2:$B$39,"--")</f>
        <v>SEO</v>
      </c>
      <c r="K4370" s="65" t="str">
        <f t="shared" si="1"/>
        <v>In</v>
      </c>
    </row>
    <row r="4371">
      <c r="A4371" s="62" t="s">
        <v>4509</v>
      </c>
      <c r="B4371" s="63">
        <v>44298.0</v>
      </c>
      <c r="C4371" s="62" t="s">
        <v>119</v>
      </c>
      <c r="D4371" s="64">
        <v>45.0</v>
      </c>
      <c r="E4371" s="62" t="s">
        <v>109</v>
      </c>
      <c r="F4371" s="62" t="s">
        <v>115</v>
      </c>
      <c r="G4371" s="64" t="s">
        <v>63</v>
      </c>
      <c r="H4371" s="3" t="s">
        <v>183</v>
      </c>
      <c r="I4371" s="65">
        <f>IFERROR(VLOOKUP(A4371,'3. Call duration'!$A:$C,3,0),"--")</f>
        <v>28.00010342</v>
      </c>
      <c r="J4371" s="65" t="str">
        <f t="array" ref="J4371">XLOOKUP(H4371,'2. Matching'!$A$2:$A$39,'2. Matching'!$B$2:$B$39,"--")</f>
        <v>SEO</v>
      </c>
      <c r="K4371" s="65" t="str">
        <f t="shared" si="1"/>
        <v>In</v>
      </c>
    </row>
    <row r="4372">
      <c r="A4372" s="62" t="s">
        <v>4510</v>
      </c>
      <c r="B4372" s="63">
        <v>44292.0</v>
      </c>
      <c r="C4372" s="62" t="s">
        <v>119</v>
      </c>
      <c r="D4372" s="64">
        <v>45.0</v>
      </c>
      <c r="E4372" s="62" t="s">
        <v>109</v>
      </c>
      <c r="F4372" s="62" t="s">
        <v>110</v>
      </c>
      <c r="G4372" s="64" t="s">
        <v>64</v>
      </c>
      <c r="H4372" s="3" t="s">
        <v>297</v>
      </c>
      <c r="I4372" s="65">
        <f>IFERROR(VLOOKUP(A4372,'3. Call duration'!$A:$C,3,0),"--")</f>
        <v>41.81787708</v>
      </c>
      <c r="J4372" s="65" t="str">
        <f t="array" ref="J4372">XLOOKUP(H4372,'2. Matching'!$A$2:$A$39,'2. Matching'!$B$2:$B$39,"--")</f>
        <v>Farming</v>
      </c>
      <c r="K4372" s="65" t="str">
        <f t="shared" si="1"/>
        <v>In</v>
      </c>
    </row>
    <row r="4373">
      <c r="A4373" s="62" t="s">
        <v>4511</v>
      </c>
      <c r="B4373" s="63">
        <v>44298.0</v>
      </c>
      <c r="C4373" s="62" t="s">
        <v>119</v>
      </c>
      <c r="D4373" s="64">
        <v>45.0</v>
      </c>
      <c r="E4373" s="62" t="s">
        <v>109</v>
      </c>
      <c r="F4373" s="62" t="s">
        <v>115</v>
      </c>
      <c r="G4373" s="64" t="s">
        <v>63</v>
      </c>
      <c r="H4373" s="3" t="s">
        <v>183</v>
      </c>
      <c r="I4373" s="65">
        <f>IFERROR(VLOOKUP(A4373,'3. Call duration'!$A:$C,3,0),"--")</f>
        <v>31.65995122</v>
      </c>
      <c r="J4373" s="65" t="str">
        <f t="array" ref="J4373">XLOOKUP(H4373,'2. Matching'!$A$2:$A$39,'2. Matching'!$B$2:$B$39,"--")</f>
        <v>SEO</v>
      </c>
      <c r="K4373" s="65" t="str">
        <f t="shared" si="1"/>
        <v>In</v>
      </c>
    </row>
    <row r="4374">
      <c r="A4374" s="62" t="s">
        <v>4512</v>
      </c>
      <c r="B4374" s="63">
        <v>44316.0</v>
      </c>
      <c r="C4374" s="62" t="s">
        <v>119</v>
      </c>
      <c r="D4374" s="64">
        <v>45.0</v>
      </c>
      <c r="E4374" s="62" t="s">
        <v>109</v>
      </c>
      <c r="F4374" s="62" t="s">
        <v>115</v>
      </c>
      <c r="G4374" s="64" t="s">
        <v>62</v>
      </c>
      <c r="H4374" s="3" t="s">
        <v>286</v>
      </c>
      <c r="I4374" s="65">
        <f>IFERROR(VLOOKUP(A4374,'3. Call duration'!$A:$C,3,0),"--")</f>
        <v>31.17876069</v>
      </c>
      <c r="J4374" s="65" t="str">
        <f t="array" ref="J4374">XLOOKUP(H4374,'2. Matching'!$A$2:$A$39,'2. Matching'!$B$2:$B$39,"--")</f>
        <v>Farming</v>
      </c>
      <c r="K4374" s="65" t="str">
        <f t="shared" si="1"/>
        <v>In</v>
      </c>
    </row>
    <row r="4375">
      <c r="A4375" s="62" t="s">
        <v>4513</v>
      </c>
      <c r="B4375" s="63">
        <v>44286.0</v>
      </c>
      <c r="C4375" s="62" t="s">
        <v>119</v>
      </c>
      <c r="D4375" s="64">
        <v>45.0</v>
      </c>
      <c r="E4375" s="62" t="s">
        <v>109</v>
      </c>
      <c r="F4375" s="62" t="s">
        <v>115</v>
      </c>
      <c r="G4375" s="64" t="s">
        <v>64</v>
      </c>
      <c r="H4375" s="3" t="s">
        <v>52</v>
      </c>
      <c r="I4375" s="65">
        <f>IFERROR(VLOOKUP(A4375,'3. Call duration'!$A:$C,3,0),"--")</f>
        <v>15.8075042</v>
      </c>
      <c r="J4375" s="65" t="str">
        <f t="array" ref="J4375">XLOOKUP(H4375,'2. Matching'!$A$2:$A$39,'2. Matching'!$B$2:$B$39,"--")</f>
        <v>Partnerships</v>
      </c>
      <c r="K4375" s="65" t="str">
        <f t="shared" si="1"/>
        <v>In</v>
      </c>
    </row>
    <row r="4376">
      <c r="A4376" s="62" t="s">
        <v>4514</v>
      </c>
      <c r="B4376" s="63">
        <v>44265.0</v>
      </c>
      <c r="C4376" s="62" t="s">
        <v>119</v>
      </c>
      <c r="D4376" s="64">
        <v>45.0</v>
      </c>
      <c r="E4376" s="62" t="s">
        <v>109</v>
      </c>
      <c r="F4376" s="62" t="s">
        <v>115</v>
      </c>
      <c r="G4376" s="64" t="s">
        <v>64</v>
      </c>
      <c r="H4376" s="3" t="s">
        <v>141</v>
      </c>
      <c r="I4376" s="65">
        <f>IFERROR(VLOOKUP(A4376,'3. Call duration'!$A:$C,3,0),"--")</f>
        <v>29.34727831</v>
      </c>
      <c r="J4376" s="65" t="str">
        <f t="array" ref="J4376">XLOOKUP(H4376,'2. Matching'!$A$2:$A$39,'2. Matching'!$B$2:$B$39,"--")</f>
        <v>Acquisition</v>
      </c>
      <c r="K4376" s="65" t="str">
        <f t="shared" si="1"/>
        <v>In</v>
      </c>
    </row>
    <row r="4377">
      <c r="A4377" s="62" t="s">
        <v>4515</v>
      </c>
      <c r="B4377" s="63">
        <v>44271.0</v>
      </c>
      <c r="C4377" s="62" t="s">
        <v>119</v>
      </c>
      <c r="D4377" s="64">
        <v>45.0</v>
      </c>
      <c r="E4377" s="62" t="s">
        <v>109</v>
      </c>
      <c r="F4377" s="62" t="s">
        <v>115</v>
      </c>
      <c r="G4377" s="64" t="s">
        <v>64</v>
      </c>
      <c r="H4377" s="3" t="s">
        <v>141</v>
      </c>
      <c r="I4377" s="65">
        <f>IFERROR(VLOOKUP(A4377,'3. Call duration'!$A:$C,3,0),"--")</f>
        <v>31.28360515</v>
      </c>
      <c r="J4377" s="65" t="str">
        <f t="array" ref="J4377">XLOOKUP(H4377,'2. Matching'!$A$2:$A$39,'2. Matching'!$B$2:$B$39,"--")</f>
        <v>Acquisition</v>
      </c>
      <c r="K4377" s="65" t="str">
        <f t="shared" si="1"/>
        <v>In</v>
      </c>
    </row>
    <row r="4378">
      <c r="A4378" s="62" t="s">
        <v>4516</v>
      </c>
      <c r="B4378" s="63">
        <v>44292.0</v>
      </c>
      <c r="C4378" s="62" t="s">
        <v>119</v>
      </c>
      <c r="D4378" s="64">
        <v>45.0</v>
      </c>
      <c r="E4378" s="62" t="s">
        <v>109</v>
      </c>
      <c r="F4378" s="62" t="s">
        <v>115</v>
      </c>
      <c r="G4378" s="64" t="s">
        <v>64</v>
      </c>
      <c r="H4378" s="3" t="s">
        <v>141</v>
      </c>
      <c r="I4378" s="65" t="str">
        <f>IFERROR(VLOOKUP(A4378,'3. Call duration'!$A:$C,3,0),"--")</f>
        <v>--</v>
      </c>
      <c r="J4378" s="65" t="str">
        <f t="array" ref="J4378">XLOOKUP(H4378,'2. Matching'!$A$2:$A$39,'2. Matching'!$B$2:$B$39,"--")</f>
        <v>Acquisition</v>
      </c>
      <c r="K4378" s="65" t="str">
        <f t="shared" si="1"/>
        <v>In</v>
      </c>
    </row>
    <row r="4379">
      <c r="A4379" s="62" t="s">
        <v>4517</v>
      </c>
      <c r="B4379" s="63">
        <v>44273.0</v>
      </c>
      <c r="C4379" s="62" t="s">
        <v>119</v>
      </c>
      <c r="D4379" s="64">
        <v>45.0</v>
      </c>
      <c r="E4379" s="62" t="s">
        <v>109</v>
      </c>
      <c r="F4379" s="62" t="s">
        <v>110</v>
      </c>
      <c r="G4379" s="64" t="s">
        <v>64</v>
      </c>
      <c r="H4379" s="3" t="s">
        <v>116</v>
      </c>
      <c r="I4379" s="65">
        <f>IFERROR(VLOOKUP(A4379,'3. Call duration'!$A:$C,3,0),"--")</f>
        <v>26.4965907</v>
      </c>
      <c r="J4379" s="65" t="str">
        <f t="array" ref="J4379">XLOOKUP(H4379,'2. Matching'!$A$2:$A$39,'2. Matching'!$B$2:$B$39,"--")</f>
        <v>Acquisition</v>
      </c>
      <c r="K4379" s="65" t="str">
        <f t="shared" si="1"/>
        <v>In</v>
      </c>
    </row>
    <row r="4380">
      <c r="A4380" s="62" t="s">
        <v>4518</v>
      </c>
      <c r="B4380" s="63">
        <v>44307.0</v>
      </c>
      <c r="C4380" s="62" t="s">
        <v>119</v>
      </c>
      <c r="D4380" s="64">
        <v>45.0</v>
      </c>
      <c r="E4380" s="62" t="s">
        <v>109</v>
      </c>
      <c r="F4380" s="62" t="s">
        <v>110</v>
      </c>
      <c r="G4380" s="64" t="s">
        <v>64</v>
      </c>
      <c r="H4380" s="3" t="s">
        <v>155</v>
      </c>
      <c r="I4380" s="65">
        <f>IFERROR(VLOOKUP(A4380,'3. Call duration'!$A:$C,3,0),"--")</f>
        <v>49.45238489</v>
      </c>
      <c r="J4380" s="65" t="str">
        <f t="array" ref="J4380">XLOOKUP(H4380,'2. Matching'!$A$2:$A$39,'2. Matching'!$B$2:$B$39,"--")</f>
        <v>SEO</v>
      </c>
      <c r="K4380" s="65" t="str">
        <f t="shared" si="1"/>
        <v>In</v>
      </c>
    </row>
    <row r="4381">
      <c r="A4381" s="62" t="s">
        <v>4519</v>
      </c>
      <c r="B4381" s="63">
        <v>44259.0</v>
      </c>
      <c r="C4381" s="62" t="s">
        <v>119</v>
      </c>
      <c r="D4381" s="64">
        <v>45.0</v>
      </c>
      <c r="E4381" s="62" t="s">
        <v>109</v>
      </c>
      <c r="F4381" s="62" t="s">
        <v>115</v>
      </c>
      <c r="G4381" s="64" t="s">
        <v>64</v>
      </c>
      <c r="H4381" s="3" t="s">
        <v>141</v>
      </c>
      <c r="I4381" s="65">
        <f>IFERROR(VLOOKUP(A4381,'3. Call duration'!$A:$C,3,0),"--")</f>
        <v>28.46762296</v>
      </c>
      <c r="J4381" s="65" t="str">
        <f t="array" ref="J4381">XLOOKUP(H4381,'2. Matching'!$A$2:$A$39,'2. Matching'!$B$2:$B$39,"--")</f>
        <v>Acquisition</v>
      </c>
      <c r="K4381" s="65" t="str">
        <f t="shared" si="1"/>
        <v>In</v>
      </c>
    </row>
    <row r="4382">
      <c r="A4382" s="62" t="s">
        <v>4520</v>
      </c>
      <c r="B4382" s="63">
        <v>44312.0</v>
      </c>
      <c r="C4382" s="62" t="s">
        <v>119</v>
      </c>
      <c r="D4382" s="64">
        <v>45.0</v>
      </c>
      <c r="E4382" s="62" t="s">
        <v>109</v>
      </c>
      <c r="F4382" s="62" t="s">
        <v>110</v>
      </c>
      <c r="G4382" s="64" t="s">
        <v>64</v>
      </c>
      <c r="H4382" s="3" t="s">
        <v>52</v>
      </c>
      <c r="I4382" s="65">
        <f>IFERROR(VLOOKUP(A4382,'3. Call duration'!$A:$C,3,0),"--")</f>
        <v>7.695485748</v>
      </c>
      <c r="J4382" s="65" t="str">
        <f t="array" ref="J4382">XLOOKUP(H4382,'2. Matching'!$A$2:$A$39,'2. Matching'!$B$2:$B$39,"--")</f>
        <v>Partnerships</v>
      </c>
      <c r="K4382" s="65" t="str">
        <f t="shared" si="1"/>
        <v>In</v>
      </c>
    </row>
    <row r="4383">
      <c r="A4383" s="62" t="s">
        <v>4521</v>
      </c>
      <c r="B4383" s="63">
        <v>44293.0</v>
      </c>
      <c r="C4383" s="62" t="s">
        <v>119</v>
      </c>
      <c r="D4383" s="64">
        <v>45.0</v>
      </c>
      <c r="E4383" s="62" t="s">
        <v>109</v>
      </c>
      <c r="F4383" s="62" t="s">
        <v>110</v>
      </c>
      <c r="G4383" s="64" t="s">
        <v>64</v>
      </c>
      <c r="H4383" s="3" t="s">
        <v>297</v>
      </c>
      <c r="I4383" s="65">
        <f>IFERROR(VLOOKUP(A4383,'3. Call duration'!$A:$C,3,0),"--")</f>
        <v>32.69904442</v>
      </c>
      <c r="J4383" s="65" t="str">
        <f t="array" ref="J4383">XLOOKUP(H4383,'2. Matching'!$A$2:$A$39,'2. Matching'!$B$2:$B$39,"--")</f>
        <v>Farming</v>
      </c>
      <c r="K4383" s="65" t="str">
        <f t="shared" si="1"/>
        <v>In</v>
      </c>
    </row>
    <row r="4384">
      <c r="A4384" s="62" t="s">
        <v>4522</v>
      </c>
      <c r="B4384" s="63">
        <v>44279.0</v>
      </c>
      <c r="C4384" s="62" t="s">
        <v>119</v>
      </c>
      <c r="D4384" s="64">
        <v>45.0</v>
      </c>
      <c r="E4384" s="62" t="s">
        <v>109</v>
      </c>
      <c r="F4384" s="62" t="s">
        <v>110</v>
      </c>
      <c r="G4384" s="64" t="s">
        <v>64</v>
      </c>
      <c r="H4384" s="3" t="s">
        <v>185</v>
      </c>
      <c r="I4384" s="65">
        <f>IFERROR(VLOOKUP(A4384,'3. Call duration'!$A:$C,3,0),"--")</f>
        <v>36.5177971</v>
      </c>
      <c r="J4384" s="65" t="str">
        <f t="array" ref="J4384">XLOOKUP(H4384,'2. Matching'!$A$2:$A$39,'2. Matching'!$B$2:$B$39,"--")</f>
        <v>SEO</v>
      </c>
      <c r="K4384" s="65" t="str">
        <f t="shared" si="1"/>
        <v>In</v>
      </c>
    </row>
    <row r="4385">
      <c r="A4385" s="62" t="s">
        <v>4523</v>
      </c>
      <c r="B4385" s="63">
        <v>44312.0</v>
      </c>
      <c r="C4385" s="62" t="s">
        <v>119</v>
      </c>
      <c r="D4385" s="64">
        <v>45.0</v>
      </c>
      <c r="E4385" s="62" t="s">
        <v>109</v>
      </c>
      <c r="F4385" s="62" t="s">
        <v>115</v>
      </c>
      <c r="G4385" s="64" t="s">
        <v>64</v>
      </c>
      <c r="H4385" s="3" t="s">
        <v>131</v>
      </c>
      <c r="I4385" s="65">
        <f>IFERROR(VLOOKUP(A4385,'3. Call duration'!$A:$C,3,0),"--")</f>
        <v>16.3059125</v>
      </c>
      <c r="J4385" s="65" t="str">
        <f t="array" ref="J4385">XLOOKUP(H4385,'2. Matching'!$A$2:$A$39,'2. Matching'!$B$2:$B$39,"--")</f>
        <v>Acquisition</v>
      </c>
      <c r="K4385" s="65" t="str">
        <f t="shared" si="1"/>
        <v>In</v>
      </c>
    </row>
    <row r="4386">
      <c r="A4386" s="62" t="s">
        <v>4524</v>
      </c>
      <c r="B4386" s="63">
        <v>44279.0</v>
      </c>
      <c r="C4386" s="62" t="s">
        <v>119</v>
      </c>
      <c r="D4386" s="64">
        <v>45.0</v>
      </c>
      <c r="E4386" s="62" t="s">
        <v>109</v>
      </c>
      <c r="F4386" s="62" t="s">
        <v>115</v>
      </c>
      <c r="G4386" s="64" t="s">
        <v>64</v>
      </c>
      <c r="H4386" s="3" t="s">
        <v>221</v>
      </c>
      <c r="I4386" s="65">
        <f>IFERROR(VLOOKUP(A4386,'3. Call duration'!$A:$C,3,0),"--")</f>
        <v>26.82440206</v>
      </c>
      <c r="J4386" s="65" t="str">
        <f t="array" ref="J4386">XLOOKUP(H4386,'2. Matching'!$A$2:$A$39,'2. Matching'!$B$2:$B$39,"--")</f>
        <v>Farming</v>
      </c>
      <c r="K4386" s="65" t="str">
        <f t="shared" si="1"/>
        <v>In</v>
      </c>
    </row>
    <row r="4387">
      <c r="A4387" s="62" t="s">
        <v>4525</v>
      </c>
      <c r="B4387" s="63">
        <v>44284.0</v>
      </c>
      <c r="C4387" s="62" t="s">
        <v>119</v>
      </c>
      <c r="D4387" s="64">
        <v>45.0</v>
      </c>
      <c r="E4387" s="62" t="s">
        <v>109</v>
      </c>
      <c r="F4387" s="62" t="s">
        <v>115</v>
      </c>
      <c r="G4387" s="64" t="s">
        <v>64</v>
      </c>
      <c r="H4387" s="3" t="s">
        <v>141</v>
      </c>
      <c r="I4387" s="65">
        <f>IFERROR(VLOOKUP(A4387,'3. Call duration'!$A:$C,3,0),"--")</f>
        <v>21.70589253</v>
      </c>
      <c r="J4387" s="65" t="str">
        <f t="array" ref="J4387">XLOOKUP(H4387,'2. Matching'!$A$2:$A$39,'2. Matching'!$B$2:$B$39,"--")</f>
        <v>Acquisition</v>
      </c>
      <c r="K4387" s="65" t="str">
        <f t="shared" si="1"/>
        <v>In</v>
      </c>
    </row>
    <row r="4388">
      <c r="A4388" s="62" t="s">
        <v>4526</v>
      </c>
      <c r="B4388" s="63">
        <v>44274.0</v>
      </c>
      <c r="C4388" s="62" t="s">
        <v>119</v>
      </c>
      <c r="D4388" s="64">
        <v>45.0</v>
      </c>
      <c r="E4388" s="62" t="s">
        <v>109</v>
      </c>
      <c r="F4388" s="62" t="s">
        <v>110</v>
      </c>
      <c r="G4388" s="64" t="s">
        <v>64</v>
      </c>
      <c r="H4388" s="3" t="s">
        <v>116</v>
      </c>
      <c r="I4388" s="65">
        <f>IFERROR(VLOOKUP(A4388,'3. Call duration'!$A:$C,3,0),"--")</f>
        <v>47.78776496</v>
      </c>
      <c r="J4388" s="65" t="str">
        <f t="array" ref="J4388">XLOOKUP(H4388,'2. Matching'!$A$2:$A$39,'2. Matching'!$B$2:$B$39,"--")</f>
        <v>Acquisition</v>
      </c>
      <c r="K4388" s="65" t="str">
        <f t="shared" si="1"/>
        <v>In</v>
      </c>
    </row>
    <row r="4389">
      <c r="A4389" s="62" t="s">
        <v>4527</v>
      </c>
      <c r="B4389" s="63">
        <v>44284.0</v>
      </c>
      <c r="C4389" s="62" t="s">
        <v>119</v>
      </c>
      <c r="D4389" s="64">
        <v>45.0</v>
      </c>
      <c r="E4389" s="62" t="s">
        <v>109</v>
      </c>
      <c r="F4389" s="62" t="s">
        <v>115</v>
      </c>
      <c r="G4389" s="64" t="s">
        <v>64</v>
      </c>
      <c r="H4389" s="3" t="s">
        <v>131</v>
      </c>
      <c r="I4389" s="65">
        <f>IFERROR(VLOOKUP(A4389,'3. Call duration'!$A:$C,3,0),"--")</f>
        <v>34.79107897</v>
      </c>
      <c r="J4389" s="65" t="str">
        <f t="array" ref="J4389">XLOOKUP(H4389,'2. Matching'!$A$2:$A$39,'2. Matching'!$B$2:$B$39,"--")</f>
        <v>Acquisition</v>
      </c>
      <c r="K4389" s="65" t="str">
        <f t="shared" si="1"/>
        <v>In</v>
      </c>
    </row>
    <row r="4390">
      <c r="A4390" s="62" t="s">
        <v>4528</v>
      </c>
      <c r="B4390" s="63">
        <v>44273.0</v>
      </c>
      <c r="C4390" s="62" t="s">
        <v>119</v>
      </c>
      <c r="D4390" s="64">
        <v>45.0</v>
      </c>
      <c r="E4390" s="62" t="s">
        <v>109</v>
      </c>
      <c r="F4390" s="62" t="s">
        <v>110</v>
      </c>
      <c r="G4390" s="64" t="s">
        <v>62</v>
      </c>
      <c r="H4390" s="3" t="s">
        <v>203</v>
      </c>
      <c r="I4390" s="65">
        <f>IFERROR(VLOOKUP(A4390,'3. Call duration'!$A:$C,3,0),"--")</f>
        <v>29.15434566</v>
      </c>
      <c r="J4390" s="65" t="str">
        <f t="array" ref="J4390">XLOOKUP(H4390,'2. Matching'!$A$2:$A$39,'2. Matching'!$B$2:$B$39,"--")</f>
        <v>Farming</v>
      </c>
      <c r="K4390" s="65" t="str">
        <f t="shared" si="1"/>
        <v>In</v>
      </c>
    </row>
    <row r="4391">
      <c r="A4391" s="62" t="s">
        <v>4529</v>
      </c>
      <c r="B4391" s="63">
        <v>44315.0</v>
      </c>
      <c r="C4391" s="62" t="s">
        <v>119</v>
      </c>
      <c r="D4391" s="64">
        <v>45.0</v>
      </c>
      <c r="E4391" s="62" t="s">
        <v>109</v>
      </c>
      <c r="F4391" s="62" t="s">
        <v>110</v>
      </c>
      <c r="G4391" s="64" t="s">
        <v>63</v>
      </c>
      <c r="H4391" s="3" t="s">
        <v>189</v>
      </c>
      <c r="I4391" s="65">
        <f>IFERROR(VLOOKUP(A4391,'3. Call duration'!$A:$C,3,0),"--")</f>
        <v>44.07559451</v>
      </c>
      <c r="J4391" s="65" t="str">
        <f t="array" ref="J4391">XLOOKUP(H4391,'2. Matching'!$A$2:$A$39,'2. Matching'!$B$2:$B$39,"--")</f>
        <v>SEO</v>
      </c>
      <c r="K4391" s="65" t="str">
        <f t="shared" si="1"/>
        <v>Out</v>
      </c>
    </row>
    <row r="4392">
      <c r="A4392" s="62" t="s">
        <v>4530</v>
      </c>
      <c r="B4392" s="63">
        <v>44268.0</v>
      </c>
      <c r="C4392" s="62" t="s">
        <v>119</v>
      </c>
      <c r="D4392" s="64">
        <v>45.0</v>
      </c>
      <c r="E4392" s="62" t="s">
        <v>109</v>
      </c>
      <c r="F4392" s="62" t="s">
        <v>115</v>
      </c>
      <c r="G4392" s="64" t="s">
        <v>64</v>
      </c>
      <c r="H4392" s="3" t="s">
        <v>185</v>
      </c>
      <c r="I4392" s="65">
        <f>IFERROR(VLOOKUP(A4392,'3. Call duration'!$A:$C,3,0),"--")</f>
        <v>28.09100404</v>
      </c>
      <c r="J4392" s="65" t="str">
        <f t="array" ref="J4392">XLOOKUP(H4392,'2. Matching'!$A$2:$A$39,'2. Matching'!$B$2:$B$39,"--")</f>
        <v>SEO</v>
      </c>
      <c r="K4392" s="65" t="str">
        <f t="shared" si="1"/>
        <v>In</v>
      </c>
    </row>
    <row r="4393">
      <c r="A4393" s="62" t="s">
        <v>4531</v>
      </c>
      <c r="B4393" s="63">
        <v>44279.0</v>
      </c>
      <c r="C4393" s="62" t="s">
        <v>119</v>
      </c>
      <c r="D4393" s="64">
        <v>45.0</v>
      </c>
      <c r="E4393" s="62" t="s">
        <v>109</v>
      </c>
      <c r="F4393" s="62" t="s">
        <v>115</v>
      </c>
      <c r="G4393" s="64" t="s">
        <v>64</v>
      </c>
      <c r="H4393" s="3" t="s">
        <v>221</v>
      </c>
      <c r="I4393" s="65">
        <f>IFERROR(VLOOKUP(A4393,'3. Call duration'!$A:$C,3,0),"--")</f>
        <v>20.10640875</v>
      </c>
      <c r="J4393" s="65" t="str">
        <f t="array" ref="J4393">XLOOKUP(H4393,'2. Matching'!$A$2:$A$39,'2. Matching'!$B$2:$B$39,"--")</f>
        <v>Farming</v>
      </c>
      <c r="K4393" s="65" t="str">
        <f t="shared" si="1"/>
        <v>In</v>
      </c>
    </row>
    <row r="4394">
      <c r="A4394" s="62" t="s">
        <v>4532</v>
      </c>
      <c r="B4394" s="63">
        <v>44301.0</v>
      </c>
      <c r="C4394" s="62" t="s">
        <v>119</v>
      </c>
      <c r="D4394" s="64">
        <v>45.0</v>
      </c>
      <c r="E4394" s="62" t="s">
        <v>109</v>
      </c>
      <c r="F4394" s="62" t="s">
        <v>115</v>
      </c>
      <c r="G4394" s="64" t="s">
        <v>64</v>
      </c>
      <c r="H4394" s="3" t="s">
        <v>155</v>
      </c>
      <c r="I4394" s="65">
        <f>IFERROR(VLOOKUP(A4394,'3. Call duration'!$A:$C,3,0),"--")</f>
        <v>20.53080904</v>
      </c>
      <c r="J4394" s="65" t="str">
        <f t="array" ref="J4394">XLOOKUP(H4394,'2. Matching'!$A$2:$A$39,'2. Matching'!$B$2:$B$39,"--")</f>
        <v>SEO</v>
      </c>
      <c r="K4394" s="65" t="str">
        <f t="shared" si="1"/>
        <v>In</v>
      </c>
    </row>
    <row r="4395">
      <c r="A4395" s="62" t="s">
        <v>4533</v>
      </c>
      <c r="B4395" s="63">
        <v>44271.0</v>
      </c>
      <c r="C4395" s="62" t="s">
        <v>119</v>
      </c>
      <c r="D4395" s="64">
        <v>45.0</v>
      </c>
      <c r="E4395" s="62" t="s">
        <v>109</v>
      </c>
      <c r="F4395" s="62" t="s">
        <v>115</v>
      </c>
      <c r="G4395" s="64" t="s">
        <v>64</v>
      </c>
      <c r="H4395" s="3" t="s">
        <v>169</v>
      </c>
      <c r="I4395" s="65">
        <f>IFERROR(VLOOKUP(A4395,'3. Call duration'!$A:$C,3,0),"--")</f>
        <v>32.69174358</v>
      </c>
      <c r="J4395" s="65" t="str">
        <f t="array" ref="J4395">XLOOKUP(H4395,'2. Matching'!$A$2:$A$39,'2. Matching'!$B$2:$B$39,"--")</f>
        <v>SEO</v>
      </c>
      <c r="K4395" s="65" t="str">
        <f t="shared" si="1"/>
        <v>In</v>
      </c>
    </row>
    <row r="4396">
      <c r="A4396" s="62" t="s">
        <v>4534</v>
      </c>
      <c r="B4396" s="63">
        <v>44300.0</v>
      </c>
      <c r="C4396" s="62" t="s">
        <v>119</v>
      </c>
      <c r="D4396" s="64">
        <v>45.0</v>
      </c>
      <c r="E4396" s="62" t="s">
        <v>109</v>
      </c>
      <c r="F4396" s="62" t="s">
        <v>115</v>
      </c>
      <c r="G4396" s="64" t="s">
        <v>64</v>
      </c>
      <c r="H4396" s="3" t="s">
        <v>185</v>
      </c>
      <c r="I4396" s="65">
        <f>IFERROR(VLOOKUP(A4396,'3. Call duration'!$A:$C,3,0),"--")</f>
        <v>40.38993445</v>
      </c>
      <c r="J4396" s="65" t="str">
        <f t="array" ref="J4396">XLOOKUP(H4396,'2. Matching'!$A$2:$A$39,'2. Matching'!$B$2:$B$39,"--")</f>
        <v>SEO</v>
      </c>
      <c r="K4396" s="65" t="str">
        <f t="shared" si="1"/>
        <v>In</v>
      </c>
    </row>
    <row r="4397">
      <c r="A4397" s="62" t="s">
        <v>4535</v>
      </c>
      <c r="B4397" s="63">
        <v>44279.0</v>
      </c>
      <c r="C4397" s="62" t="s">
        <v>119</v>
      </c>
      <c r="D4397" s="64">
        <v>45.0</v>
      </c>
      <c r="E4397" s="62" t="s">
        <v>109</v>
      </c>
      <c r="F4397" s="62" t="s">
        <v>115</v>
      </c>
      <c r="G4397" s="64" t="s">
        <v>64</v>
      </c>
      <c r="H4397" s="3" t="s">
        <v>221</v>
      </c>
      <c r="I4397" s="65" t="str">
        <f>IFERROR(VLOOKUP(A4397,'3. Call duration'!$A:$C,3,0),"--")</f>
        <v>--</v>
      </c>
      <c r="J4397" s="65" t="str">
        <f t="array" ref="J4397">XLOOKUP(H4397,'2. Matching'!$A$2:$A$39,'2. Matching'!$B$2:$B$39,"--")</f>
        <v>Farming</v>
      </c>
      <c r="K4397" s="65" t="str">
        <f t="shared" si="1"/>
        <v>In</v>
      </c>
    </row>
    <row r="4398">
      <c r="A4398" s="62" t="s">
        <v>4536</v>
      </c>
      <c r="B4398" s="63">
        <v>44281.0</v>
      </c>
      <c r="C4398" s="62" t="s">
        <v>119</v>
      </c>
      <c r="D4398" s="64">
        <v>45.0</v>
      </c>
      <c r="E4398" s="62" t="s">
        <v>109</v>
      </c>
      <c r="F4398" s="62" t="s">
        <v>110</v>
      </c>
      <c r="G4398" s="64" t="s">
        <v>64</v>
      </c>
      <c r="H4398" s="3" t="s">
        <v>185</v>
      </c>
      <c r="I4398" s="65">
        <f>IFERROR(VLOOKUP(A4398,'3. Call duration'!$A:$C,3,0),"--")</f>
        <v>32.26726915</v>
      </c>
      <c r="J4398" s="65" t="str">
        <f t="array" ref="J4398">XLOOKUP(H4398,'2. Matching'!$A$2:$A$39,'2. Matching'!$B$2:$B$39,"--")</f>
        <v>SEO</v>
      </c>
      <c r="K4398" s="65" t="str">
        <f t="shared" si="1"/>
        <v>In</v>
      </c>
    </row>
    <row r="4399">
      <c r="A4399" s="62" t="s">
        <v>4537</v>
      </c>
      <c r="B4399" s="63">
        <v>44309.0</v>
      </c>
      <c r="C4399" s="62" t="s">
        <v>119</v>
      </c>
      <c r="D4399" s="64">
        <v>45.0</v>
      </c>
      <c r="E4399" s="62" t="s">
        <v>109</v>
      </c>
      <c r="F4399" s="62" t="s">
        <v>110</v>
      </c>
      <c r="G4399" s="64" t="s">
        <v>64</v>
      </c>
      <c r="H4399" s="3" t="s">
        <v>297</v>
      </c>
      <c r="I4399" s="65">
        <f>IFERROR(VLOOKUP(A4399,'3. Call duration'!$A:$C,3,0),"--")</f>
        <v>27.03567159</v>
      </c>
      <c r="J4399" s="65" t="str">
        <f t="array" ref="J4399">XLOOKUP(H4399,'2. Matching'!$A$2:$A$39,'2. Matching'!$B$2:$B$39,"--")</f>
        <v>Farming</v>
      </c>
      <c r="K4399" s="65" t="str">
        <f t="shared" si="1"/>
        <v>In</v>
      </c>
    </row>
    <row r="4400">
      <c r="A4400" s="62" t="s">
        <v>4538</v>
      </c>
      <c r="B4400" s="63">
        <v>44303.0</v>
      </c>
      <c r="C4400" s="62" t="s">
        <v>119</v>
      </c>
      <c r="D4400" s="64">
        <v>45.0</v>
      </c>
      <c r="E4400" s="62" t="s">
        <v>109</v>
      </c>
      <c r="F4400" s="62" t="s">
        <v>115</v>
      </c>
      <c r="G4400" s="64" t="s">
        <v>64</v>
      </c>
      <c r="H4400" s="3" t="s">
        <v>169</v>
      </c>
      <c r="I4400" s="65">
        <f>IFERROR(VLOOKUP(A4400,'3. Call duration'!$A:$C,3,0),"--")</f>
        <v>32.64511043</v>
      </c>
      <c r="J4400" s="65" t="str">
        <f t="array" ref="J4400">XLOOKUP(H4400,'2. Matching'!$A$2:$A$39,'2. Matching'!$B$2:$B$39,"--")</f>
        <v>SEO</v>
      </c>
      <c r="K4400" s="65" t="str">
        <f t="shared" si="1"/>
        <v>In</v>
      </c>
    </row>
    <row r="4401">
      <c r="A4401" s="62" t="s">
        <v>4539</v>
      </c>
      <c r="B4401" s="63">
        <v>44281.0</v>
      </c>
      <c r="C4401" s="62" t="s">
        <v>119</v>
      </c>
      <c r="D4401" s="64">
        <v>45.0</v>
      </c>
      <c r="E4401" s="62" t="s">
        <v>109</v>
      </c>
      <c r="F4401" s="62" t="s">
        <v>115</v>
      </c>
      <c r="G4401" s="64" t="s">
        <v>62</v>
      </c>
      <c r="H4401" s="3" t="s">
        <v>203</v>
      </c>
      <c r="I4401" s="65">
        <f>IFERROR(VLOOKUP(A4401,'3. Call duration'!$A:$C,3,0),"--")</f>
        <v>31.46358649</v>
      </c>
      <c r="J4401" s="65" t="str">
        <f t="array" ref="J4401">XLOOKUP(H4401,'2. Matching'!$A$2:$A$39,'2. Matching'!$B$2:$B$39,"--")</f>
        <v>Farming</v>
      </c>
      <c r="K4401" s="65" t="str">
        <f t="shared" si="1"/>
        <v>In</v>
      </c>
    </row>
    <row r="4402">
      <c r="A4402" s="62" t="s">
        <v>4540</v>
      </c>
      <c r="B4402" s="63">
        <v>44274.0</v>
      </c>
      <c r="C4402" s="62" t="s">
        <v>119</v>
      </c>
      <c r="D4402" s="64">
        <v>45.0</v>
      </c>
      <c r="E4402" s="62" t="s">
        <v>109</v>
      </c>
      <c r="F4402" s="62" t="s">
        <v>115</v>
      </c>
      <c r="G4402" s="64" t="s">
        <v>64</v>
      </c>
      <c r="H4402" s="3" t="s">
        <v>131</v>
      </c>
      <c r="I4402" s="65">
        <f>IFERROR(VLOOKUP(A4402,'3. Call duration'!$A:$C,3,0),"--")</f>
        <v>29.6256342</v>
      </c>
      <c r="J4402" s="65" t="str">
        <f t="array" ref="J4402">XLOOKUP(H4402,'2. Matching'!$A$2:$A$39,'2. Matching'!$B$2:$B$39,"--")</f>
        <v>Acquisition</v>
      </c>
      <c r="K4402" s="65" t="str">
        <f t="shared" si="1"/>
        <v>In</v>
      </c>
    </row>
    <row r="4403">
      <c r="A4403" s="62" t="s">
        <v>4541</v>
      </c>
      <c r="B4403" s="63">
        <v>44281.0</v>
      </c>
      <c r="C4403" s="62" t="s">
        <v>119</v>
      </c>
      <c r="D4403" s="64">
        <v>45.0</v>
      </c>
      <c r="E4403" s="62" t="s">
        <v>109</v>
      </c>
      <c r="F4403" s="62" t="s">
        <v>110</v>
      </c>
      <c r="G4403" s="64" t="s">
        <v>62</v>
      </c>
      <c r="H4403" s="3" t="s">
        <v>203</v>
      </c>
      <c r="I4403" s="65">
        <f>IFERROR(VLOOKUP(A4403,'3. Call duration'!$A:$C,3,0),"--")</f>
        <v>32.02371729</v>
      </c>
      <c r="J4403" s="65" t="str">
        <f t="array" ref="J4403">XLOOKUP(H4403,'2. Matching'!$A$2:$A$39,'2. Matching'!$B$2:$B$39,"--")</f>
        <v>Farming</v>
      </c>
      <c r="K4403" s="65" t="str">
        <f t="shared" si="1"/>
        <v>In</v>
      </c>
    </row>
    <row r="4404">
      <c r="A4404" s="62" t="s">
        <v>4542</v>
      </c>
      <c r="B4404" s="63">
        <v>44274.0</v>
      </c>
      <c r="C4404" s="62" t="s">
        <v>119</v>
      </c>
      <c r="D4404" s="64">
        <v>45.0</v>
      </c>
      <c r="E4404" s="62" t="s">
        <v>109</v>
      </c>
      <c r="F4404" s="62" t="s">
        <v>115</v>
      </c>
      <c r="G4404" s="64" t="s">
        <v>64</v>
      </c>
      <c r="H4404" s="3" t="s">
        <v>141</v>
      </c>
      <c r="I4404" s="65">
        <f>IFERROR(VLOOKUP(A4404,'3. Call duration'!$A:$C,3,0),"--")</f>
        <v>26.47653435</v>
      </c>
      <c r="J4404" s="65" t="str">
        <f t="array" ref="J4404">XLOOKUP(H4404,'2. Matching'!$A$2:$A$39,'2. Matching'!$B$2:$B$39,"--")</f>
        <v>Acquisition</v>
      </c>
      <c r="K4404" s="65" t="str">
        <f t="shared" si="1"/>
        <v>In</v>
      </c>
    </row>
    <row r="4405">
      <c r="A4405" s="62" t="s">
        <v>4543</v>
      </c>
      <c r="B4405" s="63">
        <v>44308.0</v>
      </c>
      <c r="C4405" s="62" t="s">
        <v>119</v>
      </c>
      <c r="D4405" s="64">
        <v>45.0</v>
      </c>
      <c r="E4405" s="62" t="s">
        <v>109</v>
      </c>
      <c r="F4405" s="62" t="s">
        <v>115</v>
      </c>
      <c r="G4405" s="64" t="s">
        <v>64</v>
      </c>
      <c r="H4405" s="3" t="s">
        <v>169</v>
      </c>
      <c r="I4405" s="65">
        <f>IFERROR(VLOOKUP(A4405,'3. Call duration'!$A:$C,3,0),"--")</f>
        <v>11.16567798</v>
      </c>
      <c r="J4405" s="65" t="str">
        <f t="array" ref="J4405">XLOOKUP(H4405,'2. Matching'!$A$2:$A$39,'2. Matching'!$B$2:$B$39,"--")</f>
        <v>SEO</v>
      </c>
      <c r="K4405" s="65" t="str">
        <f t="shared" si="1"/>
        <v>In</v>
      </c>
    </row>
    <row r="4406">
      <c r="A4406" s="62" t="s">
        <v>4544</v>
      </c>
      <c r="B4406" s="63">
        <v>44274.0</v>
      </c>
      <c r="C4406" s="62" t="s">
        <v>119</v>
      </c>
      <c r="D4406" s="64">
        <v>45.0</v>
      </c>
      <c r="E4406" s="62" t="s">
        <v>109</v>
      </c>
      <c r="F4406" s="62" t="s">
        <v>110</v>
      </c>
      <c r="G4406" s="64" t="s">
        <v>64</v>
      </c>
      <c r="H4406" s="3" t="s">
        <v>52</v>
      </c>
      <c r="I4406" s="65">
        <f>IFERROR(VLOOKUP(A4406,'3. Call duration'!$A:$C,3,0),"--")</f>
        <v>16.28769518</v>
      </c>
      <c r="J4406" s="65" t="str">
        <f t="array" ref="J4406">XLOOKUP(H4406,'2. Matching'!$A$2:$A$39,'2. Matching'!$B$2:$B$39,"--")</f>
        <v>Partnerships</v>
      </c>
      <c r="K4406" s="65" t="str">
        <f t="shared" si="1"/>
        <v>In</v>
      </c>
    </row>
    <row r="4407">
      <c r="A4407" s="62" t="s">
        <v>4545</v>
      </c>
      <c r="B4407" s="63">
        <v>44263.0</v>
      </c>
      <c r="C4407" s="62" t="s">
        <v>119</v>
      </c>
      <c r="D4407" s="64">
        <v>45.0</v>
      </c>
      <c r="E4407" s="62" t="s">
        <v>109</v>
      </c>
      <c r="F4407" s="62" t="s">
        <v>115</v>
      </c>
      <c r="G4407" s="64" t="s">
        <v>64</v>
      </c>
      <c r="H4407" s="3" t="s">
        <v>145</v>
      </c>
      <c r="I4407" s="65" t="str">
        <f>IFERROR(VLOOKUP(A4407,'3. Call duration'!$A:$C,3,0),"--")</f>
        <v>--</v>
      </c>
      <c r="J4407" s="65" t="str">
        <f t="array" ref="J4407">XLOOKUP(H4407,'2. Matching'!$A$2:$A$39,'2. Matching'!$B$2:$B$39,"--")</f>
        <v>SEO</v>
      </c>
      <c r="K4407" s="65" t="str">
        <f t="shared" si="1"/>
        <v>In</v>
      </c>
    </row>
    <row r="4408">
      <c r="A4408" s="62" t="s">
        <v>4546</v>
      </c>
      <c r="B4408" s="63">
        <v>44279.0</v>
      </c>
      <c r="C4408" s="62" t="s">
        <v>119</v>
      </c>
      <c r="D4408" s="64">
        <v>45.0</v>
      </c>
      <c r="E4408" s="62" t="s">
        <v>109</v>
      </c>
      <c r="F4408" s="62" t="s">
        <v>110</v>
      </c>
      <c r="G4408" s="64" t="s">
        <v>64</v>
      </c>
      <c r="H4408" s="3" t="s">
        <v>54</v>
      </c>
      <c r="I4408" s="65">
        <f>IFERROR(VLOOKUP(A4408,'3. Call duration'!$A:$C,3,0),"--")</f>
        <v>16.87267138</v>
      </c>
      <c r="J4408" s="65" t="str">
        <f t="array" ref="J4408">XLOOKUP(H4408,'2. Matching'!$A$2:$A$39,'2. Matching'!$B$2:$B$39,"--")</f>
        <v>Partnerships</v>
      </c>
      <c r="K4408" s="65" t="str">
        <f t="shared" si="1"/>
        <v>In</v>
      </c>
    </row>
    <row r="4409">
      <c r="A4409" s="62" t="s">
        <v>4547</v>
      </c>
      <c r="B4409" s="63">
        <v>44314.0</v>
      </c>
      <c r="C4409" s="62" t="s">
        <v>119</v>
      </c>
      <c r="D4409" s="64">
        <v>45.0</v>
      </c>
      <c r="E4409" s="62" t="s">
        <v>109</v>
      </c>
      <c r="F4409" s="62" t="s">
        <v>110</v>
      </c>
      <c r="G4409" s="64" t="s">
        <v>64</v>
      </c>
      <c r="H4409" s="3" t="s">
        <v>297</v>
      </c>
      <c r="I4409" s="65">
        <f>IFERROR(VLOOKUP(A4409,'3. Call duration'!$A:$C,3,0),"--")</f>
        <v>32.44672275</v>
      </c>
      <c r="J4409" s="65" t="str">
        <f t="array" ref="J4409">XLOOKUP(H4409,'2. Matching'!$A$2:$A$39,'2. Matching'!$B$2:$B$39,"--")</f>
        <v>Farming</v>
      </c>
      <c r="K4409" s="65" t="str">
        <f t="shared" si="1"/>
        <v>In</v>
      </c>
    </row>
    <row r="4410">
      <c r="A4410" s="62" t="s">
        <v>4548</v>
      </c>
      <c r="B4410" s="63">
        <v>44267.0</v>
      </c>
      <c r="C4410" s="62" t="s">
        <v>119</v>
      </c>
      <c r="D4410" s="64">
        <v>45.0</v>
      </c>
      <c r="E4410" s="62" t="s">
        <v>109</v>
      </c>
      <c r="F4410" s="62" t="s">
        <v>110</v>
      </c>
      <c r="G4410" s="64" t="s">
        <v>64</v>
      </c>
      <c r="H4410" s="3" t="s">
        <v>54</v>
      </c>
      <c r="I4410" s="65">
        <f>IFERROR(VLOOKUP(A4410,'3. Call duration'!$A:$C,3,0),"--")</f>
        <v>20.46737699</v>
      </c>
      <c r="J4410" s="65" t="str">
        <f t="array" ref="J4410">XLOOKUP(H4410,'2. Matching'!$A$2:$A$39,'2. Matching'!$B$2:$B$39,"--")</f>
        <v>Partnerships</v>
      </c>
      <c r="K4410" s="65" t="str">
        <f t="shared" si="1"/>
        <v>In</v>
      </c>
    </row>
    <row r="4411">
      <c r="A4411" s="62" t="s">
        <v>4549</v>
      </c>
      <c r="B4411" s="63">
        <v>44258.0</v>
      </c>
      <c r="C4411" s="62" t="s">
        <v>119</v>
      </c>
      <c r="D4411" s="64">
        <v>45.0</v>
      </c>
      <c r="E4411" s="62" t="s">
        <v>109</v>
      </c>
      <c r="F4411" s="62" t="s">
        <v>115</v>
      </c>
      <c r="G4411" s="64" t="s">
        <v>64</v>
      </c>
      <c r="H4411" s="3" t="s">
        <v>169</v>
      </c>
      <c r="I4411" s="65">
        <f>IFERROR(VLOOKUP(A4411,'3. Call duration'!$A:$C,3,0),"--")</f>
        <v>27.40300833</v>
      </c>
      <c r="J4411" s="65" t="str">
        <f t="array" ref="J4411">XLOOKUP(H4411,'2. Matching'!$A$2:$A$39,'2. Matching'!$B$2:$B$39,"--")</f>
        <v>SEO</v>
      </c>
      <c r="K4411" s="65" t="str">
        <f t="shared" si="1"/>
        <v>In</v>
      </c>
    </row>
    <row r="4412">
      <c r="A4412" s="62" t="s">
        <v>4550</v>
      </c>
      <c r="B4412" s="63">
        <v>44280.0</v>
      </c>
      <c r="C4412" s="62" t="s">
        <v>119</v>
      </c>
      <c r="D4412" s="64">
        <v>45.0</v>
      </c>
      <c r="E4412" s="62" t="s">
        <v>109</v>
      </c>
      <c r="F4412" s="62" t="s">
        <v>115</v>
      </c>
      <c r="G4412" s="64" t="s">
        <v>64</v>
      </c>
      <c r="H4412" s="3" t="s">
        <v>169</v>
      </c>
      <c r="I4412" s="65">
        <f>IFERROR(VLOOKUP(A4412,'3. Call duration'!$A:$C,3,0),"--")</f>
        <v>24.16522578</v>
      </c>
      <c r="J4412" s="65" t="str">
        <f t="array" ref="J4412">XLOOKUP(H4412,'2. Matching'!$A$2:$A$39,'2. Matching'!$B$2:$B$39,"--")</f>
        <v>SEO</v>
      </c>
      <c r="K4412" s="65" t="str">
        <f t="shared" si="1"/>
        <v>In</v>
      </c>
    </row>
    <row r="4413">
      <c r="A4413" s="62" t="s">
        <v>4551</v>
      </c>
      <c r="B4413" s="63">
        <v>44278.0</v>
      </c>
      <c r="C4413" s="62" t="s">
        <v>119</v>
      </c>
      <c r="D4413" s="64">
        <v>45.0</v>
      </c>
      <c r="E4413" s="62" t="s">
        <v>109</v>
      </c>
      <c r="F4413" s="62" t="s">
        <v>110</v>
      </c>
      <c r="G4413" s="64" t="s">
        <v>62</v>
      </c>
      <c r="H4413" s="3" t="s">
        <v>203</v>
      </c>
      <c r="I4413" s="65">
        <f>IFERROR(VLOOKUP(A4413,'3. Call duration'!$A:$C,3,0),"--")</f>
        <v>32.15378928</v>
      </c>
      <c r="J4413" s="65" t="str">
        <f t="array" ref="J4413">XLOOKUP(H4413,'2. Matching'!$A$2:$A$39,'2. Matching'!$B$2:$B$39,"--")</f>
        <v>Farming</v>
      </c>
      <c r="K4413" s="65" t="str">
        <f t="shared" si="1"/>
        <v>In</v>
      </c>
    </row>
    <row r="4414">
      <c r="A4414" s="62" t="s">
        <v>4552</v>
      </c>
      <c r="B4414" s="63">
        <v>44273.0</v>
      </c>
      <c r="C4414" s="62" t="s">
        <v>119</v>
      </c>
      <c r="D4414" s="64">
        <v>45.0</v>
      </c>
      <c r="E4414" s="62" t="s">
        <v>109</v>
      </c>
      <c r="F4414" s="62" t="s">
        <v>115</v>
      </c>
      <c r="G4414" s="64" t="s">
        <v>64</v>
      </c>
      <c r="H4414" s="3" t="s">
        <v>297</v>
      </c>
      <c r="I4414" s="65">
        <f>IFERROR(VLOOKUP(A4414,'3. Call duration'!$A:$C,3,0),"--")</f>
        <v>42.04465699</v>
      </c>
      <c r="J4414" s="65" t="str">
        <f t="array" ref="J4414">XLOOKUP(H4414,'2. Matching'!$A$2:$A$39,'2. Matching'!$B$2:$B$39,"--")</f>
        <v>Farming</v>
      </c>
      <c r="K4414" s="65" t="str">
        <f t="shared" si="1"/>
        <v>In</v>
      </c>
    </row>
    <row r="4415">
      <c r="A4415" s="62" t="s">
        <v>4553</v>
      </c>
      <c r="B4415" s="63">
        <v>44259.0</v>
      </c>
      <c r="C4415" s="62" t="s">
        <v>119</v>
      </c>
      <c r="D4415" s="64">
        <v>45.0</v>
      </c>
      <c r="E4415" s="62" t="s">
        <v>109</v>
      </c>
      <c r="F4415" s="62" t="s">
        <v>115</v>
      </c>
      <c r="G4415" s="64" t="s">
        <v>64</v>
      </c>
      <c r="H4415" s="3" t="s">
        <v>131</v>
      </c>
      <c r="I4415" s="65">
        <f>IFERROR(VLOOKUP(A4415,'3. Call duration'!$A:$C,3,0),"--")</f>
        <v>44.01246524</v>
      </c>
      <c r="J4415" s="65" t="str">
        <f t="array" ref="J4415">XLOOKUP(H4415,'2. Matching'!$A$2:$A$39,'2. Matching'!$B$2:$B$39,"--")</f>
        <v>Acquisition</v>
      </c>
      <c r="K4415" s="65" t="str">
        <f t="shared" si="1"/>
        <v>In</v>
      </c>
    </row>
    <row r="4416">
      <c r="A4416" s="62" t="s">
        <v>4554</v>
      </c>
      <c r="B4416" s="63">
        <v>44305.0</v>
      </c>
      <c r="C4416" s="62" t="s">
        <v>119</v>
      </c>
      <c r="D4416" s="64">
        <v>45.0</v>
      </c>
      <c r="E4416" s="62" t="s">
        <v>109</v>
      </c>
      <c r="F4416" s="62" t="s">
        <v>115</v>
      </c>
      <c r="G4416" s="64" t="s">
        <v>64</v>
      </c>
      <c r="H4416" s="3" t="s">
        <v>139</v>
      </c>
      <c r="I4416" s="65">
        <f>IFERROR(VLOOKUP(A4416,'3. Call duration'!$A:$C,3,0),"--")</f>
        <v>23.87400385</v>
      </c>
      <c r="J4416" s="65" t="str">
        <f t="array" ref="J4416">XLOOKUP(H4416,'2. Matching'!$A$2:$A$39,'2. Matching'!$B$2:$B$39,"--")</f>
        <v>Acquisition</v>
      </c>
      <c r="K4416" s="65" t="str">
        <f t="shared" si="1"/>
        <v>In</v>
      </c>
    </row>
    <row r="4417">
      <c r="A4417" s="62" t="s">
        <v>4555</v>
      </c>
      <c r="B4417" s="63">
        <v>44287.0</v>
      </c>
      <c r="C4417" s="62" t="s">
        <v>119</v>
      </c>
      <c r="D4417" s="64">
        <v>45.0</v>
      </c>
      <c r="E4417" s="62" t="s">
        <v>109</v>
      </c>
      <c r="F4417" s="62" t="s">
        <v>110</v>
      </c>
      <c r="G4417" s="64" t="s">
        <v>64</v>
      </c>
      <c r="H4417" s="3" t="s">
        <v>164</v>
      </c>
      <c r="I4417" s="65">
        <f>IFERROR(VLOOKUP(A4417,'3. Call duration'!$A:$C,3,0),"--")</f>
        <v>11.22235009</v>
      </c>
      <c r="J4417" s="65" t="str">
        <f t="array" ref="J4417">XLOOKUP(H4417,'2. Matching'!$A$2:$A$39,'2. Matching'!$B$2:$B$39,"--")</f>
        <v>SEO</v>
      </c>
      <c r="K4417" s="65" t="str">
        <f t="shared" si="1"/>
        <v>In</v>
      </c>
    </row>
    <row r="4418">
      <c r="A4418" s="62" t="s">
        <v>4556</v>
      </c>
      <c r="B4418" s="63">
        <v>44262.0</v>
      </c>
      <c r="C4418" s="62" t="s">
        <v>119</v>
      </c>
      <c r="D4418" s="64">
        <v>45.0</v>
      </c>
      <c r="E4418" s="62" t="s">
        <v>109</v>
      </c>
      <c r="F4418" s="62" t="s">
        <v>110</v>
      </c>
      <c r="G4418" s="64" t="s">
        <v>64</v>
      </c>
      <c r="H4418" s="3" t="s">
        <v>139</v>
      </c>
      <c r="I4418" s="65">
        <f>IFERROR(VLOOKUP(A4418,'3. Call duration'!$A:$C,3,0),"--")</f>
        <v>32.28405567</v>
      </c>
      <c r="J4418" s="65" t="str">
        <f t="array" ref="J4418">XLOOKUP(H4418,'2. Matching'!$A$2:$A$39,'2. Matching'!$B$2:$B$39,"--")</f>
        <v>Acquisition</v>
      </c>
      <c r="K4418" s="65" t="str">
        <f t="shared" si="1"/>
        <v>In</v>
      </c>
    </row>
    <row r="4419">
      <c r="A4419" s="62" t="s">
        <v>4557</v>
      </c>
      <c r="B4419" s="63">
        <v>44263.0</v>
      </c>
      <c r="C4419" s="62" t="s">
        <v>119</v>
      </c>
      <c r="D4419" s="64">
        <v>45.0</v>
      </c>
      <c r="E4419" s="62" t="s">
        <v>109</v>
      </c>
      <c r="F4419" s="62" t="s">
        <v>115</v>
      </c>
      <c r="G4419" s="64" t="s">
        <v>64</v>
      </c>
      <c r="H4419" s="3" t="s">
        <v>175</v>
      </c>
      <c r="I4419" s="65">
        <f>IFERROR(VLOOKUP(A4419,'3. Call duration'!$A:$C,3,0),"--")</f>
        <v>32.41096608</v>
      </c>
      <c r="J4419" s="65" t="str">
        <f t="array" ref="J4419">XLOOKUP(H4419,'2. Matching'!$A$2:$A$39,'2. Matching'!$B$2:$B$39,"--")</f>
        <v>SEO</v>
      </c>
      <c r="K4419" s="65" t="str">
        <f t="shared" si="1"/>
        <v>In</v>
      </c>
    </row>
    <row r="4420">
      <c r="A4420" s="62" t="s">
        <v>4558</v>
      </c>
      <c r="B4420" s="63">
        <v>44257.0</v>
      </c>
      <c r="C4420" s="62" t="s">
        <v>119</v>
      </c>
      <c r="D4420" s="64">
        <v>45.0</v>
      </c>
      <c r="E4420" s="62" t="s">
        <v>109</v>
      </c>
      <c r="F4420" s="62" t="s">
        <v>115</v>
      </c>
      <c r="G4420" s="64" t="s">
        <v>64</v>
      </c>
      <c r="H4420" s="3" t="s">
        <v>185</v>
      </c>
      <c r="I4420" s="65" t="str">
        <f>IFERROR(VLOOKUP(A4420,'3. Call duration'!$A:$C,3,0),"--")</f>
        <v>--</v>
      </c>
      <c r="J4420" s="65" t="str">
        <f t="array" ref="J4420">XLOOKUP(H4420,'2. Matching'!$A$2:$A$39,'2. Matching'!$B$2:$B$39,"--")</f>
        <v>SEO</v>
      </c>
      <c r="K4420" s="65" t="str">
        <f t="shared" si="1"/>
        <v>In</v>
      </c>
    </row>
    <row r="4421">
      <c r="A4421" s="62" t="s">
        <v>4559</v>
      </c>
      <c r="B4421" s="63">
        <v>44312.0</v>
      </c>
      <c r="C4421" s="62" t="s">
        <v>119</v>
      </c>
      <c r="D4421" s="64">
        <v>45.0</v>
      </c>
      <c r="E4421" s="62" t="s">
        <v>109</v>
      </c>
      <c r="F4421" s="62" t="s">
        <v>110</v>
      </c>
      <c r="G4421" s="64" t="s">
        <v>63</v>
      </c>
      <c r="H4421" s="3" t="s">
        <v>183</v>
      </c>
      <c r="I4421" s="65">
        <f>IFERROR(VLOOKUP(A4421,'3. Call duration'!$A:$C,3,0),"--")</f>
        <v>32.24359601</v>
      </c>
      <c r="J4421" s="65" t="str">
        <f t="array" ref="J4421">XLOOKUP(H4421,'2. Matching'!$A$2:$A$39,'2. Matching'!$B$2:$B$39,"--")</f>
        <v>SEO</v>
      </c>
      <c r="K4421" s="65" t="str">
        <f t="shared" si="1"/>
        <v>In</v>
      </c>
    </row>
    <row r="4422">
      <c r="A4422" s="62" t="s">
        <v>4560</v>
      </c>
      <c r="B4422" s="63">
        <v>44313.0</v>
      </c>
      <c r="C4422" s="62" t="s">
        <v>119</v>
      </c>
      <c r="D4422" s="64">
        <v>45.0</v>
      </c>
      <c r="E4422" s="62" t="s">
        <v>109</v>
      </c>
      <c r="F4422" s="62" t="s">
        <v>110</v>
      </c>
      <c r="G4422" s="64" t="s">
        <v>64</v>
      </c>
      <c r="H4422" s="3" t="s">
        <v>52</v>
      </c>
      <c r="I4422" s="65">
        <f>IFERROR(VLOOKUP(A4422,'3. Call duration'!$A:$C,3,0),"--")</f>
        <v>16.62484551</v>
      </c>
      <c r="J4422" s="65" t="str">
        <f t="array" ref="J4422">XLOOKUP(H4422,'2. Matching'!$A$2:$A$39,'2. Matching'!$B$2:$B$39,"--")</f>
        <v>Partnerships</v>
      </c>
      <c r="K4422" s="65" t="str">
        <f t="shared" si="1"/>
        <v>In</v>
      </c>
    </row>
    <row r="4423">
      <c r="A4423" s="62" t="s">
        <v>4561</v>
      </c>
      <c r="B4423" s="63">
        <v>44309.0</v>
      </c>
      <c r="C4423" s="62" t="s">
        <v>119</v>
      </c>
      <c r="D4423" s="64">
        <v>45.0</v>
      </c>
      <c r="E4423" s="62" t="s">
        <v>109</v>
      </c>
      <c r="F4423" s="62" t="s">
        <v>110</v>
      </c>
      <c r="G4423" s="64" t="s">
        <v>64</v>
      </c>
      <c r="H4423" s="3" t="s">
        <v>171</v>
      </c>
      <c r="I4423" s="65">
        <f>IFERROR(VLOOKUP(A4423,'3. Call duration'!$A:$C,3,0),"--")</f>
        <v>32.90618276</v>
      </c>
      <c r="J4423" s="65" t="str">
        <f t="array" ref="J4423">XLOOKUP(H4423,'2. Matching'!$A$2:$A$39,'2. Matching'!$B$2:$B$39,"--")</f>
        <v>SEO</v>
      </c>
      <c r="K4423" s="65" t="str">
        <f t="shared" si="1"/>
        <v>In</v>
      </c>
    </row>
    <row r="4424">
      <c r="A4424" s="62" t="s">
        <v>4562</v>
      </c>
      <c r="B4424" s="63">
        <v>44263.0</v>
      </c>
      <c r="C4424" s="62" t="s">
        <v>119</v>
      </c>
      <c r="D4424" s="64">
        <v>45.0</v>
      </c>
      <c r="E4424" s="62" t="s">
        <v>109</v>
      </c>
      <c r="F4424" s="62" t="s">
        <v>115</v>
      </c>
      <c r="G4424" s="64" t="s">
        <v>64</v>
      </c>
      <c r="H4424" s="3" t="s">
        <v>169</v>
      </c>
      <c r="I4424" s="65">
        <f>IFERROR(VLOOKUP(A4424,'3. Call duration'!$A:$C,3,0),"--")</f>
        <v>29.59494671</v>
      </c>
      <c r="J4424" s="65" t="str">
        <f t="array" ref="J4424">XLOOKUP(H4424,'2. Matching'!$A$2:$A$39,'2. Matching'!$B$2:$B$39,"--")</f>
        <v>SEO</v>
      </c>
      <c r="K4424" s="65" t="str">
        <f t="shared" si="1"/>
        <v>In</v>
      </c>
    </row>
    <row r="4425">
      <c r="A4425" s="62" t="s">
        <v>4563</v>
      </c>
      <c r="B4425" s="63">
        <v>44306.0</v>
      </c>
      <c r="C4425" s="62" t="s">
        <v>119</v>
      </c>
      <c r="D4425" s="64">
        <v>45.0</v>
      </c>
      <c r="E4425" s="62" t="s">
        <v>109</v>
      </c>
      <c r="F4425" s="62" t="s">
        <v>110</v>
      </c>
      <c r="G4425" s="64" t="s">
        <v>64</v>
      </c>
      <c r="H4425" s="3" t="s">
        <v>55</v>
      </c>
      <c r="I4425" s="65">
        <f>IFERROR(VLOOKUP(A4425,'3. Call duration'!$A:$C,3,0),"--")</f>
        <v>7.456014901</v>
      </c>
      <c r="J4425" s="65" t="str">
        <f t="array" ref="J4425">XLOOKUP(H4425,'2. Matching'!$A$2:$A$39,'2. Matching'!$B$2:$B$39,"--")</f>
        <v>Partnerships</v>
      </c>
      <c r="K4425" s="65" t="str">
        <f t="shared" si="1"/>
        <v>In</v>
      </c>
    </row>
    <row r="4426">
      <c r="A4426" s="62" t="s">
        <v>4564</v>
      </c>
      <c r="B4426" s="63">
        <v>44291.0</v>
      </c>
      <c r="C4426" s="62" t="s">
        <v>119</v>
      </c>
      <c r="D4426" s="64">
        <v>45.0</v>
      </c>
      <c r="E4426" s="62" t="s">
        <v>109</v>
      </c>
      <c r="F4426" s="62" t="s">
        <v>115</v>
      </c>
      <c r="G4426" s="64" t="s">
        <v>64</v>
      </c>
      <c r="H4426" s="3" t="s">
        <v>169</v>
      </c>
      <c r="I4426" s="65">
        <f>IFERROR(VLOOKUP(A4426,'3. Call duration'!$A:$C,3,0),"--")</f>
        <v>30.5541752</v>
      </c>
      <c r="J4426" s="65" t="str">
        <f t="array" ref="J4426">XLOOKUP(H4426,'2. Matching'!$A$2:$A$39,'2. Matching'!$B$2:$B$39,"--")</f>
        <v>SEO</v>
      </c>
      <c r="K4426" s="65" t="str">
        <f t="shared" si="1"/>
        <v>In</v>
      </c>
    </row>
    <row r="4427">
      <c r="A4427" s="62" t="s">
        <v>4565</v>
      </c>
      <c r="B4427" s="63">
        <v>44280.0</v>
      </c>
      <c r="C4427" s="62" t="s">
        <v>119</v>
      </c>
      <c r="D4427" s="64">
        <v>45.0</v>
      </c>
      <c r="E4427" s="62" t="s">
        <v>109</v>
      </c>
      <c r="F4427" s="62" t="s">
        <v>110</v>
      </c>
      <c r="G4427" s="64" t="s">
        <v>63</v>
      </c>
      <c r="H4427" s="3" t="s">
        <v>128</v>
      </c>
      <c r="I4427" s="65">
        <f>IFERROR(VLOOKUP(A4427,'3. Call duration'!$A:$C,3,0),"--")</f>
        <v>46.29037374</v>
      </c>
      <c r="J4427" s="65" t="str">
        <f t="array" ref="J4427">XLOOKUP(H4427,'2. Matching'!$A$2:$A$39,'2. Matching'!$B$2:$B$39,"--")</f>
        <v>Acquisition</v>
      </c>
      <c r="K4427" s="65" t="str">
        <f t="shared" si="1"/>
        <v>In</v>
      </c>
    </row>
    <row r="4428">
      <c r="A4428" s="62" t="s">
        <v>4566</v>
      </c>
      <c r="B4428" s="63">
        <v>44308.0</v>
      </c>
      <c r="C4428" s="62" t="s">
        <v>119</v>
      </c>
      <c r="D4428" s="64">
        <v>45.0</v>
      </c>
      <c r="E4428" s="62" t="s">
        <v>109</v>
      </c>
      <c r="F4428" s="62" t="s">
        <v>110</v>
      </c>
      <c r="G4428" s="64" t="s">
        <v>64</v>
      </c>
      <c r="H4428" s="3" t="s">
        <v>185</v>
      </c>
      <c r="I4428" s="65">
        <f>IFERROR(VLOOKUP(A4428,'3. Call duration'!$A:$C,3,0),"--")</f>
        <v>23.16954582</v>
      </c>
      <c r="J4428" s="65" t="str">
        <f t="array" ref="J4428">XLOOKUP(H4428,'2. Matching'!$A$2:$A$39,'2. Matching'!$B$2:$B$39,"--")</f>
        <v>SEO</v>
      </c>
      <c r="K4428" s="65" t="str">
        <f t="shared" si="1"/>
        <v>In</v>
      </c>
    </row>
    <row r="4429">
      <c r="A4429" s="62" t="s">
        <v>4567</v>
      </c>
      <c r="B4429" s="63">
        <v>44273.0</v>
      </c>
      <c r="C4429" s="62" t="s">
        <v>119</v>
      </c>
      <c r="D4429" s="64">
        <v>45.0</v>
      </c>
      <c r="E4429" s="62" t="s">
        <v>109</v>
      </c>
      <c r="F4429" s="62" t="s">
        <v>115</v>
      </c>
      <c r="G4429" s="64" t="s">
        <v>64</v>
      </c>
      <c r="H4429" s="3" t="s">
        <v>185</v>
      </c>
      <c r="I4429" s="65">
        <f>IFERROR(VLOOKUP(A4429,'3. Call duration'!$A:$C,3,0),"--")</f>
        <v>23.75126948</v>
      </c>
      <c r="J4429" s="65" t="str">
        <f t="array" ref="J4429">XLOOKUP(H4429,'2. Matching'!$A$2:$A$39,'2. Matching'!$B$2:$B$39,"--")</f>
        <v>SEO</v>
      </c>
      <c r="K4429" s="65" t="str">
        <f t="shared" si="1"/>
        <v>In</v>
      </c>
    </row>
    <row r="4430">
      <c r="A4430" s="62" t="s">
        <v>4568</v>
      </c>
      <c r="B4430" s="63">
        <v>44278.0</v>
      </c>
      <c r="C4430" s="62" t="s">
        <v>119</v>
      </c>
      <c r="D4430" s="64">
        <v>45.0</v>
      </c>
      <c r="E4430" s="62" t="s">
        <v>109</v>
      </c>
      <c r="F4430" s="62" t="s">
        <v>110</v>
      </c>
      <c r="G4430" s="64" t="s">
        <v>64</v>
      </c>
      <c r="H4430" s="3" t="s">
        <v>297</v>
      </c>
      <c r="I4430" s="65">
        <f>IFERROR(VLOOKUP(A4430,'3. Call duration'!$A:$C,3,0),"--")</f>
        <v>31.85418737</v>
      </c>
      <c r="J4430" s="65" t="str">
        <f t="array" ref="J4430">XLOOKUP(H4430,'2. Matching'!$A$2:$A$39,'2. Matching'!$B$2:$B$39,"--")</f>
        <v>Farming</v>
      </c>
      <c r="K4430" s="65" t="str">
        <f t="shared" si="1"/>
        <v>In</v>
      </c>
    </row>
    <row r="4431">
      <c r="A4431" s="62" t="s">
        <v>4569</v>
      </c>
      <c r="B4431" s="63">
        <v>44259.0</v>
      </c>
      <c r="C4431" s="62" t="s">
        <v>119</v>
      </c>
      <c r="D4431" s="64">
        <v>45.0</v>
      </c>
      <c r="E4431" s="62" t="s">
        <v>109</v>
      </c>
      <c r="F4431" s="62" t="s">
        <v>115</v>
      </c>
      <c r="G4431" s="64" t="s">
        <v>64</v>
      </c>
      <c r="H4431" s="3" t="s">
        <v>175</v>
      </c>
      <c r="I4431" s="65">
        <f>IFERROR(VLOOKUP(A4431,'3. Call duration'!$A:$C,3,0),"--")</f>
        <v>32.4329936</v>
      </c>
      <c r="J4431" s="65" t="str">
        <f t="array" ref="J4431">XLOOKUP(H4431,'2. Matching'!$A$2:$A$39,'2. Matching'!$B$2:$B$39,"--")</f>
        <v>SEO</v>
      </c>
      <c r="K4431" s="65" t="str">
        <f t="shared" si="1"/>
        <v>In</v>
      </c>
    </row>
    <row r="4432">
      <c r="A4432" s="62" t="s">
        <v>4570</v>
      </c>
      <c r="B4432" s="63">
        <v>44266.0</v>
      </c>
      <c r="C4432" s="62" t="s">
        <v>119</v>
      </c>
      <c r="D4432" s="64">
        <v>45.0</v>
      </c>
      <c r="E4432" s="62" t="s">
        <v>109</v>
      </c>
      <c r="F4432" s="62" t="s">
        <v>115</v>
      </c>
      <c r="G4432" s="64" t="s">
        <v>64</v>
      </c>
      <c r="H4432" s="3" t="s">
        <v>139</v>
      </c>
      <c r="I4432" s="65">
        <f>IFERROR(VLOOKUP(A4432,'3. Call duration'!$A:$C,3,0),"--")</f>
        <v>26.92815422</v>
      </c>
      <c r="J4432" s="65" t="str">
        <f t="array" ref="J4432">XLOOKUP(H4432,'2. Matching'!$A$2:$A$39,'2. Matching'!$B$2:$B$39,"--")</f>
        <v>Acquisition</v>
      </c>
      <c r="K4432" s="65" t="str">
        <f t="shared" si="1"/>
        <v>In</v>
      </c>
    </row>
    <row r="4433">
      <c r="A4433" s="62" t="s">
        <v>4571</v>
      </c>
      <c r="B4433" s="63">
        <v>44301.0</v>
      </c>
      <c r="C4433" s="62" t="s">
        <v>119</v>
      </c>
      <c r="D4433" s="64">
        <v>45.0</v>
      </c>
      <c r="E4433" s="62" t="s">
        <v>109</v>
      </c>
      <c r="F4433" s="62" t="s">
        <v>115</v>
      </c>
      <c r="G4433" s="64" t="s">
        <v>64</v>
      </c>
      <c r="H4433" s="3" t="s">
        <v>185</v>
      </c>
      <c r="I4433" s="65">
        <f>IFERROR(VLOOKUP(A4433,'3. Call duration'!$A:$C,3,0),"--")</f>
        <v>20.00543972</v>
      </c>
      <c r="J4433" s="65" t="str">
        <f t="array" ref="J4433">XLOOKUP(H4433,'2. Matching'!$A$2:$A$39,'2. Matching'!$B$2:$B$39,"--")</f>
        <v>SEO</v>
      </c>
      <c r="K4433" s="65" t="str">
        <f t="shared" si="1"/>
        <v>In</v>
      </c>
    </row>
    <row r="4434">
      <c r="A4434" s="62" t="s">
        <v>4572</v>
      </c>
      <c r="B4434" s="63">
        <v>44260.0</v>
      </c>
      <c r="C4434" s="62" t="s">
        <v>119</v>
      </c>
      <c r="D4434" s="64">
        <v>45.0</v>
      </c>
      <c r="E4434" s="62" t="s">
        <v>109</v>
      </c>
      <c r="F4434" s="62" t="s">
        <v>115</v>
      </c>
      <c r="G4434" s="64" t="s">
        <v>64</v>
      </c>
      <c r="H4434" s="3" t="s">
        <v>164</v>
      </c>
      <c r="I4434" s="65">
        <f>IFERROR(VLOOKUP(A4434,'3. Call duration'!$A:$C,3,0),"--")</f>
        <v>41.05769563</v>
      </c>
      <c r="J4434" s="65" t="str">
        <f t="array" ref="J4434">XLOOKUP(H4434,'2. Matching'!$A$2:$A$39,'2. Matching'!$B$2:$B$39,"--")</f>
        <v>SEO</v>
      </c>
      <c r="K4434" s="65" t="str">
        <f t="shared" si="1"/>
        <v>In</v>
      </c>
    </row>
    <row r="4435">
      <c r="A4435" s="62" t="s">
        <v>4573</v>
      </c>
      <c r="B4435" s="63">
        <v>44293.0</v>
      </c>
      <c r="C4435" s="62" t="s">
        <v>119</v>
      </c>
      <c r="D4435" s="64">
        <v>45.0</v>
      </c>
      <c r="E4435" s="62" t="s">
        <v>109</v>
      </c>
      <c r="F4435" s="62" t="s">
        <v>110</v>
      </c>
      <c r="G4435" s="64" t="s">
        <v>64</v>
      </c>
      <c r="H4435" s="3" t="s">
        <v>297</v>
      </c>
      <c r="I4435" s="65">
        <f>IFERROR(VLOOKUP(A4435,'3. Call duration'!$A:$C,3,0),"--")</f>
        <v>20.5188868</v>
      </c>
      <c r="J4435" s="65" t="str">
        <f t="array" ref="J4435">XLOOKUP(H4435,'2. Matching'!$A$2:$A$39,'2. Matching'!$B$2:$B$39,"--")</f>
        <v>Farming</v>
      </c>
      <c r="K4435" s="65" t="str">
        <f t="shared" si="1"/>
        <v>In</v>
      </c>
    </row>
    <row r="4436">
      <c r="A4436" s="62" t="s">
        <v>4574</v>
      </c>
      <c r="B4436" s="63">
        <v>44267.0</v>
      </c>
      <c r="C4436" s="62" t="s">
        <v>119</v>
      </c>
      <c r="D4436" s="64">
        <v>45.0</v>
      </c>
      <c r="E4436" s="62" t="s">
        <v>109</v>
      </c>
      <c r="F4436" s="62" t="s">
        <v>115</v>
      </c>
      <c r="G4436" s="64" t="s">
        <v>64</v>
      </c>
      <c r="H4436" s="3" t="s">
        <v>155</v>
      </c>
      <c r="I4436" s="65">
        <f>IFERROR(VLOOKUP(A4436,'3. Call duration'!$A:$C,3,0),"--")</f>
        <v>46.45842026</v>
      </c>
      <c r="J4436" s="65" t="str">
        <f t="array" ref="J4436">XLOOKUP(H4436,'2. Matching'!$A$2:$A$39,'2. Matching'!$B$2:$B$39,"--")</f>
        <v>SEO</v>
      </c>
      <c r="K4436" s="65" t="str">
        <f t="shared" si="1"/>
        <v>In</v>
      </c>
    </row>
    <row r="4437">
      <c r="A4437" s="62" t="s">
        <v>4575</v>
      </c>
      <c r="B4437" s="63">
        <v>44278.0</v>
      </c>
      <c r="C4437" s="62" t="s">
        <v>119</v>
      </c>
      <c r="D4437" s="64">
        <v>45.0</v>
      </c>
      <c r="E4437" s="62" t="s">
        <v>109</v>
      </c>
      <c r="F4437" s="62" t="s">
        <v>110</v>
      </c>
      <c r="G4437" s="64" t="s">
        <v>62</v>
      </c>
      <c r="H4437" s="3" t="s">
        <v>203</v>
      </c>
      <c r="I4437" s="65" t="str">
        <f>IFERROR(VLOOKUP(A4437,'3. Call duration'!$A:$C,3,0),"--")</f>
        <v>--</v>
      </c>
      <c r="J4437" s="65" t="str">
        <f t="array" ref="J4437">XLOOKUP(H4437,'2. Matching'!$A$2:$A$39,'2. Matching'!$B$2:$B$39,"--")</f>
        <v>Farming</v>
      </c>
      <c r="K4437" s="65" t="str">
        <f t="shared" si="1"/>
        <v>In</v>
      </c>
    </row>
    <row r="4438">
      <c r="A4438" s="62" t="s">
        <v>4576</v>
      </c>
      <c r="B4438" s="63">
        <v>44294.0</v>
      </c>
      <c r="C4438" s="62" t="s">
        <v>119</v>
      </c>
      <c r="D4438" s="64">
        <v>45.0</v>
      </c>
      <c r="E4438" s="62" t="s">
        <v>109</v>
      </c>
      <c r="F4438" s="62" t="s">
        <v>115</v>
      </c>
      <c r="G4438" s="64" t="s">
        <v>64</v>
      </c>
      <c r="H4438" s="3" t="s">
        <v>155</v>
      </c>
      <c r="I4438" s="65">
        <f>IFERROR(VLOOKUP(A4438,'3. Call duration'!$A:$C,3,0),"--")</f>
        <v>16.44997785</v>
      </c>
      <c r="J4438" s="65" t="str">
        <f t="array" ref="J4438">XLOOKUP(H4438,'2. Matching'!$A$2:$A$39,'2. Matching'!$B$2:$B$39,"--")</f>
        <v>SEO</v>
      </c>
      <c r="K4438" s="65" t="str">
        <f t="shared" si="1"/>
        <v>In</v>
      </c>
    </row>
    <row r="4439">
      <c r="A4439" s="62" t="s">
        <v>4577</v>
      </c>
      <c r="B4439" s="63">
        <v>44266.0</v>
      </c>
      <c r="C4439" s="62" t="s">
        <v>119</v>
      </c>
      <c r="D4439" s="64">
        <v>45.0</v>
      </c>
      <c r="E4439" s="62" t="s">
        <v>109</v>
      </c>
      <c r="F4439" s="62" t="s">
        <v>110</v>
      </c>
      <c r="G4439" s="64" t="s">
        <v>64</v>
      </c>
      <c r="H4439" s="3" t="s">
        <v>139</v>
      </c>
      <c r="I4439" s="65">
        <f>IFERROR(VLOOKUP(A4439,'3. Call duration'!$A:$C,3,0),"--")</f>
        <v>30.47356509</v>
      </c>
      <c r="J4439" s="65" t="str">
        <f t="array" ref="J4439">XLOOKUP(H4439,'2. Matching'!$A$2:$A$39,'2. Matching'!$B$2:$B$39,"--")</f>
        <v>Acquisition</v>
      </c>
      <c r="K4439" s="65" t="str">
        <f t="shared" si="1"/>
        <v>In</v>
      </c>
    </row>
    <row r="4440">
      <c r="A4440" s="62" t="s">
        <v>4578</v>
      </c>
      <c r="B4440" s="63">
        <v>44256.0</v>
      </c>
      <c r="C4440" s="62" t="s">
        <v>119</v>
      </c>
      <c r="D4440" s="64">
        <v>45.0</v>
      </c>
      <c r="E4440" s="62" t="s">
        <v>109</v>
      </c>
      <c r="F4440" s="62" t="s">
        <v>115</v>
      </c>
      <c r="G4440" s="64" t="s">
        <v>64</v>
      </c>
      <c r="H4440" s="3" t="s">
        <v>139</v>
      </c>
      <c r="I4440" s="65">
        <f>IFERROR(VLOOKUP(A4440,'3. Call duration'!$A:$C,3,0),"--")</f>
        <v>27.91985221</v>
      </c>
      <c r="J4440" s="65" t="str">
        <f t="array" ref="J4440">XLOOKUP(H4440,'2. Matching'!$A$2:$A$39,'2. Matching'!$B$2:$B$39,"--")</f>
        <v>Acquisition</v>
      </c>
      <c r="K4440" s="65" t="str">
        <f t="shared" si="1"/>
        <v>In</v>
      </c>
    </row>
    <row r="4441">
      <c r="A4441" s="62" t="s">
        <v>4579</v>
      </c>
      <c r="B4441" s="63">
        <v>44279.0</v>
      </c>
      <c r="C4441" s="62" t="s">
        <v>119</v>
      </c>
      <c r="D4441" s="64">
        <v>45.0</v>
      </c>
      <c r="E4441" s="62" t="s">
        <v>109</v>
      </c>
      <c r="F4441" s="62" t="s">
        <v>110</v>
      </c>
      <c r="G4441" s="64" t="s">
        <v>63</v>
      </c>
      <c r="H4441" s="3" t="s">
        <v>189</v>
      </c>
      <c r="I4441" s="65">
        <f>IFERROR(VLOOKUP(A4441,'3. Call duration'!$A:$C,3,0),"--")</f>
        <v>28.17661044</v>
      </c>
      <c r="J4441" s="65" t="str">
        <f t="array" ref="J4441">XLOOKUP(H4441,'2. Matching'!$A$2:$A$39,'2. Matching'!$B$2:$B$39,"--")</f>
        <v>SEO</v>
      </c>
      <c r="K4441" s="65" t="str">
        <f t="shared" si="1"/>
        <v>Out</v>
      </c>
    </row>
    <row r="4442">
      <c r="A4442" s="62" t="s">
        <v>4580</v>
      </c>
      <c r="B4442" s="63">
        <v>44267.0</v>
      </c>
      <c r="C4442" s="62" t="s">
        <v>119</v>
      </c>
      <c r="D4442" s="64">
        <v>45.0</v>
      </c>
      <c r="E4442" s="62" t="s">
        <v>109</v>
      </c>
      <c r="F4442" s="62" t="s">
        <v>110</v>
      </c>
      <c r="G4442" s="64" t="s">
        <v>64</v>
      </c>
      <c r="H4442" s="3" t="s">
        <v>175</v>
      </c>
      <c r="I4442" s="65">
        <f>IFERROR(VLOOKUP(A4442,'3. Call duration'!$A:$C,3,0),"--")</f>
        <v>28.56245592</v>
      </c>
      <c r="J4442" s="65" t="str">
        <f t="array" ref="J4442">XLOOKUP(H4442,'2. Matching'!$A$2:$A$39,'2. Matching'!$B$2:$B$39,"--")</f>
        <v>SEO</v>
      </c>
      <c r="K4442" s="65" t="str">
        <f t="shared" si="1"/>
        <v>In</v>
      </c>
    </row>
    <row r="4443">
      <c r="A4443" s="62" t="s">
        <v>4581</v>
      </c>
      <c r="B4443" s="63">
        <v>44280.0</v>
      </c>
      <c r="C4443" s="62" t="s">
        <v>119</v>
      </c>
      <c r="D4443" s="64">
        <v>45.0</v>
      </c>
      <c r="E4443" s="62" t="s">
        <v>109</v>
      </c>
      <c r="F4443" s="62" t="s">
        <v>115</v>
      </c>
      <c r="G4443" s="64" t="s">
        <v>64</v>
      </c>
      <c r="H4443" s="3" t="s">
        <v>175</v>
      </c>
      <c r="I4443" s="65">
        <f>IFERROR(VLOOKUP(A4443,'3. Call duration'!$A:$C,3,0),"--")</f>
        <v>13.90585002</v>
      </c>
      <c r="J4443" s="65" t="str">
        <f t="array" ref="J4443">XLOOKUP(H4443,'2. Matching'!$A$2:$A$39,'2. Matching'!$B$2:$B$39,"--")</f>
        <v>SEO</v>
      </c>
      <c r="K4443" s="65" t="str">
        <f t="shared" si="1"/>
        <v>In</v>
      </c>
    </row>
    <row r="4444">
      <c r="A4444" s="62" t="s">
        <v>4582</v>
      </c>
      <c r="B4444" s="63">
        <v>44312.0</v>
      </c>
      <c r="C4444" s="62" t="s">
        <v>119</v>
      </c>
      <c r="D4444" s="64">
        <v>45.0</v>
      </c>
      <c r="E4444" s="62" t="s">
        <v>109</v>
      </c>
      <c r="F4444" s="62" t="s">
        <v>115</v>
      </c>
      <c r="G4444" s="64" t="s">
        <v>64</v>
      </c>
      <c r="H4444" s="3" t="s">
        <v>116</v>
      </c>
      <c r="I4444" s="65">
        <f>IFERROR(VLOOKUP(A4444,'3. Call duration'!$A:$C,3,0),"--")</f>
        <v>30.42984059</v>
      </c>
      <c r="J4444" s="65" t="str">
        <f t="array" ref="J4444">XLOOKUP(H4444,'2. Matching'!$A$2:$A$39,'2. Matching'!$B$2:$B$39,"--")</f>
        <v>Acquisition</v>
      </c>
      <c r="K4444" s="65" t="str">
        <f t="shared" si="1"/>
        <v>In</v>
      </c>
    </row>
    <row r="4445">
      <c r="A4445" s="62" t="s">
        <v>4583</v>
      </c>
      <c r="B4445" s="63">
        <v>44313.0</v>
      </c>
      <c r="C4445" s="62" t="s">
        <v>119</v>
      </c>
      <c r="D4445" s="64">
        <v>45.0</v>
      </c>
      <c r="E4445" s="62" t="s">
        <v>109</v>
      </c>
      <c r="F4445" s="62" t="s">
        <v>115</v>
      </c>
      <c r="G4445" s="64" t="s">
        <v>64</v>
      </c>
      <c r="H4445" s="3" t="s">
        <v>169</v>
      </c>
      <c r="I4445" s="65">
        <f>IFERROR(VLOOKUP(A4445,'3. Call duration'!$A:$C,3,0),"--")</f>
        <v>29.47173808</v>
      </c>
      <c r="J4445" s="65" t="str">
        <f t="array" ref="J4445">XLOOKUP(H4445,'2. Matching'!$A$2:$A$39,'2. Matching'!$B$2:$B$39,"--")</f>
        <v>SEO</v>
      </c>
      <c r="K4445" s="65" t="str">
        <f t="shared" si="1"/>
        <v>In</v>
      </c>
    </row>
    <row r="4446">
      <c r="A4446" s="62" t="s">
        <v>4584</v>
      </c>
      <c r="B4446" s="63">
        <v>44263.0</v>
      </c>
      <c r="C4446" s="62" t="s">
        <v>119</v>
      </c>
      <c r="D4446" s="64">
        <v>45.0</v>
      </c>
      <c r="E4446" s="62" t="s">
        <v>109</v>
      </c>
      <c r="F4446" s="62" t="s">
        <v>115</v>
      </c>
      <c r="G4446" s="64" t="s">
        <v>64</v>
      </c>
      <c r="H4446" s="3" t="s">
        <v>169</v>
      </c>
      <c r="I4446" s="65">
        <f>IFERROR(VLOOKUP(A4446,'3. Call duration'!$A:$C,3,0),"--")</f>
        <v>33.28491867</v>
      </c>
      <c r="J4446" s="65" t="str">
        <f t="array" ref="J4446">XLOOKUP(H4446,'2. Matching'!$A$2:$A$39,'2. Matching'!$B$2:$B$39,"--")</f>
        <v>SEO</v>
      </c>
      <c r="K4446" s="65" t="str">
        <f t="shared" si="1"/>
        <v>In</v>
      </c>
    </row>
    <row r="4447">
      <c r="A4447" s="62" t="s">
        <v>4585</v>
      </c>
      <c r="B4447" s="63">
        <v>44258.0</v>
      </c>
      <c r="C4447" s="62" t="s">
        <v>119</v>
      </c>
      <c r="D4447" s="64">
        <v>45.0</v>
      </c>
      <c r="E4447" s="62" t="s">
        <v>109</v>
      </c>
      <c r="F4447" s="62" t="s">
        <v>110</v>
      </c>
      <c r="G4447" s="64" t="s">
        <v>64</v>
      </c>
      <c r="H4447" s="3" t="s">
        <v>139</v>
      </c>
      <c r="I4447" s="65">
        <f>IFERROR(VLOOKUP(A4447,'3. Call duration'!$A:$C,3,0),"--")</f>
        <v>25.2406865</v>
      </c>
      <c r="J4447" s="65" t="str">
        <f t="array" ref="J4447">XLOOKUP(H4447,'2. Matching'!$A$2:$A$39,'2. Matching'!$B$2:$B$39,"--")</f>
        <v>Acquisition</v>
      </c>
      <c r="K4447" s="65" t="str">
        <f t="shared" si="1"/>
        <v>In</v>
      </c>
    </row>
    <row r="4448">
      <c r="A4448" s="62" t="s">
        <v>4586</v>
      </c>
      <c r="B4448" s="63">
        <v>44263.0</v>
      </c>
      <c r="C4448" s="62" t="s">
        <v>119</v>
      </c>
      <c r="D4448" s="64">
        <v>45.0</v>
      </c>
      <c r="E4448" s="62" t="s">
        <v>109</v>
      </c>
      <c r="F4448" s="62" t="s">
        <v>115</v>
      </c>
      <c r="G4448" s="64" t="s">
        <v>64</v>
      </c>
      <c r="H4448" s="3" t="s">
        <v>175</v>
      </c>
      <c r="I4448" s="65">
        <f>IFERROR(VLOOKUP(A4448,'3. Call duration'!$A:$C,3,0),"--")</f>
        <v>33.5649016</v>
      </c>
      <c r="J4448" s="65" t="str">
        <f t="array" ref="J4448">XLOOKUP(H4448,'2. Matching'!$A$2:$A$39,'2. Matching'!$B$2:$B$39,"--")</f>
        <v>SEO</v>
      </c>
      <c r="K4448" s="65" t="str">
        <f t="shared" si="1"/>
        <v>In</v>
      </c>
    </row>
    <row r="4449">
      <c r="A4449" s="62" t="s">
        <v>4587</v>
      </c>
      <c r="B4449" s="63">
        <v>44266.0</v>
      </c>
      <c r="C4449" s="62" t="s">
        <v>119</v>
      </c>
      <c r="D4449" s="64">
        <v>45.0</v>
      </c>
      <c r="E4449" s="62" t="s">
        <v>109</v>
      </c>
      <c r="F4449" s="62" t="s">
        <v>110</v>
      </c>
      <c r="G4449" s="64" t="s">
        <v>64</v>
      </c>
      <c r="H4449" s="3" t="s">
        <v>145</v>
      </c>
      <c r="I4449" s="65">
        <f>IFERROR(VLOOKUP(A4449,'3. Call duration'!$A:$C,3,0),"--")</f>
        <v>29.79100683</v>
      </c>
      <c r="J4449" s="65" t="str">
        <f t="array" ref="J4449">XLOOKUP(H4449,'2. Matching'!$A$2:$A$39,'2. Matching'!$B$2:$B$39,"--")</f>
        <v>SEO</v>
      </c>
      <c r="K4449" s="65" t="str">
        <f t="shared" si="1"/>
        <v>In</v>
      </c>
    </row>
    <row r="4450">
      <c r="A4450" s="62" t="s">
        <v>4588</v>
      </c>
      <c r="B4450" s="63">
        <v>44291.0</v>
      </c>
      <c r="C4450" s="62" t="s">
        <v>119</v>
      </c>
      <c r="D4450" s="64">
        <v>45.0</v>
      </c>
      <c r="E4450" s="62" t="s">
        <v>109</v>
      </c>
      <c r="F4450" s="62" t="s">
        <v>115</v>
      </c>
      <c r="G4450" s="64" t="s">
        <v>64</v>
      </c>
      <c r="H4450" s="3" t="s">
        <v>169</v>
      </c>
      <c r="I4450" s="65">
        <f>IFERROR(VLOOKUP(A4450,'3. Call duration'!$A:$C,3,0),"--")</f>
        <v>10.95639127</v>
      </c>
      <c r="J4450" s="65" t="str">
        <f t="array" ref="J4450">XLOOKUP(H4450,'2. Matching'!$A$2:$A$39,'2. Matching'!$B$2:$B$39,"--")</f>
        <v>SEO</v>
      </c>
      <c r="K4450" s="65" t="str">
        <f t="shared" si="1"/>
        <v>In</v>
      </c>
    </row>
    <row r="4451">
      <c r="A4451" s="62" t="s">
        <v>4589</v>
      </c>
      <c r="B4451" s="63">
        <v>44279.0</v>
      </c>
      <c r="C4451" s="62" t="s">
        <v>119</v>
      </c>
      <c r="D4451" s="64">
        <v>45.0</v>
      </c>
      <c r="E4451" s="62" t="s">
        <v>109</v>
      </c>
      <c r="F4451" s="62" t="s">
        <v>110</v>
      </c>
      <c r="G4451" s="64" t="s">
        <v>64</v>
      </c>
      <c r="H4451" s="3" t="s">
        <v>297</v>
      </c>
      <c r="I4451" s="65">
        <f>IFERROR(VLOOKUP(A4451,'3. Call duration'!$A:$C,3,0),"--")</f>
        <v>20.8673333</v>
      </c>
      <c r="J4451" s="65" t="str">
        <f t="array" ref="J4451">XLOOKUP(H4451,'2. Matching'!$A$2:$A$39,'2. Matching'!$B$2:$B$39,"--")</f>
        <v>Farming</v>
      </c>
      <c r="K4451" s="65" t="str">
        <f t="shared" si="1"/>
        <v>In</v>
      </c>
    </row>
    <row r="4452">
      <c r="A4452" s="62" t="s">
        <v>4590</v>
      </c>
      <c r="B4452" s="63">
        <v>44280.0</v>
      </c>
      <c r="C4452" s="62" t="s">
        <v>119</v>
      </c>
      <c r="D4452" s="64">
        <v>45.0</v>
      </c>
      <c r="E4452" s="62" t="s">
        <v>109</v>
      </c>
      <c r="F4452" s="62" t="s">
        <v>115</v>
      </c>
      <c r="G4452" s="64" t="s">
        <v>64</v>
      </c>
      <c r="H4452" s="3" t="s">
        <v>169</v>
      </c>
      <c r="I4452" s="65">
        <f>IFERROR(VLOOKUP(A4452,'3. Call duration'!$A:$C,3,0),"--")</f>
        <v>22.34511994</v>
      </c>
      <c r="J4452" s="65" t="str">
        <f t="array" ref="J4452">XLOOKUP(H4452,'2. Matching'!$A$2:$A$39,'2. Matching'!$B$2:$B$39,"--")</f>
        <v>SEO</v>
      </c>
      <c r="K4452" s="65" t="str">
        <f t="shared" si="1"/>
        <v>In</v>
      </c>
    </row>
    <row r="4453">
      <c r="A4453" s="62" t="s">
        <v>4591</v>
      </c>
      <c r="B4453" s="63">
        <v>44305.0</v>
      </c>
      <c r="C4453" s="62" t="s">
        <v>119</v>
      </c>
      <c r="D4453" s="64">
        <v>45.0</v>
      </c>
      <c r="E4453" s="62" t="s">
        <v>109</v>
      </c>
      <c r="F4453" s="62" t="s">
        <v>115</v>
      </c>
      <c r="G4453" s="64" t="s">
        <v>64</v>
      </c>
      <c r="H4453" s="3" t="s">
        <v>175</v>
      </c>
      <c r="I4453" s="65">
        <f>IFERROR(VLOOKUP(A4453,'3. Call duration'!$A:$C,3,0),"--")</f>
        <v>23.1057912</v>
      </c>
      <c r="J4453" s="65" t="str">
        <f t="array" ref="J4453">XLOOKUP(H4453,'2. Matching'!$A$2:$A$39,'2. Matching'!$B$2:$B$39,"--")</f>
        <v>SEO</v>
      </c>
      <c r="K4453" s="65" t="str">
        <f t="shared" si="1"/>
        <v>In</v>
      </c>
    </row>
    <row r="4454">
      <c r="A4454" s="62" t="s">
        <v>4592</v>
      </c>
      <c r="B4454" s="63">
        <v>44287.0</v>
      </c>
      <c r="C4454" s="62" t="s">
        <v>119</v>
      </c>
      <c r="D4454" s="64">
        <v>45.0</v>
      </c>
      <c r="E4454" s="62" t="s">
        <v>109</v>
      </c>
      <c r="F4454" s="62" t="s">
        <v>115</v>
      </c>
      <c r="G4454" s="64" t="s">
        <v>64</v>
      </c>
      <c r="H4454" s="3" t="s">
        <v>164</v>
      </c>
      <c r="I4454" s="65">
        <f>IFERROR(VLOOKUP(A4454,'3. Call duration'!$A:$C,3,0),"--")</f>
        <v>31.75055948</v>
      </c>
      <c r="J4454" s="65" t="str">
        <f t="array" ref="J4454">XLOOKUP(H4454,'2. Matching'!$A$2:$A$39,'2. Matching'!$B$2:$B$39,"--")</f>
        <v>SEO</v>
      </c>
      <c r="K4454" s="65" t="str">
        <f t="shared" si="1"/>
        <v>In</v>
      </c>
    </row>
    <row r="4455">
      <c r="A4455" s="62" t="s">
        <v>4593</v>
      </c>
      <c r="B4455" s="63">
        <v>44277.0</v>
      </c>
      <c r="C4455" s="62" t="s">
        <v>119</v>
      </c>
      <c r="D4455" s="64">
        <v>45.0</v>
      </c>
      <c r="E4455" s="62" t="s">
        <v>109</v>
      </c>
      <c r="F4455" s="62" t="s">
        <v>115</v>
      </c>
      <c r="G4455" s="64" t="s">
        <v>64</v>
      </c>
      <c r="H4455" s="3" t="s">
        <v>185</v>
      </c>
      <c r="I4455" s="65">
        <f>IFERROR(VLOOKUP(A4455,'3. Call duration'!$A:$C,3,0),"--")</f>
        <v>34.81437691</v>
      </c>
      <c r="J4455" s="65" t="str">
        <f t="array" ref="J4455">XLOOKUP(H4455,'2. Matching'!$A$2:$A$39,'2. Matching'!$B$2:$B$39,"--")</f>
        <v>SEO</v>
      </c>
      <c r="K4455" s="65" t="str">
        <f t="shared" si="1"/>
        <v>In</v>
      </c>
    </row>
    <row r="4456">
      <c r="A4456" s="62" t="s">
        <v>4594</v>
      </c>
      <c r="B4456" s="63">
        <v>44277.0</v>
      </c>
      <c r="C4456" s="62" t="s">
        <v>119</v>
      </c>
      <c r="D4456" s="64">
        <v>45.0</v>
      </c>
      <c r="E4456" s="62" t="s">
        <v>109</v>
      </c>
      <c r="F4456" s="62" t="s">
        <v>110</v>
      </c>
      <c r="G4456" s="64" t="s">
        <v>63</v>
      </c>
      <c r="H4456" s="3" t="s">
        <v>128</v>
      </c>
      <c r="I4456" s="65">
        <f>IFERROR(VLOOKUP(A4456,'3. Call duration'!$A:$C,3,0),"--")</f>
        <v>32.67394783</v>
      </c>
      <c r="J4456" s="65" t="str">
        <f t="array" ref="J4456">XLOOKUP(H4456,'2. Matching'!$A$2:$A$39,'2. Matching'!$B$2:$B$39,"--")</f>
        <v>Acquisition</v>
      </c>
      <c r="K4456" s="65" t="str">
        <f t="shared" si="1"/>
        <v>In</v>
      </c>
    </row>
    <row r="4457">
      <c r="A4457" s="62" t="s">
        <v>4595</v>
      </c>
      <c r="B4457" s="63">
        <v>44287.0</v>
      </c>
      <c r="C4457" s="62" t="s">
        <v>119</v>
      </c>
      <c r="D4457" s="64">
        <v>45.0</v>
      </c>
      <c r="E4457" s="62" t="s">
        <v>109</v>
      </c>
      <c r="F4457" s="62" t="s">
        <v>110</v>
      </c>
      <c r="G4457" s="64" t="s">
        <v>64</v>
      </c>
      <c r="H4457" s="3" t="s">
        <v>164</v>
      </c>
      <c r="I4457" s="65">
        <f>IFERROR(VLOOKUP(A4457,'3. Call duration'!$A:$C,3,0),"--")</f>
        <v>20.54497383</v>
      </c>
      <c r="J4457" s="65" t="str">
        <f t="array" ref="J4457">XLOOKUP(H4457,'2. Matching'!$A$2:$A$39,'2. Matching'!$B$2:$B$39,"--")</f>
        <v>SEO</v>
      </c>
      <c r="K4457" s="65" t="str">
        <f t="shared" si="1"/>
        <v>In</v>
      </c>
    </row>
    <row r="4458">
      <c r="A4458" s="62" t="s">
        <v>4596</v>
      </c>
      <c r="B4458" s="63">
        <v>44315.0</v>
      </c>
      <c r="C4458" s="62" t="s">
        <v>119</v>
      </c>
      <c r="D4458" s="64">
        <v>45.0</v>
      </c>
      <c r="E4458" s="62" t="s">
        <v>109</v>
      </c>
      <c r="F4458" s="62" t="s">
        <v>115</v>
      </c>
      <c r="G4458" s="64" t="s">
        <v>64</v>
      </c>
      <c r="H4458" s="3" t="s">
        <v>164</v>
      </c>
      <c r="I4458" s="65">
        <f>IFERROR(VLOOKUP(A4458,'3. Call duration'!$A:$C,3,0),"--")</f>
        <v>26.07368336</v>
      </c>
      <c r="J4458" s="65" t="str">
        <f t="array" ref="J4458">XLOOKUP(H4458,'2. Matching'!$A$2:$A$39,'2. Matching'!$B$2:$B$39,"--")</f>
        <v>SEO</v>
      </c>
      <c r="K4458" s="65" t="str">
        <f t="shared" si="1"/>
        <v>In</v>
      </c>
    </row>
    <row r="4459">
      <c r="A4459" s="62" t="s">
        <v>4597</v>
      </c>
      <c r="B4459" s="63">
        <v>44314.0</v>
      </c>
      <c r="C4459" s="62" t="s">
        <v>119</v>
      </c>
      <c r="D4459" s="64">
        <v>45.0</v>
      </c>
      <c r="E4459" s="62" t="s">
        <v>109</v>
      </c>
      <c r="F4459" s="62" t="s">
        <v>115</v>
      </c>
      <c r="G4459" s="64" t="s">
        <v>64</v>
      </c>
      <c r="H4459" s="3" t="s">
        <v>131</v>
      </c>
      <c r="I4459" s="65">
        <f>IFERROR(VLOOKUP(A4459,'3. Call duration'!$A:$C,3,0),"--")</f>
        <v>30.35912142</v>
      </c>
      <c r="J4459" s="65" t="str">
        <f t="array" ref="J4459">XLOOKUP(H4459,'2. Matching'!$A$2:$A$39,'2. Matching'!$B$2:$B$39,"--")</f>
        <v>Acquisition</v>
      </c>
      <c r="K4459" s="65" t="str">
        <f t="shared" si="1"/>
        <v>In</v>
      </c>
    </row>
    <row r="4460">
      <c r="A4460" s="62" t="s">
        <v>4598</v>
      </c>
      <c r="B4460" s="63">
        <v>44284.0</v>
      </c>
      <c r="C4460" s="62" t="s">
        <v>119</v>
      </c>
      <c r="D4460" s="64">
        <v>45.0</v>
      </c>
      <c r="E4460" s="62" t="s">
        <v>109</v>
      </c>
      <c r="F4460" s="62" t="s">
        <v>115</v>
      </c>
      <c r="G4460" s="64" t="s">
        <v>64</v>
      </c>
      <c r="H4460" s="3" t="s">
        <v>55</v>
      </c>
      <c r="I4460" s="65">
        <f>IFERROR(VLOOKUP(A4460,'3. Call duration'!$A:$C,3,0),"--")</f>
        <v>16.77019008</v>
      </c>
      <c r="J4460" s="65" t="str">
        <f t="array" ref="J4460">XLOOKUP(H4460,'2. Matching'!$A$2:$A$39,'2. Matching'!$B$2:$B$39,"--")</f>
        <v>Partnerships</v>
      </c>
      <c r="K4460" s="65" t="str">
        <f t="shared" si="1"/>
        <v>In</v>
      </c>
    </row>
    <row r="4461">
      <c r="A4461" s="62" t="s">
        <v>4599</v>
      </c>
      <c r="B4461" s="63">
        <v>44313.0</v>
      </c>
      <c r="C4461" s="62" t="s">
        <v>119</v>
      </c>
      <c r="D4461" s="64">
        <v>45.0</v>
      </c>
      <c r="E4461" s="62" t="s">
        <v>109</v>
      </c>
      <c r="F4461" s="62" t="s">
        <v>115</v>
      </c>
      <c r="G4461" s="64" t="s">
        <v>64</v>
      </c>
      <c r="H4461" s="3" t="s">
        <v>116</v>
      </c>
      <c r="I4461" s="65">
        <f>IFERROR(VLOOKUP(A4461,'3. Call duration'!$A:$C,3,0),"--")</f>
        <v>32.90663987</v>
      </c>
      <c r="J4461" s="65" t="str">
        <f t="array" ref="J4461">XLOOKUP(H4461,'2. Matching'!$A$2:$A$39,'2. Matching'!$B$2:$B$39,"--")</f>
        <v>Acquisition</v>
      </c>
      <c r="K4461" s="65" t="str">
        <f t="shared" si="1"/>
        <v>In</v>
      </c>
    </row>
    <row r="4462">
      <c r="A4462" s="62" t="s">
        <v>4600</v>
      </c>
      <c r="B4462" s="63">
        <v>44259.0</v>
      </c>
      <c r="C4462" s="62" t="s">
        <v>119</v>
      </c>
      <c r="D4462" s="64">
        <v>45.0</v>
      </c>
      <c r="E4462" s="62" t="s">
        <v>109</v>
      </c>
      <c r="F4462" s="62" t="s">
        <v>115</v>
      </c>
      <c r="G4462" s="64" t="s">
        <v>62</v>
      </c>
      <c r="H4462" s="3" t="s">
        <v>203</v>
      </c>
      <c r="I4462" s="65">
        <f>IFERROR(VLOOKUP(A4462,'3. Call duration'!$A:$C,3,0),"--")</f>
        <v>28.29634905</v>
      </c>
      <c r="J4462" s="65" t="str">
        <f t="array" ref="J4462">XLOOKUP(H4462,'2. Matching'!$A$2:$A$39,'2. Matching'!$B$2:$B$39,"--")</f>
        <v>Farming</v>
      </c>
      <c r="K4462" s="65" t="str">
        <f t="shared" si="1"/>
        <v>In</v>
      </c>
    </row>
    <row r="4463">
      <c r="A4463" s="62" t="s">
        <v>4601</v>
      </c>
      <c r="B4463" s="63">
        <v>44315.0</v>
      </c>
      <c r="C4463" s="62" t="s">
        <v>119</v>
      </c>
      <c r="D4463" s="64">
        <v>45.0</v>
      </c>
      <c r="E4463" s="62" t="s">
        <v>109</v>
      </c>
      <c r="F4463" s="62" t="s">
        <v>110</v>
      </c>
      <c r="G4463" s="64" t="s">
        <v>64</v>
      </c>
      <c r="H4463" s="3" t="s">
        <v>297</v>
      </c>
      <c r="I4463" s="65">
        <f>IFERROR(VLOOKUP(A4463,'3. Call duration'!$A:$C,3,0),"--")</f>
        <v>22.24479916</v>
      </c>
      <c r="J4463" s="65" t="str">
        <f t="array" ref="J4463">XLOOKUP(H4463,'2. Matching'!$A$2:$A$39,'2. Matching'!$B$2:$B$39,"--")</f>
        <v>Farming</v>
      </c>
      <c r="K4463" s="65" t="str">
        <f t="shared" si="1"/>
        <v>In</v>
      </c>
    </row>
    <row r="4464">
      <c r="A4464" s="62" t="s">
        <v>4602</v>
      </c>
      <c r="B4464" s="63">
        <v>44294.0</v>
      </c>
      <c r="C4464" s="62" t="s">
        <v>119</v>
      </c>
      <c r="D4464" s="64">
        <v>45.0</v>
      </c>
      <c r="E4464" s="62" t="s">
        <v>109</v>
      </c>
      <c r="F4464" s="62" t="s">
        <v>115</v>
      </c>
      <c r="G4464" s="64" t="s">
        <v>64</v>
      </c>
      <c r="H4464" s="3" t="s">
        <v>169</v>
      </c>
      <c r="I4464" s="65">
        <f>IFERROR(VLOOKUP(A4464,'3. Call duration'!$A:$C,3,0),"--")</f>
        <v>30.106013</v>
      </c>
      <c r="J4464" s="65" t="str">
        <f t="array" ref="J4464">XLOOKUP(H4464,'2. Matching'!$A$2:$A$39,'2. Matching'!$B$2:$B$39,"--")</f>
        <v>SEO</v>
      </c>
      <c r="K4464" s="65" t="str">
        <f t="shared" si="1"/>
        <v>In</v>
      </c>
    </row>
    <row r="4465">
      <c r="A4465" s="62" t="s">
        <v>4603</v>
      </c>
      <c r="B4465" s="63">
        <v>44284.0</v>
      </c>
      <c r="C4465" s="62" t="s">
        <v>119</v>
      </c>
      <c r="D4465" s="64">
        <v>45.0</v>
      </c>
      <c r="E4465" s="62" t="s">
        <v>109</v>
      </c>
      <c r="F4465" s="62" t="s">
        <v>115</v>
      </c>
      <c r="G4465" s="64" t="s">
        <v>64</v>
      </c>
      <c r="H4465" s="3" t="s">
        <v>175</v>
      </c>
      <c r="I4465" s="65">
        <f>IFERROR(VLOOKUP(A4465,'3. Call duration'!$A:$C,3,0),"--")</f>
        <v>30.1378146</v>
      </c>
      <c r="J4465" s="65" t="str">
        <f t="array" ref="J4465">XLOOKUP(H4465,'2. Matching'!$A$2:$A$39,'2. Matching'!$B$2:$B$39,"--")</f>
        <v>SEO</v>
      </c>
      <c r="K4465" s="65" t="str">
        <f t="shared" si="1"/>
        <v>In</v>
      </c>
    </row>
    <row r="4466">
      <c r="A4466" s="62" t="s">
        <v>4604</v>
      </c>
      <c r="B4466" s="63">
        <v>44271.0</v>
      </c>
      <c r="C4466" s="62" t="s">
        <v>119</v>
      </c>
      <c r="D4466" s="64">
        <v>45.0</v>
      </c>
      <c r="E4466" s="62" t="s">
        <v>109</v>
      </c>
      <c r="F4466" s="62" t="s">
        <v>110</v>
      </c>
      <c r="G4466" s="64" t="s">
        <v>64</v>
      </c>
      <c r="H4466" s="3" t="s">
        <v>145</v>
      </c>
      <c r="I4466" s="65">
        <f>IFERROR(VLOOKUP(A4466,'3. Call duration'!$A:$C,3,0),"--")</f>
        <v>25.17260107</v>
      </c>
      <c r="J4466" s="65" t="str">
        <f t="array" ref="J4466">XLOOKUP(H4466,'2. Matching'!$A$2:$A$39,'2. Matching'!$B$2:$B$39,"--")</f>
        <v>SEO</v>
      </c>
      <c r="K4466" s="65" t="str">
        <f t="shared" si="1"/>
        <v>In</v>
      </c>
    </row>
    <row r="4467">
      <c r="A4467" s="62" t="s">
        <v>4605</v>
      </c>
      <c r="B4467" s="63">
        <v>44305.0</v>
      </c>
      <c r="C4467" s="62" t="s">
        <v>119</v>
      </c>
      <c r="D4467" s="64">
        <v>45.0</v>
      </c>
      <c r="E4467" s="62" t="s">
        <v>109</v>
      </c>
      <c r="F4467" s="62" t="s">
        <v>110</v>
      </c>
      <c r="G4467" s="64" t="s">
        <v>64</v>
      </c>
      <c r="H4467" s="3" t="s">
        <v>297</v>
      </c>
      <c r="I4467" s="65">
        <f>IFERROR(VLOOKUP(A4467,'3. Call duration'!$A:$C,3,0),"--")</f>
        <v>30.83791033</v>
      </c>
      <c r="J4467" s="65" t="str">
        <f t="array" ref="J4467">XLOOKUP(H4467,'2. Matching'!$A$2:$A$39,'2. Matching'!$B$2:$B$39,"--")</f>
        <v>Farming</v>
      </c>
      <c r="K4467" s="65" t="str">
        <f t="shared" si="1"/>
        <v>In</v>
      </c>
    </row>
    <row r="4468">
      <c r="A4468" s="62" t="s">
        <v>4606</v>
      </c>
      <c r="B4468" s="63">
        <v>44284.0</v>
      </c>
      <c r="C4468" s="62" t="s">
        <v>119</v>
      </c>
      <c r="D4468" s="64">
        <v>45.0</v>
      </c>
      <c r="E4468" s="62" t="s">
        <v>109</v>
      </c>
      <c r="F4468" s="62" t="s">
        <v>115</v>
      </c>
      <c r="G4468" s="64" t="s">
        <v>64</v>
      </c>
      <c r="H4468" s="3" t="s">
        <v>169</v>
      </c>
      <c r="I4468" s="65">
        <f>IFERROR(VLOOKUP(A4468,'3. Call duration'!$A:$C,3,0),"--")</f>
        <v>27.56035723</v>
      </c>
      <c r="J4468" s="65" t="str">
        <f t="array" ref="J4468">XLOOKUP(H4468,'2. Matching'!$A$2:$A$39,'2. Matching'!$B$2:$B$39,"--")</f>
        <v>SEO</v>
      </c>
      <c r="K4468" s="65" t="str">
        <f t="shared" si="1"/>
        <v>In</v>
      </c>
    </row>
    <row r="4469">
      <c r="A4469" s="62" t="s">
        <v>4607</v>
      </c>
      <c r="B4469" s="63">
        <v>44265.0</v>
      </c>
      <c r="C4469" s="62" t="s">
        <v>119</v>
      </c>
      <c r="D4469" s="64">
        <v>45.0</v>
      </c>
      <c r="E4469" s="62" t="s">
        <v>109</v>
      </c>
      <c r="F4469" s="62" t="s">
        <v>110</v>
      </c>
      <c r="G4469" s="64" t="s">
        <v>64</v>
      </c>
      <c r="H4469" s="3" t="s">
        <v>297</v>
      </c>
      <c r="I4469" s="65">
        <f>IFERROR(VLOOKUP(A4469,'3. Call duration'!$A:$C,3,0),"--")</f>
        <v>25.8658753</v>
      </c>
      <c r="J4469" s="65" t="str">
        <f t="array" ref="J4469">XLOOKUP(H4469,'2. Matching'!$A$2:$A$39,'2. Matching'!$B$2:$B$39,"--")</f>
        <v>Farming</v>
      </c>
      <c r="K4469" s="65" t="str">
        <f t="shared" si="1"/>
        <v>In</v>
      </c>
    </row>
    <row r="4470">
      <c r="A4470" s="62" t="s">
        <v>4608</v>
      </c>
      <c r="B4470" s="63">
        <v>44274.0</v>
      </c>
      <c r="C4470" s="62" t="s">
        <v>119</v>
      </c>
      <c r="D4470" s="64">
        <v>45.0</v>
      </c>
      <c r="E4470" s="62" t="s">
        <v>109</v>
      </c>
      <c r="F4470" s="62" t="s">
        <v>110</v>
      </c>
      <c r="G4470" s="64" t="s">
        <v>64</v>
      </c>
      <c r="H4470" s="3" t="s">
        <v>297</v>
      </c>
      <c r="I4470" s="65">
        <f>IFERROR(VLOOKUP(A4470,'3. Call duration'!$A:$C,3,0),"--")</f>
        <v>28.1626679</v>
      </c>
      <c r="J4470" s="65" t="str">
        <f t="array" ref="J4470">XLOOKUP(H4470,'2. Matching'!$A$2:$A$39,'2. Matching'!$B$2:$B$39,"--")</f>
        <v>Farming</v>
      </c>
      <c r="K4470" s="65" t="str">
        <f t="shared" si="1"/>
        <v>In</v>
      </c>
    </row>
    <row r="4471">
      <c r="A4471" s="62" t="s">
        <v>4609</v>
      </c>
      <c r="B4471" s="63">
        <v>44302.0</v>
      </c>
      <c r="C4471" s="62" t="s">
        <v>119</v>
      </c>
      <c r="D4471" s="64">
        <v>45.0</v>
      </c>
      <c r="E4471" s="62" t="s">
        <v>109</v>
      </c>
      <c r="F4471" s="62" t="s">
        <v>110</v>
      </c>
      <c r="G4471" s="64" t="s">
        <v>64</v>
      </c>
      <c r="H4471" s="3" t="s">
        <v>52</v>
      </c>
      <c r="I4471" s="65">
        <f>IFERROR(VLOOKUP(A4471,'3. Call duration'!$A:$C,3,0),"--")</f>
        <v>14.62049111</v>
      </c>
      <c r="J4471" s="65" t="str">
        <f t="array" ref="J4471">XLOOKUP(H4471,'2. Matching'!$A$2:$A$39,'2. Matching'!$B$2:$B$39,"--")</f>
        <v>Partnerships</v>
      </c>
      <c r="K4471" s="65" t="str">
        <f t="shared" si="1"/>
        <v>In</v>
      </c>
    </row>
    <row r="4472">
      <c r="A4472" s="62" t="s">
        <v>4610</v>
      </c>
      <c r="B4472" s="63">
        <v>44298.0</v>
      </c>
      <c r="C4472" s="62" t="s">
        <v>119</v>
      </c>
      <c r="D4472" s="64">
        <v>45.0</v>
      </c>
      <c r="E4472" s="62" t="s">
        <v>109</v>
      </c>
      <c r="F4472" s="62" t="s">
        <v>115</v>
      </c>
      <c r="G4472" s="64" t="s">
        <v>64</v>
      </c>
      <c r="H4472" s="3" t="s">
        <v>155</v>
      </c>
      <c r="I4472" s="65">
        <f>IFERROR(VLOOKUP(A4472,'3. Call duration'!$A:$C,3,0),"--")</f>
        <v>26.65846324</v>
      </c>
      <c r="J4472" s="65" t="str">
        <f t="array" ref="J4472">XLOOKUP(H4472,'2. Matching'!$A$2:$A$39,'2. Matching'!$B$2:$B$39,"--")</f>
        <v>SEO</v>
      </c>
      <c r="K4472" s="65" t="str">
        <f t="shared" si="1"/>
        <v>In</v>
      </c>
    </row>
    <row r="4473">
      <c r="A4473" s="62" t="s">
        <v>4611</v>
      </c>
      <c r="B4473" s="63">
        <v>44264.0</v>
      </c>
      <c r="C4473" s="62" t="s">
        <v>119</v>
      </c>
      <c r="D4473" s="64">
        <v>45.0</v>
      </c>
      <c r="E4473" s="62" t="s">
        <v>109</v>
      </c>
      <c r="F4473" s="62" t="s">
        <v>110</v>
      </c>
      <c r="G4473" s="64" t="s">
        <v>64</v>
      </c>
      <c r="H4473" s="3" t="s">
        <v>175</v>
      </c>
      <c r="I4473" s="65">
        <f>IFERROR(VLOOKUP(A4473,'3. Call duration'!$A:$C,3,0),"--")</f>
        <v>32.6506262</v>
      </c>
      <c r="J4473" s="65" t="str">
        <f t="array" ref="J4473">XLOOKUP(H4473,'2. Matching'!$A$2:$A$39,'2. Matching'!$B$2:$B$39,"--")</f>
        <v>SEO</v>
      </c>
      <c r="K4473" s="65" t="str">
        <f t="shared" si="1"/>
        <v>In</v>
      </c>
    </row>
    <row r="4474">
      <c r="A4474" s="62" t="s">
        <v>4612</v>
      </c>
      <c r="B4474" s="63">
        <v>44289.0</v>
      </c>
      <c r="C4474" s="62" t="s">
        <v>119</v>
      </c>
      <c r="D4474" s="64">
        <v>45.0</v>
      </c>
      <c r="E4474" s="62" t="s">
        <v>109</v>
      </c>
      <c r="F4474" s="62" t="s">
        <v>115</v>
      </c>
      <c r="G4474" s="64" t="s">
        <v>64</v>
      </c>
      <c r="H4474" s="3" t="s">
        <v>139</v>
      </c>
      <c r="I4474" s="65">
        <f>IFERROR(VLOOKUP(A4474,'3. Call duration'!$A:$C,3,0),"--")</f>
        <v>22.90643731</v>
      </c>
      <c r="J4474" s="65" t="str">
        <f t="array" ref="J4474">XLOOKUP(H4474,'2. Matching'!$A$2:$A$39,'2. Matching'!$B$2:$B$39,"--")</f>
        <v>Acquisition</v>
      </c>
      <c r="K4474" s="65" t="str">
        <f t="shared" si="1"/>
        <v>In</v>
      </c>
    </row>
    <row r="4475">
      <c r="A4475" s="62" t="s">
        <v>4613</v>
      </c>
      <c r="B4475" s="63">
        <v>44273.0</v>
      </c>
      <c r="C4475" s="62" t="s">
        <v>119</v>
      </c>
      <c r="D4475" s="64">
        <v>45.0</v>
      </c>
      <c r="E4475" s="62" t="s">
        <v>109</v>
      </c>
      <c r="F4475" s="62" t="s">
        <v>110</v>
      </c>
      <c r="G4475" s="64" t="s">
        <v>64</v>
      </c>
      <c r="H4475" s="3" t="s">
        <v>169</v>
      </c>
      <c r="I4475" s="65">
        <f>IFERROR(VLOOKUP(A4475,'3. Call duration'!$A:$C,3,0),"--")</f>
        <v>37.67969861</v>
      </c>
      <c r="J4475" s="65" t="str">
        <f t="array" ref="J4475">XLOOKUP(H4475,'2. Matching'!$A$2:$A$39,'2. Matching'!$B$2:$B$39,"--")</f>
        <v>SEO</v>
      </c>
      <c r="K4475" s="65" t="str">
        <f t="shared" si="1"/>
        <v>In</v>
      </c>
    </row>
    <row r="4476">
      <c r="A4476" s="62" t="s">
        <v>4614</v>
      </c>
      <c r="B4476" s="63">
        <v>44301.0</v>
      </c>
      <c r="C4476" s="62" t="s">
        <v>119</v>
      </c>
      <c r="D4476" s="64">
        <v>45.0</v>
      </c>
      <c r="E4476" s="62" t="s">
        <v>109</v>
      </c>
      <c r="F4476" s="62" t="s">
        <v>110</v>
      </c>
      <c r="G4476" s="64" t="s">
        <v>64</v>
      </c>
      <c r="H4476" s="3" t="s">
        <v>297</v>
      </c>
      <c r="I4476" s="65">
        <f>IFERROR(VLOOKUP(A4476,'3. Call duration'!$A:$C,3,0),"--")</f>
        <v>28.57420286</v>
      </c>
      <c r="J4476" s="65" t="str">
        <f t="array" ref="J4476">XLOOKUP(H4476,'2. Matching'!$A$2:$A$39,'2. Matching'!$B$2:$B$39,"--")</f>
        <v>Farming</v>
      </c>
      <c r="K4476" s="65" t="str">
        <f t="shared" si="1"/>
        <v>In</v>
      </c>
    </row>
    <row r="4477">
      <c r="A4477" s="62" t="s">
        <v>4615</v>
      </c>
      <c r="B4477" s="63">
        <v>44287.0</v>
      </c>
      <c r="C4477" s="62" t="s">
        <v>119</v>
      </c>
      <c r="D4477" s="64">
        <v>45.0</v>
      </c>
      <c r="E4477" s="62" t="s">
        <v>109</v>
      </c>
      <c r="F4477" s="62" t="s">
        <v>110</v>
      </c>
      <c r="G4477" s="64" t="s">
        <v>64</v>
      </c>
      <c r="H4477" s="3" t="s">
        <v>185</v>
      </c>
      <c r="I4477" s="65">
        <f>IFERROR(VLOOKUP(A4477,'3. Call duration'!$A:$C,3,0),"--")</f>
        <v>26.75923459</v>
      </c>
      <c r="J4477" s="65" t="str">
        <f t="array" ref="J4477">XLOOKUP(H4477,'2. Matching'!$A$2:$A$39,'2. Matching'!$B$2:$B$39,"--")</f>
        <v>SEO</v>
      </c>
      <c r="K4477" s="65" t="str">
        <f t="shared" si="1"/>
        <v>In</v>
      </c>
    </row>
    <row r="4478">
      <c r="A4478" s="62" t="s">
        <v>4616</v>
      </c>
      <c r="B4478" s="63">
        <v>44287.0</v>
      </c>
      <c r="C4478" s="62" t="s">
        <v>119</v>
      </c>
      <c r="D4478" s="64">
        <v>45.0</v>
      </c>
      <c r="E4478" s="62" t="s">
        <v>109</v>
      </c>
      <c r="F4478" s="62" t="s">
        <v>110</v>
      </c>
      <c r="G4478" s="64" t="s">
        <v>64</v>
      </c>
      <c r="H4478" s="3" t="s">
        <v>297</v>
      </c>
      <c r="I4478" s="65">
        <f>IFERROR(VLOOKUP(A4478,'3. Call duration'!$A:$C,3,0),"--")</f>
        <v>827066.1</v>
      </c>
      <c r="J4478" s="65" t="str">
        <f t="array" ref="J4478">XLOOKUP(H4478,'2. Matching'!$A$2:$A$39,'2. Matching'!$B$2:$B$39,"--")</f>
        <v>Farming</v>
      </c>
      <c r="K4478" s="65" t="str">
        <f t="shared" si="1"/>
        <v>In</v>
      </c>
    </row>
    <row r="4479">
      <c r="A4479" s="62" t="s">
        <v>4617</v>
      </c>
      <c r="B4479" s="63">
        <v>44309.0</v>
      </c>
      <c r="C4479" s="62" t="s">
        <v>119</v>
      </c>
      <c r="D4479" s="64">
        <v>45.0</v>
      </c>
      <c r="E4479" s="62" t="s">
        <v>109</v>
      </c>
      <c r="F4479" s="62" t="s">
        <v>110</v>
      </c>
      <c r="G4479" s="64" t="s">
        <v>63</v>
      </c>
      <c r="H4479" s="3" t="s">
        <v>189</v>
      </c>
      <c r="I4479" s="65">
        <f>IFERROR(VLOOKUP(A4479,'3. Call duration'!$A:$C,3,0),"--")</f>
        <v>14.93293625</v>
      </c>
      <c r="J4479" s="65" t="str">
        <f t="array" ref="J4479">XLOOKUP(H4479,'2. Matching'!$A$2:$A$39,'2. Matching'!$B$2:$B$39,"--")</f>
        <v>SEO</v>
      </c>
      <c r="K4479" s="65" t="str">
        <f t="shared" si="1"/>
        <v>Out</v>
      </c>
    </row>
    <row r="4480">
      <c r="A4480" s="62" t="s">
        <v>4618</v>
      </c>
      <c r="B4480" s="63">
        <v>44305.0</v>
      </c>
      <c r="C4480" s="62" t="s">
        <v>119</v>
      </c>
      <c r="D4480" s="64">
        <v>45.0</v>
      </c>
      <c r="E4480" s="62" t="s">
        <v>109</v>
      </c>
      <c r="F4480" s="62" t="s">
        <v>115</v>
      </c>
      <c r="G4480" s="64" t="s">
        <v>64</v>
      </c>
      <c r="H4480" s="3" t="s">
        <v>141</v>
      </c>
      <c r="I4480" s="65">
        <f>IFERROR(VLOOKUP(A4480,'3. Call duration'!$A:$C,3,0),"--")</f>
        <v>22.85354919</v>
      </c>
      <c r="J4480" s="65" t="str">
        <f t="array" ref="J4480">XLOOKUP(H4480,'2. Matching'!$A$2:$A$39,'2. Matching'!$B$2:$B$39,"--")</f>
        <v>Acquisition</v>
      </c>
      <c r="K4480" s="65" t="str">
        <f t="shared" si="1"/>
        <v>In</v>
      </c>
    </row>
    <row r="4481">
      <c r="A4481" s="62" t="s">
        <v>4619</v>
      </c>
      <c r="B4481" s="63">
        <v>44266.0</v>
      </c>
      <c r="C4481" s="62" t="s">
        <v>119</v>
      </c>
      <c r="D4481" s="64">
        <v>45.0</v>
      </c>
      <c r="E4481" s="62" t="s">
        <v>109</v>
      </c>
      <c r="F4481" s="62" t="s">
        <v>115</v>
      </c>
      <c r="G4481" s="64" t="s">
        <v>64</v>
      </c>
      <c r="H4481" s="3" t="s">
        <v>175</v>
      </c>
      <c r="I4481" s="65">
        <f>IFERROR(VLOOKUP(A4481,'3. Call duration'!$A:$C,3,0),"--")</f>
        <v>25.6380205</v>
      </c>
      <c r="J4481" s="65" t="str">
        <f t="array" ref="J4481">XLOOKUP(H4481,'2. Matching'!$A$2:$A$39,'2. Matching'!$B$2:$B$39,"--")</f>
        <v>SEO</v>
      </c>
      <c r="K4481" s="65" t="str">
        <f t="shared" si="1"/>
        <v>In</v>
      </c>
    </row>
    <row r="4482">
      <c r="A4482" s="62" t="s">
        <v>4620</v>
      </c>
      <c r="B4482" s="63">
        <v>44264.0</v>
      </c>
      <c r="C4482" s="62" t="s">
        <v>119</v>
      </c>
      <c r="D4482" s="64">
        <v>45.0</v>
      </c>
      <c r="E4482" s="62" t="s">
        <v>109</v>
      </c>
      <c r="F4482" s="62" t="s">
        <v>110</v>
      </c>
      <c r="G4482" s="64" t="s">
        <v>64</v>
      </c>
      <c r="H4482" s="3" t="s">
        <v>131</v>
      </c>
      <c r="I4482" s="65">
        <f>IFERROR(VLOOKUP(A4482,'3. Call duration'!$A:$C,3,0),"--")</f>
        <v>20.41781599</v>
      </c>
      <c r="J4482" s="65" t="str">
        <f t="array" ref="J4482">XLOOKUP(H4482,'2. Matching'!$A$2:$A$39,'2. Matching'!$B$2:$B$39,"--")</f>
        <v>Acquisition</v>
      </c>
      <c r="K4482" s="65" t="str">
        <f t="shared" si="1"/>
        <v>In</v>
      </c>
    </row>
    <row r="4483">
      <c r="A4483" s="62" t="s">
        <v>4621</v>
      </c>
      <c r="B4483" s="63">
        <v>44272.0</v>
      </c>
      <c r="C4483" s="62" t="s">
        <v>119</v>
      </c>
      <c r="D4483" s="64">
        <v>45.0</v>
      </c>
      <c r="E4483" s="62" t="s">
        <v>109</v>
      </c>
      <c r="F4483" s="62" t="s">
        <v>110</v>
      </c>
      <c r="G4483" s="64" t="s">
        <v>63</v>
      </c>
      <c r="H4483" s="3" t="s">
        <v>128</v>
      </c>
      <c r="I4483" s="65">
        <f>IFERROR(VLOOKUP(A4483,'3. Call duration'!$A:$C,3,0),"--")</f>
        <v>26.53376066</v>
      </c>
      <c r="J4483" s="65" t="str">
        <f t="array" ref="J4483">XLOOKUP(H4483,'2. Matching'!$A$2:$A$39,'2. Matching'!$B$2:$B$39,"--")</f>
        <v>Acquisition</v>
      </c>
      <c r="K4483" s="65" t="str">
        <f t="shared" si="1"/>
        <v>In</v>
      </c>
    </row>
    <row r="4484">
      <c r="A4484" s="62" t="s">
        <v>4622</v>
      </c>
      <c r="B4484" s="63">
        <v>44313.0</v>
      </c>
      <c r="C4484" s="62" t="s">
        <v>119</v>
      </c>
      <c r="D4484" s="64">
        <v>45.0</v>
      </c>
      <c r="E4484" s="62" t="s">
        <v>109</v>
      </c>
      <c r="F4484" s="62" t="s">
        <v>110</v>
      </c>
      <c r="G4484" s="64" t="s">
        <v>64</v>
      </c>
      <c r="H4484" s="3" t="s">
        <v>297</v>
      </c>
      <c r="I4484" s="65">
        <f>IFERROR(VLOOKUP(A4484,'3. Call duration'!$A:$C,3,0),"--")</f>
        <v>31.8631848</v>
      </c>
      <c r="J4484" s="65" t="str">
        <f t="array" ref="J4484">XLOOKUP(H4484,'2. Matching'!$A$2:$A$39,'2. Matching'!$B$2:$B$39,"--")</f>
        <v>Farming</v>
      </c>
      <c r="K4484" s="65" t="str">
        <f t="shared" si="1"/>
        <v>In</v>
      </c>
    </row>
    <row r="4485">
      <c r="A4485" s="62" t="s">
        <v>4623</v>
      </c>
      <c r="B4485" s="63">
        <v>44274.0</v>
      </c>
      <c r="C4485" s="62" t="s">
        <v>119</v>
      </c>
      <c r="D4485" s="64">
        <v>45.0</v>
      </c>
      <c r="E4485" s="62" t="s">
        <v>109</v>
      </c>
      <c r="F4485" s="62" t="s">
        <v>110</v>
      </c>
      <c r="G4485" s="64" t="s">
        <v>64</v>
      </c>
      <c r="H4485" s="3" t="s">
        <v>185</v>
      </c>
      <c r="I4485" s="65">
        <f>IFERROR(VLOOKUP(A4485,'3. Call duration'!$A:$C,3,0),"--")</f>
        <v>31.67007807</v>
      </c>
      <c r="J4485" s="65" t="str">
        <f t="array" ref="J4485">XLOOKUP(H4485,'2. Matching'!$A$2:$A$39,'2. Matching'!$B$2:$B$39,"--")</f>
        <v>SEO</v>
      </c>
      <c r="K4485" s="65" t="str">
        <f t="shared" si="1"/>
        <v>In</v>
      </c>
    </row>
    <row r="4486">
      <c r="A4486" s="62" t="s">
        <v>4624</v>
      </c>
      <c r="B4486" s="63">
        <v>44273.0</v>
      </c>
      <c r="C4486" s="62" t="s">
        <v>119</v>
      </c>
      <c r="D4486" s="64">
        <v>45.0</v>
      </c>
      <c r="E4486" s="62" t="s">
        <v>109</v>
      </c>
      <c r="F4486" s="62" t="s">
        <v>115</v>
      </c>
      <c r="G4486" s="64" t="s">
        <v>64</v>
      </c>
      <c r="H4486" s="3" t="s">
        <v>169</v>
      </c>
      <c r="I4486" s="65">
        <f>IFERROR(VLOOKUP(A4486,'3. Call duration'!$A:$C,3,0),"--")</f>
        <v>33.15269424</v>
      </c>
      <c r="J4486" s="65" t="str">
        <f t="array" ref="J4486">XLOOKUP(H4486,'2. Matching'!$A$2:$A$39,'2. Matching'!$B$2:$B$39,"--")</f>
        <v>SEO</v>
      </c>
      <c r="K4486" s="65" t="str">
        <f t="shared" si="1"/>
        <v>In</v>
      </c>
    </row>
    <row r="4487">
      <c r="A4487" s="62" t="s">
        <v>4625</v>
      </c>
      <c r="B4487" s="63">
        <v>44266.0</v>
      </c>
      <c r="C4487" s="62" t="s">
        <v>119</v>
      </c>
      <c r="D4487" s="64">
        <v>45.0</v>
      </c>
      <c r="E4487" s="62" t="s">
        <v>109</v>
      </c>
      <c r="F4487" s="62" t="s">
        <v>115</v>
      </c>
      <c r="G4487" s="64" t="s">
        <v>64</v>
      </c>
      <c r="H4487" s="3" t="s">
        <v>185</v>
      </c>
      <c r="I4487" s="65">
        <f>IFERROR(VLOOKUP(A4487,'3. Call duration'!$A:$C,3,0),"--")</f>
        <v>29.66331006</v>
      </c>
      <c r="J4487" s="65" t="str">
        <f t="array" ref="J4487">XLOOKUP(H4487,'2. Matching'!$A$2:$A$39,'2. Matching'!$B$2:$B$39,"--")</f>
        <v>SEO</v>
      </c>
      <c r="K4487" s="65" t="str">
        <f t="shared" si="1"/>
        <v>In</v>
      </c>
    </row>
    <row r="4488">
      <c r="A4488" s="62" t="s">
        <v>4626</v>
      </c>
      <c r="B4488" s="63">
        <v>44285.0</v>
      </c>
      <c r="C4488" s="62" t="s">
        <v>119</v>
      </c>
      <c r="D4488" s="64">
        <v>45.0</v>
      </c>
      <c r="E4488" s="62" t="s">
        <v>109</v>
      </c>
      <c r="F4488" s="62" t="s">
        <v>110</v>
      </c>
      <c r="G4488" s="64" t="s">
        <v>64</v>
      </c>
      <c r="H4488" s="3" t="s">
        <v>297</v>
      </c>
      <c r="I4488" s="65">
        <f>IFERROR(VLOOKUP(A4488,'3. Call duration'!$A:$C,3,0),"--")</f>
        <v>28.45294694</v>
      </c>
      <c r="J4488" s="65" t="str">
        <f t="array" ref="J4488">XLOOKUP(H4488,'2. Matching'!$A$2:$A$39,'2. Matching'!$B$2:$B$39,"--")</f>
        <v>Farming</v>
      </c>
      <c r="K4488" s="65" t="str">
        <f t="shared" si="1"/>
        <v>In</v>
      </c>
    </row>
    <row r="4489">
      <c r="A4489" s="62" t="s">
        <v>4627</v>
      </c>
      <c r="B4489" s="63">
        <v>44280.0</v>
      </c>
      <c r="C4489" s="62" t="s">
        <v>119</v>
      </c>
      <c r="D4489" s="64">
        <v>45.0</v>
      </c>
      <c r="E4489" s="62" t="s">
        <v>109</v>
      </c>
      <c r="F4489" s="62" t="s">
        <v>110</v>
      </c>
      <c r="G4489" s="64" t="s">
        <v>62</v>
      </c>
      <c r="H4489" s="3" t="s">
        <v>203</v>
      </c>
      <c r="I4489" s="65">
        <f>IFERROR(VLOOKUP(A4489,'3. Call duration'!$A:$C,3,0),"--")</f>
        <v>31.02555376</v>
      </c>
      <c r="J4489" s="65" t="str">
        <f t="array" ref="J4489">XLOOKUP(H4489,'2. Matching'!$A$2:$A$39,'2. Matching'!$B$2:$B$39,"--")</f>
        <v>Farming</v>
      </c>
      <c r="K4489" s="65" t="str">
        <f t="shared" si="1"/>
        <v>In</v>
      </c>
    </row>
    <row r="4490">
      <c r="A4490" s="62" t="s">
        <v>4628</v>
      </c>
      <c r="B4490" s="63">
        <v>44306.0</v>
      </c>
      <c r="C4490" s="62" t="s">
        <v>119</v>
      </c>
      <c r="D4490" s="64">
        <v>45.0</v>
      </c>
      <c r="E4490" s="62" t="s">
        <v>109</v>
      </c>
      <c r="F4490" s="62" t="s">
        <v>115</v>
      </c>
      <c r="G4490" s="64" t="s">
        <v>64</v>
      </c>
      <c r="H4490" s="3" t="s">
        <v>55</v>
      </c>
      <c r="I4490" s="65">
        <f>IFERROR(VLOOKUP(A4490,'3. Call duration'!$A:$C,3,0),"--")</f>
        <v>19.4816016</v>
      </c>
      <c r="J4490" s="65" t="str">
        <f t="array" ref="J4490">XLOOKUP(H4490,'2. Matching'!$A$2:$A$39,'2. Matching'!$B$2:$B$39,"--")</f>
        <v>Partnerships</v>
      </c>
      <c r="K4490" s="65" t="str">
        <f t="shared" si="1"/>
        <v>In</v>
      </c>
    </row>
    <row r="4491">
      <c r="A4491" s="62" t="s">
        <v>4629</v>
      </c>
      <c r="B4491" s="63">
        <v>44284.0</v>
      </c>
      <c r="C4491" s="62" t="s">
        <v>119</v>
      </c>
      <c r="D4491" s="64">
        <v>45.0</v>
      </c>
      <c r="E4491" s="62" t="s">
        <v>109</v>
      </c>
      <c r="F4491" s="62" t="s">
        <v>115</v>
      </c>
      <c r="G4491" s="64" t="s">
        <v>64</v>
      </c>
      <c r="H4491" s="3" t="s">
        <v>221</v>
      </c>
      <c r="I4491" s="65">
        <f>IFERROR(VLOOKUP(A4491,'3. Call duration'!$A:$C,3,0),"--")</f>
        <v>21.19160057</v>
      </c>
      <c r="J4491" s="65" t="str">
        <f t="array" ref="J4491">XLOOKUP(H4491,'2. Matching'!$A$2:$A$39,'2. Matching'!$B$2:$B$39,"--")</f>
        <v>Farming</v>
      </c>
      <c r="K4491" s="65" t="str">
        <f t="shared" si="1"/>
        <v>In</v>
      </c>
    </row>
    <row r="4492">
      <c r="A4492" s="62" t="s">
        <v>4630</v>
      </c>
      <c r="B4492" s="63">
        <v>44272.0</v>
      </c>
      <c r="C4492" s="62" t="s">
        <v>119</v>
      </c>
      <c r="D4492" s="64">
        <v>45.0</v>
      </c>
      <c r="E4492" s="62" t="s">
        <v>109</v>
      </c>
      <c r="F4492" s="62" t="s">
        <v>110</v>
      </c>
      <c r="G4492" s="64" t="s">
        <v>64</v>
      </c>
      <c r="H4492" s="3" t="s">
        <v>131</v>
      </c>
      <c r="I4492" s="65">
        <f>IFERROR(VLOOKUP(A4492,'3. Call duration'!$A:$C,3,0),"--")</f>
        <v>12.68482499</v>
      </c>
      <c r="J4492" s="65" t="str">
        <f t="array" ref="J4492">XLOOKUP(H4492,'2. Matching'!$A$2:$A$39,'2. Matching'!$B$2:$B$39,"--")</f>
        <v>Acquisition</v>
      </c>
      <c r="K4492" s="65" t="str">
        <f t="shared" si="1"/>
        <v>In</v>
      </c>
    </row>
    <row r="4493">
      <c r="A4493" s="62" t="s">
        <v>4631</v>
      </c>
      <c r="B4493" s="63">
        <v>44278.0</v>
      </c>
      <c r="C4493" s="62" t="s">
        <v>119</v>
      </c>
      <c r="D4493" s="64">
        <v>45.0</v>
      </c>
      <c r="E4493" s="62" t="s">
        <v>109</v>
      </c>
      <c r="F4493" s="62" t="s">
        <v>115</v>
      </c>
      <c r="G4493" s="64" t="s">
        <v>64</v>
      </c>
      <c r="H4493" s="3" t="s">
        <v>164</v>
      </c>
      <c r="I4493" s="65">
        <f>IFERROR(VLOOKUP(A4493,'3. Call duration'!$A:$C,3,0),"--")</f>
        <v>23.54316528</v>
      </c>
      <c r="J4493" s="65" t="str">
        <f t="array" ref="J4493">XLOOKUP(H4493,'2. Matching'!$A$2:$A$39,'2. Matching'!$B$2:$B$39,"--")</f>
        <v>SEO</v>
      </c>
      <c r="K4493" s="65" t="str">
        <f t="shared" si="1"/>
        <v>In</v>
      </c>
    </row>
    <row r="4494">
      <c r="A4494" s="62" t="s">
        <v>4632</v>
      </c>
      <c r="B4494" s="63">
        <v>44256.0</v>
      </c>
      <c r="C4494" s="62" t="s">
        <v>119</v>
      </c>
      <c r="D4494" s="64">
        <v>45.0</v>
      </c>
      <c r="E4494" s="62" t="s">
        <v>109</v>
      </c>
      <c r="F4494" s="62" t="s">
        <v>115</v>
      </c>
      <c r="G4494" s="64" t="s">
        <v>64</v>
      </c>
      <c r="H4494" s="3" t="s">
        <v>139</v>
      </c>
      <c r="I4494" s="65">
        <f>IFERROR(VLOOKUP(A4494,'3. Call duration'!$A:$C,3,0),"--")</f>
        <v>27.57684147</v>
      </c>
      <c r="J4494" s="65" t="str">
        <f t="array" ref="J4494">XLOOKUP(H4494,'2. Matching'!$A$2:$A$39,'2. Matching'!$B$2:$B$39,"--")</f>
        <v>Acquisition</v>
      </c>
      <c r="K4494" s="65" t="str">
        <f t="shared" si="1"/>
        <v>In</v>
      </c>
    </row>
    <row r="4495">
      <c r="A4495" s="62" t="s">
        <v>4633</v>
      </c>
      <c r="B4495" s="63">
        <v>44284.0</v>
      </c>
      <c r="C4495" s="62" t="s">
        <v>119</v>
      </c>
      <c r="D4495" s="64">
        <v>45.0</v>
      </c>
      <c r="E4495" s="62" t="s">
        <v>109</v>
      </c>
      <c r="F4495" s="62" t="s">
        <v>115</v>
      </c>
      <c r="G4495" s="64" t="s">
        <v>64</v>
      </c>
      <c r="H4495" s="3" t="s">
        <v>221</v>
      </c>
      <c r="I4495" s="65">
        <f>IFERROR(VLOOKUP(A4495,'3. Call duration'!$A:$C,3,0),"--")</f>
        <v>32.28140742</v>
      </c>
      <c r="J4495" s="65" t="str">
        <f t="array" ref="J4495">XLOOKUP(H4495,'2. Matching'!$A$2:$A$39,'2. Matching'!$B$2:$B$39,"--")</f>
        <v>Farming</v>
      </c>
      <c r="K4495" s="65" t="str">
        <f t="shared" si="1"/>
        <v>In</v>
      </c>
    </row>
    <row r="4496">
      <c r="A4496" s="62" t="s">
        <v>4634</v>
      </c>
      <c r="B4496" s="63">
        <v>44273.0</v>
      </c>
      <c r="C4496" s="62" t="s">
        <v>119</v>
      </c>
      <c r="D4496" s="64">
        <v>45.0</v>
      </c>
      <c r="E4496" s="62" t="s">
        <v>109</v>
      </c>
      <c r="F4496" s="62" t="s">
        <v>115</v>
      </c>
      <c r="G4496" s="64" t="s">
        <v>64</v>
      </c>
      <c r="H4496" s="3" t="s">
        <v>141</v>
      </c>
      <c r="I4496" s="65">
        <f>IFERROR(VLOOKUP(A4496,'3. Call duration'!$A:$C,3,0),"--")</f>
        <v>27.8190781</v>
      </c>
      <c r="J4496" s="65" t="str">
        <f t="array" ref="J4496">XLOOKUP(H4496,'2. Matching'!$A$2:$A$39,'2. Matching'!$B$2:$B$39,"--")</f>
        <v>Acquisition</v>
      </c>
      <c r="K4496" s="65" t="str">
        <f t="shared" si="1"/>
        <v>In</v>
      </c>
    </row>
    <row r="4497">
      <c r="A4497" s="62" t="s">
        <v>4635</v>
      </c>
      <c r="B4497" s="63">
        <v>44280.0</v>
      </c>
      <c r="C4497" s="62" t="s">
        <v>119</v>
      </c>
      <c r="D4497" s="64">
        <v>45.0</v>
      </c>
      <c r="E4497" s="62" t="s">
        <v>109</v>
      </c>
      <c r="F4497" s="62" t="s">
        <v>115</v>
      </c>
      <c r="G4497" s="64" t="s">
        <v>64</v>
      </c>
      <c r="H4497" s="3" t="s">
        <v>164</v>
      </c>
      <c r="I4497" s="65">
        <f>IFERROR(VLOOKUP(A4497,'3. Call duration'!$A:$C,3,0),"--")</f>
        <v>23.5140597</v>
      </c>
      <c r="J4497" s="65" t="str">
        <f t="array" ref="J4497">XLOOKUP(H4497,'2. Matching'!$A$2:$A$39,'2. Matching'!$B$2:$B$39,"--")</f>
        <v>SEO</v>
      </c>
      <c r="K4497" s="65" t="str">
        <f t="shared" si="1"/>
        <v>In</v>
      </c>
    </row>
    <row r="4498">
      <c r="A4498" s="62" t="s">
        <v>4636</v>
      </c>
      <c r="B4498" s="63">
        <v>44298.0</v>
      </c>
      <c r="C4498" s="62" t="s">
        <v>119</v>
      </c>
      <c r="D4498" s="64">
        <v>45.0</v>
      </c>
      <c r="E4498" s="62" t="s">
        <v>109</v>
      </c>
      <c r="F4498" s="62" t="s">
        <v>115</v>
      </c>
      <c r="G4498" s="64" t="s">
        <v>64</v>
      </c>
      <c r="H4498" s="3" t="s">
        <v>185</v>
      </c>
      <c r="I4498" s="65">
        <f>IFERROR(VLOOKUP(A4498,'3. Call duration'!$A:$C,3,0),"--")</f>
        <v>24.77371647</v>
      </c>
      <c r="J4498" s="65" t="str">
        <f t="array" ref="J4498">XLOOKUP(H4498,'2. Matching'!$A$2:$A$39,'2. Matching'!$B$2:$B$39,"--")</f>
        <v>SEO</v>
      </c>
      <c r="K4498" s="65" t="str">
        <f t="shared" si="1"/>
        <v>In</v>
      </c>
    </row>
    <row r="4499">
      <c r="A4499" s="62" t="s">
        <v>4637</v>
      </c>
      <c r="B4499" s="63">
        <v>44285.0</v>
      </c>
      <c r="C4499" s="62" t="s">
        <v>119</v>
      </c>
      <c r="D4499" s="64">
        <v>45.0</v>
      </c>
      <c r="E4499" s="62" t="s">
        <v>109</v>
      </c>
      <c r="F4499" s="62" t="s">
        <v>115</v>
      </c>
      <c r="G4499" s="64" t="s">
        <v>64</v>
      </c>
      <c r="H4499" s="3" t="s">
        <v>221</v>
      </c>
      <c r="I4499" s="65">
        <f>IFERROR(VLOOKUP(A4499,'3. Call duration'!$A:$C,3,0),"--")</f>
        <v>24.60639673</v>
      </c>
      <c r="J4499" s="65" t="str">
        <f t="array" ref="J4499">XLOOKUP(H4499,'2. Matching'!$A$2:$A$39,'2. Matching'!$B$2:$B$39,"--")</f>
        <v>Farming</v>
      </c>
      <c r="K4499" s="65" t="str">
        <f t="shared" si="1"/>
        <v>In</v>
      </c>
    </row>
    <row r="4500">
      <c r="A4500" s="62" t="s">
        <v>4638</v>
      </c>
      <c r="B4500" s="63">
        <v>44301.0</v>
      </c>
      <c r="C4500" s="62" t="s">
        <v>119</v>
      </c>
      <c r="D4500" s="64">
        <v>45.0</v>
      </c>
      <c r="E4500" s="62" t="s">
        <v>109</v>
      </c>
      <c r="F4500" s="62" t="s">
        <v>110</v>
      </c>
      <c r="G4500" s="64" t="s">
        <v>64</v>
      </c>
      <c r="H4500" s="3" t="s">
        <v>131</v>
      </c>
      <c r="I4500" s="65">
        <f>IFERROR(VLOOKUP(A4500,'3. Call duration'!$A:$C,3,0),"--")</f>
        <v>31.30740977</v>
      </c>
      <c r="J4500" s="65" t="str">
        <f t="array" ref="J4500">XLOOKUP(H4500,'2. Matching'!$A$2:$A$39,'2. Matching'!$B$2:$B$39,"--")</f>
        <v>Acquisition</v>
      </c>
      <c r="K4500" s="65" t="str">
        <f t="shared" si="1"/>
        <v>In</v>
      </c>
    </row>
    <row r="4501">
      <c r="A4501" s="62" t="s">
        <v>4639</v>
      </c>
      <c r="B4501" s="63">
        <v>44271.0</v>
      </c>
      <c r="C4501" s="62" t="s">
        <v>119</v>
      </c>
      <c r="D4501" s="64">
        <v>45.0</v>
      </c>
      <c r="E4501" s="62" t="s">
        <v>109</v>
      </c>
      <c r="F4501" s="62" t="s">
        <v>115</v>
      </c>
      <c r="G4501" s="64" t="s">
        <v>64</v>
      </c>
      <c r="H4501" s="3" t="s">
        <v>169</v>
      </c>
      <c r="I4501" s="65">
        <f>IFERROR(VLOOKUP(A4501,'3. Call duration'!$A:$C,3,0),"--")</f>
        <v>32.79069681</v>
      </c>
      <c r="J4501" s="65" t="str">
        <f t="array" ref="J4501">XLOOKUP(H4501,'2. Matching'!$A$2:$A$39,'2. Matching'!$B$2:$B$39,"--")</f>
        <v>SEO</v>
      </c>
      <c r="K4501" s="65" t="str">
        <f t="shared" si="1"/>
        <v>In</v>
      </c>
    </row>
    <row r="4502">
      <c r="A4502" s="62" t="s">
        <v>4640</v>
      </c>
      <c r="B4502" s="63">
        <v>44315.0</v>
      </c>
      <c r="C4502" s="62" t="s">
        <v>119</v>
      </c>
      <c r="D4502" s="64">
        <v>45.0</v>
      </c>
      <c r="E4502" s="62" t="s">
        <v>109</v>
      </c>
      <c r="F4502" s="62" t="s">
        <v>115</v>
      </c>
      <c r="G4502" s="64" t="s">
        <v>63</v>
      </c>
      <c r="H4502" s="3" t="s">
        <v>183</v>
      </c>
      <c r="I4502" s="65">
        <f>IFERROR(VLOOKUP(A4502,'3. Call duration'!$A:$C,3,0),"--")</f>
        <v>25.41303289</v>
      </c>
      <c r="J4502" s="65" t="str">
        <f t="array" ref="J4502">XLOOKUP(H4502,'2. Matching'!$A$2:$A$39,'2. Matching'!$B$2:$B$39,"--")</f>
        <v>SEO</v>
      </c>
      <c r="K4502" s="65" t="str">
        <f t="shared" si="1"/>
        <v>In</v>
      </c>
    </row>
    <row r="4503">
      <c r="A4503" s="62" t="s">
        <v>4641</v>
      </c>
      <c r="B4503" s="63">
        <v>44272.0</v>
      </c>
      <c r="C4503" s="62" t="s">
        <v>119</v>
      </c>
      <c r="D4503" s="64">
        <v>45.0</v>
      </c>
      <c r="E4503" s="62" t="s">
        <v>109</v>
      </c>
      <c r="F4503" s="62" t="s">
        <v>110</v>
      </c>
      <c r="G4503" s="64" t="s">
        <v>63</v>
      </c>
      <c r="H4503" s="3" t="s">
        <v>189</v>
      </c>
      <c r="I4503" s="65">
        <f>IFERROR(VLOOKUP(A4503,'3. Call duration'!$A:$C,3,0),"--")</f>
        <v>28.01769566</v>
      </c>
      <c r="J4503" s="65" t="str">
        <f t="array" ref="J4503">XLOOKUP(H4503,'2. Matching'!$A$2:$A$39,'2. Matching'!$B$2:$B$39,"--")</f>
        <v>SEO</v>
      </c>
      <c r="K4503" s="65" t="str">
        <f t="shared" si="1"/>
        <v>Out</v>
      </c>
    </row>
    <row r="4504">
      <c r="A4504" s="62" t="s">
        <v>4642</v>
      </c>
      <c r="B4504" s="63">
        <v>44277.0</v>
      </c>
      <c r="C4504" s="62" t="s">
        <v>119</v>
      </c>
      <c r="D4504" s="64">
        <v>45.0</v>
      </c>
      <c r="E4504" s="62" t="s">
        <v>109</v>
      </c>
      <c r="F4504" s="62" t="s">
        <v>110</v>
      </c>
      <c r="G4504" s="64" t="s">
        <v>62</v>
      </c>
      <c r="H4504" s="3" t="s">
        <v>203</v>
      </c>
      <c r="I4504" s="65">
        <f>IFERROR(VLOOKUP(A4504,'3. Call duration'!$A:$C,3,0),"--")</f>
        <v>20.74976813</v>
      </c>
      <c r="J4504" s="65" t="str">
        <f t="array" ref="J4504">XLOOKUP(H4504,'2. Matching'!$A$2:$A$39,'2. Matching'!$B$2:$B$39,"--")</f>
        <v>Farming</v>
      </c>
      <c r="K4504" s="65" t="str">
        <f t="shared" si="1"/>
        <v>In</v>
      </c>
    </row>
    <row r="4505">
      <c r="A4505" s="62" t="s">
        <v>4643</v>
      </c>
      <c r="B4505" s="63">
        <v>44291.0</v>
      </c>
      <c r="C4505" s="62" t="s">
        <v>119</v>
      </c>
      <c r="D4505" s="64">
        <v>45.0</v>
      </c>
      <c r="E4505" s="62" t="s">
        <v>109</v>
      </c>
      <c r="F4505" s="62" t="s">
        <v>115</v>
      </c>
      <c r="G4505" s="64" t="s">
        <v>64</v>
      </c>
      <c r="H4505" s="3" t="s">
        <v>185</v>
      </c>
      <c r="I4505" s="65">
        <f>IFERROR(VLOOKUP(A4505,'3. Call duration'!$A:$C,3,0),"--")</f>
        <v>26.44980967</v>
      </c>
      <c r="J4505" s="65" t="str">
        <f t="array" ref="J4505">XLOOKUP(H4505,'2. Matching'!$A$2:$A$39,'2. Matching'!$B$2:$B$39,"--")</f>
        <v>SEO</v>
      </c>
      <c r="K4505" s="65" t="str">
        <f t="shared" si="1"/>
        <v>In</v>
      </c>
    </row>
    <row r="4506">
      <c r="A4506" s="62" t="s">
        <v>4644</v>
      </c>
      <c r="B4506" s="63">
        <v>44257.0</v>
      </c>
      <c r="C4506" s="62" t="s">
        <v>119</v>
      </c>
      <c r="D4506" s="64">
        <v>45.0</v>
      </c>
      <c r="E4506" s="62" t="s">
        <v>109</v>
      </c>
      <c r="F4506" s="62" t="s">
        <v>115</v>
      </c>
      <c r="G4506" s="64" t="s">
        <v>64</v>
      </c>
      <c r="H4506" s="3" t="s">
        <v>175</v>
      </c>
      <c r="I4506" s="65">
        <f>IFERROR(VLOOKUP(A4506,'3. Call duration'!$A:$C,3,0),"--")</f>
        <v>32.97120952</v>
      </c>
      <c r="J4506" s="65" t="str">
        <f t="array" ref="J4506">XLOOKUP(H4506,'2. Matching'!$A$2:$A$39,'2. Matching'!$B$2:$B$39,"--")</f>
        <v>SEO</v>
      </c>
      <c r="K4506" s="65" t="str">
        <f t="shared" si="1"/>
        <v>In</v>
      </c>
    </row>
    <row r="4507">
      <c r="A4507" s="62" t="s">
        <v>4645</v>
      </c>
      <c r="B4507" s="63">
        <v>44265.0</v>
      </c>
      <c r="C4507" s="62" t="s">
        <v>119</v>
      </c>
      <c r="D4507" s="64">
        <v>45.0</v>
      </c>
      <c r="E4507" s="62" t="s">
        <v>109</v>
      </c>
      <c r="F4507" s="62" t="s">
        <v>115</v>
      </c>
      <c r="G4507" s="64" t="s">
        <v>64</v>
      </c>
      <c r="H4507" s="3" t="s">
        <v>139</v>
      </c>
      <c r="I4507" s="65">
        <f>IFERROR(VLOOKUP(A4507,'3. Call duration'!$A:$C,3,0),"--")</f>
        <v>20.65771631</v>
      </c>
      <c r="J4507" s="65" t="str">
        <f t="array" ref="J4507">XLOOKUP(H4507,'2. Matching'!$A$2:$A$39,'2. Matching'!$B$2:$B$39,"--")</f>
        <v>Acquisition</v>
      </c>
      <c r="K4507" s="65" t="str">
        <f t="shared" si="1"/>
        <v>In</v>
      </c>
    </row>
    <row r="4508">
      <c r="A4508" s="62" t="s">
        <v>4646</v>
      </c>
      <c r="B4508" s="63">
        <v>44306.0</v>
      </c>
      <c r="C4508" s="62" t="s">
        <v>119</v>
      </c>
      <c r="D4508" s="64">
        <v>45.0</v>
      </c>
      <c r="E4508" s="62" t="s">
        <v>109</v>
      </c>
      <c r="F4508" s="62" t="s">
        <v>110</v>
      </c>
      <c r="G4508" s="64" t="s">
        <v>64</v>
      </c>
      <c r="H4508" s="3" t="s">
        <v>145</v>
      </c>
      <c r="I4508" s="65">
        <f>IFERROR(VLOOKUP(A4508,'3. Call duration'!$A:$C,3,0),"--")</f>
        <v>31.26613521</v>
      </c>
      <c r="J4508" s="65" t="str">
        <f t="array" ref="J4508">XLOOKUP(H4508,'2. Matching'!$A$2:$A$39,'2. Matching'!$B$2:$B$39,"--")</f>
        <v>SEO</v>
      </c>
      <c r="K4508" s="65" t="str">
        <f t="shared" si="1"/>
        <v>In</v>
      </c>
    </row>
    <row r="4509">
      <c r="A4509" s="62" t="s">
        <v>4647</v>
      </c>
      <c r="B4509" s="63">
        <v>44302.0</v>
      </c>
      <c r="C4509" s="62" t="s">
        <v>119</v>
      </c>
      <c r="D4509" s="64">
        <v>45.0</v>
      </c>
      <c r="E4509" s="62" t="s">
        <v>109</v>
      </c>
      <c r="F4509" s="62" t="s">
        <v>115</v>
      </c>
      <c r="G4509" s="64" t="s">
        <v>64</v>
      </c>
      <c r="H4509" s="3" t="s">
        <v>141</v>
      </c>
      <c r="I4509" s="65">
        <f>IFERROR(VLOOKUP(A4509,'3. Call duration'!$A:$C,3,0),"--")</f>
        <v>24.56337599</v>
      </c>
      <c r="J4509" s="65" t="str">
        <f t="array" ref="J4509">XLOOKUP(H4509,'2. Matching'!$A$2:$A$39,'2. Matching'!$B$2:$B$39,"--")</f>
        <v>Acquisition</v>
      </c>
      <c r="K4509" s="65" t="str">
        <f t="shared" si="1"/>
        <v>In</v>
      </c>
    </row>
    <row r="4510">
      <c r="A4510" s="62" t="s">
        <v>4648</v>
      </c>
      <c r="B4510" s="63">
        <v>44301.0</v>
      </c>
      <c r="C4510" s="62" t="s">
        <v>119</v>
      </c>
      <c r="D4510" s="64">
        <v>45.0</v>
      </c>
      <c r="E4510" s="62" t="s">
        <v>109</v>
      </c>
      <c r="F4510" s="62" t="s">
        <v>115</v>
      </c>
      <c r="G4510" s="64" t="s">
        <v>64</v>
      </c>
      <c r="H4510" s="3" t="s">
        <v>131</v>
      </c>
      <c r="I4510" s="65">
        <f>IFERROR(VLOOKUP(A4510,'3. Call duration'!$A:$C,3,0),"--")</f>
        <v>21.71456724</v>
      </c>
      <c r="J4510" s="65" t="str">
        <f t="array" ref="J4510">XLOOKUP(H4510,'2. Matching'!$A$2:$A$39,'2. Matching'!$B$2:$B$39,"--")</f>
        <v>Acquisition</v>
      </c>
      <c r="K4510" s="65" t="str">
        <f t="shared" si="1"/>
        <v>In</v>
      </c>
    </row>
    <row r="4511">
      <c r="A4511" s="62" t="s">
        <v>4649</v>
      </c>
      <c r="B4511" s="63">
        <v>44286.0</v>
      </c>
      <c r="C4511" s="62" t="s">
        <v>119</v>
      </c>
      <c r="D4511" s="64">
        <v>45.0</v>
      </c>
      <c r="E4511" s="62" t="s">
        <v>109</v>
      </c>
      <c r="F4511" s="62" t="s">
        <v>115</v>
      </c>
      <c r="G4511" s="64" t="s">
        <v>64</v>
      </c>
      <c r="H4511" s="3" t="s">
        <v>185</v>
      </c>
      <c r="I4511" s="65">
        <f>IFERROR(VLOOKUP(A4511,'3. Call duration'!$A:$C,3,0),"--")</f>
        <v>26.90869504</v>
      </c>
      <c r="J4511" s="65" t="str">
        <f t="array" ref="J4511">XLOOKUP(H4511,'2. Matching'!$A$2:$A$39,'2. Matching'!$B$2:$B$39,"--")</f>
        <v>SEO</v>
      </c>
      <c r="K4511" s="65" t="str">
        <f t="shared" si="1"/>
        <v>In</v>
      </c>
    </row>
    <row r="4512">
      <c r="A4512" s="62" t="s">
        <v>4650</v>
      </c>
      <c r="B4512" s="63">
        <v>44299.0</v>
      </c>
      <c r="C4512" s="62" t="s">
        <v>119</v>
      </c>
      <c r="D4512" s="64">
        <v>45.0</v>
      </c>
      <c r="E4512" s="62" t="s">
        <v>109</v>
      </c>
      <c r="F4512" s="62" t="s">
        <v>110</v>
      </c>
      <c r="G4512" s="64" t="s">
        <v>64</v>
      </c>
      <c r="H4512" s="3" t="s">
        <v>141</v>
      </c>
      <c r="I4512" s="65">
        <f>IFERROR(VLOOKUP(A4512,'3. Call duration'!$A:$C,3,0),"--")</f>
        <v>22.11701515</v>
      </c>
      <c r="J4512" s="65" t="str">
        <f t="array" ref="J4512">XLOOKUP(H4512,'2. Matching'!$A$2:$A$39,'2. Matching'!$B$2:$B$39,"--")</f>
        <v>Acquisition</v>
      </c>
      <c r="K4512" s="65" t="str">
        <f t="shared" si="1"/>
        <v>In</v>
      </c>
    </row>
    <row r="4513">
      <c r="A4513" s="62" t="s">
        <v>4651</v>
      </c>
      <c r="B4513" s="63">
        <v>44274.0</v>
      </c>
      <c r="C4513" s="62" t="s">
        <v>119</v>
      </c>
      <c r="D4513" s="64">
        <v>45.0</v>
      </c>
      <c r="E4513" s="62" t="s">
        <v>109</v>
      </c>
      <c r="F4513" s="62" t="s">
        <v>115</v>
      </c>
      <c r="G4513" s="64" t="s">
        <v>64</v>
      </c>
      <c r="H4513" s="3" t="s">
        <v>155</v>
      </c>
      <c r="I4513" s="65">
        <f>IFERROR(VLOOKUP(A4513,'3. Call duration'!$A:$C,3,0),"--")</f>
        <v>22.40863626</v>
      </c>
      <c r="J4513" s="65" t="str">
        <f t="array" ref="J4513">XLOOKUP(H4513,'2. Matching'!$A$2:$A$39,'2. Matching'!$B$2:$B$39,"--")</f>
        <v>SEO</v>
      </c>
      <c r="K4513" s="65" t="str">
        <f t="shared" si="1"/>
        <v>In</v>
      </c>
    </row>
    <row r="4514">
      <c r="A4514" s="62" t="s">
        <v>4652</v>
      </c>
      <c r="B4514" s="63">
        <v>44305.0</v>
      </c>
      <c r="C4514" s="62" t="s">
        <v>119</v>
      </c>
      <c r="D4514" s="64">
        <v>45.0</v>
      </c>
      <c r="E4514" s="62" t="s">
        <v>109</v>
      </c>
      <c r="F4514" s="62" t="s">
        <v>110</v>
      </c>
      <c r="G4514" s="64" t="s">
        <v>64</v>
      </c>
      <c r="H4514" s="3" t="s">
        <v>52</v>
      </c>
      <c r="I4514" s="65">
        <f>IFERROR(VLOOKUP(A4514,'3. Call duration'!$A:$C,3,0),"--")</f>
        <v>14.79745575</v>
      </c>
      <c r="J4514" s="65" t="str">
        <f t="array" ref="J4514">XLOOKUP(H4514,'2. Matching'!$A$2:$A$39,'2. Matching'!$B$2:$B$39,"--")</f>
        <v>Partnerships</v>
      </c>
      <c r="K4514" s="65" t="str">
        <f t="shared" si="1"/>
        <v>In</v>
      </c>
    </row>
    <row r="4515">
      <c r="A4515" s="62" t="s">
        <v>4653</v>
      </c>
      <c r="B4515" s="63">
        <v>44307.0</v>
      </c>
      <c r="C4515" s="62" t="s">
        <v>119</v>
      </c>
      <c r="D4515" s="64">
        <v>45.0</v>
      </c>
      <c r="E4515" s="62" t="s">
        <v>109</v>
      </c>
      <c r="F4515" s="62" t="s">
        <v>115</v>
      </c>
      <c r="G4515" s="64" t="s">
        <v>64</v>
      </c>
      <c r="H4515" s="3" t="s">
        <v>164</v>
      </c>
      <c r="I4515" s="65">
        <f>IFERROR(VLOOKUP(A4515,'3. Call duration'!$A:$C,3,0),"--")</f>
        <v>22.16221935</v>
      </c>
      <c r="J4515" s="65" t="str">
        <f t="array" ref="J4515">XLOOKUP(H4515,'2. Matching'!$A$2:$A$39,'2. Matching'!$B$2:$B$39,"--")</f>
        <v>SEO</v>
      </c>
      <c r="K4515" s="65" t="str">
        <f t="shared" si="1"/>
        <v>In</v>
      </c>
    </row>
    <row r="4516">
      <c r="A4516" s="62" t="s">
        <v>4654</v>
      </c>
      <c r="B4516" s="63">
        <v>44309.0</v>
      </c>
      <c r="C4516" s="62" t="s">
        <v>119</v>
      </c>
      <c r="D4516" s="64">
        <v>45.0</v>
      </c>
      <c r="E4516" s="62" t="s">
        <v>109</v>
      </c>
      <c r="F4516" s="62" t="s">
        <v>115</v>
      </c>
      <c r="G4516" s="64" t="s">
        <v>64</v>
      </c>
      <c r="H4516" s="3" t="s">
        <v>49</v>
      </c>
      <c r="I4516" s="65">
        <f>IFERROR(VLOOKUP(A4516,'3. Call duration'!$A:$C,3,0),"--")</f>
        <v>19.4012008</v>
      </c>
      <c r="J4516" s="65" t="str">
        <f t="array" ref="J4516">XLOOKUP(H4516,'2. Matching'!$A$2:$A$39,'2. Matching'!$B$2:$B$39,"--")</f>
        <v>Partnerships</v>
      </c>
      <c r="K4516" s="65" t="str">
        <f t="shared" si="1"/>
        <v>In</v>
      </c>
    </row>
    <row r="4517">
      <c r="A4517" s="62" t="s">
        <v>4655</v>
      </c>
      <c r="B4517" s="63">
        <v>44259.0</v>
      </c>
      <c r="C4517" s="62" t="s">
        <v>119</v>
      </c>
      <c r="D4517" s="64">
        <v>45.0</v>
      </c>
      <c r="E4517" s="62" t="s">
        <v>109</v>
      </c>
      <c r="F4517" s="62" t="s">
        <v>115</v>
      </c>
      <c r="G4517" s="64" t="s">
        <v>64</v>
      </c>
      <c r="H4517" s="3" t="s">
        <v>139</v>
      </c>
      <c r="I4517" s="65">
        <f>IFERROR(VLOOKUP(A4517,'3. Call duration'!$A:$C,3,0),"--")</f>
        <v>31.25340406</v>
      </c>
      <c r="J4517" s="65" t="str">
        <f t="array" ref="J4517">XLOOKUP(H4517,'2. Matching'!$A$2:$A$39,'2. Matching'!$B$2:$B$39,"--")</f>
        <v>Acquisition</v>
      </c>
      <c r="K4517" s="65" t="str">
        <f t="shared" si="1"/>
        <v>In</v>
      </c>
    </row>
    <row r="4518">
      <c r="A4518" s="62" t="s">
        <v>4656</v>
      </c>
      <c r="B4518" s="63">
        <v>44278.0</v>
      </c>
      <c r="C4518" s="62" t="s">
        <v>119</v>
      </c>
      <c r="D4518" s="64">
        <v>45.0</v>
      </c>
      <c r="E4518" s="62" t="s">
        <v>109</v>
      </c>
      <c r="F4518" s="62" t="s">
        <v>115</v>
      </c>
      <c r="G4518" s="64" t="s">
        <v>64</v>
      </c>
      <c r="H4518" s="3" t="s">
        <v>141</v>
      </c>
      <c r="I4518" s="65">
        <f>IFERROR(VLOOKUP(A4518,'3. Call duration'!$A:$C,3,0),"--")</f>
        <v>10.2572034</v>
      </c>
      <c r="J4518" s="65" t="str">
        <f t="array" ref="J4518">XLOOKUP(H4518,'2. Matching'!$A$2:$A$39,'2. Matching'!$B$2:$B$39,"--")</f>
        <v>Acquisition</v>
      </c>
      <c r="K4518" s="65" t="str">
        <f t="shared" si="1"/>
        <v>In</v>
      </c>
    </row>
    <row r="4519">
      <c r="A4519" s="62" t="s">
        <v>4657</v>
      </c>
      <c r="B4519" s="63">
        <v>44302.0</v>
      </c>
      <c r="C4519" s="62" t="s">
        <v>119</v>
      </c>
      <c r="D4519" s="64">
        <v>45.0</v>
      </c>
      <c r="E4519" s="62" t="s">
        <v>109</v>
      </c>
      <c r="F4519" s="62" t="s">
        <v>110</v>
      </c>
      <c r="G4519" s="64" t="s">
        <v>64</v>
      </c>
      <c r="H4519" s="3" t="s">
        <v>54</v>
      </c>
      <c r="I4519" s="65">
        <f>IFERROR(VLOOKUP(A4519,'3. Call duration'!$A:$C,3,0),"--")</f>
        <v>22.39215664</v>
      </c>
      <c r="J4519" s="65" t="str">
        <f t="array" ref="J4519">XLOOKUP(H4519,'2. Matching'!$A$2:$A$39,'2. Matching'!$B$2:$B$39,"--")</f>
        <v>Partnerships</v>
      </c>
      <c r="K4519" s="65" t="str">
        <f t="shared" si="1"/>
        <v>In</v>
      </c>
    </row>
    <row r="4520">
      <c r="A4520" s="62" t="s">
        <v>4658</v>
      </c>
      <c r="B4520" s="63">
        <v>44257.0</v>
      </c>
      <c r="C4520" s="62" t="s">
        <v>119</v>
      </c>
      <c r="D4520" s="64">
        <v>45.0</v>
      </c>
      <c r="E4520" s="62" t="s">
        <v>109</v>
      </c>
      <c r="F4520" s="62" t="s">
        <v>115</v>
      </c>
      <c r="G4520" s="64" t="s">
        <v>64</v>
      </c>
      <c r="H4520" s="3" t="s">
        <v>139</v>
      </c>
      <c r="I4520" s="65">
        <f>IFERROR(VLOOKUP(A4520,'3. Call duration'!$A:$C,3,0),"--")</f>
        <v>23.38255613</v>
      </c>
      <c r="J4520" s="65" t="str">
        <f t="array" ref="J4520">XLOOKUP(H4520,'2. Matching'!$A$2:$A$39,'2. Matching'!$B$2:$B$39,"--")</f>
        <v>Acquisition</v>
      </c>
      <c r="K4520" s="65" t="str">
        <f t="shared" si="1"/>
        <v>In</v>
      </c>
    </row>
    <row r="4521">
      <c r="A4521" s="62" t="s">
        <v>4659</v>
      </c>
      <c r="B4521" s="63">
        <v>44309.0</v>
      </c>
      <c r="C4521" s="62" t="s">
        <v>119</v>
      </c>
      <c r="D4521" s="64">
        <v>45.0</v>
      </c>
      <c r="E4521" s="62" t="s">
        <v>109</v>
      </c>
      <c r="F4521" s="62" t="s">
        <v>115</v>
      </c>
      <c r="G4521" s="64" t="s">
        <v>64</v>
      </c>
      <c r="H4521" s="3" t="s">
        <v>297</v>
      </c>
      <c r="I4521" s="65">
        <f>IFERROR(VLOOKUP(A4521,'3. Call duration'!$A:$C,3,0),"--")</f>
        <v>31.30120951</v>
      </c>
      <c r="J4521" s="65" t="str">
        <f t="array" ref="J4521">XLOOKUP(H4521,'2. Matching'!$A$2:$A$39,'2. Matching'!$B$2:$B$39,"--")</f>
        <v>Farming</v>
      </c>
      <c r="K4521" s="65" t="str">
        <f t="shared" si="1"/>
        <v>In</v>
      </c>
    </row>
    <row r="4522">
      <c r="A4522" s="62" t="s">
        <v>4660</v>
      </c>
      <c r="B4522" s="63">
        <v>44305.0</v>
      </c>
      <c r="C4522" s="62" t="s">
        <v>119</v>
      </c>
      <c r="D4522" s="64">
        <v>45.0</v>
      </c>
      <c r="E4522" s="62" t="s">
        <v>109</v>
      </c>
      <c r="F4522" s="62" t="s">
        <v>115</v>
      </c>
      <c r="G4522" s="64" t="s">
        <v>64</v>
      </c>
      <c r="H4522" s="3" t="s">
        <v>141</v>
      </c>
      <c r="I4522" s="65" t="str">
        <f>IFERROR(VLOOKUP(A4522,'3. Call duration'!$A:$C,3,0),"--")</f>
        <v>--</v>
      </c>
      <c r="J4522" s="65" t="str">
        <f t="array" ref="J4522">XLOOKUP(H4522,'2. Matching'!$A$2:$A$39,'2. Matching'!$B$2:$B$39,"--")</f>
        <v>Acquisition</v>
      </c>
      <c r="K4522" s="65" t="str">
        <f t="shared" si="1"/>
        <v>In</v>
      </c>
    </row>
    <row r="4523">
      <c r="A4523" s="62" t="s">
        <v>4661</v>
      </c>
      <c r="B4523" s="63">
        <v>44314.0</v>
      </c>
      <c r="C4523" s="62" t="s">
        <v>119</v>
      </c>
      <c r="D4523" s="64">
        <v>45.0</v>
      </c>
      <c r="E4523" s="62" t="s">
        <v>109</v>
      </c>
      <c r="F4523" s="62" t="s">
        <v>115</v>
      </c>
      <c r="G4523" s="64" t="s">
        <v>64</v>
      </c>
      <c r="H4523" s="3" t="s">
        <v>164</v>
      </c>
      <c r="I4523" s="65">
        <f>IFERROR(VLOOKUP(A4523,'3. Call duration'!$A:$C,3,0),"--")</f>
        <v>20.74690351</v>
      </c>
      <c r="J4523" s="65" t="str">
        <f t="array" ref="J4523">XLOOKUP(H4523,'2. Matching'!$A$2:$A$39,'2. Matching'!$B$2:$B$39,"--")</f>
        <v>SEO</v>
      </c>
      <c r="K4523" s="65" t="str">
        <f t="shared" si="1"/>
        <v>In</v>
      </c>
    </row>
    <row r="4524">
      <c r="A4524" s="62" t="s">
        <v>4662</v>
      </c>
      <c r="B4524" s="63">
        <v>44295.0</v>
      </c>
      <c r="C4524" s="62" t="s">
        <v>119</v>
      </c>
      <c r="D4524" s="64">
        <v>45.0</v>
      </c>
      <c r="E4524" s="62" t="s">
        <v>109</v>
      </c>
      <c r="F4524" s="62" t="s">
        <v>110</v>
      </c>
      <c r="G4524" s="64" t="s">
        <v>64</v>
      </c>
      <c r="H4524" s="3" t="s">
        <v>135</v>
      </c>
      <c r="I4524" s="65">
        <f>IFERROR(VLOOKUP(A4524,'3. Call duration'!$A:$C,3,0),"--")</f>
        <v>28.09307642</v>
      </c>
      <c r="J4524" s="65" t="str">
        <f t="array" ref="J4524">XLOOKUP(H4524,'2. Matching'!$A$2:$A$39,'2. Matching'!$B$2:$B$39,"--")</f>
        <v>Acquisition</v>
      </c>
      <c r="K4524" s="65" t="str">
        <f t="shared" si="1"/>
        <v>In</v>
      </c>
    </row>
    <row r="4525">
      <c r="A4525" s="62" t="s">
        <v>4663</v>
      </c>
      <c r="B4525" s="63">
        <v>44268.0</v>
      </c>
      <c r="C4525" s="62" t="s">
        <v>119</v>
      </c>
      <c r="D4525" s="64">
        <v>45.0</v>
      </c>
      <c r="E4525" s="62" t="s">
        <v>109</v>
      </c>
      <c r="F4525" s="62" t="s">
        <v>115</v>
      </c>
      <c r="G4525" s="64" t="s">
        <v>64</v>
      </c>
      <c r="H4525" s="3" t="s">
        <v>155</v>
      </c>
      <c r="I4525" s="65">
        <f>IFERROR(VLOOKUP(A4525,'3. Call duration'!$A:$C,3,0),"--")</f>
        <v>23.62846208</v>
      </c>
      <c r="J4525" s="65" t="str">
        <f t="array" ref="J4525">XLOOKUP(H4525,'2. Matching'!$A$2:$A$39,'2. Matching'!$B$2:$B$39,"--")</f>
        <v>SEO</v>
      </c>
      <c r="K4525" s="65" t="str">
        <f t="shared" si="1"/>
        <v>In</v>
      </c>
    </row>
    <row r="4526">
      <c r="A4526" s="62" t="s">
        <v>4664</v>
      </c>
      <c r="B4526" s="63">
        <v>44312.0</v>
      </c>
      <c r="C4526" s="62" t="s">
        <v>119</v>
      </c>
      <c r="D4526" s="64">
        <v>45.0</v>
      </c>
      <c r="E4526" s="62" t="s">
        <v>109</v>
      </c>
      <c r="F4526" s="62" t="s">
        <v>110</v>
      </c>
      <c r="G4526" s="64" t="s">
        <v>64</v>
      </c>
      <c r="H4526" s="3" t="s">
        <v>169</v>
      </c>
      <c r="I4526" s="65">
        <f>IFERROR(VLOOKUP(A4526,'3. Call duration'!$A:$C,3,0),"--")</f>
        <v>31.03681285</v>
      </c>
      <c r="J4526" s="65" t="str">
        <f t="array" ref="J4526">XLOOKUP(H4526,'2. Matching'!$A$2:$A$39,'2. Matching'!$B$2:$B$39,"--")</f>
        <v>SEO</v>
      </c>
      <c r="K4526" s="65" t="str">
        <f t="shared" si="1"/>
        <v>In</v>
      </c>
    </row>
    <row r="4527">
      <c r="A4527" s="62" t="s">
        <v>4665</v>
      </c>
      <c r="B4527" s="63">
        <v>44301.0</v>
      </c>
      <c r="C4527" s="62" t="s">
        <v>119</v>
      </c>
      <c r="D4527" s="64">
        <v>45.0</v>
      </c>
      <c r="E4527" s="62" t="s">
        <v>109</v>
      </c>
      <c r="F4527" s="62" t="s">
        <v>110</v>
      </c>
      <c r="G4527" s="64" t="s">
        <v>64</v>
      </c>
      <c r="H4527" s="3" t="s">
        <v>52</v>
      </c>
      <c r="I4527" s="65">
        <f>IFERROR(VLOOKUP(A4527,'3. Call duration'!$A:$C,3,0),"--")</f>
        <v>16.28798701</v>
      </c>
      <c r="J4527" s="65" t="str">
        <f t="array" ref="J4527">XLOOKUP(H4527,'2. Matching'!$A$2:$A$39,'2. Matching'!$B$2:$B$39,"--")</f>
        <v>Partnerships</v>
      </c>
      <c r="K4527" s="65" t="str">
        <f t="shared" si="1"/>
        <v>In</v>
      </c>
    </row>
    <row r="4528">
      <c r="A4528" s="62" t="s">
        <v>4666</v>
      </c>
      <c r="B4528" s="63">
        <v>44259.0</v>
      </c>
      <c r="C4528" s="62" t="s">
        <v>119</v>
      </c>
      <c r="D4528" s="64">
        <v>45.0</v>
      </c>
      <c r="E4528" s="62" t="s">
        <v>109</v>
      </c>
      <c r="F4528" s="62" t="s">
        <v>115</v>
      </c>
      <c r="G4528" s="64" t="s">
        <v>64</v>
      </c>
      <c r="H4528" s="3" t="s">
        <v>169</v>
      </c>
      <c r="I4528" s="65">
        <f>IFERROR(VLOOKUP(A4528,'3. Call duration'!$A:$C,3,0),"--")</f>
        <v>50.41621878</v>
      </c>
      <c r="J4528" s="65" t="str">
        <f t="array" ref="J4528">XLOOKUP(H4528,'2. Matching'!$A$2:$A$39,'2. Matching'!$B$2:$B$39,"--")</f>
        <v>SEO</v>
      </c>
      <c r="K4528" s="65" t="str">
        <f t="shared" si="1"/>
        <v>In</v>
      </c>
    </row>
    <row r="4529">
      <c r="A4529" s="62" t="s">
        <v>4667</v>
      </c>
      <c r="B4529" s="63">
        <v>44274.0</v>
      </c>
      <c r="C4529" s="62" t="s">
        <v>119</v>
      </c>
      <c r="D4529" s="64">
        <v>45.0</v>
      </c>
      <c r="E4529" s="62" t="s">
        <v>109</v>
      </c>
      <c r="F4529" s="62" t="s">
        <v>115</v>
      </c>
      <c r="G4529" s="64" t="s">
        <v>64</v>
      </c>
      <c r="H4529" s="3" t="s">
        <v>116</v>
      </c>
      <c r="I4529" s="65">
        <f>IFERROR(VLOOKUP(A4529,'3. Call duration'!$A:$C,3,0),"--")</f>
        <v>13.95175781</v>
      </c>
      <c r="J4529" s="65" t="str">
        <f t="array" ref="J4529">XLOOKUP(H4529,'2. Matching'!$A$2:$A$39,'2. Matching'!$B$2:$B$39,"--")</f>
        <v>Acquisition</v>
      </c>
      <c r="K4529" s="65" t="str">
        <f t="shared" si="1"/>
        <v>In</v>
      </c>
    </row>
    <row r="4530">
      <c r="A4530" s="62" t="s">
        <v>4668</v>
      </c>
      <c r="B4530" s="63">
        <v>44286.0</v>
      </c>
      <c r="C4530" s="62" t="s">
        <v>119</v>
      </c>
      <c r="D4530" s="64">
        <v>45.0</v>
      </c>
      <c r="E4530" s="62" t="s">
        <v>109</v>
      </c>
      <c r="F4530" s="62" t="s">
        <v>110</v>
      </c>
      <c r="G4530" s="64" t="s">
        <v>64</v>
      </c>
      <c r="H4530" s="3" t="s">
        <v>297</v>
      </c>
      <c r="I4530" s="65">
        <f>IFERROR(VLOOKUP(A4530,'3. Call duration'!$A:$C,3,0),"--")</f>
        <v>20.29849175</v>
      </c>
      <c r="J4530" s="65" t="str">
        <f t="array" ref="J4530">XLOOKUP(H4530,'2. Matching'!$A$2:$A$39,'2. Matching'!$B$2:$B$39,"--")</f>
        <v>Farming</v>
      </c>
      <c r="K4530" s="65" t="str">
        <f t="shared" si="1"/>
        <v>In</v>
      </c>
    </row>
    <row r="4531">
      <c r="A4531" s="62" t="s">
        <v>4669</v>
      </c>
      <c r="B4531" s="63">
        <v>44312.0</v>
      </c>
      <c r="C4531" s="62" t="s">
        <v>119</v>
      </c>
      <c r="D4531" s="64">
        <v>45.0</v>
      </c>
      <c r="E4531" s="62" t="s">
        <v>109</v>
      </c>
      <c r="F4531" s="62" t="s">
        <v>115</v>
      </c>
      <c r="G4531" s="64" t="s">
        <v>64</v>
      </c>
      <c r="H4531" s="3" t="s">
        <v>155</v>
      </c>
      <c r="I4531" s="65">
        <f>IFERROR(VLOOKUP(A4531,'3. Call duration'!$A:$C,3,0),"--")</f>
        <v>32.45723547</v>
      </c>
      <c r="J4531" s="65" t="str">
        <f t="array" ref="J4531">XLOOKUP(H4531,'2. Matching'!$A$2:$A$39,'2. Matching'!$B$2:$B$39,"--")</f>
        <v>SEO</v>
      </c>
      <c r="K4531" s="65" t="str">
        <f t="shared" si="1"/>
        <v>In</v>
      </c>
    </row>
    <row r="4532">
      <c r="A4532" s="62" t="s">
        <v>4670</v>
      </c>
      <c r="B4532" s="63">
        <v>44281.0</v>
      </c>
      <c r="C4532" s="62" t="s">
        <v>119</v>
      </c>
      <c r="D4532" s="64">
        <v>45.0</v>
      </c>
      <c r="E4532" s="62" t="s">
        <v>109</v>
      </c>
      <c r="F4532" s="62" t="s">
        <v>110</v>
      </c>
      <c r="G4532" s="64" t="s">
        <v>64</v>
      </c>
      <c r="H4532" s="3" t="s">
        <v>164</v>
      </c>
      <c r="I4532" s="65">
        <f>IFERROR(VLOOKUP(A4532,'3. Call duration'!$A:$C,3,0),"--")</f>
        <v>24.3361436</v>
      </c>
      <c r="J4532" s="65" t="str">
        <f t="array" ref="J4532">XLOOKUP(H4532,'2. Matching'!$A$2:$A$39,'2. Matching'!$B$2:$B$39,"--")</f>
        <v>SEO</v>
      </c>
      <c r="K4532" s="65" t="str">
        <f t="shared" si="1"/>
        <v>In</v>
      </c>
    </row>
    <row r="4533">
      <c r="A4533" s="62" t="s">
        <v>4671</v>
      </c>
      <c r="B4533" s="63">
        <v>44274.0</v>
      </c>
      <c r="C4533" s="62" t="s">
        <v>119</v>
      </c>
      <c r="D4533" s="64">
        <v>45.0</v>
      </c>
      <c r="E4533" s="62" t="s">
        <v>109</v>
      </c>
      <c r="F4533" s="62" t="s">
        <v>115</v>
      </c>
      <c r="G4533" s="64" t="s">
        <v>64</v>
      </c>
      <c r="H4533" s="3" t="s">
        <v>141</v>
      </c>
      <c r="I4533" s="65">
        <f>IFERROR(VLOOKUP(A4533,'3. Call duration'!$A:$C,3,0),"--")</f>
        <v>27.24020027</v>
      </c>
      <c r="J4533" s="65" t="str">
        <f t="array" ref="J4533">XLOOKUP(H4533,'2. Matching'!$A$2:$A$39,'2. Matching'!$B$2:$B$39,"--")</f>
        <v>Acquisition</v>
      </c>
      <c r="K4533" s="65" t="str">
        <f t="shared" si="1"/>
        <v>In</v>
      </c>
    </row>
    <row r="4534">
      <c r="A4534" s="62" t="s">
        <v>4672</v>
      </c>
      <c r="B4534" s="63">
        <v>44305.0</v>
      </c>
      <c r="C4534" s="62" t="s">
        <v>119</v>
      </c>
      <c r="D4534" s="64">
        <v>45.0</v>
      </c>
      <c r="E4534" s="62" t="s">
        <v>109</v>
      </c>
      <c r="F4534" s="62" t="s">
        <v>115</v>
      </c>
      <c r="G4534" s="64" t="s">
        <v>64</v>
      </c>
      <c r="H4534" s="3" t="s">
        <v>55</v>
      </c>
      <c r="I4534" s="65">
        <f>IFERROR(VLOOKUP(A4534,'3. Call duration'!$A:$C,3,0),"--")</f>
        <v>22.85387443</v>
      </c>
      <c r="J4534" s="65" t="str">
        <f t="array" ref="J4534">XLOOKUP(H4534,'2. Matching'!$A$2:$A$39,'2. Matching'!$B$2:$B$39,"--")</f>
        <v>Partnerships</v>
      </c>
      <c r="K4534" s="65" t="str">
        <f t="shared" si="1"/>
        <v>In</v>
      </c>
    </row>
    <row r="4535">
      <c r="A4535" s="62" t="s">
        <v>4673</v>
      </c>
      <c r="B4535" s="63">
        <v>44300.0</v>
      </c>
      <c r="C4535" s="62" t="s">
        <v>119</v>
      </c>
      <c r="D4535" s="64">
        <v>45.0</v>
      </c>
      <c r="E4535" s="62" t="s">
        <v>109</v>
      </c>
      <c r="F4535" s="62" t="s">
        <v>110</v>
      </c>
      <c r="G4535" s="64" t="s">
        <v>64</v>
      </c>
      <c r="H4535" s="3" t="s">
        <v>131</v>
      </c>
      <c r="I4535" s="65">
        <f>IFERROR(VLOOKUP(A4535,'3. Call duration'!$A:$C,3,0),"--")</f>
        <v>24.42151748</v>
      </c>
      <c r="J4535" s="65" t="str">
        <f t="array" ref="J4535">XLOOKUP(H4535,'2. Matching'!$A$2:$A$39,'2. Matching'!$B$2:$B$39,"--")</f>
        <v>Acquisition</v>
      </c>
      <c r="K4535" s="65" t="str">
        <f t="shared" si="1"/>
        <v>In</v>
      </c>
    </row>
    <row r="4536">
      <c r="A4536" s="62" t="s">
        <v>4674</v>
      </c>
      <c r="B4536" s="63">
        <v>44257.0</v>
      </c>
      <c r="C4536" s="62" t="s">
        <v>119</v>
      </c>
      <c r="D4536" s="64">
        <v>45.0</v>
      </c>
      <c r="E4536" s="62" t="s">
        <v>109</v>
      </c>
      <c r="F4536" s="62" t="s">
        <v>110</v>
      </c>
      <c r="G4536" s="64" t="s">
        <v>64</v>
      </c>
      <c r="H4536" s="3" t="s">
        <v>139</v>
      </c>
      <c r="I4536" s="65">
        <f>IFERROR(VLOOKUP(A4536,'3. Call duration'!$A:$C,3,0),"--")</f>
        <v>26.80913372</v>
      </c>
      <c r="J4536" s="65" t="str">
        <f t="array" ref="J4536">XLOOKUP(H4536,'2. Matching'!$A$2:$A$39,'2. Matching'!$B$2:$B$39,"--")</f>
        <v>Acquisition</v>
      </c>
      <c r="K4536" s="65" t="str">
        <f t="shared" si="1"/>
        <v>In</v>
      </c>
    </row>
    <row r="4537">
      <c r="A4537" s="62" t="s">
        <v>4675</v>
      </c>
      <c r="B4537" s="63">
        <v>44271.0</v>
      </c>
      <c r="C4537" s="62" t="s">
        <v>119</v>
      </c>
      <c r="D4537" s="64">
        <v>45.0</v>
      </c>
      <c r="E4537" s="62" t="s">
        <v>109</v>
      </c>
      <c r="F4537" s="62" t="s">
        <v>115</v>
      </c>
      <c r="G4537" s="64" t="s">
        <v>64</v>
      </c>
      <c r="H4537" s="3" t="s">
        <v>139</v>
      </c>
      <c r="I4537" s="65">
        <f>IFERROR(VLOOKUP(A4537,'3. Call duration'!$A:$C,3,0),"--")</f>
        <v>48.98386523</v>
      </c>
      <c r="J4537" s="65" t="str">
        <f t="array" ref="J4537">XLOOKUP(H4537,'2. Matching'!$A$2:$A$39,'2. Matching'!$B$2:$B$39,"--")</f>
        <v>Acquisition</v>
      </c>
      <c r="K4537" s="65" t="str">
        <f t="shared" si="1"/>
        <v>In</v>
      </c>
    </row>
    <row r="4538">
      <c r="A4538" s="62" t="s">
        <v>4676</v>
      </c>
      <c r="B4538" s="63">
        <v>44284.0</v>
      </c>
      <c r="C4538" s="62" t="s">
        <v>119</v>
      </c>
      <c r="D4538" s="64">
        <v>45.0</v>
      </c>
      <c r="E4538" s="62" t="s">
        <v>109</v>
      </c>
      <c r="F4538" s="62" t="s">
        <v>115</v>
      </c>
      <c r="G4538" s="64" t="s">
        <v>64</v>
      </c>
      <c r="H4538" s="3" t="s">
        <v>185</v>
      </c>
      <c r="I4538" s="65">
        <f>IFERROR(VLOOKUP(A4538,'3. Call duration'!$A:$C,3,0),"--")</f>
        <v>15.1680853</v>
      </c>
      <c r="J4538" s="65" t="str">
        <f t="array" ref="J4538">XLOOKUP(H4538,'2. Matching'!$A$2:$A$39,'2. Matching'!$B$2:$B$39,"--")</f>
        <v>SEO</v>
      </c>
      <c r="K4538" s="65" t="str">
        <f t="shared" si="1"/>
        <v>In</v>
      </c>
    </row>
    <row r="4539">
      <c r="A4539" s="62" t="s">
        <v>4677</v>
      </c>
      <c r="B4539" s="63">
        <v>44279.0</v>
      </c>
      <c r="C4539" s="62" t="s">
        <v>119</v>
      </c>
      <c r="D4539" s="64">
        <v>45.0</v>
      </c>
      <c r="E4539" s="62" t="s">
        <v>109</v>
      </c>
      <c r="F4539" s="62" t="s">
        <v>110</v>
      </c>
      <c r="G4539" s="64" t="s">
        <v>64</v>
      </c>
      <c r="H4539" s="3" t="s">
        <v>164</v>
      </c>
      <c r="I4539" s="65">
        <f>IFERROR(VLOOKUP(A4539,'3. Call duration'!$A:$C,3,0),"--")</f>
        <v>31.90399303</v>
      </c>
      <c r="J4539" s="65" t="str">
        <f t="array" ref="J4539">XLOOKUP(H4539,'2. Matching'!$A$2:$A$39,'2. Matching'!$B$2:$B$39,"--")</f>
        <v>SEO</v>
      </c>
      <c r="K4539" s="65" t="str">
        <f t="shared" si="1"/>
        <v>In</v>
      </c>
    </row>
    <row r="4540">
      <c r="A4540" s="62" t="s">
        <v>4678</v>
      </c>
      <c r="B4540" s="63">
        <v>44278.0</v>
      </c>
      <c r="C4540" s="62" t="s">
        <v>119</v>
      </c>
      <c r="D4540" s="64">
        <v>45.0</v>
      </c>
      <c r="E4540" s="62" t="s">
        <v>109</v>
      </c>
      <c r="F4540" s="62" t="s">
        <v>110</v>
      </c>
      <c r="G4540" s="64" t="s">
        <v>64</v>
      </c>
      <c r="H4540" s="3" t="s">
        <v>175</v>
      </c>
      <c r="I4540" s="65">
        <f>IFERROR(VLOOKUP(A4540,'3. Call duration'!$A:$C,3,0),"--")</f>
        <v>14.37430578</v>
      </c>
      <c r="J4540" s="65" t="str">
        <f t="array" ref="J4540">XLOOKUP(H4540,'2. Matching'!$A$2:$A$39,'2. Matching'!$B$2:$B$39,"--")</f>
        <v>SEO</v>
      </c>
      <c r="K4540" s="65" t="str">
        <f t="shared" si="1"/>
        <v>In</v>
      </c>
    </row>
    <row r="4541">
      <c r="A4541" s="62" t="s">
        <v>4679</v>
      </c>
      <c r="B4541" s="63">
        <v>44256.0</v>
      </c>
      <c r="C4541" s="62" t="s">
        <v>119</v>
      </c>
      <c r="D4541" s="64">
        <v>45.0</v>
      </c>
      <c r="E4541" s="62" t="s">
        <v>109</v>
      </c>
      <c r="F4541" s="62" t="s">
        <v>110</v>
      </c>
      <c r="G4541" s="64" t="s">
        <v>64</v>
      </c>
      <c r="H4541" s="3" t="s">
        <v>131</v>
      </c>
      <c r="I4541" s="65">
        <f>IFERROR(VLOOKUP(A4541,'3. Call duration'!$A:$C,3,0),"--")</f>
        <v>31.45135888</v>
      </c>
      <c r="J4541" s="65" t="str">
        <f t="array" ref="J4541">XLOOKUP(H4541,'2. Matching'!$A$2:$A$39,'2. Matching'!$B$2:$B$39,"--")</f>
        <v>Acquisition</v>
      </c>
      <c r="K4541" s="65" t="str">
        <f t="shared" si="1"/>
        <v>In</v>
      </c>
    </row>
    <row r="4542">
      <c r="A4542" s="62" t="s">
        <v>4680</v>
      </c>
      <c r="B4542" s="63">
        <v>44263.0</v>
      </c>
      <c r="C4542" s="62" t="s">
        <v>119</v>
      </c>
      <c r="D4542" s="64">
        <v>45.0</v>
      </c>
      <c r="E4542" s="62" t="s">
        <v>109</v>
      </c>
      <c r="F4542" s="62" t="s">
        <v>115</v>
      </c>
      <c r="G4542" s="64" t="s">
        <v>64</v>
      </c>
      <c r="H4542" s="3" t="s">
        <v>185</v>
      </c>
      <c r="I4542" s="65">
        <f>IFERROR(VLOOKUP(A4542,'3. Call duration'!$A:$C,3,0),"--")</f>
        <v>32.18929854</v>
      </c>
      <c r="J4542" s="65" t="str">
        <f t="array" ref="J4542">XLOOKUP(H4542,'2. Matching'!$A$2:$A$39,'2. Matching'!$B$2:$B$39,"--")</f>
        <v>SEO</v>
      </c>
      <c r="K4542" s="65" t="str">
        <f t="shared" si="1"/>
        <v>In</v>
      </c>
    </row>
    <row r="4543">
      <c r="A4543" s="62" t="s">
        <v>4681</v>
      </c>
      <c r="B4543" s="63">
        <v>44260.0</v>
      </c>
      <c r="C4543" s="62" t="s">
        <v>119</v>
      </c>
      <c r="D4543" s="64">
        <v>45.0</v>
      </c>
      <c r="E4543" s="62" t="s">
        <v>109</v>
      </c>
      <c r="F4543" s="62" t="s">
        <v>110</v>
      </c>
      <c r="G4543" s="64" t="s">
        <v>64</v>
      </c>
      <c r="H4543" s="3" t="s">
        <v>131</v>
      </c>
      <c r="I4543" s="65">
        <f>IFERROR(VLOOKUP(A4543,'3. Call duration'!$A:$C,3,0),"--")</f>
        <v>22.50515267</v>
      </c>
      <c r="J4543" s="65" t="str">
        <f t="array" ref="J4543">XLOOKUP(H4543,'2. Matching'!$A$2:$A$39,'2. Matching'!$B$2:$B$39,"--")</f>
        <v>Acquisition</v>
      </c>
      <c r="K4543" s="65" t="str">
        <f t="shared" si="1"/>
        <v>In</v>
      </c>
    </row>
    <row r="4544">
      <c r="A4544" s="62" t="s">
        <v>4682</v>
      </c>
      <c r="B4544" s="63">
        <v>44272.0</v>
      </c>
      <c r="C4544" s="62" t="s">
        <v>119</v>
      </c>
      <c r="D4544" s="64">
        <v>45.0</v>
      </c>
      <c r="E4544" s="62" t="s">
        <v>109</v>
      </c>
      <c r="F4544" s="62" t="s">
        <v>115</v>
      </c>
      <c r="G4544" s="64" t="s">
        <v>64</v>
      </c>
      <c r="H4544" s="3" t="s">
        <v>155</v>
      </c>
      <c r="I4544" s="65">
        <f>IFERROR(VLOOKUP(A4544,'3. Call duration'!$A:$C,3,0),"--")</f>
        <v>22.15302951</v>
      </c>
      <c r="J4544" s="65" t="str">
        <f t="array" ref="J4544">XLOOKUP(H4544,'2. Matching'!$A$2:$A$39,'2. Matching'!$B$2:$B$39,"--")</f>
        <v>SEO</v>
      </c>
      <c r="K4544" s="65" t="str">
        <f t="shared" si="1"/>
        <v>In</v>
      </c>
    </row>
    <row r="4545">
      <c r="A4545" s="62" t="s">
        <v>4683</v>
      </c>
      <c r="B4545" s="63">
        <v>44286.0</v>
      </c>
      <c r="C4545" s="62" t="s">
        <v>119</v>
      </c>
      <c r="D4545" s="64">
        <v>45.0</v>
      </c>
      <c r="E4545" s="62" t="s">
        <v>109</v>
      </c>
      <c r="F4545" s="62" t="s">
        <v>110</v>
      </c>
      <c r="G4545" s="64" t="s">
        <v>64</v>
      </c>
      <c r="H4545" s="3" t="s">
        <v>54</v>
      </c>
      <c r="I4545" s="65">
        <f>IFERROR(VLOOKUP(A4545,'3. Call duration'!$A:$C,3,0),"--")</f>
        <v>33.84221255</v>
      </c>
      <c r="J4545" s="65" t="str">
        <f t="array" ref="J4545">XLOOKUP(H4545,'2. Matching'!$A$2:$A$39,'2. Matching'!$B$2:$B$39,"--")</f>
        <v>Partnerships</v>
      </c>
      <c r="K4545" s="65" t="str">
        <f t="shared" si="1"/>
        <v>In</v>
      </c>
    </row>
    <row r="4546">
      <c r="A4546" s="62" t="s">
        <v>4684</v>
      </c>
      <c r="B4546" s="63">
        <v>44277.0</v>
      </c>
      <c r="C4546" s="62" t="s">
        <v>119</v>
      </c>
      <c r="D4546" s="64">
        <v>45.0</v>
      </c>
      <c r="E4546" s="62" t="s">
        <v>109</v>
      </c>
      <c r="F4546" s="62" t="s">
        <v>110</v>
      </c>
      <c r="G4546" s="64" t="s">
        <v>62</v>
      </c>
      <c r="H4546" s="3" t="s">
        <v>203</v>
      </c>
      <c r="I4546" s="65">
        <f>IFERROR(VLOOKUP(A4546,'3. Call duration'!$A:$C,3,0),"--")</f>
        <v>26.4358896</v>
      </c>
      <c r="J4546" s="65" t="str">
        <f t="array" ref="J4546">XLOOKUP(H4546,'2. Matching'!$A$2:$A$39,'2. Matching'!$B$2:$B$39,"--")</f>
        <v>Farming</v>
      </c>
      <c r="K4546" s="65" t="str">
        <f t="shared" si="1"/>
        <v>In</v>
      </c>
    </row>
    <row r="4547">
      <c r="A4547" s="62" t="s">
        <v>4685</v>
      </c>
      <c r="B4547" s="63">
        <v>44294.0</v>
      </c>
      <c r="C4547" s="62" t="s">
        <v>119</v>
      </c>
      <c r="D4547" s="64">
        <v>45.0</v>
      </c>
      <c r="E4547" s="62" t="s">
        <v>109</v>
      </c>
      <c r="F4547" s="62" t="s">
        <v>115</v>
      </c>
      <c r="G4547" s="64" t="s">
        <v>64</v>
      </c>
      <c r="H4547" s="3" t="s">
        <v>52</v>
      </c>
      <c r="I4547" s="65">
        <f>IFERROR(VLOOKUP(A4547,'3. Call duration'!$A:$C,3,0),"--")</f>
        <v>19.87505644</v>
      </c>
      <c r="J4547" s="65" t="str">
        <f t="array" ref="J4547">XLOOKUP(H4547,'2. Matching'!$A$2:$A$39,'2. Matching'!$B$2:$B$39,"--")</f>
        <v>Partnerships</v>
      </c>
      <c r="K4547" s="65" t="str">
        <f t="shared" si="1"/>
        <v>In</v>
      </c>
    </row>
    <row r="4548">
      <c r="A4548" s="62" t="s">
        <v>4686</v>
      </c>
      <c r="B4548" s="63">
        <v>44315.0</v>
      </c>
      <c r="C4548" s="62" t="s">
        <v>119</v>
      </c>
      <c r="D4548" s="64">
        <v>45.0</v>
      </c>
      <c r="E4548" s="62" t="s">
        <v>109</v>
      </c>
      <c r="F4548" s="62" t="s">
        <v>110</v>
      </c>
      <c r="G4548" s="64" t="s">
        <v>64</v>
      </c>
      <c r="H4548" s="3" t="s">
        <v>52</v>
      </c>
      <c r="I4548" s="65" t="str">
        <f>IFERROR(VLOOKUP(A4548,'3. Call duration'!$A:$C,3,0),"--")</f>
        <v>--</v>
      </c>
      <c r="J4548" s="65" t="str">
        <f t="array" ref="J4548">XLOOKUP(H4548,'2. Matching'!$A$2:$A$39,'2. Matching'!$B$2:$B$39,"--")</f>
        <v>Partnerships</v>
      </c>
      <c r="K4548" s="65" t="str">
        <f t="shared" si="1"/>
        <v>In</v>
      </c>
    </row>
    <row r="4549">
      <c r="A4549" s="62" t="s">
        <v>4687</v>
      </c>
      <c r="B4549" s="63">
        <v>44295.0</v>
      </c>
      <c r="C4549" s="62" t="s">
        <v>119</v>
      </c>
      <c r="D4549" s="64">
        <v>45.0</v>
      </c>
      <c r="E4549" s="62" t="s">
        <v>109</v>
      </c>
      <c r="F4549" s="62" t="s">
        <v>115</v>
      </c>
      <c r="G4549" s="64" t="s">
        <v>64</v>
      </c>
      <c r="H4549" s="3" t="s">
        <v>185</v>
      </c>
      <c r="I4549" s="65">
        <f>IFERROR(VLOOKUP(A4549,'3. Call duration'!$A:$C,3,0),"--")</f>
        <v>27.82527341</v>
      </c>
      <c r="J4549" s="65" t="str">
        <f t="array" ref="J4549">XLOOKUP(H4549,'2. Matching'!$A$2:$A$39,'2. Matching'!$B$2:$B$39,"--")</f>
        <v>SEO</v>
      </c>
      <c r="K4549" s="65" t="str">
        <f t="shared" si="1"/>
        <v>In</v>
      </c>
    </row>
    <row r="4550">
      <c r="A4550" s="62" t="s">
        <v>4688</v>
      </c>
      <c r="B4550" s="63">
        <v>44306.0</v>
      </c>
      <c r="C4550" s="62" t="s">
        <v>119</v>
      </c>
      <c r="D4550" s="64">
        <v>45.0</v>
      </c>
      <c r="E4550" s="62" t="s">
        <v>109</v>
      </c>
      <c r="F4550" s="62" t="s">
        <v>115</v>
      </c>
      <c r="G4550" s="64" t="s">
        <v>64</v>
      </c>
      <c r="H4550" s="3" t="s">
        <v>164</v>
      </c>
      <c r="I4550" s="65">
        <f>IFERROR(VLOOKUP(A4550,'3. Call duration'!$A:$C,3,0),"--")</f>
        <v>13.50219473</v>
      </c>
      <c r="J4550" s="65" t="str">
        <f t="array" ref="J4550">XLOOKUP(H4550,'2. Matching'!$A$2:$A$39,'2. Matching'!$B$2:$B$39,"--")</f>
        <v>SEO</v>
      </c>
      <c r="K4550" s="65" t="str">
        <f t="shared" si="1"/>
        <v>In</v>
      </c>
    </row>
    <row r="4551">
      <c r="A4551" s="62" t="s">
        <v>4689</v>
      </c>
      <c r="B4551" s="63">
        <v>44264.0</v>
      </c>
      <c r="C4551" s="62" t="s">
        <v>119</v>
      </c>
      <c r="D4551" s="64">
        <v>45.0</v>
      </c>
      <c r="E4551" s="62" t="s">
        <v>109</v>
      </c>
      <c r="F4551" s="62" t="s">
        <v>115</v>
      </c>
      <c r="G4551" s="64" t="s">
        <v>64</v>
      </c>
      <c r="H4551" s="3" t="s">
        <v>139</v>
      </c>
      <c r="I4551" s="65">
        <f>IFERROR(VLOOKUP(A4551,'3. Call duration'!$A:$C,3,0),"--")</f>
        <v>33.4998751</v>
      </c>
      <c r="J4551" s="65" t="str">
        <f t="array" ref="J4551">XLOOKUP(H4551,'2. Matching'!$A$2:$A$39,'2. Matching'!$B$2:$B$39,"--")</f>
        <v>Acquisition</v>
      </c>
      <c r="K4551" s="65" t="str">
        <f t="shared" si="1"/>
        <v>In</v>
      </c>
    </row>
    <row r="4552">
      <c r="A4552" s="62" t="s">
        <v>4690</v>
      </c>
      <c r="B4552" s="63">
        <v>44281.0</v>
      </c>
      <c r="C4552" s="62" t="s">
        <v>119</v>
      </c>
      <c r="D4552" s="64">
        <v>45.0</v>
      </c>
      <c r="E4552" s="62" t="s">
        <v>109</v>
      </c>
      <c r="F4552" s="62" t="s">
        <v>115</v>
      </c>
      <c r="G4552" s="64" t="s">
        <v>64</v>
      </c>
      <c r="H4552" s="3" t="s">
        <v>169</v>
      </c>
      <c r="I4552" s="65">
        <f>IFERROR(VLOOKUP(A4552,'3. Call duration'!$A:$C,3,0),"--")</f>
        <v>27.20160069</v>
      </c>
      <c r="J4552" s="65" t="str">
        <f t="array" ref="J4552">XLOOKUP(H4552,'2. Matching'!$A$2:$A$39,'2. Matching'!$B$2:$B$39,"--")</f>
        <v>SEO</v>
      </c>
      <c r="K4552" s="65" t="str">
        <f t="shared" si="1"/>
        <v>In</v>
      </c>
    </row>
    <row r="4553">
      <c r="A4553" s="62" t="s">
        <v>4691</v>
      </c>
      <c r="B4553" s="63">
        <v>44265.0</v>
      </c>
      <c r="C4553" s="62" t="s">
        <v>119</v>
      </c>
      <c r="D4553" s="64">
        <v>45.0</v>
      </c>
      <c r="E4553" s="62" t="s">
        <v>109</v>
      </c>
      <c r="F4553" s="62" t="s">
        <v>110</v>
      </c>
      <c r="G4553" s="64" t="s">
        <v>64</v>
      </c>
      <c r="H4553" s="3" t="s">
        <v>175</v>
      </c>
      <c r="I4553" s="65">
        <f>IFERROR(VLOOKUP(A4553,'3. Call duration'!$A:$C,3,0),"--")</f>
        <v>21.35962888</v>
      </c>
      <c r="J4553" s="65" t="str">
        <f t="array" ref="J4553">XLOOKUP(H4553,'2. Matching'!$A$2:$A$39,'2. Matching'!$B$2:$B$39,"--")</f>
        <v>SEO</v>
      </c>
      <c r="K4553" s="65" t="str">
        <f t="shared" si="1"/>
        <v>In</v>
      </c>
    </row>
    <row r="4554">
      <c r="A4554" s="62" t="s">
        <v>4692</v>
      </c>
      <c r="B4554" s="63">
        <v>44280.0</v>
      </c>
      <c r="C4554" s="62" t="s">
        <v>119</v>
      </c>
      <c r="D4554" s="64">
        <v>45.0</v>
      </c>
      <c r="E4554" s="62" t="s">
        <v>109</v>
      </c>
      <c r="F4554" s="62" t="s">
        <v>115</v>
      </c>
      <c r="G4554" s="64" t="s">
        <v>64</v>
      </c>
      <c r="H4554" s="3" t="s">
        <v>297</v>
      </c>
      <c r="I4554" s="65">
        <f>IFERROR(VLOOKUP(A4554,'3. Call duration'!$A:$C,3,0),"--")</f>
        <v>32.59566936</v>
      </c>
      <c r="J4554" s="65" t="str">
        <f t="array" ref="J4554">XLOOKUP(H4554,'2. Matching'!$A$2:$A$39,'2. Matching'!$B$2:$B$39,"--")</f>
        <v>Farming</v>
      </c>
      <c r="K4554" s="65" t="str">
        <f t="shared" si="1"/>
        <v>In</v>
      </c>
    </row>
    <row r="4555">
      <c r="A4555" s="62" t="s">
        <v>4693</v>
      </c>
      <c r="B4555" s="63">
        <v>44272.0</v>
      </c>
      <c r="C4555" s="62" t="s">
        <v>119</v>
      </c>
      <c r="D4555" s="64">
        <v>45.0</v>
      </c>
      <c r="E4555" s="62" t="s">
        <v>109</v>
      </c>
      <c r="F4555" s="62" t="s">
        <v>110</v>
      </c>
      <c r="G4555" s="64" t="s">
        <v>64</v>
      </c>
      <c r="H4555" s="3" t="s">
        <v>297</v>
      </c>
      <c r="I4555" s="65">
        <f>IFERROR(VLOOKUP(A4555,'3. Call duration'!$A:$C,3,0),"--")</f>
        <v>25.44929328</v>
      </c>
      <c r="J4555" s="65" t="str">
        <f t="array" ref="J4555">XLOOKUP(H4555,'2. Matching'!$A$2:$A$39,'2. Matching'!$B$2:$B$39,"--")</f>
        <v>Farming</v>
      </c>
      <c r="K4555" s="65" t="str">
        <f t="shared" si="1"/>
        <v>In</v>
      </c>
    </row>
    <row r="4556">
      <c r="A4556" s="62" t="s">
        <v>4694</v>
      </c>
      <c r="B4556" s="63">
        <v>44294.0</v>
      </c>
      <c r="C4556" s="62" t="s">
        <v>119</v>
      </c>
      <c r="D4556" s="64">
        <v>45.0</v>
      </c>
      <c r="E4556" s="62" t="s">
        <v>109</v>
      </c>
      <c r="F4556" s="62" t="s">
        <v>115</v>
      </c>
      <c r="G4556" s="64" t="s">
        <v>64</v>
      </c>
      <c r="H4556" s="3" t="s">
        <v>141</v>
      </c>
      <c r="I4556" s="65">
        <f>IFERROR(VLOOKUP(A4556,'3. Call duration'!$A:$C,3,0),"--")</f>
        <v>40.58350028</v>
      </c>
      <c r="J4556" s="65" t="str">
        <f t="array" ref="J4556">XLOOKUP(H4556,'2. Matching'!$A$2:$A$39,'2. Matching'!$B$2:$B$39,"--")</f>
        <v>Acquisition</v>
      </c>
      <c r="K4556" s="65" t="str">
        <f t="shared" si="1"/>
        <v>In</v>
      </c>
    </row>
    <row r="4557">
      <c r="A4557" s="62" t="s">
        <v>4695</v>
      </c>
      <c r="B4557" s="63">
        <v>44278.0</v>
      </c>
      <c r="C4557" s="62" t="s">
        <v>119</v>
      </c>
      <c r="D4557" s="64">
        <v>45.0</v>
      </c>
      <c r="E4557" s="62" t="s">
        <v>109</v>
      </c>
      <c r="F4557" s="62" t="s">
        <v>110</v>
      </c>
      <c r="G4557" s="64" t="s">
        <v>64</v>
      </c>
      <c r="H4557" s="3" t="s">
        <v>185</v>
      </c>
      <c r="I4557" s="65">
        <f>IFERROR(VLOOKUP(A4557,'3. Call duration'!$A:$C,3,0),"--")</f>
        <v>16.23829971</v>
      </c>
      <c r="J4557" s="65" t="str">
        <f t="array" ref="J4557">XLOOKUP(H4557,'2. Matching'!$A$2:$A$39,'2. Matching'!$B$2:$B$39,"--")</f>
        <v>SEO</v>
      </c>
      <c r="K4557" s="65" t="str">
        <f t="shared" si="1"/>
        <v>In</v>
      </c>
    </row>
    <row r="4558">
      <c r="A4558" s="62" t="s">
        <v>4696</v>
      </c>
      <c r="B4558" s="63">
        <v>44295.0</v>
      </c>
      <c r="C4558" s="62" t="s">
        <v>119</v>
      </c>
      <c r="D4558" s="64">
        <v>45.0</v>
      </c>
      <c r="E4558" s="62" t="s">
        <v>109</v>
      </c>
      <c r="F4558" s="62" t="s">
        <v>110</v>
      </c>
      <c r="G4558" s="64" t="s">
        <v>64</v>
      </c>
      <c r="H4558" s="3" t="s">
        <v>221</v>
      </c>
      <c r="I4558" s="65">
        <f>IFERROR(VLOOKUP(A4558,'3. Call duration'!$A:$C,3,0),"--")</f>
        <v>24.22782197</v>
      </c>
      <c r="J4558" s="65" t="str">
        <f t="array" ref="J4558">XLOOKUP(H4558,'2. Matching'!$A$2:$A$39,'2. Matching'!$B$2:$B$39,"--")</f>
        <v>Farming</v>
      </c>
      <c r="K4558" s="65" t="str">
        <f t="shared" si="1"/>
        <v>In</v>
      </c>
    </row>
    <row r="4559">
      <c r="A4559" s="62" t="s">
        <v>4697</v>
      </c>
      <c r="B4559" s="63">
        <v>44271.0</v>
      </c>
      <c r="C4559" s="62" t="s">
        <v>119</v>
      </c>
      <c r="D4559" s="64">
        <v>45.0</v>
      </c>
      <c r="E4559" s="62" t="s">
        <v>109</v>
      </c>
      <c r="F4559" s="62" t="s">
        <v>110</v>
      </c>
      <c r="G4559" s="64" t="s">
        <v>64</v>
      </c>
      <c r="H4559" s="3" t="s">
        <v>116</v>
      </c>
      <c r="I4559" s="65">
        <f>IFERROR(VLOOKUP(A4559,'3. Call duration'!$A:$C,3,0),"--")</f>
        <v>48.56687525</v>
      </c>
      <c r="J4559" s="65" t="str">
        <f t="array" ref="J4559">XLOOKUP(H4559,'2. Matching'!$A$2:$A$39,'2. Matching'!$B$2:$B$39,"--")</f>
        <v>Acquisition</v>
      </c>
      <c r="K4559" s="65" t="str">
        <f t="shared" si="1"/>
        <v>In</v>
      </c>
    </row>
    <row r="4560">
      <c r="A4560" s="62" t="s">
        <v>4698</v>
      </c>
      <c r="B4560" s="63">
        <v>44275.0</v>
      </c>
      <c r="C4560" s="62" t="s">
        <v>119</v>
      </c>
      <c r="D4560" s="64">
        <v>45.0</v>
      </c>
      <c r="E4560" s="62" t="s">
        <v>109</v>
      </c>
      <c r="F4560" s="62" t="s">
        <v>115</v>
      </c>
      <c r="G4560" s="64" t="s">
        <v>64</v>
      </c>
      <c r="H4560" s="3" t="s">
        <v>141</v>
      </c>
      <c r="I4560" s="65">
        <f>IFERROR(VLOOKUP(A4560,'3. Call duration'!$A:$C,3,0),"--")</f>
        <v>24.46287046</v>
      </c>
      <c r="J4560" s="65" t="str">
        <f t="array" ref="J4560">XLOOKUP(H4560,'2. Matching'!$A$2:$A$39,'2. Matching'!$B$2:$B$39,"--")</f>
        <v>Acquisition</v>
      </c>
      <c r="K4560" s="65" t="str">
        <f t="shared" si="1"/>
        <v>In</v>
      </c>
    </row>
    <row r="4561">
      <c r="A4561" s="62" t="s">
        <v>4699</v>
      </c>
      <c r="B4561" s="63">
        <v>44314.0</v>
      </c>
      <c r="C4561" s="62" t="s">
        <v>119</v>
      </c>
      <c r="D4561" s="64">
        <v>45.0</v>
      </c>
      <c r="E4561" s="62" t="s">
        <v>109</v>
      </c>
      <c r="F4561" s="62" t="s">
        <v>115</v>
      </c>
      <c r="G4561" s="64" t="s">
        <v>64</v>
      </c>
      <c r="H4561" s="3" t="s">
        <v>49</v>
      </c>
      <c r="I4561" s="65">
        <f>IFERROR(VLOOKUP(A4561,'3. Call duration'!$A:$C,3,0),"--")</f>
        <v>20.72324274</v>
      </c>
      <c r="J4561" s="65" t="str">
        <f t="array" ref="J4561">XLOOKUP(H4561,'2. Matching'!$A$2:$A$39,'2. Matching'!$B$2:$B$39,"--")</f>
        <v>Partnerships</v>
      </c>
      <c r="K4561" s="65" t="str">
        <f t="shared" si="1"/>
        <v>In</v>
      </c>
    </row>
    <row r="4562">
      <c r="A4562" s="62" t="s">
        <v>4700</v>
      </c>
      <c r="B4562" s="63">
        <v>44259.0</v>
      </c>
      <c r="C4562" s="62" t="s">
        <v>119</v>
      </c>
      <c r="D4562" s="64">
        <v>45.0</v>
      </c>
      <c r="E4562" s="62" t="s">
        <v>109</v>
      </c>
      <c r="F4562" s="62" t="s">
        <v>115</v>
      </c>
      <c r="G4562" s="64" t="s">
        <v>64</v>
      </c>
      <c r="H4562" s="3" t="s">
        <v>155</v>
      </c>
      <c r="I4562" s="65">
        <f>IFERROR(VLOOKUP(A4562,'3. Call duration'!$A:$C,3,0),"--")</f>
        <v>23.80387926</v>
      </c>
      <c r="J4562" s="65" t="str">
        <f t="array" ref="J4562">XLOOKUP(H4562,'2. Matching'!$A$2:$A$39,'2. Matching'!$B$2:$B$39,"--")</f>
        <v>SEO</v>
      </c>
      <c r="K4562" s="65" t="str">
        <f t="shared" si="1"/>
        <v>In</v>
      </c>
    </row>
    <row r="4563">
      <c r="A4563" s="62" t="s">
        <v>4701</v>
      </c>
      <c r="B4563" s="63">
        <v>44266.0</v>
      </c>
      <c r="C4563" s="62" t="s">
        <v>119</v>
      </c>
      <c r="D4563" s="64">
        <v>45.0</v>
      </c>
      <c r="E4563" s="62" t="s">
        <v>109</v>
      </c>
      <c r="F4563" s="62" t="s">
        <v>110</v>
      </c>
      <c r="G4563" s="64" t="s">
        <v>64</v>
      </c>
      <c r="H4563" s="3" t="s">
        <v>116</v>
      </c>
      <c r="I4563" s="65">
        <f>IFERROR(VLOOKUP(A4563,'3. Call duration'!$A:$C,3,0),"--")</f>
        <v>20.74702005</v>
      </c>
      <c r="J4563" s="65" t="str">
        <f t="array" ref="J4563">XLOOKUP(H4563,'2. Matching'!$A$2:$A$39,'2. Matching'!$B$2:$B$39,"--")</f>
        <v>Acquisition</v>
      </c>
      <c r="K4563" s="65" t="str">
        <f t="shared" si="1"/>
        <v>In</v>
      </c>
    </row>
    <row r="4564">
      <c r="A4564" s="62" t="s">
        <v>4702</v>
      </c>
      <c r="B4564" s="63">
        <v>44307.0</v>
      </c>
      <c r="C4564" s="62" t="s">
        <v>119</v>
      </c>
      <c r="D4564" s="64">
        <v>45.0</v>
      </c>
      <c r="E4564" s="62" t="s">
        <v>109</v>
      </c>
      <c r="F4564" s="62" t="s">
        <v>115</v>
      </c>
      <c r="G4564" s="64" t="s">
        <v>64</v>
      </c>
      <c r="H4564" s="3" t="s">
        <v>155</v>
      </c>
      <c r="I4564" s="65">
        <f>IFERROR(VLOOKUP(A4564,'3. Call duration'!$A:$C,3,0),"--")</f>
        <v>30.76869549</v>
      </c>
      <c r="J4564" s="65" t="str">
        <f t="array" ref="J4564">XLOOKUP(H4564,'2. Matching'!$A$2:$A$39,'2. Matching'!$B$2:$B$39,"--")</f>
        <v>SEO</v>
      </c>
      <c r="K4564" s="65" t="str">
        <f t="shared" si="1"/>
        <v>In</v>
      </c>
    </row>
    <row r="4565">
      <c r="A4565" s="62" t="s">
        <v>4703</v>
      </c>
      <c r="B4565" s="63">
        <v>44285.0</v>
      </c>
      <c r="C4565" s="62" t="s">
        <v>119</v>
      </c>
      <c r="D4565" s="64">
        <v>45.0</v>
      </c>
      <c r="E4565" s="62" t="s">
        <v>109</v>
      </c>
      <c r="F4565" s="62" t="s">
        <v>115</v>
      </c>
      <c r="G4565" s="64" t="s">
        <v>64</v>
      </c>
      <c r="H4565" s="3" t="s">
        <v>169</v>
      </c>
      <c r="I4565" s="65">
        <f>IFERROR(VLOOKUP(A4565,'3. Call duration'!$A:$C,3,0),"--")</f>
        <v>20.0831243</v>
      </c>
      <c r="J4565" s="65" t="str">
        <f t="array" ref="J4565">XLOOKUP(H4565,'2. Matching'!$A$2:$A$39,'2. Matching'!$B$2:$B$39,"--")</f>
        <v>SEO</v>
      </c>
      <c r="K4565" s="65" t="str">
        <f t="shared" si="1"/>
        <v>In</v>
      </c>
    </row>
    <row r="4566">
      <c r="A4566" s="62" t="s">
        <v>4704</v>
      </c>
      <c r="B4566" s="63">
        <v>44284.0</v>
      </c>
      <c r="C4566" s="62" t="s">
        <v>119</v>
      </c>
      <c r="D4566" s="64">
        <v>45.0</v>
      </c>
      <c r="E4566" s="62" t="s">
        <v>109</v>
      </c>
      <c r="F4566" s="62" t="s">
        <v>110</v>
      </c>
      <c r="G4566" s="64" t="s">
        <v>64</v>
      </c>
      <c r="H4566" s="3" t="s">
        <v>116</v>
      </c>
      <c r="I4566" s="65">
        <f>IFERROR(VLOOKUP(A4566,'3. Call duration'!$A:$C,3,0),"--")</f>
        <v>31.31603122</v>
      </c>
      <c r="J4566" s="65" t="str">
        <f t="array" ref="J4566">XLOOKUP(H4566,'2. Matching'!$A$2:$A$39,'2. Matching'!$B$2:$B$39,"--")</f>
        <v>Acquisition</v>
      </c>
      <c r="K4566" s="65" t="str">
        <f t="shared" si="1"/>
        <v>In</v>
      </c>
    </row>
    <row r="4567">
      <c r="A4567" s="62" t="s">
        <v>4705</v>
      </c>
      <c r="B4567" s="63">
        <v>44272.0</v>
      </c>
      <c r="C4567" s="62" t="s">
        <v>119</v>
      </c>
      <c r="D4567" s="64">
        <v>45.0</v>
      </c>
      <c r="E4567" s="62" t="s">
        <v>109</v>
      </c>
      <c r="F4567" s="62" t="s">
        <v>115</v>
      </c>
      <c r="G4567" s="64" t="s">
        <v>64</v>
      </c>
      <c r="H4567" s="3" t="s">
        <v>169</v>
      </c>
      <c r="I4567" s="65">
        <f>IFERROR(VLOOKUP(A4567,'3. Call duration'!$A:$C,3,0),"--")</f>
        <v>33.09595188</v>
      </c>
      <c r="J4567" s="65" t="str">
        <f t="array" ref="J4567">XLOOKUP(H4567,'2. Matching'!$A$2:$A$39,'2. Matching'!$B$2:$B$39,"--")</f>
        <v>SEO</v>
      </c>
      <c r="K4567" s="65" t="str">
        <f t="shared" si="1"/>
        <v>In</v>
      </c>
    </row>
    <row r="4568">
      <c r="A4568" s="62" t="s">
        <v>4706</v>
      </c>
      <c r="B4568" s="63">
        <v>44267.0</v>
      </c>
      <c r="C4568" s="62" t="s">
        <v>119</v>
      </c>
      <c r="D4568" s="64">
        <v>45.0</v>
      </c>
      <c r="E4568" s="62" t="s">
        <v>109</v>
      </c>
      <c r="F4568" s="62" t="s">
        <v>110</v>
      </c>
      <c r="G4568" s="64" t="s">
        <v>64</v>
      </c>
      <c r="H4568" s="3" t="s">
        <v>139</v>
      </c>
      <c r="I4568" s="65">
        <f>IFERROR(VLOOKUP(A4568,'3. Call duration'!$A:$C,3,0),"--")</f>
        <v>33.1398655</v>
      </c>
      <c r="J4568" s="65" t="str">
        <f t="array" ref="J4568">XLOOKUP(H4568,'2. Matching'!$A$2:$A$39,'2. Matching'!$B$2:$B$39,"--")</f>
        <v>Acquisition</v>
      </c>
      <c r="K4568" s="65" t="str">
        <f t="shared" si="1"/>
        <v>In</v>
      </c>
    </row>
    <row r="4569">
      <c r="A4569" s="62" t="s">
        <v>4707</v>
      </c>
      <c r="B4569" s="63">
        <v>44259.0</v>
      </c>
      <c r="C4569" s="62" t="s">
        <v>119</v>
      </c>
      <c r="D4569" s="64">
        <v>45.0</v>
      </c>
      <c r="E4569" s="62" t="s">
        <v>109</v>
      </c>
      <c r="F4569" s="62" t="s">
        <v>115</v>
      </c>
      <c r="G4569" s="64" t="s">
        <v>64</v>
      </c>
      <c r="H4569" s="3" t="s">
        <v>221</v>
      </c>
      <c r="I4569" s="65">
        <f>IFERROR(VLOOKUP(A4569,'3. Call duration'!$A:$C,3,0),"--")</f>
        <v>21.56898558</v>
      </c>
      <c r="J4569" s="65" t="str">
        <f t="array" ref="J4569">XLOOKUP(H4569,'2. Matching'!$A$2:$A$39,'2. Matching'!$B$2:$B$39,"--")</f>
        <v>Farming</v>
      </c>
      <c r="K4569" s="65" t="str">
        <f t="shared" si="1"/>
        <v>In</v>
      </c>
    </row>
    <row r="4570">
      <c r="A4570" s="62" t="s">
        <v>4708</v>
      </c>
      <c r="B4570" s="63">
        <v>44294.0</v>
      </c>
      <c r="C4570" s="62" t="s">
        <v>119</v>
      </c>
      <c r="D4570" s="64">
        <v>45.0</v>
      </c>
      <c r="E4570" s="62" t="s">
        <v>109</v>
      </c>
      <c r="F4570" s="62" t="s">
        <v>115</v>
      </c>
      <c r="G4570" s="64" t="s">
        <v>64</v>
      </c>
      <c r="H4570" s="3" t="s">
        <v>141</v>
      </c>
      <c r="I4570" s="65">
        <f>IFERROR(VLOOKUP(A4570,'3. Call duration'!$A:$C,3,0),"--")</f>
        <v>46.56330026</v>
      </c>
      <c r="J4570" s="65" t="str">
        <f t="array" ref="J4570">XLOOKUP(H4570,'2. Matching'!$A$2:$A$39,'2. Matching'!$B$2:$B$39,"--")</f>
        <v>Acquisition</v>
      </c>
      <c r="K4570" s="65" t="str">
        <f t="shared" si="1"/>
        <v>In</v>
      </c>
    </row>
    <row r="4571">
      <c r="A4571" s="62" t="s">
        <v>4709</v>
      </c>
      <c r="B4571" s="63">
        <v>44258.0</v>
      </c>
      <c r="C4571" s="62" t="s">
        <v>119</v>
      </c>
      <c r="D4571" s="64">
        <v>45.0</v>
      </c>
      <c r="E4571" s="62" t="s">
        <v>109</v>
      </c>
      <c r="F4571" s="62" t="s">
        <v>115</v>
      </c>
      <c r="G4571" s="64" t="s">
        <v>64</v>
      </c>
      <c r="H4571" s="3" t="s">
        <v>139</v>
      </c>
      <c r="I4571" s="65">
        <f>IFERROR(VLOOKUP(A4571,'3. Call duration'!$A:$C,3,0),"--")</f>
        <v>13.46739597</v>
      </c>
      <c r="J4571" s="65" t="str">
        <f t="array" ref="J4571">XLOOKUP(H4571,'2. Matching'!$A$2:$A$39,'2. Matching'!$B$2:$B$39,"--")</f>
        <v>Acquisition</v>
      </c>
      <c r="K4571" s="65" t="str">
        <f t="shared" si="1"/>
        <v>In</v>
      </c>
    </row>
    <row r="4572">
      <c r="A4572" s="62" t="s">
        <v>4710</v>
      </c>
      <c r="B4572" s="63">
        <v>44265.0</v>
      </c>
      <c r="C4572" s="62" t="s">
        <v>119</v>
      </c>
      <c r="D4572" s="64">
        <v>45.0</v>
      </c>
      <c r="E4572" s="62" t="s">
        <v>109</v>
      </c>
      <c r="F4572" s="62" t="s">
        <v>115</v>
      </c>
      <c r="G4572" s="64" t="s">
        <v>64</v>
      </c>
      <c r="H4572" s="3" t="s">
        <v>139</v>
      </c>
      <c r="I4572" s="65">
        <f>IFERROR(VLOOKUP(A4572,'3. Call duration'!$A:$C,3,0),"--")</f>
        <v>26.25565259</v>
      </c>
      <c r="J4572" s="65" t="str">
        <f t="array" ref="J4572">XLOOKUP(H4572,'2. Matching'!$A$2:$A$39,'2. Matching'!$B$2:$B$39,"--")</f>
        <v>Acquisition</v>
      </c>
      <c r="K4572" s="65" t="str">
        <f t="shared" si="1"/>
        <v>In</v>
      </c>
    </row>
    <row r="4573">
      <c r="A4573" s="62" t="s">
        <v>4711</v>
      </c>
      <c r="B4573" s="63">
        <v>44258.0</v>
      </c>
      <c r="C4573" s="62" t="s">
        <v>119</v>
      </c>
      <c r="D4573" s="64">
        <v>45.0</v>
      </c>
      <c r="E4573" s="62" t="s">
        <v>109</v>
      </c>
      <c r="F4573" s="62" t="s">
        <v>115</v>
      </c>
      <c r="G4573" s="64" t="s">
        <v>64</v>
      </c>
      <c r="H4573" s="3" t="s">
        <v>54</v>
      </c>
      <c r="I4573" s="65">
        <f>IFERROR(VLOOKUP(A4573,'3. Call duration'!$A:$C,3,0),"--")</f>
        <v>19.12080491</v>
      </c>
      <c r="J4573" s="65" t="str">
        <f t="array" ref="J4573">XLOOKUP(H4573,'2. Matching'!$A$2:$A$39,'2. Matching'!$B$2:$B$39,"--")</f>
        <v>Partnerships</v>
      </c>
      <c r="K4573" s="65" t="str">
        <f t="shared" si="1"/>
        <v>In</v>
      </c>
    </row>
    <row r="4574">
      <c r="A4574" s="62" t="s">
        <v>4712</v>
      </c>
      <c r="B4574" s="63">
        <v>44294.0</v>
      </c>
      <c r="C4574" s="62" t="s">
        <v>119</v>
      </c>
      <c r="D4574" s="64">
        <v>45.0</v>
      </c>
      <c r="E4574" s="62" t="s">
        <v>109</v>
      </c>
      <c r="F4574" s="62" t="s">
        <v>115</v>
      </c>
      <c r="G4574" s="64" t="s">
        <v>64</v>
      </c>
      <c r="H4574" s="3" t="s">
        <v>141</v>
      </c>
      <c r="I4574" s="65">
        <f>IFERROR(VLOOKUP(A4574,'3. Call duration'!$A:$C,3,0),"--")</f>
        <v>30.20667053</v>
      </c>
      <c r="J4574" s="65" t="str">
        <f t="array" ref="J4574">XLOOKUP(H4574,'2. Matching'!$A$2:$A$39,'2. Matching'!$B$2:$B$39,"--")</f>
        <v>Acquisition</v>
      </c>
      <c r="K4574" s="65" t="str">
        <f t="shared" si="1"/>
        <v>In</v>
      </c>
    </row>
    <row r="4575">
      <c r="A4575" s="62" t="s">
        <v>4713</v>
      </c>
      <c r="B4575" s="63">
        <v>44275.0</v>
      </c>
      <c r="C4575" s="62" t="s">
        <v>119</v>
      </c>
      <c r="D4575" s="64">
        <v>45.0</v>
      </c>
      <c r="E4575" s="62" t="s">
        <v>109</v>
      </c>
      <c r="F4575" s="62" t="s">
        <v>115</v>
      </c>
      <c r="G4575" s="64" t="s">
        <v>64</v>
      </c>
      <c r="H4575" s="3" t="s">
        <v>164</v>
      </c>
      <c r="I4575" s="65">
        <f>IFERROR(VLOOKUP(A4575,'3. Call duration'!$A:$C,3,0),"--")</f>
        <v>28.77814455</v>
      </c>
      <c r="J4575" s="65" t="str">
        <f t="array" ref="J4575">XLOOKUP(H4575,'2. Matching'!$A$2:$A$39,'2. Matching'!$B$2:$B$39,"--")</f>
        <v>SEO</v>
      </c>
      <c r="K4575" s="65" t="str">
        <f t="shared" si="1"/>
        <v>In</v>
      </c>
    </row>
    <row r="4576">
      <c r="A4576" s="62" t="s">
        <v>4714</v>
      </c>
      <c r="B4576" s="63">
        <v>44264.0</v>
      </c>
      <c r="C4576" s="62" t="s">
        <v>119</v>
      </c>
      <c r="D4576" s="64">
        <v>45.0</v>
      </c>
      <c r="E4576" s="62" t="s">
        <v>109</v>
      </c>
      <c r="F4576" s="62" t="s">
        <v>115</v>
      </c>
      <c r="G4576" s="64" t="s">
        <v>64</v>
      </c>
      <c r="H4576" s="3" t="s">
        <v>141</v>
      </c>
      <c r="I4576" s="65">
        <f>IFERROR(VLOOKUP(A4576,'3. Call duration'!$A:$C,3,0),"--")</f>
        <v>16.79983928</v>
      </c>
      <c r="J4576" s="65" t="str">
        <f t="array" ref="J4576">XLOOKUP(H4576,'2. Matching'!$A$2:$A$39,'2. Matching'!$B$2:$B$39,"--")</f>
        <v>Acquisition</v>
      </c>
      <c r="K4576" s="65" t="str">
        <f t="shared" si="1"/>
        <v>In</v>
      </c>
    </row>
    <row r="4577">
      <c r="A4577" s="62" t="s">
        <v>4715</v>
      </c>
      <c r="B4577" s="63">
        <v>44278.0</v>
      </c>
      <c r="C4577" s="62" t="s">
        <v>119</v>
      </c>
      <c r="D4577" s="64">
        <v>45.0</v>
      </c>
      <c r="E4577" s="62" t="s">
        <v>109</v>
      </c>
      <c r="F4577" s="62" t="s">
        <v>115</v>
      </c>
      <c r="G4577" s="64" t="s">
        <v>64</v>
      </c>
      <c r="H4577" s="3" t="s">
        <v>221</v>
      </c>
      <c r="I4577" s="65">
        <f>IFERROR(VLOOKUP(A4577,'3. Call duration'!$A:$C,3,0),"--")</f>
        <v>28.00624827</v>
      </c>
      <c r="J4577" s="65" t="str">
        <f t="array" ref="J4577">XLOOKUP(H4577,'2. Matching'!$A$2:$A$39,'2. Matching'!$B$2:$B$39,"--")</f>
        <v>Farming</v>
      </c>
      <c r="K4577" s="65" t="str">
        <f t="shared" si="1"/>
        <v>In</v>
      </c>
    </row>
    <row r="4578">
      <c r="A4578" s="62" t="s">
        <v>4716</v>
      </c>
      <c r="B4578" s="63">
        <v>44272.0</v>
      </c>
      <c r="C4578" s="62" t="s">
        <v>119</v>
      </c>
      <c r="D4578" s="64">
        <v>45.0</v>
      </c>
      <c r="E4578" s="62" t="s">
        <v>109</v>
      </c>
      <c r="F4578" s="62" t="s">
        <v>110</v>
      </c>
      <c r="G4578" s="64" t="s">
        <v>64</v>
      </c>
      <c r="H4578" s="3" t="s">
        <v>297</v>
      </c>
      <c r="I4578" s="65">
        <f>IFERROR(VLOOKUP(A4578,'3. Call duration'!$A:$C,3,0),"--")</f>
        <v>22.40208479</v>
      </c>
      <c r="J4578" s="65" t="str">
        <f t="array" ref="J4578">XLOOKUP(H4578,'2. Matching'!$A$2:$A$39,'2. Matching'!$B$2:$B$39,"--")</f>
        <v>Farming</v>
      </c>
      <c r="K4578" s="65" t="str">
        <f t="shared" si="1"/>
        <v>In</v>
      </c>
    </row>
    <row r="4579">
      <c r="A4579" s="62" t="s">
        <v>4717</v>
      </c>
      <c r="B4579" s="63">
        <v>44280.0</v>
      </c>
      <c r="C4579" s="62" t="s">
        <v>119</v>
      </c>
      <c r="D4579" s="64">
        <v>45.0</v>
      </c>
      <c r="E4579" s="62" t="s">
        <v>109</v>
      </c>
      <c r="F4579" s="62" t="s">
        <v>115</v>
      </c>
      <c r="G4579" s="64" t="s">
        <v>64</v>
      </c>
      <c r="H4579" s="3" t="s">
        <v>169</v>
      </c>
      <c r="I4579" s="65">
        <f>IFERROR(VLOOKUP(A4579,'3. Call duration'!$A:$C,3,0),"--")</f>
        <v>24.88842375</v>
      </c>
      <c r="J4579" s="65" t="str">
        <f t="array" ref="J4579">XLOOKUP(H4579,'2. Matching'!$A$2:$A$39,'2. Matching'!$B$2:$B$39,"--")</f>
        <v>SEO</v>
      </c>
      <c r="K4579" s="65" t="str">
        <f t="shared" si="1"/>
        <v>In</v>
      </c>
    </row>
    <row r="4580">
      <c r="A4580" s="62" t="s">
        <v>4718</v>
      </c>
      <c r="B4580" s="63">
        <v>44260.0</v>
      </c>
      <c r="C4580" s="62" t="s">
        <v>119</v>
      </c>
      <c r="D4580" s="64">
        <v>45.0</v>
      </c>
      <c r="E4580" s="62" t="s">
        <v>109</v>
      </c>
      <c r="F4580" s="62" t="s">
        <v>110</v>
      </c>
      <c r="G4580" s="64" t="s">
        <v>64</v>
      </c>
      <c r="H4580" s="3" t="s">
        <v>131</v>
      </c>
      <c r="I4580" s="65">
        <f>IFERROR(VLOOKUP(A4580,'3. Call duration'!$A:$C,3,0),"--")</f>
        <v>49.42436782</v>
      </c>
      <c r="J4580" s="65" t="str">
        <f t="array" ref="J4580">XLOOKUP(H4580,'2. Matching'!$A$2:$A$39,'2. Matching'!$B$2:$B$39,"--")</f>
        <v>Acquisition</v>
      </c>
      <c r="K4580" s="65" t="str">
        <f t="shared" si="1"/>
        <v>In</v>
      </c>
    </row>
    <row r="4581">
      <c r="A4581" s="62" t="s">
        <v>4719</v>
      </c>
      <c r="B4581" s="63">
        <v>44259.0</v>
      </c>
      <c r="C4581" s="62" t="s">
        <v>119</v>
      </c>
      <c r="D4581" s="64">
        <v>45.0</v>
      </c>
      <c r="E4581" s="62" t="s">
        <v>109</v>
      </c>
      <c r="F4581" s="62" t="s">
        <v>110</v>
      </c>
      <c r="G4581" s="64" t="s">
        <v>64</v>
      </c>
      <c r="H4581" s="3" t="s">
        <v>131</v>
      </c>
      <c r="I4581" s="65">
        <f>IFERROR(VLOOKUP(A4581,'3. Call duration'!$A:$C,3,0),"--")</f>
        <v>33.28695249</v>
      </c>
      <c r="J4581" s="65" t="str">
        <f t="array" ref="J4581">XLOOKUP(H4581,'2. Matching'!$A$2:$A$39,'2. Matching'!$B$2:$B$39,"--")</f>
        <v>Acquisition</v>
      </c>
      <c r="K4581" s="65" t="str">
        <f t="shared" si="1"/>
        <v>In</v>
      </c>
    </row>
    <row r="4582">
      <c r="A4582" s="62" t="s">
        <v>4720</v>
      </c>
      <c r="B4582" s="63">
        <v>44312.0</v>
      </c>
      <c r="C4582" s="62" t="s">
        <v>119</v>
      </c>
      <c r="D4582" s="64">
        <v>45.0</v>
      </c>
      <c r="E4582" s="62" t="s">
        <v>109</v>
      </c>
      <c r="F4582" s="62" t="s">
        <v>115</v>
      </c>
      <c r="G4582" s="64" t="s">
        <v>64</v>
      </c>
      <c r="H4582" s="3" t="s">
        <v>169</v>
      </c>
      <c r="I4582" s="65">
        <f>IFERROR(VLOOKUP(A4582,'3. Call duration'!$A:$C,3,0),"--")</f>
        <v>20.02109291</v>
      </c>
      <c r="J4582" s="65" t="str">
        <f t="array" ref="J4582">XLOOKUP(H4582,'2. Matching'!$A$2:$A$39,'2. Matching'!$B$2:$B$39,"--")</f>
        <v>SEO</v>
      </c>
      <c r="K4582" s="65" t="str">
        <f t="shared" si="1"/>
        <v>In</v>
      </c>
    </row>
    <row r="4583">
      <c r="A4583" s="62" t="s">
        <v>4721</v>
      </c>
      <c r="B4583" s="63">
        <v>44267.0</v>
      </c>
      <c r="C4583" s="62" t="s">
        <v>119</v>
      </c>
      <c r="D4583" s="64">
        <v>45.0</v>
      </c>
      <c r="E4583" s="62" t="s">
        <v>109</v>
      </c>
      <c r="F4583" s="62" t="s">
        <v>115</v>
      </c>
      <c r="G4583" s="64" t="s">
        <v>63</v>
      </c>
      <c r="H4583" s="3" t="s">
        <v>128</v>
      </c>
      <c r="I4583" s="65" t="str">
        <f>IFERROR(VLOOKUP(A4583,'3. Call duration'!$A:$C,3,0),"--")</f>
        <v>--</v>
      </c>
      <c r="J4583" s="65" t="str">
        <f t="array" ref="J4583">XLOOKUP(H4583,'2. Matching'!$A$2:$A$39,'2. Matching'!$B$2:$B$39,"--")</f>
        <v>Acquisition</v>
      </c>
      <c r="K4583" s="65" t="str">
        <f t="shared" si="1"/>
        <v>In</v>
      </c>
    </row>
    <row r="4584">
      <c r="A4584" s="62" t="s">
        <v>4722</v>
      </c>
      <c r="B4584" s="63">
        <v>44295.0</v>
      </c>
      <c r="C4584" s="62" t="s">
        <v>119</v>
      </c>
      <c r="D4584" s="64">
        <v>45.0</v>
      </c>
      <c r="E4584" s="62" t="s">
        <v>109</v>
      </c>
      <c r="F4584" s="62" t="s">
        <v>115</v>
      </c>
      <c r="G4584" s="64" t="s">
        <v>64</v>
      </c>
      <c r="H4584" s="3" t="s">
        <v>169</v>
      </c>
      <c r="I4584" s="65">
        <f>IFERROR(VLOOKUP(A4584,'3. Call duration'!$A:$C,3,0),"--")</f>
        <v>31.21787498</v>
      </c>
      <c r="J4584" s="65" t="str">
        <f t="array" ref="J4584">XLOOKUP(H4584,'2. Matching'!$A$2:$A$39,'2. Matching'!$B$2:$B$39,"--")</f>
        <v>SEO</v>
      </c>
      <c r="K4584" s="65" t="str">
        <f t="shared" si="1"/>
        <v>In</v>
      </c>
    </row>
    <row r="4585">
      <c r="A4585" s="62" t="s">
        <v>4723</v>
      </c>
      <c r="B4585" s="63">
        <v>44256.0</v>
      </c>
      <c r="C4585" s="62" t="s">
        <v>119</v>
      </c>
      <c r="D4585" s="64">
        <v>45.0</v>
      </c>
      <c r="E4585" s="62" t="s">
        <v>109</v>
      </c>
      <c r="F4585" s="62" t="s">
        <v>115</v>
      </c>
      <c r="G4585" s="64" t="s">
        <v>64</v>
      </c>
      <c r="H4585" s="3" t="s">
        <v>139</v>
      </c>
      <c r="I4585" s="65">
        <f>IFERROR(VLOOKUP(A4585,'3. Call duration'!$A:$C,3,0),"--")</f>
        <v>22.74158406</v>
      </c>
      <c r="J4585" s="65" t="str">
        <f t="array" ref="J4585">XLOOKUP(H4585,'2. Matching'!$A$2:$A$39,'2. Matching'!$B$2:$B$39,"--")</f>
        <v>Acquisition</v>
      </c>
      <c r="K4585" s="65" t="str">
        <f t="shared" si="1"/>
        <v>In</v>
      </c>
    </row>
    <row r="4586">
      <c r="A4586" s="62" t="s">
        <v>4724</v>
      </c>
      <c r="B4586" s="63">
        <v>44265.0</v>
      </c>
      <c r="C4586" s="62" t="s">
        <v>119</v>
      </c>
      <c r="D4586" s="64">
        <v>45.0</v>
      </c>
      <c r="E4586" s="62" t="s">
        <v>109</v>
      </c>
      <c r="F4586" s="62" t="s">
        <v>110</v>
      </c>
      <c r="G4586" s="64" t="s">
        <v>63</v>
      </c>
      <c r="H4586" s="3" t="s">
        <v>128</v>
      </c>
      <c r="I4586" s="65">
        <f>IFERROR(VLOOKUP(A4586,'3. Call duration'!$A:$C,3,0),"--")</f>
        <v>23.84345122</v>
      </c>
      <c r="J4586" s="65" t="str">
        <f t="array" ref="J4586">XLOOKUP(H4586,'2. Matching'!$A$2:$A$39,'2. Matching'!$B$2:$B$39,"--")</f>
        <v>Acquisition</v>
      </c>
      <c r="K4586" s="65" t="str">
        <f t="shared" si="1"/>
        <v>In</v>
      </c>
    </row>
    <row r="4587">
      <c r="A4587" s="62" t="s">
        <v>4725</v>
      </c>
      <c r="B4587" s="63">
        <v>44272.0</v>
      </c>
      <c r="C4587" s="62" t="s">
        <v>119</v>
      </c>
      <c r="D4587" s="64">
        <v>45.0</v>
      </c>
      <c r="E4587" s="62" t="s">
        <v>109</v>
      </c>
      <c r="F4587" s="62" t="s">
        <v>110</v>
      </c>
      <c r="G4587" s="64" t="s">
        <v>64</v>
      </c>
      <c r="H4587" s="3" t="s">
        <v>185</v>
      </c>
      <c r="I4587" s="65">
        <f>IFERROR(VLOOKUP(A4587,'3. Call duration'!$A:$C,3,0),"--")</f>
        <v>22.31298529</v>
      </c>
      <c r="J4587" s="65" t="str">
        <f t="array" ref="J4587">XLOOKUP(H4587,'2. Matching'!$A$2:$A$39,'2. Matching'!$B$2:$B$39,"--")</f>
        <v>SEO</v>
      </c>
      <c r="K4587" s="65" t="str">
        <f t="shared" si="1"/>
        <v>In</v>
      </c>
    </row>
    <row r="4588">
      <c r="A4588" s="62" t="s">
        <v>4726</v>
      </c>
      <c r="B4588" s="63">
        <v>44294.0</v>
      </c>
      <c r="C4588" s="62" t="s">
        <v>119</v>
      </c>
      <c r="D4588" s="64">
        <v>45.0</v>
      </c>
      <c r="E4588" s="62" t="s">
        <v>109</v>
      </c>
      <c r="F4588" s="62" t="s">
        <v>115</v>
      </c>
      <c r="G4588" s="64" t="s">
        <v>64</v>
      </c>
      <c r="H4588" s="3" t="s">
        <v>169</v>
      </c>
      <c r="I4588" s="65">
        <f>IFERROR(VLOOKUP(A4588,'3. Call duration'!$A:$C,3,0),"--")</f>
        <v>32.46061709</v>
      </c>
      <c r="J4588" s="65" t="str">
        <f t="array" ref="J4588">XLOOKUP(H4588,'2. Matching'!$A$2:$A$39,'2. Matching'!$B$2:$B$39,"--")</f>
        <v>SEO</v>
      </c>
      <c r="K4588" s="65" t="str">
        <f t="shared" si="1"/>
        <v>In</v>
      </c>
    </row>
    <row r="4589">
      <c r="A4589" s="62" t="s">
        <v>4727</v>
      </c>
      <c r="B4589" s="63">
        <v>44281.0</v>
      </c>
      <c r="C4589" s="62" t="s">
        <v>119</v>
      </c>
      <c r="D4589" s="64">
        <v>45.0</v>
      </c>
      <c r="E4589" s="62" t="s">
        <v>109</v>
      </c>
      <c r="F4589" s="62" t="s">
        <v>115</v>
      </c>
      <c r="G4589" s="64" t="s">
        <v>64</v>
      </c>
      <c r="H4589" s="3" t="s">
        <v>164</v>
      </c>
      <c r="I4589" s="65">
        <f>IFERROR(VLOOKUP(A4589,'3. Call duration'!$A:$C,3,0),"--")</f>
        <v>33.1890696</v>
      </c>
      <c r="J4589" s="65" t="str">
        <f t="array" ref="J4589">XLOOKUP(H4589,'2. Matching'!$A$2:$A$39,'2. Matching'!$B$2:$B$39,"--")</f>
        <v>SEO</v>
      </c>
      <c r="K4589" s="65" t="str">
        <f t="shared" si="1"/>
        <v>In</v>
      </c>
    </row>
    <row r="4590">
      <c r="A4590" s="62" t="s">
        <v>4728</v>
      </c>
      <c r="B4590" s="63">
        <v>44299.0</v>
      </c>
      <c r="C4590" s="62" t="s">
        <v>119</v>
      </c>
      <c r="D4590" s="64">
        <v>45.0</v>
      </c>
      <c r="E4590" s="62" t="s">
        <v>109</v>
      </c>
      <c r="F4590" s="62" t="s">
        <v>110</v>
      </c>
      <c r="G4590" s="64" t="s">
        <v>64</v>
      </c>
      <c r="H4590" s="3" t="s">
        <v>52</v>
      </c>
      <c r="I4590" s="65">
        <f>IFERROR(VLOOKUP(A4590,'3. Call duration'!$A:$C,3,0),"--")</f>
        <v>21.88512995</v>
      </c>
      <c r="J4590" s="65" t="str">
        <f t="array" ref="J4590">XLOOKUP(H4590,'2. Matching'!$A$2:$A$39,'2. Matching'!$B$2:$B$39,"--")</f>
        <v>Partnerships</v>
      </c>
      <c r="K4590" s="65" t="str">
        <f t="shared" si="1"/>
        <v>In</v>
      </c>
    </row>
    <row r="4591">
      <c r="A4591" s="62" t="s">
        <v>4729</v>
      </c>
      <c r="B4591" s="63">
        <v>44281.0</v>
      </c>
      <c r="C4591" s="62" t="s">
        <v>119</v>
      </c>
      <c r="D4591" s="64">
        <v>45.0</v>
      </c>
      <c r="E4591" s="62" t="s">
        <v>109</v>
      </c>
      <c r="F4591" s="62" t="s">
        <v>110</v>
      </c>
      <c r="G4591" s="64" t="s">
        <v>64</v>
      </c>
      <c r="H4591" s="3" t="s">
        <v>185</v>
      </c>
      <c r="I4591" s="65">
        <f>IFERROR(VLOOKUP(A4591,'3. Call duration'!$A:$C,3,0),"--")</f>
        <v>27.14343789</v>
      </c>
      <c r="J4591" s="65" t="str">
        <f t="array" ref="J4591">XLOOKUP(H4591,'2. Matching'!$A$2:$A$39,'2. Matching'!$B$2:$B$39,"--")</f>
        <v>SEO</v>
      </c>
      <c r="K4591" s="65" t="str">
        <f t="shared" si="1"/>
        <v>In</v>
      </c>
    </row>
    <row r="4592">
      <c r="A4592" s="62" t="s">
        <v>4730</v>
      </c>
      <c r="B4592" s="63">
        <v>44277.0</v>
      </c>
      <c r="C4592" s="62" t="s">
        <v>119</v>
      </c>
      <c r="D4592" s="64">
        <v>45.0</v>
      </c>
      <c r="E4592" s="62" t="s">
        <v>109</v>
      </c>
      <c r="F4592" s="62" t="s">
        <v>115</v>
      </c>
      <c r="G4592" s="64" t="s">
        <v>64</v>
      </c>
      <c r="H4592" s="3" t="s">
        <v>169</v>
      </c>
      <c r="I4592" s="65">
        <f>IFERROR(VLOOKUP(A4592,'3. Call duration'!$A:$C,3,0),"--")</f>
        <v>31.46575284</v>
      </c>
      <c r="J4592" s="65" t="str">
        <f t="array" ref="J4592">XLOOKUP(H4592,'2. Matching'!$A$2:$A$39,'2. Matching'!$B$2:$B$39,"--")</f>
        <v>SEO</v>
      </c>
      <c r="K4592" s="65" t="str">
        <f t="shared" si="1"/>
        <v>In</v>
      </c>
    </row>
    <row r="4593">
      <c r="A4593" s="62" t="s">
        <v>4731</v>
      </c>
      <c r="B4593" s="63">
        <v>44277.0</v>
      </c>
      <c r="C4593" s="62" t="s">
        <v>119</v>
      </c>
      <c r="D4593" s="64">
        <v>45.0</v>
      </c>
      <c r="E4593" s="62" t="s">
        <v>109</v>
      </c>
      <c r="F4593" s="62" t="s">
        <v>110</v>
      </c>
      <c r="G4593" s="64" t="s">
        <v>64</v>
      </c>
      <c r="H4593" s="3" t="s">
        <v>185</v>
      </c>
      <c r="I4593" s="65">
        <f>IFERROR(VLOOKUP(A4593,'3. Call duration'!$A:$C,3,0),"--")</f>
        <v>30.5366832</v>
      </c>
      <c r="J4593" s="65" t="str">
        <f t="array" ref="J4593">XLOOKUP(H4593,'2. Matching'!$A$2:$A$39,'2. Matching'!$B$2:$B$39,"--")</f>
        <v>SEO</v>
      </c>
      <c r="K4593" s="65" t="str">
        <f t="shared" si="1"/>
        <v>In</v>
      </c>
    </row>
    <row r="4594">
      <c r="A4594" s="62" t="s">
        <v>4732</v>
      </c>
      <c r="B4594" s="63">
        <v>44273.0</v>
      </c>
      <c r="C4594" s="62" t="s">
        <v>119</v>
      </c>
      <c r="D4594" s="64">
        <v>45.0</v>
      </c>
      <c r="E4594" s="62" t="s">
        <v>109</v>
      </c>
      <c r="F4594" s="62" t="s">
        <v>110</v>
      </c>
      <c r="G4594" s="64" t="s">
        <v>64</v>
      </c>
      <c r="H4594" s="3" t="s">
        <v>52</v>
      </c>
      <c r="I4594" s="65">
        <f>IFERROR(VLOOKUP(A4594,'3. Call duration'!$A:$C,3,0),"--")</f>
        <v>21.831043</v>
      </c>
      <c r="J4594" s="65" t="str">
        <f t="array" ref="J4594">XLOOKUP(H4594,'2. Matching'!$A$2:$A$39,'2. Matching'!$B$2:$B$39,"--")</f>
        <v>Partnerships</v>
      </c>
      <c r="K4594" s="65" t="str">
        <f t="shared" si="1"/>
        <v>In</v>
      </c>
    </row>
    <row r="4595">
      <c r="A4595" s="62" t="s">
        <v>4733</v>
      </c>
      <c r="B4595" s="63">
        <v>44259.0</v>
      </c>
      <c r="C4595" s="62" t="s">
        <v>119</v>
      </c>
      <c r="D4595" s="64">
        <v>45.0</v>
      </c>
      <c r="E4595" s="62" t="s">
        <v>109</v>
      </c>
      <c r="F4595" s="62" t="s">
        <v>110</v>
      </c>
      <c r="G4595" s="64" t="s">
        <v>64</v>
      </c>
      <c r="H4595" s="3" t="s">
        <v>116</v>
      </c>
      <c r="I4595" s="65">
        <f>IFERROR(VLOOKUP(A4595,'3. Call duration'!$A:$C,3,0),"--")</f>
        <v>25.63708152</v>
      </c>
      <c r="J4595" s="65" t="str">
        <f t="array" ref="J4595">XLOOKUP(H4595,'2. Matching'!$A$2:$A$39,'2. Matching'!$B$2:$B$39,"--")</f>
        <v>Acquisition</v>
      </c>
      <c r="K4595" s="65" t="str">
        <f t="shared" si="1"/>
        <v>In</v>
      </c>
    </row>
    <row r="4596">
      <c r="A4596" s="62" t="s">
        <v>4734</v>
      </c>
      <c r="B4596" s="63">
        <v>44307.0</v>
      </c>
      <c r="C4596" s="62" t="s">
        <v>119</v>
      </c>
      <c r="D4596" s="64">
        <v>45.0</v>
      </c>
      <c r="E4596" s="62" t="s">
        <v>109</v>
      </c>
      <c r="F4596" s="62" t="s">
        <v>115</v>
      </c>
      <c r="G4596" s="64" t="s">
        <v>64</v>
      </c>
      <c r="H4596" s="3" t="s">
        <v>116</v>
      </c>
      <c r="I4596" s="65">
        <f>IFERROR(VLOOKUP(A4596,'3. Call duration'!$A:$C,3,0),"--")</f>
        <v>32.3293469</v>
      </c>
      <c r="J4596" s="65" t="str">
        <f t="array" ref="J4596">XLOOKUP(H4596,'2. Matching'!$A$2:$A$39,'2. Matching'!$B$2:$B$39,"--")</f>
        <v>Acquisition</v>
      </c>
      <c r="K4596" s="65" t="str">
        <f t="shared" si="1"/>
        <v>In</v>
      </c>
    </row>
    <row r="4597">
      <c r="A4597" s="62" t="s">
        <v>4735</v>
      </c>
      <c r="B4597" s="63">
        <v>44306.0</v>
      </c>
      <c r="C4597" s="62" t="s">
        <v>119</v>
      </c>
      <c r="D4597" s="64">
        <v>45.0</v>
      </c>
      <c r="E4597" s="62" t="s">
        <v>109</v>
      </c>
      <c r="F4597" s="62" t="s">
        <v>115</v>
      </c>
      <c r="G4597" s="64" t="s">
        <v>64</v>
      </c>
      <c r="H4597" s="3" t="s">
        <v>141</v>
      </c>
      <c r="I4597" s="65">
        <f>IFERROR(VLOOKUP(A4597,'3. Call duration'!$A:$C,3,0),"--")</f>
        <v>24.71753513</v>
      </c>
      <c r="J4597" s="65" t="str">
        <f t="array" ref="J4597">XLOOKUP(H4597,'2. Matching'!$A$2:$A$39,'2. Matching'!$B$2:$B$39,"--")</f>
        <v>Acquisition</v>
      </c>
      <c r="K4597" s="65" t="str">
        <f t="shared" si="1"/>
        <v>In</v>
      </c>
    </row>
    <row r="4598">
      <c r="A4598" s="62" t="s">
        <v>4736</v>
      </c>
      <c r="B4598" s="63">
        <v>44309.0</v>
      </c>
      <c r="C4598" s="62" t="s">
        <v>119</v>
      </c>
      <c r="D4598" s="64">
        <v>45.0</v>
      </c>
      <c r="E4598" s="62" t="s">
        <v>109</v>
      </c>
      <c r="F4598" s="62" t="s">
        <v>115</v>
      </c>
      <c r="G4598" s="64" t="s">
        <v>64</v>
      </c>
      <c r="H4598" s="3" t="s">
        <v>185</v>
      </c>
      <c r="I4598" s="65">
        <f>IFERROR(VLOOKUP(A4598,'3. Call duration'!$A:$C,3,0),"--")</f>
        <v>29.66189865</v>
      </c>
      <c r="J4598" s="65" t="str">
        <f t="array" ref="J4598">XLOOKUP(H4598,'2. Matching'!$A$2:$A$39,'2. Matching'!$B$2:$B$39,"--")</f>
        <v>SEO</v>
      </c>
      <c r="K4598" s="65" t="str">
        <f t="shared" si="1"/>
        <v>In</v>
      </c>
    </row>
    <row r="4599">
      <c r="A4599" s="62" t="s">
        <v>4737</v>
      </c>
      <c r="B4599" s="63">
        <v>44287.0</v>
      </c>
      <c r="C4599" s="62" t="s">
        <v>119</v>
      </c>
      <c r="D4599" s="64">
        <v>45.0</v>
      </c>
      <c r="E4599" s="62" t="s">
        <v>109</v>
      </c>
      <c r="F4599" s="62" t="s">
        <v>110</v>
      </c>
      <c r="G4599" s="64" t="s">
        <v>64</v>
      </c>
      <c r="H4599" s="3" t="s">
        <v>175</v>
      </c>
      <c r="I4599" s="65">
        <f>IFERROR(VLOOKUP(A4599,'3. Call duration'!$A:$C,3,0),"--")</f>
        <v>30.54245452</v>
      </c>
      <c r="J4599" s="65" t="str">
        <f t="array" ref="J4599">XLOOKUP(H4599,'2. Matching'!$A$2:$A$39,'2. Matching'!$B$2:$B$39,"--")</f>
        <v>SEO</v>
      </c>
      <c r="K4599" s="65" t="str">
        <f t="shared" si="1"/>
        <v>In</v>
      </c>
    </row>
    <row r="4600">
      <c r="A4600" s="62" t="s">
        <v>4738</v>
      </c>
      <c r="B4600" s="63">
        <v>44292.0</v>
      </c>
      <c r="C4600" s="62" t="s">
        <v>119</v>
      </c>
      <c r="D4600" s="64">
        <v>45.0</v>
      </c>
      <c r="E4600" s="62" t="s">
        <v>109</v>
      </c>
      <c r="F4600" s="62" t="s">
        <v>115</v>
      </c>
      <c r="G4600" s="64" t="s">
        <v>64</v>
      </c>
      <c r="H4600" s="3" t="s">
        <v>49</v>
      </c>
      <c r="I4600" s="65" t="str">
        <f>IFERROR(VLOOKUP(A4600,'3. Call duration'!$A:$C,3,0),"--")</f>
        <v>--</v>
      </c>
      <c r="J4600" s="65" t="str">
        <f t="array" ref="J4600">XLOOKUP(H4600,'2. Matching'!$A$2:$A$39,'2. Matching'!$B$2:$B$39,"--")</f>
        <v>Partnerships</v>
      </c>
      <c r="K4600" s="65" t="str">
        <f t="shared" si="1"/>
        <v>In</v>
      </c>
    </row>
    <row r="4601">
      <c r="A4601" s="62" t="s">
        <v>4739</v>
      </c>
      <c r="B4601" s="63">
        <v>44312.0</v>
      </c>
      <c r="C4601" s="62" t="s">
        <v>119</v>
      </c>
      <c r="D4601" s="64">
        <v>45.0</v>
      </c>
      <c r="E4601" s="62" t="s">
        <v>109</v>
      </c>
      <c r="F4601" s="62" t="s">
        <v>115</v>
      </c>
      <c r="G4601" s="64" t="s">
        <v>64</v>
      </c>
      <c r="H4601" s="3" t="s">
        <v>164</v>
      </c>
      <c r="I4601" s="65">
        <f>IFERROR(VLOOKUP(A4601,'3. Call duration'!$A:$C,3,0),"--")</f>
        <v>24.84644951</v>
      </c>
      <c r="J4601" s="65" t="str">
        <f t="array" ref="J4601">XLOOKUP(H4601,'2. Matching'!$A$2:$A$39,'2. Matching'!$B$2:$B$39,"--")</f>
        <v>SEO</v>
      </c>
      <c r="K4601" s="65" t="str">
        <f t="shared" si="1"/>
        <v>In</v>
      </c>
    </row>
    <row r="4602">
      <c r="A4602" s="62" t="s">
        <v>4740</v>
      </c>
      <c r="B4602" s="63">
        <v>44260.0</v>
      </c>
      <c r="C4602" s="62" t="s">
        <v>119</v>
      </c>
      <c r="D4602" s="64">
        <v>45.0</v>
      </c>
      <c r="E4602" s="62" t="s">
        <v>109</v>
      </c>
      <c r="F4602" s="62" t="s">
        <v>115</v>
      </c>
      <c r="G4602" s="64" t="s">
        <v>64</v>
      </c>
      <c r="H4602" s="3" t="s">
        <v>141</v>
      </c>
      <c r="I4602" s="65">
        <f>IFERROR(VLOOKUP(A4602,'3. Call duration'!$A:$C,3,0),"--")</f>
        <v>33.16412764</v>
      </c>
      <c r="J4602" s="65" t="str">
        <f t="array" ref="J4602">XLOOKUP(H4602,'2. Matching'!$A$2:$A$39,'2. Matching'!$B$2:$B$39,"--")</f>
        <v>Acquisition</v>
      </c>
      <c r="K4602" s="65" t="str">
        <f t="shared" si="1"/>
        <v>In</v>
      </c>
    </row>
    <row r="4603">
      <c r="A4603" s="62" t="s">
        <v>4741</v>
      </c>
      <c r="B4603" s="63">
        <v>44309.0</v>
      </c>
      <c r="C4603" s="62" t="s">
        <v>119</v>
      </c>
      <c r="D4603" s="64">
        <v>45.0</v>
      </c>
      <c r="E4603" s="62" t="s">
        <v>109</v>
      </c>
      <c r="F4603" s="62" t="s">
        <v>115</v>
      </c>
      <c r="G4603" s="64" t="s">
        <v>63</v>
      </c>
      <c r="H4603" s="3" t="s">
        <v>183</v>
      </c>
      <c r="I4603" s="65">
        <f>IFERROR(VLOOKUP(A4603,'3. Call duration'!$A:$C,3,0),"--")</f>
        <v>24.11614586</v>
      </c>
      <c r="J4603" s="65" t="str">
        <f t="array" ref="J4603">XLOOKUP(H4603,'2. Matching'!$A$2:$A$39,'2. Matching'!$B$2:$B$39,"--")</f>
        <v>SEO</v>
      </c>
      <c r="K4603" s="65" t="str">
        <f t="shared" si="1"/>
        <v>In</v>
      </c>
    </row>
    <row r="4604">
      <c r="A4604" s="62" t="s">
        <v>4742</v>
      </c>
      <c r="B4604" s="63">
        <v>44273.0</v>
      </c>
      <c r="C4604" s="62" t="s">
        <v>119</v>
      </c>
      <c r="D4604" s="64">
        <v>45.0</v>
      </c>
      <c r="E4604" s="62" t="s">
        <v>109</v>
      </c>
      <c r="F4604" s="62" t="s">
        <v>115</v>
      </c>
      <c r="G4604" s="64" t="s">
        <v>62</v>
      </c>
      <c r="H4604" s="3" t="s">
        <v>203</v>
      </c>
      <c r="I4604" s="65">
        <f>IFERROR(VLOOKUP(A4604,'3. Call duration'!$A:$C,3,0),"--")</f>
        <v>20.51105985</v>
      </c>
      <c r="J4604" s="65" t="str">
        <f t="array" ref="J4604">XLOOKUP(H4604,'2. Matching'!$A$2:$A$39,'2. Matching'!$B$2:$B$39,"--")</f>
        <v>Farming</v>
      </c>
      <c r="K4604" s="65" t="str">
        <f t="shared" si="1"/>
        <v>In</v>
      </c>
    </row>
    <row r="4605">
      <c r="A4605" s="62" t="s">
        <v>4743</v>
      </c>
      <c r="B4605" s="63">
        <v>44309.0</v>
      </c>
      <c r="C4605" s="62" t="s">
        <v>119</v>
      </c>
      <c r="D4605" s="64">
        <v>45.0</v>
      </c>
      <c r="E4605" s="62" t="s">
        <v>109</v>
      </c>
      <c r="F4605" s="62" t="s">
        <v>115</v>
      </c>
      <c r="G4605" s="64" t="s">
        <v>64</v>
      </c>
      <c r="H4605" s="3" t="s">
        <v>164</v>
      </c>
      <c r="I4605" s="65" t="str">
        <f>IFERROR(VLOOKUP(A4605,'3. Call duration'!$A:$C,3,0),"--")</f>
        <v>--</v>
      </c>
      <c r="J4605" s="65" t="str">
        <f t="array" ref="J4605">XLOOKUP(H4605,'2. Matching'!$A$2:$A$39,'2. Matching'!$B$2:$B$39,"--")</f>
        <v>SEO</v>
      </c>
      <c r="K4605" s="65" t="str">
        <f t="shared" si="1"/>
        <v>In</v>
      </c>
    </row>
    <row r="4606">
      <c r="A4606" s="62" t="s">
        <v>4744</v>
      </c>
      <c r="B4606" s="63">
        <v>44267.0</v>
      </c>
      <c r="C4606" s="62" t="s">
        <v>119</v>
      </c>
      <c r="D4606" s="64">
        <v>45.0</v>
      </c>
      <c r="E4606" s="62" t="s">
        <v>109</v>
      </c>
      <c r="F4606" s="62" t="s">
        <v>115</v>
      </c>
      <c r="G4606" s="64" t="s">
        <v>64</v>
      </c>
      <c r="H4606" s="3" t="s">
        <v>155</v>
      </c>
      <c r="I4606" s="65">
        <f>IFERROR(VLOOKUP(A4606,'3. Call duration'!$A:$C,3,0),"--")</f>
        <v>26.74673094</v>
      </c>
      <c r="J4606" s="65" t="str">
        <f t="array" ref="J4606">XLOOKUP(H4606,'2. Matching'!$A$2:$A$39,'2. Matching'!$B$2:$B$39,"--")</f>
        <v>SEO</v>
      </c>
      <c r="K4606" s="65" t="str">
        <f t="shared" si="1"/>
        <v>In</v>
      </c>
    </row>
    <row r="4607">
      <c r="A4607" s="62" t="s">
        <v>4745</v>
      </c>
      <c r="B4607" s="63">
        <v>44305.0</v>
      </c>
      <c r="C4607" s="62" t="s">
        <v>119</v>
      </c>
      <c r="D4607" s="64">
        <v>45.0</v>
      </c>
      <c r="E4607" s="62" t="s">
        <v>109</v>
      </c>
      <c r="F4607" s="62" t="s">
        <v>115</v>
      </c>
      <c r="G4607" s="64" t="s">
        <v>64</v>
      </c>
      <c r="H4607" s="3" t="s">
        <v>131</v>
      </c>
      <c r="I4607" s="65">
        <f>IFERROR(VLOOKUP(A4607,'3. Call duration'!$A:$C,3,0),"--")</f>
        <v>30.87991676</v>
      </c>
      <c r="J4607" s="65" t="str">
        <f t="array" ref="J4607">XLOOKUP(H4607,'2. Matching'!$A$2:$A$39,'2. Matching'!$B$2:$B$39,"--")</f>
        <v>Acquisition</v>
      </c>
      <c r="K4607" s="65" t="str">
        <f t="shared" si="1"/>
        <v>In</v>
      </c>
    </row>
    <row r="4608">
      <c r="A4608" s="62" t="s">
        <v>4746</v>
      </c>
      <c r="B4608" s="63">
        <v>44309.0</v>
      </c>
      <c r="C4608" s="62" t="s">
        <v>119</v>
      </c>
      <c r="D4608" s="64">
        <v>45.0</v>
      </c>
      <c r="E4608" s="62" t="s">
        <v>109</v>
      </c>
      <c r="F4608" s="62" t="s">
        <v>115</v>
      </c>
      <c r="G4608" s="64" t="s">
        <v>64</v>
      </c>
      <c r="H4608" s="3" t="s">
        <v>139</v>
      </c>
      <c r="I4608" s="65">
        <f>IFERROR(VLOOKUP(A4608,'3. Call duration'!$A:$C,3,0),"--")</f>
        <v>32.10308417</v>
      </c>
      <c r="J4608" s="65" t="str">
        <f t="array" ref="J4608">XLOOKUP(H4608,'2. Matching'!$A$2:$A$39,'2. Matching'!$B$2:$B$39,"--")</f>
        <v>Acquisition</v>
      </c>
      <c r="K4608" s="65" t="str">
        <f t="shared" si="1"/>
        <v>In</v>
      </c>
    </row>
    <row r="4609">
      <c r="A4609" s="62" t="s">
        <v>4747</v>
      </c>
      <c r="B4609" s="63">
        <v>44313.0</v>
      </c>
      <c r="C4609" s="62" t="s">
        <v>119</v>
      </c>
      <c r="D4609" s="64">
        <v>45.0</v>
      </c>
      <c r="E4609" s="62" t="s">
        <v>109</v>
      </c>
      <c r="F4609" s="62" t="s">
        <v>115</v>
      </c>
      <c r="G4609" s="64" t="s">
        <v>64</v>
      </c>
      <c r="H4609" s="3" t="s">
        <v>164</v>
      </c>
      <c r="I4609" s="65">
        <f>IFERROR(VLOOKUP(A4609,'3. Call duration'!$A:$C,3,0),"--")</f>
        <v>32.35118593</v>
      </c>
      <c r="J4609" s="65" t="str">
        <f t="array" ref="J4609">XLOOKUP(H4609,'2. Matching'!$A$2:$A$39,'2. Matching'!$B$2:$B$39,"--")</f>
        <v>SEO</v>
      </c>
      <c r="K4609" s="65" t="str">
        <f t="shared" si="1"/>
        <v>In</v>
      </c>
    </row>
    <row r="4610">
      <c r="A4610" s="62" t="s">
        <v>4748</v>
      </c>
      <c r="B4610" s="63">
        <v>44265.0</v>
      </c>
      <c r="C4610" s="62" t="s">
        <v>119</v>
      </c>
      <c r="D4610" s="64">
        <v>45.0</v>
      </c>
      <c r="E4610" s="62" t="s">
        <v>109</v>
      </c>
      <c r="F4610" s="62" t="s">
        <v>110</v>
      </c>
      <c r="G4610" s="64" t="s">
        <v>62</v>
      </c>
      <c r="H4610" s="3" t="s">
        <v>286</v>
      </c>
      <c r="I4610" s="65">
        <f>IFERROR(VLOOKUP(A4610,'3. Call duration'!$A:$C,3,0),"--")</f>
        <v>31.78763447</v>
      </c>
      <c r="J4610" s="65" t="str">
        <f t="array" ref="J4610">XLOOKUP(H4610,'2. Matching'!$A$2:$A$39,'2. Matching'!$B$2:$B$39,"--")</f>
        <v>Farming</v>
      </c>
      <c r="K4610" s="65" t="str">
        <f t="shared" si="1"/>
        <v>In</v>
      </c>
    </row>
    <row r="4611">
      <c r="A4611" s="62" t="s">
        <v>4749</v>
      </c>
      <c r="B4611" s="63">
        <v>44277.0</v>
      </c>
      <c r="C4611" s="62" t="s">
        <v>119</v>
      </c>
      <c r="D4611" s="64">
        <v>45.0</v>
      </c>
      <c r="E4611" s="62" t="s">
        <v>109</v>
      </c>
      <c r="F4611" s="62" t="s">
        <v>115</v>
      </c>
      <c r="G4611" s="64" t="s">
        <v>64</v>
      </c>
      <c r="H4611" s="3" t="s">
        <v>164</v>
      </c>
      <c r="I4611" s="65">
        <f>IFERROR(VLOOKUP(A4611,'3. Call duration'!$A:$C,3,0),"--")</f>
        <v>14.94757539</v>
      </c>
      <c r="J4611" s="65" t="str">
        <f t="array" ref="J4611">XLOOKUP(H4611,'2. Matching'!$A$2:$A$39,'2. Matching'!$B$2:$B$39,"--")</f>
        <v>SEO</v>
      </c>
      <c r="K4611" s="65" t="str">
        <f t="shared" si="1"/>
        <v>In</v>
      </c>
    </row>
    <row r="4612">
      <c r="A4612" s="62" t="s">
        <v>4750</v>
      </c>
      <c r="B4612" s="63">
        <v>44273.0</v>
      </c>
      <c r="C4612" s="62" t="s">
        <v>119</v>
      </c>
      <c r="D4612" s="64">
        <v>45.0</v>
      </c>
      <c r="E4612" s="62" t="s">
        <v>109</v>
      </c>
      <c r="F4612" s="62" t="s">
        <v>110</v>
      </c>
      <c r="G4612" s="64" t="s">
        <v>64</v>
      </c>
      <c r="H4612" s="3" t="s">
        <v>297</v>
      </c>
      <c r="I4612" s="65">
        <f>IFERROR(VLOOKUP(A4612,'3. Call duration'!$A:$C,3,0),"--")</f>
        <v>32.28085829</v>
      </c>
      <c r="J4612" s="65" t="str">
        <f t="array" ref="J4612">XLOOKUP(H4612,'2. Matching'!$A$2:$A$39,'2. Matching'!$B$2:$B$39,"--")</f>
        <v>Farming</v>
      </c>
      <c r="K4612" s="65" t="str">
        <f t="shared" si="1"/>
        <v>In</v>
      </c>
    </row>
    <row r="4613">
      <c r="A4613" s="62" t="s">
        <v>4751</v>
      </c>
      <c r="B4613" s="63">
        <v>44272.0</v>
      </c>
      <c r="C4613" s="62" t="s">
        <v>119</v>
      </c>
      <c r="D4613" s="64">
        <v>45.0</v>
      </c>
      <c r="E4613" s="62" t="s">
        <v>109</v>
      </c>
      <c r="F4613" s="62" t="s">
        <v>110</v>
      </c>
      <c r="G4613" s="64" t="s">
        <v>64</v>
      </c>
      <c r="H4613" s="3" t="s">
        <v>185</v>
      </c>
      <c r="I4613" s="65">
        <f>IFERROR(VLOOKUP(A4613,'3. Call duration'!$A:$C,3,0),"--")</f>
        <v>20.10699312</v>
      </c>
      <c r="J4613" s="65" t="str">
        <f t="array" ref="J4613">XLOOKUP(H4613,'2. Matching'!$A$2:$A$39,'2. Matching'!$B$2:$B$39,"--")</f>
        <v>SEO</v>
      </c>
      <c r="K4613" s="65" t="str">
        <f t="shared" si="1"/>
        <v>In</v>
      </c>
    </row>
    <row r="4614">
      <c r="A4614" s="62" t="s">
        <v>4752</v>
      </c>
      <c r="B4614" s="63">
        <v>44266.0</v>
      </c>
      <c r="C4614" s="62" t="s">
        <v>119</v>
      </c>
      <c r="D4614" s="64">
        <v>45.0</v>
      </c>
      <c r="E4614" s="62" t="s">
        <v>109</v>
      </c>
      <c r="F4614" s="62" t="s">
        <v>110</v>
      </c>
      <c r="G4614" s="64" t="s">
        <v>63</v>
      </c>
      <c r="H4614" s="3" t="s">
        <v>189</v>
      </c>
      <c r="I4614" s="65">
        <f>IFERROR(VLOOKUP(A4614,'3. Call duration'!$A:$C,3,0),"--")</f>
        <v>28.06855585</v>
      </c>
      <c r="J4614" s="65" t="str">
        <f t="array" ref="J4614">XLOOKUP(H4614,'2. Matching'!$A$2:$A$39,'2. Matching'!$B$2:$B$39,"--")</f>
        <v>SEO</v>
      </c>
      <c r="K4614" s="65" t="str">
        <f t="shared" si="1"/>
        <v>Out</v>
      </c>
    </row>
    <row r="4615">
      <c r="A4615" s="62" t="s">
        <v>4753</v>
      </c>
      <c r="B4615" s="63">
        <v>44277.0</v>
      </c>
      <c r="C4615" s="62" t="s">
        <v>119</v>
      </c>
      <c r="D4615" s="64">
        <v>45.0</v>
      </c>
      <c r="E4615" s="62" t="s">
        <v>109</v>
      </c>
      <c r="F4615" s="62" t="s">
        <v>110</v>
      </c>
      <c r="G4615" s="64" t="s">
        <v>64</v>
      </c>
      <c r="H4615" s="3" t="s">
        <v>185</v>
      </c>
      <c r="I4615" s="65">
        <f>IFERROR(VLOOKUP(A4615,'3. Call duration'!$A:$C,3,0),"--")</f>
        <v>24.13346921</v>
      </c>
      <c r="J4615" s="65" t="str">
        <f t="array" ref="J4615">XLOOKUP(H4615,'2. Matching'!$A$2:$A$39,'2. Matching'!$B$2:$B$39,"--")</f>
        <v>SEO</v>
      </c>
      <c r="K4615" s="65" t="str">
        <f t="shared" si="1"/>
        <v>In</v>
      </c>
    </row>
    <row r="4616">
      <c r="A4616" s="62" t="s">
        <v>4754</v>
      </c>
      <c r="B4616" s="63">
        <v>44272.0</v>
      </c>
      <c r="C4616" s="62" t="s">
        <v>119</v>
      </c>
      <c r="D4616" s="64">
        <v>45.0</v>
      </c>
      <c r="E4616" s="62" t="s">
        <v>109</v>
      </c>
      <c r="F4616" s="62" t="s">
        <v>110</v>
      </c>
      <c r="G4616" s="64" t="s">
        <v>63</v>
      </c>
      <c r="H4616" s="3" t="s">
        <v>128</v>
      </c>
      <c r="I4616" s="65">
        <f>IFERROR(VLOOKUP(A4616,'3. Call duration'!$A:$C,3,0),"--")</f>
        <v>28.56467786</v>
      </c>
      <c r="J4616" s="65" t="str">
        <f t="array" ref="J4616">XLOOKUP(H4616,'2. Matching'!$A$2:$A$39,'2. Matching'!$B$2:$B$39,"--")</f>
        <v>Acquisition</v>
      </c>
      <c r="K4616" s="65" t="str">
        <f t="shared" si="1"/>
        <v>In</v>
      </c>
    </row>
    <row r="4617">
      <c r="A4617" s="62" t="s">
        <v>4755</v>
      </c>
      <c r="B4617" s="63">
        <v>44293.0</v>
      </c>
      <c r="C4617" s="62" t="s">
        <v>119</v>
      </c>
      <c r="D4617" s="64">
        <v>45.0</v>
      </c>
      <c r="E4617" s="62" t="s">
        <v>109</v>
      </c>
      <c r="F4617" s="62" t="s">
        <v>110</v>
      </c>
      <c r="G4617" s="64" t="s">
        <v>62</v>
      </c>
      <c r="H4617" s="3" t="s">
        <v>286</v>
      </c>
      <c r="I4617" s="65">
        <f>IFERROR(VLOOKUP(A4617,'3. Call duration'!$A:$C,3,0),"--")</f>
        <v>25.94645128</v>
      </c>
      <c r="J4617" s="65" t="str">
        <f t="array" ref="J4617">XLOOKUP(H4617,'2. Matching'!$A$2:$A$39,'2. Matching'!$B$2:$B$39,"--")</f>
        <v>Farming</v>
      </c>
      <c r="K4617" s="65" t="str">
        <f t="shared" si="1"/>
        <v>In</v>
      </c>
    </row>
    <row r="4618">
      <c r="A4618" s="62" t="s">
        <v>4756</v>
      </c>
      <c r="B4618" s="63">
        <v>44256.0</v>
      </c>
      <c r="C4618" s="62" t="s">
        <v>119</v>
      </c>
      <c r="D4618" s="64">
        <v>45.0</v>
      </c>
      <c r="E4618" s="62" t="s">
        <v>109</v>
      </c>
      <c r="F4618" s="62" t="s">
        <v>110</v>
      </c>
      <c r="G4618" s="64" t="s">
        <v>64</v>
      </c>
      <c r="H4618" s="3" t="s">
        <v>297</v>
      </c>
      <c r="I4618" s="65">
        <f>IFERROR(VLOOKUP(A4618,'3. Call duration'!$A:$C,3,0),"--")</f>
        <v>29.18816496</v>
      </c>
      <c r="J4618" s="65" t="str">
        <f t="array" ref="J4618">XLOOKUP(H4618,'2. Matching'!$A$2:$A$39,'2. Matching'!$B$2:$B$39,"--")</f>
        <v>Farming</v>
      </c>
      <c r="K4618" s="65" t="str">
        <f t="shared" si="1"/>
        <v>In</v>
      </c>
    </row>
    <row r="4619">
      <c r="A4619" s="62" t="s">
        <v>4757</v>
      </c>
      <c r="B4619" s="63">
        <v>44263.0</v>
      </c>
      <c r="C4619" s="62" t="s">
        <v>119</v>
      </c>
      <c r="D4619" s="64">
        <v>45.0</v>
      </c>
      <c r="E4619" s="62" t="s">
        <v>109</v>
      </c>
      <c r="F4619" s="62" t="s">
        <v>115</v>
      </c>
      <c r="G4619" s="64" t="s">
        <v>64</v>
      </c>
      <c r="H4619" s="3" t="s">
        <v>139</v>
      </c>
      <c r="I4619" s="65">
        <f>IFERROR(VLOOKUP(A4619,'3. Call duration'!$A:$C,3,0),"--")</f>
        <v>11.47760011</v>
      </c>
      <c r="J4619" s="65" t="str">
        <f t="array" ref="J4619">XLOOKUP(H4619,'2. Matching'!$A$2:$A$39,'2. Matching'!$B$2:$B$39,"--")</f>
        <v>Acquisition</v>
      </c>
      <c r="K4619" s="65" t="str">
        <f t="shared" si="1"/>
        <v>In</v>
      </c>
    </row>
    <row r="4620">
      <c r="A4620" s="62" t="s">
        <v>4758</v>
      </c>
      <c r="B4620" s="63">
        <v>44278.0</v>
      </c>
      <c r="C4620" s="62" t="s">
        <v>119</v>
      </c>
      <c r="D4620" s="64">
        <v>45.0</v>
      </c>
      <c r="E4620" s="62" t="s">
        <v>109</v>
      </c>
      <c r="F4620" s="62" t="s">
        <v>115</v>
      </c>
      <c r="G4620" s="64" t="s">
        <v>64</v>
      </c>
      <c r="H4620" s="3" t="s">
        <v>49</v>
      </c>
      <c r="I4620" s="65">
        <f>IFERROR(VLOOKUP(A4620,'3. Call duration'!$A:$C,3,0),"--")</f>
        <v>19.01869436</v>
      </c>
      <c r="J4620" s="65" t="str">
        <f t="array" ref="J4620">XLOOKUP(H4620,'2. Matching'!$A$2:$A$39,'2. Matching'!$B$2:$B$39,"--")</f>
        <v>Partnerships</v>
      </c>
      <c r="K4620" s="65" t="str">
        <f t="shared" si="1"/>
        <v>In</v>
      </c>
    </row>
    <row r="4621">
      <c r="A4621" s="62" t="s">
        <v>4759</v>
      </c>
      <c r="B4621" s="63">
        <v>44312.0</v>
      </c>
      <c r="C4621" s="62" t="s">
        <v>119</v>
      </c>
      <c r="D4621" s="64">
        <v>45.0</v>
      </c>
      <c r="E4621" s="62" t="s">
        <v>109</v>
      </c>
      <c r="F4621" s="62" t="s">
        <v>110</v>
      </c>
      <c r="G4621" s="64" t="s">
        <v>64</v>
      </c>
      <c r="H4621" s="3" t="s">
        <v>169</v>
      </c>
      <c r="I4621" s="65">
        <f>IFERROR(VLOOKUP(A4621,'3. Call duration'!$A:$C,3,0),"--")</f>
        <v>35.6711052</v>
      </c>
      <c r="J4621" s="65" t="str">
        <f t="array" ref="J4621">XLOOKUP(H4621,'2. Matching'!$A$2:$A$39,'2. Matching'!$B$2:$B$39,"--")</f>
        <v>SEO</v>
      </c>
      <c r="K4621" s="65" t="str">
        <f t="shared" si="1"/>
        <v>In</v>
      </c>
    </row>
    <row r="4622">
      <c r="A4622" s="62" t="s">
        <v>4760</v>
      </c>
      <c r="B4622" s="63">
        <v>44257.0</v>
      </c>
      <c r="C4622" s="62" t="s">
        <v>119</v>
      </c>
      <c r="D4622" s="64">
        <v>45.0</v>
      </c>
      <c r="E4622" s="62" t="s">
        <v>109</v>
      </c>
      <c r="F4622" s="62" t="s">
        <v>115</v>
      </c>
      <c r="G4622" s="64" t="s">
        <v>64</v>
      </c>
      <c r="H4622" s="3" t="s">
        <v>139</v>
      </c>
      <c r="I4622" s="65">
        <f>IFERROR(VLOOKUP(A4622,'3. Call duration'!$A:$C,3,0),"--")</f>
        <v>32.07307402</v>
      </c>
      <c r="J4622" s="65" t="str">
        <f t="array" ref="J4622">XLOOKUP(H4622,'2. Matching'!$A$2:$A$39,'2. Matching'!$B$2:$B$39,"--")</f>
        <v>Acquisition</v>
      </c>
      <c r="K4622" s="65" t="str">
        <f t="shared" si="1"/>
        <v>In</v>
      </c>
    </row>
    <row r="4623">
      <c r="A4623" s="62" t="s">
        <v>4761</v>
      </c>
      <c r="B4623" s="63">
        <v>44312.0</v>
      </c>
      <c r="C4623" s="62" t="s">
        <v>119</v>
      </c>
      <c r="D4623" s="64">
        <v>45.0</v>
      </c>
      <c r="E4623" s="62" t="s">
        <v>109</v>
      </c>
      <c r="F4623" s="62" t="s">
        <v>115</v>
      </c>
      <c r="G4623" s="64" t="s">
        <v>64</v>
      </c>
      <c r="H4623" s="3" t="s">
        <v>155</v>
      </c>
      <c r="I4623" s="65">
        <f>IFERROR(VLOOKUP(A4623,'3. Call duration'!$A:$C,3,0),"--")</f>
        <v>33.46505629</v>
      </c>
      <c r="J4623" s="65" t="str">
        <f t="array" ref="J4623">XLOOKUP(H4623,'2. Matching'!$A$2:$A$39,'2. Matching'!$B$2:$B$39,"--")</f>
        <v>SEO</v>
      </c>
      <c r="K4623" s="65" t="str">
        <f t="shared" si="1"/>
        <v>In</v>
      </c>
    </row>
    <row r="4624">
      <c r="A4624" s="62" t="s">
        <v>4762</v>
      </c>
      <c r="B4624" s="63">
        <v>44287.0</v>
      </c>
      <c r="C4624" s="62" t="s">
        <v>119</v>
      </c>
      <c r="D4624" s="64">
        <v>45.0</v>
      </c>
      <c r="E4624" s="62" t="s">
        <v>109</v>
      </c>
      <c r="F4624" s="62" t="s">
        <v>115</v>
      </c>
      <c r="G4624" s="64" t="s">
        <v>64</v>
      </c>
      <c r="H4624" s="3" t="s">
        <v>185</v>
      </c>
      <c r="I4624" s="65">
        <f>IFERROR(VLOOKUP(A4624,'3. Call duration'!$A:$C,3,0),"--")</f>
        <v>29.76238269</v>
      </c>
      <c r="J4624" s="65" t="str">
        <f t="array" ref="J4624">XLOOKUP(H4624,'2. Matching'!$A$2:$A$39,'2. Matching'!$B$2:$B$39,"--")</f>
        <v>SEO</v>
      </c>
      <c r="K4624" s="65" t="str">
        <f t="shared" si="1"/>
        <v>In</v>
      </c>
    </row>
    <row r="4625">
      <c r="A4625" s="62" t="s">
        <v>4763</v>
      </c>
      <c r="B4625" s="63">
        <v>44306.0</v>
      </c>
      <c r="C4625" s="62" t="s">
        <v>119</v>
      </c>
      <c r="D4625" s="64">
        <v>45.0</v>
      </c>
      <c r="E4625" s="62" t="s">
        <v>109</v>
      </c>
      <c r="F4625" s="62" t="s">
        <v>110</v>
      </c>
      <c r="G4625" s="64" t="s">
        <v>63</v>
      </c>
      <c r="H4625" s="3" t="s">
        <v>128</v>
      </c>
      <c r="I4625" s="65">
        <f>IFERROR(VLOOKUP(A4625,'3. Call duration'!$A:$C,3,0),"--")</f>
        <v>20.47172167</v>
      </c>
      <c r="J4625" s="65" t="str">
        <f t="array" ref="J4625">XLOOKUP(H4625,'2. Matching'!$A$2:$A$39,'2. Matching'!$B$2:$B$39,"--")</f>
        <v>Acquisition</v>
      </c>
      <c r="K4625" s="65" t="str">
        <f t="shared" si="1"/>
        <v>In</v>
      </c>
    </row>
    <row r="4626">
      <c r="A4626" s="62" t="s">
        <v>4764</v>
      </c>
      <c r="B4626" s="63">
        <v>44280.0</v>
      </c>
      <c r="C4626" s="62" t="s">
        <v>119</v>
      </c>
      <c r="D4626" s="64">
        <v>45.0</v>
      </c>
      <c r="E4626" s="62" t="s">
        <v>109</v>
      </c>
      <c r="F4626" s="62" t="s">
        <v>110</v>
      </c>
      <c r="G4626" s="64" t="s">
        <v>64</v>
      </c>
      <c r="H4626" s="3" t="s">
        <v>185</v>
      </c>
      <c r="I4626" s="65">
        <f>IFERROR(VLOOKUP(A4626,'3. Call duration'!$A:$C,3,0),"--")</f>
        <v>28.82667978</v>
      </c>
      <c r="J4626" s="65" t="str">
        <f t="array" ref="J4626">XLOOKUP(H4626,'2. Matching'!$A$2:$A$39,'2. Matching'!$B$2:$B$39,"--")</f>
        <v>SEO</v>
      </c>
      <c r="K4626" s="65" t="str">
        <f t="shared" si="1"/>
        <v>In</v>
      </c>
    </row>
    <row r="4627">
      <c r="A4627" s="62" t="s">
        <v>4765</v>
      </c>
      <c r="B4627" s="63">
        <v>44281.0</v>
      </c>
      <c r="C4627" s="62" t="s">
        <v>119</v>
      </c>
      <c r="D4627" s="64">
        <v>45.0</v>
      </c>
      <c r="E4627" s="62" t="s">
        <v>109</v>
      </c>
      <c r="F4627" s="62" t="s">
        <v>110</v>
      </c>
      <c r="G4627" s="64" t="s">
        <v>64</v>
      </c>
      <c r="H4627" s="3" t="s">
        <v>175</v>
      </c>
      <c r="I4627" s="65">
        <f>IFERROR(VLOOKUP(A4627,'3. Call duration'!$A:$C,3,0),"--")</f>
        <v>26.2789878</v>
      </c>
      <c r="J4627" s="65" t="str">
        <f t="array" ref="J4627">XLOOKUP(H4627,'2. Matching'!$A$2:$A$39,'2. Matching'!$B$2:$B$39,"--")</f>
        <v>SEO</v>
      </c>
      <c r="K4627" s="65" t="str">
        <f t="shared" si="1"/>
        <v>In</v>
      </c>
    </row>
    <row r="4628">
      <c r="A4628" s="62" t="s">
        <v>4766</v>
      </c>
      <c r="B4628" s="63">
        <v>44287.0</v>
      </c>
      <c r="C4628" s="62" t="s">
        <v>119</v>
      </c>
      <c r="D4628" s="64">
        <v>45.0</v>
      </c>
      <c r="E4628" s="62" t="s">
        <v>109</v>
      </c>
      <c r="F4628" s="62" t="s">
        <v>110</v>
      </c>
      <c r="G4628" s="64" t="s">
        <v>64</v>
      </c>
      <c r="H4628" s="3" t="s">
        <v>297</v>
      </c>
      <c r="I4628" s="65">
        <f>IFERROR(VLOOKUP(A4628,'3. Call duration'!$A:$C,3,0),"--")</f>
        <v>39.83789726</v>
      </c>
      <c r="J4628" s="65" t="str">
        <f t="array" ref="J4628">XLOOKUP(H4628,'2. Matching'!$A$2:$A$39,'2. Matching'!$B$2:$B$39,"--")</f>
        <v>Farming</v>
      </c>
      <c r="K4628" s="65" t="str">
        <f t="shared" si="1"/>
        <v>In</v>
      </c>
    </row>
    <row r="4629">
      <c r="A4629" s="62" t="s">
        <v>4767</v>
      </c>
      <c r="B4629" s="63">
        <v>44281.0</v>
      </c>
      <c r="C4629" s="62" t="s">
        <v>119</v>
      </c>
      <c r="D4629" s="64">
        <v>45.0</v>
      </c>
      <c r="E4629" s="62" t="s">
        <v>109</v>
      </c>
      <c r="F4629" s="62" t="s">
        <v>110</v>
      </c>
      <c r="G4629" s="64" t="s">
        <v>64</v>
      </c>
      <c r="H4629" s="3" t="s">
        <v>175</v>
      </c>
      <c r="I4629" s="65">
        <f>IFERROR(VLOOKUP(A4629,'3. Call duration'!$A:$C,3,0),"--")</f>
        <v>33.58963273</v>
      </c>
      <c r="J4629" s="65" t="str">
        <f t="array" ref="J4629">XLOOKUP(H4629,'2. Matching'!$A$2:$A$39,'2. Matching'!$B$2:$B$39,"--")</f>
        <v>SEO</v>
      </c>
      <c r="K4629" s="65" t="str">
        <f t="shared" si="1"/>
        <v>In</v>
      </c>
    </row>
    <row r="4630">
      <c r="A4630" s="62" t="s">
        <v>4768</v>
      </c>
      <c r="B4630" s="63">
        <v>44287.0</v>
      </c>
      <c r="C4630" s="62" t="s">
        <v>119</v>
      </c>
      <c r="D4630" s="64">
        <v>45.0</v>
      </c>
      <c r="E4630" s="62" t="s">
        <v>109</v>
      </c>
      <c r="F4630" s="62" t="s">
        <v>115</v>
      </c>
      <c r="G4630" s="64" t="s">
        <v>64</v>
      </c>
      <c r="H4630" s="3" t="s">
        <v>141</v>
      </c>
      <c r="I4630" s="65">
        <f>IFERROR(VLOOKUP(A4630,'3. Call duration'!$A:$C,3,0),"--")</f>
        <v>28.08618883</v>
      </c>
      <c r="J4630" s="65" t="str">
        <f t="array" ref="J4630">XLOOKUP(H4630,'2. Matching'!$A$2:$A$39,'2. Matching'!$B$2:$B$39,"--")</f>
        <v>Acquisition</v>
      </c>
      <c r="K4630" s="65" t="str">
        <f t="shared" si="1"/>
        <v>In</v>
      </c>
    </row>
    <row r="4631">
      <c r="A4631" s="62" t="s">
        <v>4769</v>
      </c>
      <c r="B4631" s="63">
        <v>44272.0</v>
      </c>
      <c r="C4631" s="62" t="s">
        <v>119</v>
      </c>
      <c r="D4631" s="64">
        <v>45.0</v>
      </c>
      <c r="E4631" s="62" t="s">
        <v>109</v>
      </c>
      <c r="F4631" s="62" t="s">
        <v>110</v>
      </c>
      <c r="G4631" s="64" t="s">
        <v>64</v>
      </c>
      <c r="H4631" s="3" t="s">
        <v>52</v>
      </c>
      <c r="I4631" s="65">
        <f>IFERROR(VLOOKUP(A4631,'3. Call duration'!$A:$C,3,0),"--")</f>
        <v>10.8202541</v>
      </c>
      <c r="J4631" s="65" t="str">
        <f t="array" ref="J4631">XLOOKUP(H4631,'2. Matching'!$A$2:$A$39,'2. Matching'!$B$2:$B$39,"--")</f>
        <v>Partnerships</v>
      </c>
      <c r="K4631" s="65" t="str">
        <f t="shared" si="1"/>
        <v>In</v>
      </c>
    </row>
    <row r="4632">
      <c r="A4632" s="62" t="s">
        <v>4770</v>
      </c>
      <c r="B4632" s="63">
        <v>44280.0</v>
      </c>
      <c r="C4632" s="62" t="s">
        <v>119</v>
      </c>
      <c r="D4632" s="64">
        <v>45.0</v>
      </c>
      <c r="E4632" s="62" t="s">
        <v>109</v>
      </c>
      <c r="F4632" s="62" t="s">
        <v>110</v>
      </c>
      <c r="G4632" s="64" t="s">
        <v>64</v>
      </c>
      <c r="H4632" s="3" t="s">
        <v>116</v>
      </c>
      <c r="I4632" s="65">
        <f>IFERROR(VLOOKUP(A4632,'3. Call duration'!$A:$C,3,0),"--")</f>
        <v>11.73109624</v>
      </c>
      <c r="J4632" s="65" t="str">
        <f t="array" ref="J4632">XLOOKUP(H4632,'2. Matching'!$A$2:$A$39,'2. Matching'!$B$2:$B$39,"--")</f>
        <v>Acquisition</v>
      </c>
      <c r="K4632" s="65" t="str">
        <f t="shared" si="1"/>
        <v>In</v>
      </c>
    </row>
    <row r="4633">
      <c r="A4633" s="62" t="s">
        <v>4771</v>
      </c>
      <c r="B4633" s="63">
        <v>44307.0</v>
      </c>
      <c r="C4633" s="62" t="s">
        <v>119</v>
      </c>
      <c r="D4633" s="64">
        <v>45.0</v>
      </c>
      <c r="E4633" s="62" t="s">
        <v>109</v>
      </c>
      <c r="F4633" s="62" t="s">
        <v>115</v>
      </c>
      <c r="G4633" s="64" t="s">
        <v>64</v>
      </c>
      <c r="H4633" s="3" t="s">
        <v>169</v>
      </c>
      <c r="I4633" s="65">
        <f>IFERROR(VLOOKUP(A4633,'3. Call duration'!$A:$C,3,0),"--")</f>
        <v>28.34128666</v>
      </c>
      <c r="J4633" s="65" t="str">
        <f t="array" ref="J4633">XLOOKUP(H4633,'2. Matching'!$A$2:$A$39,'2. Matching'!$B$2:$B$39,"--")</f>
        <v>SEO</v>
      </c>
      <c r="K4633" s="65" t="str">
        <f t="shared" si="1"/>
        <v>In</v>
      </c>
    </row>
    <row r="4634">
      <c r="A4634" s="62" t="s">
        <v>4772</v>
      </c>
      <c r="B4634" s="63">
        <v>44273.0</v>
      </c>
      <c r="C4634" s="62" t="s">
        <v>119</v>
      </c>
      <c r="D4634" s="64">
        <v>45.0</v>
      </c>
      <c r="E4634" s="62" t="s">
        <v>109</v>
      </c>
      <c r="F4634" s="62" t="s">
        <v>110</v>
      </c>
      <c r="G4634" s="64" t="s">
        <v>64</v>
      </c>
      <c r="H4634" s="3" t="s">
        <v>145</v>
      </c>
      <c r="I4634" s="65">
        <f>IFERROR(VLOOKUP(A4634,'3. Call duration'!$A:$C,3,0),"--")</f>
        <v>22.3830351</v>
      </c>
      <c r="J4634" s="65" t="str">
        <f t="array" ref="J4634">XLOOKUP(H4634,'2. Matching'!$A$2:$A$39,'2. Matching'!$B$2:$B$39,"--")</f>
        <v>SEO</v>
      </c>
      <c r="K4634" s="65" t="str">
        <f t="shared" si="1"/>
        <v>In</v>
      </c>
    </row>
    <row r="4635">
      <c r="A4635" s="62" t="s">
        <v>4773</v>
      </c>
      <c r="B4635" s="63">
        <v>44300.0</v>
      </c>
      <c r="C4635" s="62" t="s">
        <v>119</v>
      </c>
      <c r="D4635" s="64">
        <v>45.0</v>
      </c>
      <c r="E4635" s="62" t="s">
        <v>109</v>
      </c>
      <c r="F4635" s="62" t="s">
        <v>115</v>
      </c>
      <c r="G4635" s="64" t="s">
        <v>64</v>
      </c>
      <c r="H4635" s="3" t="s">
        <v>55</v>
      </c>
      <c r="I4635" s="65" t="str">
        <f>IFERROR(VLOOKUP(A4635,'3. Call duration'!$A:$C,3,0),"--")</f>
        <v>--</v>
      </c>
      <c r="J4635" s="65" t="str">
        <f t="array" ref="J4635">XLOOKUP(H4635,'2. Matching'!$A$2:$A$39,'2. Matching'!$B$2:$B$39,"--")</f>
        <v>Partnerships</v>
      </c>
      <c r="K4635" s="65" t="str">
        <f t="shared" si="1"/>
        <v>In</v>
      </c>
    </row>
    <row r="4636">
      <c r="A4636" s="62" t="s">
        <v>4774</v>
      </c>
      <c r="B4636" s="63">
        <v>44286.0</v>
      </c>
      <c r="C4636" s="62" t="s">
        <v>119</v>
      </c>
      <c r="D4636" s="64">
        <v>45.0</v>
      </c>
      <c r="E4636" s="62" t="s">
        <v>109</v>
      </c>
      <c r="F4636" s="62" t="s">
        <v>110</v>
      </c>
      <c r="G4636" s="64" t="s">
        <v>64</v>
      </c>
      <c r="H4636" s="3" t="s">
        <v>135</v>
      </c>
      <c r="I4636" s="65">
        <f>IFERROR(VLOOKUP(A4636,'3. Call duration'!$A:$C,3,0),"--")</f>
        <v>30.11094079</v>
      </c>
      <c r="J4636" s="65" t="str">
        <f t="array" ref="J4636">XLOOKUP(H4636,'2. Matching'!$A$2:$A$39,'2. Matching'!$B$2:$B$39,"--")</f>
        <v>Acquisition</v>
      </c>
      <c r="K4636" s="65" t="str">
        <f t="shared" si="1"/>
        <v>In</v>
      </c>
    </row>
    <row r="4637">
      <c r="A4637" s="62" t="s">
        <v>4775</v>
      </c>
      <c r="B4637" s="63">
        <v>44278.0</v>
      </c>
      <c r="C4637" s="62" t="s">
        <v>119</v>
      </c>
      <c r="D4637" s="64">
        <v>45.0</v>
      </c>
      <c r="E4637" s="62" t="s">
        <v>109</v>
      </c>
      <c r="F4637" s="62" t="s">
        <v>110</v>
      </c>
      <c r="G4637" s="64" t="s">
        <v>64</v>
      </c>
      <c r="H4637" s="3" t="s">
        <v>164</v>
      </c>
      <c r="I4637" s="65">
        <f>IFERROR(VLOOKUP(A4637,'3. Call duration'!$A:$C,3,0),"--")</f>
        <v>49.90297763</v>
      </c>
      <c r="J4637" s="65" t="str">
        <f t="array" ref="J4637">XLOOKUP(H4637,'2. Matching'!$A$2:$A$39,'2. Matching'!$B$2:$B$39,"--")</f>
        <v>SEO</v>
      </c>
      <c r="K4637" s="65" t="str">
        <f t="shared" si="1"/>
        <v>In</v>
      </c>
    </row>
    <row r="4638">
      <c r="A4638" s="62" t="s">
        <v>4776</v>
      </c>
      <c r="B4638" s="63">
        <v>44274.0</v>
      </c>
      <c r="C4638" s="62" t="s">
        <v>119</v>
      </c>
      <c r="D4638" s="64">
        <v>45.0</v>
      </c>
      <c r="E4638" s="62" t="s">
        <v>109</v>
      </c>
      <c r="F4638" s="62" t="s">
        <v>115</v>
      </c>
      <c r="G4638" s="64" t="s">
        <v>64</v>
      </c>
      <c r="H4638" s="3" t="s">
        <v>131</v>
      </c>
      <c r="I4638" s="65">
        <f>IFERROR(VLOOKUP(A4638,'3. Call duration'!$A:$C,3,0),"--")</f>
        <v>30.23213544</v>
      </c>
      <c r="J4638" s="65" t="str">
        <f t="array" ref="J4638">XLOOKUP(H4638,'2. Matching'!$A$2:$A$39,'2. Matching'!$B$2:$B$39,"--")</f>
        <v>Acquisition</v>
      </c>
      <c r="K4638" s="65" t="str">
        <f t="shared" si="1"/>
        <v>In</v>
      </c>
    </row>
    <row r="4639">
      <c r="A4639" s="62" t="s">
        <v>4777</v>
      </c>
      <c r="B4639" s="63">
        <v>44264.0</v>
      </c>
      <c r="C4639" s="62" t="s">
        <v>119</v>
      </c>
      <c r="D4639" s="64">
        <v>45.0</v>
      </c>
      <c r="E4639" s="62" t="s">
        <v>109</v>
      </c>
      <c r="F4639" s="62" t="s">
        <v>115</v>
      </c>
      <c r="G4639" s="64" t="s">
        <v>64</v>
      </c>
      <c r="H4639" s="3" t="s">
        <v>175</v>
      </c>
      <c r="I4639" s="65">
        <f>IFERROR(VLOOKUP(A4639,'3. Call duration'!$A:$C,3,0),"--")</f>
        <v>21.51346752</v>
      </c>
      <c r="J4639" s="65" t="str">
        <f t="array" ref="J4639">XLOOKUP(H4639,'2. Matching'!$A$2:$A$39,'2. Matching'!$B$2:$B$39,"--")</f>
        <v>SEO</v>
      </c>
      <c r="K4639" s="65" t="str">
        <f t="shared" si="1"/>
        <v>In</v>
      </c>
    </row>
    <row r="4640">
      <c r="A4640" s="62" t="s">
        <v>4778</v>
      </c>
      <c r="B4640" s="63">
        <v>44279.0</v>
      </c>
      <c r="C4640" s="62" t="s">
        <v>119</v>
      </c>
      <c r="D4640" s="64">
        <v>45.0</v>
      </c>
      <c r="E4640" s="62" t="s">
        <v>109</v>
      </c>
      <c r="F4640" s="62" t="s">
        <v>110</v>
      </c>
      <c r="G4640" s="64" t="s">
        <v>64</v>
      </c>
      <c r="H4640" s="3" t="s">
        <v>175</v>
      </c>
      <c r="I4640" s="65">
        <f>IFERROR(VLOOKUP(A4640,'3. Call duration'!$A:$C,3,0),"--")</f>
        <v>23.75414071</v>
      </c>
      <c r="J4640" s="65" t="str">
        <f t="array" ref="J4640">XLOOKUP(H4640,'2. Matching'!$A$2:$A$39,'2. Matching'!$B$2:$B$39,"--")</f>
        <v>SEO</v>
      </c>
      <c r="K4640" s="65" t="str">
        <f t="shared" si="1"/>
        <v>In</v>
      </c>
    </row>
    <row r="4641">
      <c r="A4641" s="62" t="s">
        <v>4779</v>
      </c>
      <c r="B4641" s="63">
        <v>44301.0</v>
      </c>
      <c r="C4641" s="62" t="s">
        <v>119</v>
      </c>
      <c r="D4641" s="64">
        <v>45.0</v>
      </c>
      <c r="E4641" s="62" t="s">
        <v>109</v>
      </c>
      <c r="F4641" s="62" t="s">
        <v>115</v>
      </c>
      <c r="G4641" s="64" t="s">
        <v>64</v>
      </c>
      <c r="H4641" s="3" t="s">
        <v>185</v>
      </c>
      <c r="I4641" s="65">
        <f>IFERROR(VLOOKUP(A4641,'3. Call duration'!$A:$C,3,0),"--")</f>
        <v>21.60687897</v>
      </c>
      <c r="J4641" s="65" t="str">
        <f t="array" ref="J4641">XLOOKUP(H4641,'2. Matching'!$A$2:$A$39,'2. Matching'!$B$2:$B$39,"--")</f>
        <v>SEO</v>
      </c>
      <c r="K4641" s="65" t="str">
        <f t="shared" si="1"/>
        <v>In</v>
      </c>
    </row>
    <row r="4642">
      <c r="A4642" s="62" t="s">
        <v>4780</v>
      </c>
      <c r="B4642" s="63">
        <v>44266.0</v>
      </c>
      <c r="C4642" s="62" t="s">
        <v>119</v>
      </c>
      <c r="D4642" s="64">
        <v>45.0</v>
      </c>
      <c r="E4642" s="62" t="s">
        <v>109</v>
      </c>
      <c r="F4642" s="62" t="s">
        <v>115</v>
      </c>
      <c r="G4642" s="64" t="s">
        <v>64</v>
      </c>
      <c r="H4642" s="3" t="s">
        <v>139</v>
      </c>
      <c r="I4642" s="65">
        <f>IFERROR(VLOOKUP(A4642,'3. Call duration'!$A:$C,3,0),"--")</f>
        <v>22.91618815</v>
      </c>
      <c r="J4642" s="65" t="str">
        <f t="array" ref="J4642">XLOOKUP(H4642,'2. Matching'!$A$2:$A$39,'2. Matching'!$B$2:$B$39,"--")</f>
        <v>Acquisition</v>
      </c>
      <c r="K4642" s="65" t="str">
        <f t="shared" si="1"/>
        <v>In</v>
      </c>
    </row>
    <row r="4643">
      <c r="A4643" s="62" t="s">
        <v>4781</v>
      </c>
      <c r="B4643" s="63">
        <v>44265.0</v>
      </c>
      <c r="C4643" s="62" t="s">
        <v>119</v>
      </c>
      <c r="D4643" s="64">
        <v>45.0</v>
      </c>
      <c r="E4643" s="62" t="s">
        <v>109</v>
      </c>
      <c r="F4643" s="62" t="s">
        <v>115</v>
      </c>
      <c r="G4643" s="64" t="s">
        <v>64</v>
      </c>
      <c r="H4643" s="3" t="s">
        <v>175</v>
      </c>
      <c r="I4643" s="65">
        <f>IFERROR(VLOOKUP(A4643,'3. Call duration'!$A:$C,3,0),"--")</f>
        <v>21.15010812</v>
      </c>
      <c r="J4643" s="65" t="str">
        <f t="array" ref="J4643">XLOOKUP(H4643,'2. Matching'!$A$2:$A$39,'2. Matching'!$B$2:$B$39,"--")</f>
        <v>SEO</v>
      </c>
      <c r="K4643" s="65" t="str">
        <f t="shared" si="1"/>
        <v>In</v>
      </c>
    </row>
    <row r="4644">
      <c r="A4644" s="62" t="s">
        <v>4782</v>
      </c>
      <c r="B4644" s="63">
        <v>44306.0</v>
      </c>
      <c r="C4644" s="62" t="s">
        <v>119</v>
      </c>
      <c r="D4644" s="64">
        <v>45.0</v>
      </c>
      <c r="E4644" s="62" t="s">
        <v>109</v>
      </c>
      <c r="F4644" s="62" t="s">
        <v>115</v>
      </c>
      <c r="G4644" s="64" t="s">
        <v>64</v>
      </c>
      <c r="H4644" s="3" t="s">
        <v>164</v>
      </c>
      <c r="I4644" s="65">
        <f>IFERROR(VLOOKUP(A4644,'3. Call duration'!$A:$C,3,0),"--")</f>
        <v>38.23332835</v>
      </c>
      <c r="J4644" s="65" t="str">
        <f t="array" ref="J4644">XLOOKUP(H4644,'2. Matching'!$A$2:$A$39,'2. Matching'!$B$2:$B$39,"--")</f>
        <v>SEO</v>
      </c>
      <c r="K4644" s="65" t="str">
        <f t="shared" si="1"/>
        <v>In</v>
      </c>
    </row>
    <row r="4645">
      <c r="A4645" s="62" t="s">
        <v>4783</v>
      </c>
      <c r="B4645" s="63">
        <v>44292.0</v>
      </c>
      <c r="C4645" s="62" t="s">
        <v>119</v>
      </c>
      <c r="D4645" s="64">
        <v>45.0</v>
      </c>
      <c r="E4645" s="62" t="s">
        <v>109</v>
      </c>
      <c r="F4645" s="62" t="s">
        <v>110</v>
      </c>
      <c r="G4645" s="64" t="s">
        <v>64</v>
      </c>
      <c r="H4645" s="3" t="s">
        <v>297</v>
      </c>
      <c r="I4645" s="65">
        <f>IFERROR(VLOOKUP(A4645,'3. Call duration'!$A:$C,3,0),"--")</f>
        <v>21.82303843</v>
      </c>
      <c r="J4645" s="65" t="str">
        <f t="array" ref="J4645">XLOOKUP(H4645,'2. Matching'!$A$2:$A$39,'2. Matching'!$B$2:$B$39,"--")</f>
        <v>Farming</v>
      </c>
      <c r="K4645" s="65" t="str">
        <f t="shared" si="1"/>
        <v>In</v>
      </c>
    </row>
    <row r="4646">
      <c r="A4646" s="62" t="s">
        <v>4784</v>
      </c>
      <c r="B4646" s="63">
        <v>44298.0</v>
      </c>
      <c r="C4646" s="62" t="s">
        <v>119</v>
      </c>
      <c r="D4646" s="64">
        <v>45.0</v>
      </c>
      <c r="E4646" s="62" t="s">
        <v>109</v>
      </c>
      <c r="F4646" s="62" t="s">
        <v>110</v>
      </c>
      <c r="G4646" s="64" t="s">
        <v>64</v>
      </c>
      <c r="H4646" s="3" t="s">
        <v>54</v>
      </c>
      <c r="I4646" s="65">
        <f>IFERROR(VLOOKUP(A4646,'3. Call duration'!$A:$C,3,0),"--")</f>
        <v>22.70639505</v>
      </c>
      <c r="J4646" s="65" t="str">
        <f t="array" ref="J4646">XLOOKUP(H4646,'2. Matching'!$A$2:$A$39,'2. Matching'!$B$2:$B$39,"--")</f>
        <v>Partnerships</v>
      </c>
      <c r="K4646" s="65" t="str">
        <f t="shared" si="1"/>
        <v>In</v>
      </c>
    </row>
    <row r="4647">
      <c r="A4647" s="62" t="s">
        <v>4785</v>
      </c>
      <c r="B4647" s="63">
        <v>44265.0</v>
      </c>
      <c r="C4647" s="62" t="s">
        <v>119</v>
      </c>
      <c r="D4647" s="64">
        <v>45.0</v>
      </c>
      <c r="E4647" s="62" t="s">
        <v>109</v>
      </c>
      <c r="F4647" s="62" t="s">
        <v>115</v>
      </c>
      <c r="G4647" s="64" t="s">
        <v>64</v>
      </c>
      <c r="H4647" s="3" t="s">
        <v>139</v>
      </c>
      <c r="I4647" s="65">
        <f>IFERROR(VLOOKUP(A4647,'3. Call duration'!$A:$C,3,0),"--")</f>
        <v>28.91986595</v>
      </c>
      <c r="J4647" s="65" t="str">
        <f t="array" ref="J4647">XLOOKUP(H4647,'2. Matching'!$A$2:$A$39,'2. Matching'!$B$2:$B$39,"--")</f>
        <v>Acquisition</v>
      </c>
      <c r="K4647" s="65" t="str">
        <f t="shared" si="1"/>
        <v>In</v>
      </c>
    </row>
    <row r="4648">
      <c r="A4648" s="62" t="s">
        <v>4786</v>
      </c>
      <c r="B4648" s="63">
        <v>44299.0</v>
      </c>
      <c r="C4648" s="62" t="s">
        <v>119</v>
      </c>
      <c r="D4648" s="64">
        <v>45.0</v>
      </c>
      <c r="E4648" s="62" t="s">
        <v>109</v>
      </c>
      <c r="F4648" s="62" t="s">
        <v>115</v>
      </c>
      <c r="G4648" s="64" t="s">
        <v>64</v>
      </c>
      <c r="H4648" s="3" t="s">
        <v>145</v>
      </c>
      <c r="I4648" s="65">
        <f>IFERROR(VLOOKUP(A4648,'3. Call duration'!$A:$C,3,0),"--")</f>
        <v>44.13418368</v>
      </c>
      <c r="J4648" s="65" t="str">
        <f t="array" ref="J4648">XLOOKUP(H4648,'2. Matching'!$A$2:$A$39,'2. Matching'!$B$2:$B$39,"--")</f>
        <v>SEO</v>
      </c>
      <c r="K4648" s="65" t="str">
        <f t="shared" si="1"/>
        <v>In</v>
      </c>
    </row>
    <row r="4649">
      <c r="A4649" s="62" t="s">
        <v>4787</v>
      </c>
      <c r="B4649" s="63">
        <v>44272.0</v>
      </c>
      <c r="C4649" s="62" t="s">
        <v>119</v>
      </c>
      <c r="D4649" s="64">
        <v>45.0</v>
      </c>
      <c r="E4649" s="62" t="s">
        <v>109</v>
      </c>
      <c r="F4649" s="62" t="s">
        <v>115</v>
      </c>
      <c r="G4649" s="64" t="s">
        <v>64</v>
      </c>
      <c r="H4649" s="3" t="s">
        <v>139</v>
      </c>
      <c r="I4649" s="65" t="str">
        <f>IFERROR(VLOOKUP(A4649,'3. Call duration'!$A:$C,3,0),"--")</f>
        <v>--</v>
      </c>
      <c r="J4649" s="65" t="str">
        <f t="array" ref="J4649">XLOOKUP(H4649,'2. Matching'!$A$2:$A$39,'2. Matching'!$B$2:$B$39,"--")</f>
        <v>Acquisition</v>
      </c>
      <c r="K4649" s="65" t="str">
        <f t="shared" si="1"/>
        <v>In</v>
      </c>
    </row>
    <row r="4650">
      <c r="A4650" s="62" t="s">
        <v>4788</v>
      </c>
      <c r="B4650" s="63">
        <v>44292.0</v>
      </c>
      <c r="C4650" s="62" t="s">
        <v>119</v>
      </c>
      <c r="D4650" s="64">
        <v>45.0</v>
      </c>
      <c r="E4650" s="62" t="s">
        <v>109</v>
      </c>
      <c r="F4650" s="62" t="s">
        <v>115</v>
      </c>
      <c r="G4650" s="64" t="s">
        <v>64</v>
      </c>
      <c r="H4650" s="3" t="s">
        <v>169</v>
      </c>
      <c r="I4650" s="65" t="str">
        <f>IFERROR(VLOOKUP(A4650,'3. Call duration'!$A:$C,3,0),"--")</f>
        <v>--</v>
      </c>
      <c r="J4650" s="65" t="str">
        <f t="array" ref="J4650">XLOOKUP(H4650,'2. Matching'!$A$2:$A$39,'2. Matching'!$B$2:$B$39,"--")</f>
        <v>SEO</v>
      </c>
      <c r="K4650" s="65" t="str">
        <f t="shared" si="1"/>
        <v>In</v>
      </c>
    </row>
    <row r="4651">
      <c r="A4651" s="62" t="s">
        <v>4789</v>
      </c>
      <c r="B4651" s="63">
        <v>44312.0</v>
      </c>
      <c r="C4651" s="62" t="s">
        <v>119</v>
      </c>
      <c r="D4651" s="64">
        <v>45.0</v>
      </c>
      <c r="E4651" s="62" t="s">
        <v>109</v>
      </c>
      <c r="F4651" s="62" t="s">
        <v>110</v>
      </c>
      <c r="G4651" s="64" t="s">
        <v>64</v>
      </c>
      <c r="H4651" s="3" t="s">
        <v>52</v>
      </c>
      <c r="I4651" s="65">
        <f>IFERROR(VLOOKUP(A4651,'3. Call duration'!$A:$C,3,0),"--")</f>
        <v>8.092889147</v>
      </c>
      <c r="J4651" s="65" t="str">
        <f t="array" ref="J4651">XLOOKUP(H4651,'2. Matching'!$A$2:$A$39,'2. Matching'!$B$2:$B$39,"--")</f>
        <v>Partnerships</v>
      </c>
      <c r="K4651" s="65" t="str">
        <f t="shared" si="1"/>
        <v>In</v>
      </c>
    </row>
    <row r="4652">
      <c r="A4652" s="62" t="s">
        <v>4790</v>
      </c>
      <c r="B4652" s="63">
        <v>44280.0</v>
      </c>
      <c r="C4652" s="62" t="s">
        <v>119</v>
      </c>
      <c r="D4652" s="64">
        <v>45.0</v>
      </c>
      <c r="E4652" s="62" t="s">
        <v>109</v>
      </c>
      <c r="F4652" s="62" t="s">
        <v>110</v>
      </c>
      <c r="G4652" s="64" t="s">
        <v>64</v>
      </c>
      <c r="H4652" s="3" t="s">
        <v>55</v>
      </c>
      <c r="I4652" s="65">
        <f>IFERROR(VLOOKUP(A4652,'3. Call duration'!$A:$C,3,0),"--")</f>
        <v>21.94681604</v>
      </c>
      <c r="J4652" s="65" t="str">
        <f t="array" ref="J4652">XLOOKUP(H4652,'2. Matching'!$A$2:$A$39,'2. Matching'!$B$2:$B$39,"--")</f>
        <v>Partnerships</v>
      </c>
      <c r="K4652" s="65" t="str">
        <f t="shared" si="1"/>
        <v>In</v>
      </c>
    </row>
    <row r="4653">
      <c r="A4653" s="62" t="s">
        <v>4791</v>
      </c>
      <c r="B4653" s="63">
        <v>44313.0</v>
      </c>
      <c r="C4653" s="62" t="s">
        <v>119</v>
      </c>
      <c r="D4653" s="64">
        <v>45.0</v>
      </c>
      <c r="E4653" s="62" t="s">
        <v>109</v>
      </c>
      <c r="F4653" s="62" t="s">
        <v>115</v>
      </c>
      <c r="G4653" s="64" t="s">
        <v>64</v>
      </c>
      <c r="H4653" s="3" t="s">
        <v>49</v>
      </c>
      <c r="I4653" s="65">
        <f>IFERROR(VLOOKUP(A4653,'3. Call duration'!$A:$C,3,0),"--")</f>
        <v>14.73064716</v>
      </c>
      <c r="J4653" s="65" t="str">
        <f t="array" ref="J4653">XLOOKUP(H4653,'2. Matching'!$A$2:$A$39,'2. Matching'!$B$2:$B$39,"--")</f>
        <v>Partnerships</v>
      </c>
      <c r="K4653" s="65" t="str">
        <f t="shared" si="1"/>
        <v>In</v>
      </c>
    </row>
    <row r="4654">
      <c r="A4654" s="62" t="s">
        <v>4792</v>
      </c>
      <c r="B4654" s="63">
        <v>44293.0</v>
      </c>
      <c r="C4654" s="62" t="s">
        <v>119</v>
      </c>
      <c r="D4654" s="64">
        <v>45.0</v>
      </c>
      <c r="E4654" s="62" t="s">
        <v>109</v>
      </c>
      <c r="F4654" s="62" t="s">
        <v>115</v>
      </c>
      <c r="G4654" s="64" t="s">
        <v>64</v>
      </c>
      <c r="H4654" s="3" t="s">
        <v>185</v>
      </c>
      <c r="I4654" s="65">
        <f>IFERROR(VLOOKUP(A4654,'3. Call duration'!$A:$C,3,0),"--")</f>
        <v>21.25512905</v>
      </c>
      <c r="J4654" s="65" t="str">
        <f t="array" ref="J4654">XLOOKUP(H4654,'2. Matching'!$A$2:$A$39,'2. Matching'!$B$2:$B$39,"--")</f>
        <v>SEO</v>
      </c>
      <c r="K4654" s="65" t="str">
        <f t="shared" si="1"/>
        <v>In</v>
      </c>
    </row>
    <row r="4655">
      <c r="A4655" s="62" t="s">
        <v>4793</v>
      </c>
      <c r="B4655" s="63">
        <v>44306.0</v>
      </c>
      <c r="C4655" s="62" t="s">
        <v>119</v>
      </c>
      <c r="D4655" s="64">
        <v>45.0</v>
      </c>
      <c r="E4655" s="62" t="s">
        <v>109</v>
      </c>
      <c r="F4655" s="62" t="s">
        <v>110</v>
      </c>
      <c r="G4655" s="64" t="s">
        <v>64</v>
      </c>
      <c r="H4655" s="3" t="s">
        <v>185</v>
      </c>
      <c r="I4655" s="65">
        <f>IFERROR(VLOOKUP(A4655,'3. Call duration'!$A:$C,3,0),"--")</f>
        <v>29.84018566</v>
      </c>
      <c r="J4655" s="65" t="str">
        <f t="array" ref="J4655">XLOOKUP(H4655,'2. Matching'!$A$2:$A$39,'2. Matching'!$B$2:$B$39,"--")</f>
        <v>SEO</v>
      </c>
      <c r="K4655" s="65" t="str">
        <f t="shared" si="1"/>
        <v>In</v>
      </c>
    </row>
    <row r="4656">
      <c r="A4656" s="62" t="s">
        <v>4794</v>
      </c>
      <c r="B4656" s="63">
        <v>44264.0</v>
      </c>
      <c r="C4656" s="62" t="s">
        <v>119</v>
      </c>
      <c r="D4656" s="64">
        <v>45.0</v>
      </c>
      <c r="E4656" s="62" t="s">
        <v>109</v>
      </c>
      <c r="F4656" s="62" t="s">
        <v>115</v>
      </c>
      <c r="G4656" s="64" t="s">
        <v>64</v>
      </c>
      <c r="H4656" s="3" t="s">
        <v>175</v>
      </c>
      <c r="I4656" s="65">
        <f>IFERROR(VLOOKUP(A4656,'3. Call duration'!$A:$C,3,0),"--")</f>
        <v>12.98722365</v>
      </c>
      <c r="J4656" s="65" t="str">
        <f t="array" ref="J4656">XLOOKUP(H4656,'2. Matching'!$A$2:$A$39,'2. Matching'!$B$2:$B$39,"--")</f>
        <v>SEO</v>
      </c>
      <c r="K4656" s="65" t="str">
        <f t="shared" si="1"/>
        <v>In</v>
      </c>
    </row>
    <row r="4657">
      <c r="A4657" s="62" t="s">
        <v>4795</v>
      </c>
      <c r="B4657" s="63">
        <v>44286.0</v>
      </c>
      <c r="C4657" s="62" t="s">
        <v>119</v>
      </c>
      <c r="D4657" s="64">
        <v>45.0</v>
      </c>
      <c r="E4657" s="62" t="s">
        <v>109</v>
      </c>
      <c r="F4657" s="62" t="s">
        <v>115</v>
      </c>
      <c r="G4657" s="64" t="s">
        <v>64</v>
      </c>
      <c r="H4657" s="3" t="s">
        <v>141</v>
      </c>
      <c r="I4657" s="65">
        <f>IFERROR(VLOOKUP(A4657,'3. Call duration'!$A:$C,3,0),"--")</f>
        <v>26.59786063</v>
      </c>
      <c r="J4657" s="65" t="str">
        <f t="array" ref="J4657">XLOOKUP(H4657,'2. Matching'!$A$2:$A$39,'2. Matching'!$B$2:$B$39,"--")</f>
        <v>Acquisition</v>
      </c>
      <c r="K4657" s="65" t="str">
        <f t="shared" si="1"/>
        <v>In</v>
      </c>
    </row>
    <row r="4658">
      <c r="A4658" s="62" t="s">
        <v>4796</v>
      </c>
      <c r="B4658" s="63">
        <v>44277.0</v>
      </c>
      <c r="C4658" s="62" t="s">
        <v>119</v>
      </c>
      <c r="D4658" s="64">
        <v>45.0</v>
      </c>
      <c r="E4658" s="62" t="s">
        <v>109</v>
      </c>
      <c r="F4658" s="62" t="s">
        <v>115</v>
      </c>
      <c r="G4658" s="64" t="s">
        <v>64</v>
      </c>
      <c r="H4658" s="3" t="s">
        <v>164</v>
      </c>
      <c r="I4658" s="65">
        <f>IFERROR(VLOOKUP(A4658,'3. Call duration'!$A:$C,3,0),"--")</f>
        <v>23.4462692</v>
      </c>
      <c r="J4658" s="65" t="str">
        <f t="array" ref="J4658">XLOOKUP(H4658,'2. Matching'!$A$2:$A$39,'2. Matching'!$B$2:$B$39,"--")</f>
        <v>SEO</v>
      </c>
      <c r="K4658" s="65" t="str">
        <f t="shared" si="1"/>
        <v>In</v>
      </c>
    </row>
    <row r="4659">
      <c r="A4659" s="62" t="s">
        <v>4797</v>
      </c>
      <c r="B4659" s="63">
        <v>44264.0</v>
      </c>
      <c r="C4659" s="62" t="s">
        <v>119</v>
      </c>
      <c r="D4659" s="64">
        <v>45.0</v>
      </c>
      <c r="E4659" s="62" t="s">
        <v>109</v>
      </c>
      <c r="F4659" s="62" t="s">
        <v>115</v>
      </c>
      <c r="G4659" s="64" t="s">
        <v>64</v>
      </c>
      <c r="H4659" s="3" t="s">
        <v>155</v>
      </c>
      <c r="I4659" s="65">
        <f>IFERROR(VLOOKUP(A4659,'3. Call duration'!$A:$C,3,0),"--")</f>
        <v>33.3082445</v>
      </c>
      <c r="J4659" s="65" t="str">
        <f t="array" ref="J4659">XLOOKUP(H4659,'2. Matching'!$A$2:$A$39,'2. Matching'!$B$2:$B$39,"--")</f>
        <v>SEO</v>
      </c>
      <c r="K4659" s="65" t="str">
        <f t="shared" si="1"/>
        <v>In</v>
      </c>
    </row>
    <row r="4660">
      <c r="A4660" s="62" t="s">
        <v>4798</v>
      </c>
      <c r="B4660" s="63">
        <v>44272.0</v>
      </c>
      <c r="C4660" s="62" t="s">
        <v>119</v>
      </c>
      <c r="D4660" s="64">
        <v>45.0</v>
      </c>
      <c r="E4660" s="62" t="s">
        <v>109</v>
      </c>
      <c r="F4660" s="62" t="s">
        <v>115</v>
      </c>
      <c r="G4660" s="64" t="s">
        <v>64</v>
      </c>
      <c r="H4660" s="3" t="s">
        <v>297</v>
      </c>
      <c r="I4660" s="65">
        <f>IFERROR(VLOOKUP(A4660,'3. Call duration'!$A:$C,3,0),"--")</f>
        <v>27.82020782</v>
      </c>
      <c r="J4660" s="65" t="str">
        <f t="array" ref="J4660">XLOOKUP(H4660,'2. Matching'!$A$2:$A$39,'2. Matching'!$B$2:$B$39,"--")</f>
        <v>Farming</v>
      </c>
      <c r="K4660" s="65" t="str">
        <f t="shared" si="1"/>
        <v>In</v>
      </c>
    </row>
    <row r="4661">
      <c r="A4661" s="62" t="s">
        <v>4799</v>
      </c>
      <c r="B4661" s="63">
        <v>44279.0</v>
      </c>
      <c r="C4661" s="62" t="s">
        <v>119</v>
      </c>
      <c r="D4661" s="64">
        <v>45.0</v>
      </c>
      <c r="E4661" s="62" t="s">
        <v>109</v>
      </c>
      <c r="F4661" s="62" t="s">
        <v>115</v>
      </c>
      <c r="G4661" s="64" t="s">
        <v>64</v>
      </c>
      <c r="H4661" s="3" t="s">
        <v>169</v>
      </c>
      <c r="I4661" s="65">
        <f>IFERROR(VLOOKUP(A4661,'3. Call duration'!$A:$C,3,0),"--")</f>
        <v>32.27465942</v>
      </c>
      <c r="J4661" s="65" t="str">
        <f t="array" ref="J4661">XLOOKUP(H4661,'2. Matching'!$A$2:$A$39,'2. Matching'!$B$2:$B$39,"--")</f>
        <v>SEO</v>
      </c>
      <c r="K4661" s="65" t="str">
        <f t="shared" si="1"/>
        <v>In</v>
      </c>
    </row>
    <row r="4662">
      <c r="A4662" s="62" t="s">
        <v>4800</v>
      </c>
      <c r="B4662" s="63">
        <v>44277.0</v>
      </c>
      <c r="C4662" s="62" t="s">
        <v>119</v>
      </c>
      <c r="D4662" s="64">
        <v>45.0</v>
      </c>
      <c r="E4662" s="62" t="s">
        <v>109</v>
      </c>
      <c r="F4662" s="62" t="s">
        <v>110</v>
      </c>
      <c r="G4662" s="64" t="s">
        <v>64</v>
      </c>
      <c r="H4662" s="3" t="s">
        <v>175</v>
      </c>
      <c r="I4662" s="65">
        <f>IFERROR(VLOOKUP(A4662,'3. Call duration'!$A:$C,3,0),"--")</f>
        <v>25.87566594</v>
      </c>
      <c r="J4662" s="65" t="str">
        <f t="array" ref="J4662">XLOOKUP(H4662,'2. Matching'!$A$2:$A$39,'2. Matching'!$B$2:$B$39,"--")</f>
        <v>SEO</v>
      </c>
      <c r="K4662" s="65" t="str">
        <f t="shared" si="1"/>
        <v>In</v>
      </c>
    </row>
    <row r="4663">
      <c r="A4663" s="62" t="s">
        <v>4801</v>
      </c>
      <c r="B4663" s="63">
        <v>44265.0</v>
      </c>
      <c r="C4663" s="62" t="s">
        <v>119</v>
      </c>
      <c r="D4663" s="64">
        <v>45.0</v>
      </c>
      <c r="E4663" s="62" t="s">
        <v>109</v>
      </c>
      <c r="F4663" s="62" t="s">
        <v>115</v>
      </c>
      <c r="G4663" s="64" t="s">
        <v>64</v>
      </c>
      <c r="H4663" s="3" t="s">
        <v>139</v>
      </c>
      <c r="I4663" s="65">
        <f>IFERROR(VLOOKUP(A4663,'3. Call duration'!$A:$C,3,0),"--")</f>
        <v>30.80643024</v>
      </c>
      <c r="J4663" s="65" t="str">
        <f t="array" ref="J4663">XLOOKUP(H4663,'2. Matching'!$A$2:$A$39,'2. Matching'!$B$2:$B$39,"--")</f>
        <v>Acquisition</v>
      </c>
      <c r="K4663" s="65" t="str">
        <f t="shared" si="1"/>
        <v>In</v>
      </c>
    </row>
    <row r="4664">
      <c r="A4664" s="62" t="s">
        <v>4802</v>
      </c>
      <c r="B4664" s="63">
        <v>44314.0</v>
      </c>
      <c r="C4664" s="62" t="s">
        <v>119</v>
      </c>
      <c r="D4664" s="64">
        <v>45.0</v>
      </c>
      <c r="E4664" s="62" t="s">
        <v>109</v>
      </c>
      <c r="F4664" s="62" t="s">
        <v>115</v>
      </c>
      <c r="G4664" s="64" t="s">
        <v>64</v>
      </c>
      <c r="H4664" s="3" t="s">
        <v>221</v>
      </c>
      <c r="I4664" s="65">
        <f>IFERROR(VLOOKUP(A4664,'3. Call duration'!$A:$C,3,0),"--")</f>
        <v>30.45012303</v>
      </c>
      <c r="J4664" s="65" t="str">
        <f t="array" ref="J4664">XLOOKUP(H4664,'2. Matching'!$A$2:$A$39,'2. Matching'!$B$2:$B$39,"--")</f>
        <v>Farming</v>
      </c>
      <c r="K4664" s="65" t="str">
        <f t="shared" si="1"/>
        <v>In</v>
      </c>
    </row>
    <row r="4665">
      <c r="A4665" s="62" t="s">
        <v>4803</v>
      </c>
      <c r="B4665" s="63">
        <v>44272.0</v>
      </c>
      <c r="C4665" s="62" t="s">
        <v>119</v>
      </c>
      <c r="D4665" s="64">
        <v>45.0</v>
      </c>
      <c r="E4665" s="62" t="s">
        <v>109</v>
      </c>
      <c r="F4665" s="62" t="s">
        <v>110</v>
      </c>
      <c r="G4665" s="64" t="s">
        <v>64</v>
      </c>
      <c r="H4665" s="3" t="s">
        <v>52</v>
      </c>
      <c r="I4665" s="65">
        <f>IFERROR(VLOOKUP(A4665,'3. Call duration'!$A:$C,3,0),"--")</f>
        <v>10.80453092</v>
      </c>
      <c r="J4665" s="65" t="str">
        <f t="array" ref="J4665">XLOOKUP(H4665,'2. Matching'!$A$2:$A$39,'2. Matching'!$B$2:$B$39,"--")</f>
        <v>Partnerships</v>
      </c>
      <c r="K4665" s="65" t="str">
        <f t="shared" si="1"/>
        <v>In</v>
      </c>
    </row>
    <row r="4666">
      <c r="A4666" s="62" t="s">
        <v>4804</v>
      </c>
      <c r="B4666" s="63">
        <v>44267.0</v>
      </c>
      <c r="C4666" s="62" t="s">
        <v>119</v>
      </c>
      <c r="D4666" s="64">
        <v>45.0</v>
      </c>
      <c r="E4666" s="62" t="s">
        <v>109</v>
      </c>
      <c r="F4666" s="62" t="s">
        <v>115</v>
      </c>
      <c r="G4666" s="64" t="s">
        <v>64</v>
      </c>
      <c r="H4666" s="3" t="s">
        <v>169</v>
      </c>
      <c r="I4666" s="65">
        <f>IFERROR(VLOOKUP(A4666,'3. Call duration'!$A:$C,3,0),"--")</f>
        <v>33.24553919</v>
      </c>
      <c r="J4666" s="65" t="str">
        <f t="array" ref="J4666">XLOOKUP(H4666,'2. Matching'!$A$2:$A$39,'2. Matching'!$B$2:$B$39,"--")</f>
        <v>SEO</v>
      </c>
      <c r="K4666" s="65" t="str">
        <f t="shared" si="1"/>
        <v>In</v>
      </c>
    </row>
    <row r="4667">
      <c r="A4667" s="62" t="s">
        <v>4805</v>
      </c>
      <c r="B4667" s="63">
        <v>44305.0</v>
      </c>
      <c r="C4667" s="62" t="s">
        <v>119</v>
      </c>
      <c r="D4667" s="64">
        <v>45.0</v>
      </c>
      <c r="E4667" s="62" t="s">
        <v>109</v>
      </c>
      <c r="F4667" s="62" t="s">
        <v>110</v>
      </c>
      <c r="G4667" s="64" t="s">
        <v>64</v>
      </c>
      <c r="H4667" s="3" t="s">
        <v>297</v>
      </c>
      <c r="I4667" s="65">
        <f>IFERROR(VLOOKUP(A4667,'3. Call duration'!$A:$C,3,0),"--")</f>
        <v>31.03145999</v>
      </c>
      <c r="J4667" s="65" t="str">
        <f t="array" ref="J4667">XLOOKUP(H4667,'2. Matching'!$A$2:$A$39,'2. Matching'!$B$2:$B$39,"--")</f>
        <v>Farming</v>
      </c>
      <c r="K4667" s="65" t="str">
        <f t="shared" si="1"/>
        <v>In</v>
      </c>
    </row>
    <row r="4668">
      <c r="A4668" s="62" t="s">
        <v>4806</v>
      </c>
      <c r="B4668" s="63">
        <v>44313.0</v>
      </c>
      <c r="C4668" s="62" t="s">
        <v>119</v>
      </c>
      <c r="D4668" s="64">
        <v>45.0</v>
      </c>
      <c r="E4668" s="62" t="s">
        <v>109</v>
      </c>
      <c r="F4668" s="62" t="s">
        <v>115</v>
      </c>
      <c r="G4668" s="64" t="s">
        <v>64</v>
      </c>
      <c r="H4668" s="3" t="s">
        <v>145</v>
      </c>
      <c r="I4668" s="65">
        <f>IFERROR(VLOOKUP(A4668,'3. Call duration'!$A:$C,3,0),"--")</f>
        <v>24.18235007</v>
      </c>
      <c r="J4668" s="65" t="str">
        <f t="array" ref="J4668">XLOOKUP(H4668,'2. Matching'!$A$2:$A$39,'2. Matching'!$B$2:$B$39,"--")</f>
        <v>SEO</v>
      </c>
      <c r="K4668" s="65" t="str">
        <f t="shared" si="1"/>
        <v>In</v>
      </c>
    </row>
    <row r="4669">
      <c r="A4669" s="62" t="s">
        <v>4807</v>
      </c>
      <c r="B4669" s="63">
        <v>44273.0</v>
      </c>
      <c r="C4669" s="62" t="s">
        <v>119</v>
      </c>
      <c r="D4669" s="64">
        <v>45.0</v>
      </c>
      <c r="E4669" s="62" t="s">
        <v>109</v>
      </c>
      <c r="F4669" s="62" t="s">
        <v>110</v>
      </c>
      <c r="G4669" s="64" t="s">
        <v>62</v>
      </c>
      <c r="H4669" s="3" t="s">
        <v>286</v>
      </c>
      <c r="I4669" s="65">
        <f>IFERROR(VLOOKUP(A4669,'3. Call duration'!$A:$C,3,0),"--")</f>
        <v>21.4223114</v>
      </c>
      <c r="J4669" s="65" t="str">
        <f t="array" ref="J4669">XLOOKUP(H4669,'2. Matching'!$A$2:$A$39,'2. Matching'!$B$2:$B$39,"--")</f>
        <v>Farming</v>
      </c>
      <c r="K4669" s="65" t="str">
        <f t="shared" si="1"/>
        <v>In</v>
      </c>
    </row>
    <row r="4670">
      <c r="A4670" s="62" t="s">
        <v>4808</v>
      </c>
      <c r="B4670" s="63">
        <v>44280.0</v>
      </c>
      <c r="C4670" s="62" t="s">
        <v>119</v>
      </c>
      <c r="D4670" s="64">
        <v>45.0</v>
      </c>
      <c r="E4670" s="62" t="s">
        <v>109</v>
      </c>
      <c r="F4670" s="62" t="s">
        <v>110</v>
      </c>
      <c r="G4670" s="64" t="s">
        <v>64</v>
      </c>
      <c r="H4670" s="3" t="s">
        <v>141</v>
      </c>
      <c r="I4670" s="65">
        <f>IFERROR(VLOOKUP(A4670,'3. Call duration'!$A:$C,3,0),"--")</f>
        <v>45.1276424</v>
      </c>
      <c r="J4670" s="65" t="str">
        <f t="array" ref="J4670">XLOOKUP(H4670,'2. Matching'!$A$2:$A$39,'2. Matching'!$B$2:$B$39,"--")</f>
        <v>Acquisition</v>
      </c>
      <c r="K4670" s="65" t="str">
        <f t="shared" si="1"/>
        <v>In</v>
      </c>
    </row>
    <row r="4671">
      <c r="A4671" s="62" t="s">
        <v>4809</v>
      </c>
      <c r="B4671" s="63">
        <v>44287.0</v>
      </c>
      <c r="C4671" s="62" t="s">
        <v>119</v>
      </c>
      <c r="D4671" s="64">
        <v>45.0</v>
      </c>
      <c r="E4671" s="62" t="s">
        <v>109</v>
      </c>
      <c r="F4671" s="62" t="s">
        <v>110</v>
      </c>
      <c r="G4671" s="64" t="s">
        <v>64</v>
      </c>
      <c r="H4671" s="3" t="s">
        <v>185</v>
      </c>
      <c r="I4671" s="65" t="str">
        <f>IFERROR(VLOOKUP(A4671,'3. Call duration'!$A:$C,3,0),"--")</f>
        <v>--</v>
      </c>
      <c r="J4671" s="65" t="str">
        <f t="array" ref="J4671">XLOOKUP(H4671,'2. Matching'!$A$2:$A$39,'2. Matching'!$B$2:$B$39,"--")</f>
        <v>SEO</v>
      </c>
      <c r="K4671" s="65" t="str">
        <f t="shared" si="1"/>
        <v>In</v>
      </c>
    </row>
    <row r="4672">
      <c r="A4672" s="62" t="s">
        <v>4810</v>
      </c>
      <c r="B4672" s="63">
        <v>44302.0</v>
      </c>
      <c r="C4672" s="62" t="s">
        <v>119</v>
      </c>
      <c r="D4672" s="64">
        <v>45.0</v>
      </c>
      <c r="E4672" s="62" t="s">
        <v>109</v>
      </c>
      <c r="F4672" s="62" t="s">
        <v>115</v>
      </c>
      <c r="G4672" s="64" t="s">
        <v>63</v>
      </c>
      <c r="H4672" s="3" t="s">
        <v>189</v>
      </c>
      <c r="I4672" s="65">
        <f>IFERROR(VLOOKUP(A4672,'3. Call duration'!$A:$C,3,0),"--")</f>
        <v>13.02672262</v>
      </c>
      <c r="J4672" s="65" t="str">
        <f t="array" ref="J4672">XLOOKUP(H4672,'2. Matching'!$A$2:$A$39,'2. Matching'!$B$2:$B$39,"--")</f>
        <v>SEO</v>
      </c>
      <c r="K4672" s="65" t="str">
        <f t="shared" si="1"/>
        <v>Out</v>
      </c>
    </row>
    <row r="4673">
      <c r="A4673" s="62" t="s">
        <v>4811</v>
      </c>
      <c r="B4673" s="63">
        <v>44281.0</v>
      </c>
      <c r="C4673" s="62" t="s">
        <v>119</v>
      </c>
      <c r="D4673" s="64">
        <v>45.0</v>
      </c>
      <c r="E4673" s="62" t="s">
        <v>109</v>
      </c>
      <c r="F4673" s="62" t="s">
        <v>115</v>
      </c>
      <c r="G4673" s="64" t="s">
        <v>64</v>
      </c>
      <c r="H4673" s="3" t="s">
        <v>185</v>
      </c>
      <c r="I4673" s="65">
        <f>IFERROR(VLOOKUP(A4673,'3. Call duration'!$A:$C,3,0),"--")</f>
        <v>32.23878838</v>
      </c>
      <c r="J4673" s="65" t="str">
        <f t="array" ref="J4673">XLOOKUP(H4673,'2. Matching'!$A$2:$A$39,'2. Matching'!$B$2:$B$39,"--")</f>
        <v>SEO</v>
      </c>
      <c r="K4673" s="65" t="str">
        <f t="shared" si="1"/>
        <v>In</v>
      </c>
    </row>
    <row r="4674">
      <c r="A4674" s="62" t="s">
        <v>4812</v>
      </c>
      <c r="B4674" s="63">
        <v>44272.0</v>
      </c>
      <c r="C4674" s="62" t="s">
        <v>119</v>
      </c>
      <c r="D4674" s="64">
        <v>45.0</v>
      </c>
      <c r="E4674" s="62" t="s">
        <v>109</v>
      </c>
      <c r="F4674" s="62" t="s">
        <v>110</v>
      </c>
      <c r="G4674" s="64" t="s">
        <v>64</v>
      </c>
      <c r="H4674" s="3" t="s">
        <v>221</v>
      </c>
      <c r="I4674" s="65">
        <f>IFERROR(VLOOKUP(A4674,'3. Call duration'!$A:$C,3,0),"--")</f>
        <v>23.34856797</v>
      </c>
      <c r="J4674" s="65" t="str">
        <f t="array" ref="J4674">XLOOKUP(H4674,'2. Matching'!$A$2:$A$39,'2. Matching'!$B$2:$B$39,"--")</f>
        <v>Farming</v>
      </c>
      <c r="K4674" s="65" t="str">
        <f t="shared" si="1"/>
        <v>In</v>
      </c>
    </row>
    <row r="4675">
      <c r="A4675" s="62" t="s">
        <v>4813</v>
      </c>
      <c r="B4675" s="63">
        <v>44274.0</v>
      </c>
      <c r="C4675" s="62" t="s">
        <v>119</v>
      </c>
      <c r="D4675" s="64">
        <v>45.0</v>
      </c>
      <c r="E4675" s="62" t="s">
        <v>109</v>
      </c>
      <c r="F4675" s="62" t="s">
        <v>110</v>
      </c>
      <c r="G4675" s="64" t="s">
        <v>64</v>
      </c>
      <c r="H4675" s="3" t="s">
        <v>185</v>
      </c>
      <c r="I4675" s="65" t="str">
        <f>IFERROR(VLOOKUP(A4675,'3. Call duration'!$A:$C,3,0),"--")</f>
        <v>--</v>
      </c>
      <c r="J4675" s="65" t="str">
        <f t="array" ref="J4675">XLOOKUP(H4675,'2. Matching'!$A$2:$A$39,'2. Matching'!$B$2:$B$39,"--")</f>
        <v>SEO</v>
      </c>
      <c r="K4675" s="65" t="str">
        <f t="shared" si="1"/>
        <v>In</v>
      </c>
    </row>
    <row r="4676">
      <c r="A4676" s="62" t="s">
        <v>4814</v>
      </c>
      <c r="B4676" s="63">
        <v>44285.0</v>
      </c>
      <c r="C4676" s="62" t="s">
        <v>119</v>
      </c>
      <c r="D4676" s="64">
        <v>45.0</v>
      </c>
      <c r="E4676" s="62" t="s">
        <v>109</v>
      </c>
      <c r="F4676" s="62" t="s">
        <v>110</v>
      </c>
      <c r="G4676" s="64" t="s">
        <v>64</v>
      </c>
      <c r="H4676" s="3" t="s">
        <v>297</v>
      </c>
      <c r="I4676" s="65">
        <f>IFERROR(VLOOKUP(A4676,'3. Call duration'!$A:$C,3,0),"--")</f>
        <v>30.4246486</v>
      </c>
      <c r="J4676" s="65" t="str">
        <f t="array" ref="J4676">XLOOKUP(H4676,'2. Matching'!$A$2:$A$39,'2. Matching'!$B$2:$B$39,"--")</f>
        <v>Farming</v>
      </c>
      <c r="K4676" s="65" t="str">
        <f t="shared" si="1"/>
        <v>In</v>
      </c>
    </row>
    <row r="4677">
      <c r="A4677" s="62" t="s">
        <v>4815</v>
      </c>
      <c r="B4677" s="63">
        <v>44270.0</v>
      </c>
      <c r="C4677" s="62" t="s">
        <v>119</v>
      </c>
      <c r="D4677" s="64">
        <v>45.0</v>
      </c>
      <c r="E4677" s="62" t="s">
        <v>109</v>
      </c>
      <c r="F4677" s="62" t="s">
        <v>115</v>
      </c>
      <c r="G4677" s="64" t="s">
        <v>64</v>
      </c>
      <c r="H4677" s="3" t="s">
        <v>139</v>
      </c>
      <c r="I4677" s="65">
        <f>IFERROR(VLOOKUP(A4677,'3. Call duration'!$A:$C,3,0),"--")</f>
        <v>24.13007068</v>
      </c>
      <c r="J4677" s="65" t="str">
        <f t="array" ref="J4677">XLOOKUP(H4677,'2. Matching'!$A$2:$A$39,'2. Matching'!$B$2:$B$39,"--")</f>
        <v>Acquisition</v>
      </c>
      <c r="K4677" s="65" t="str">
        <f t="shared" si="1"/>
        <v>In</v>
      </c>
    </row>
    <row r="4678">
      <c r="A4678" s="62" t="s">
        <v>4816</v>
      </c>
      <c r="B4678" s="63">
        <v>44298.0</v>
      </c>
      <c r="C4678" s="62" t="s">
        <v>119</v>
      </c>
      <c r="D4678" s="64">
        <v>45.0</v>
      </c>
      <c r="E4678" s="62" t="s">
        <v>109</v>
      </c>
      <c r="F4678" s="62" t="s">
        <v>115</v>
      </c>
      <c r="G4678" s="64" t="s">
        <v>64</v>
      </c>
      <c r="H4678" s="3" t="s">
        <v>139</v>
      </c>
      <c r="I4678" s="65">
        <f>IFERROR(VLOOKUP(A4678,'3. Call duration'!$A:$C,3,0),"--")</f>
        <v>20.91839754</v>
      </c>
      <c r="J4678" s="65" t="str">
        <f t="array" ref="J4678">XLOOKUP(H4678,'2. Matching'!$A$2:$A$39,'2. Matching'!$B$2:$B$39,"--")</f>
        <v>Acquisition</v>
      </c>
      <c r="K4678" s="65" t="str">
        <f t="shared" si="1"/>
        <v>In</v>
      </c>
    </row>
    <row r="4679">
      <c r="A4679" s="62" t="s">
        <v>4817</v>
      </c>
      <c r="B4679" s="63">
        <v>44279.0</v>
      </c>
      <c r="C4679" s="62" t="s">
        <v>119</v>
      </c>
      <c r="D4679" s="64">
        <v>45.0</v>
      </c>
      <c r="E4679" s="62" t="s">
        <v>109</v>
      </c>
      <c r="F4679" s="62" t="s">
        <v>110</v>
      </c>
      <c r="G4679" s="64" t="s">
        <v>64</v>
      </c>
      <c r="H4679" s="3" t="s">
        <v>185</v>
      </c>
      <c r="I4679" s="65">
        <f>IFERROR(VLOOKUP(A4679,'3. Call duration'!$A:$C,3,0),"--")</f>
        <v>41.32850788</v>
      </c>
      <c r="J4679" s="65" t="str">
        <f t="array" ref="J4679">XLOOKUP(H4679,'2. Matching'!$A$2:$A$39,'2. Matching'!$B$2:$B$39,"--")</f>
        <v>SEO</v>
      </c>
      <c r="K4679" s="65" t="str">
        <f t="shared" si="1"/>
        <v>In</v>
      </c>
    </row>
    <row r="4680">
      <c r="A4680" s="62" t="s">
        <v>4818</v>
      </c>
      <c r="B4680" s="63">
        <v>44265.0</v>
      </c>
      <c r="C4680" s="62" t="s">
        <v>119</v>
      </c>
      <c r="D4680" s="64">
        <v>45.0</v>
      </c>
      <c r="E4680" s="62" t="s">
        <v>109</v>
      </c>
      <c r="F4680" s="62" t="s">
        <v>115</v>
      </c>
      <c r="G4680" s="64" t="s">
        <v>64</v>
      </c>
      <c r="H4680" s="3" t="s">
        <v>185</v>
      </c>
      <c r="I4680" s="65">
        <f>IFERROR(VLOOKUP(A4680,'3. Call duration'!$A:$C,3,0),"--")</f>
        <v>30.66578438</v>
      </c>
      <c r="J4680" s="65" t="str">
        <f t="array" ref="J4680">XLOOKUP(H4680,'2. Matching'!$A$2:$A$39,'2. Matching'!$B$2:$B$39,"--")</f>
        <v>SEO</v>
      </c>
      <c r="K4680" s="65" t="str">
        <f t="shared" si="1"/>
        <v>In</v>
      </c>
    </row>
    <row r="4681">
      <c r="A4681" s="62" t="s">
        <v>4819</v>
      </c>
      <c r="B4681" s="63">
        <v>44273.0</v>
      </c>
      <c r="C4681" s="62" t="s">
        <v>119</v>
      </c>
      <c r="D4681" s="64">
        <v>45.0</v>
      </c>
      <c r="E4681" s="62" t="s">
        <v>109</v>
      </c>
      <c r="F4681" s="62" t="s">
        <v>110</v>
      </c>
      <c r="G4681" s="64" t="s">
        <v>64</v>
      </c>
      <c r="H4681" s="3" t="s">
        <v>54</v>
      </c>
      <c r="I4681" s="65">
        <f>IFERROR(VLOOKUP(A4681,'3. Call duration'!$A:$C,3,0),"--")</f>
        <v>17.95399443</v>
      </c>
      <c r="J4681" s="65" t="str">
        <f t="array" ref="J4681">XLOOKUP(H4681,'2. Matching'!$A$2:$A$39,'2. Matching'!$B$2:$B$39,"--")</f>
        <v>Partnerships</v>
      </c>
      <c r="K4681" s="65" t="str">
        <f t="shared" si="1"/>
        <v>In</v>
      </c>
    </row>
    <row r="4682">
      <c r="A4682" s="62" t="s">
        <v>4820</v>
      </c>
      <c r="B4682" s="63">
        <v>44273.0</v>
      </c>
      <c r="C4682" s="62" t="s">
        <v>119</v>
      </c>
      <c r="D4682" s="64">
        <v>45.0</v>
      </c>
      <c r="E4682" s="62" t="s">
        <v>109</v>
      </c>
      <c r="F4682" s="62" t="s">
        <v>115</v>
      </c>
      <c r="G4682" s="64" t="s">
        <v>64</v>
      </c>
      <c r="H4682" s="3" t="s">
        <v>52</v>
      </c>
      <c r="I4682" s="65">
        <f>IFERROR(VLOOKUP(A4682,'3. Call duration'!$A:$C,3,0),"--")</f>
        <v>21.65089822</v>
      </c>
      <c r="J4682" s="65" t="str">
        <f t="array" ref="J4682">XLOOKUP(H4682,'2. Matching'!$A$2:$A$39,'2. Matching'!$B$2:$B$39,"--")</f>
        <v>Partnerships</v>
      </c>
      <c r="K4682" s="65" t="str">
        <f t="shared" si="1"/>
        <v>In</v>
      </c>
    </row>
    <row r="4683">
      <c r="A4683" s="62" t="s">
        <v>4821</v>
      </c>
      <c r="B4683" s="63">
        <v>44293.0</v>
      </c>
      <c r="C4683" s="62" t="s">
        <v>119</v>
      </c>
      <c r="D4683" s="64">
        <v>45.0</v>
      </c>
      <c r="E4683" s="62" t="s">
        <v>109</v>
      </c>
      <c r="F4683" s="62" t="s">
        <v>110</v>
      </c>
      <c r="G4683" s="64" t="s">
        <v>64</v>
      </c>
      <c r="H4683" s="3" t="s">
        <v>297</v>
      </c>
      <c r="I4683" s="65">
        <f>IFERROR(VLOOKUP(A4683,'3. Call duration'!$A:$C,3,0),"--")</f>
        <v>28.03557529</v>
      </c>
      <c r="J4683" s="65" t="str">
        <f t="array" ref="J4683">XLOOKUP(H4683,'2. Matching'!$A$2:$A$39,'2. Matching'!$B$2:$B$39,"--")</f>
        <v>Farming</v>
      </c>
      <c r="K4683" s="65" t="str">
        <f t="shared" si="1"/>
        <v>In</v>
      </c>
    </row>
    <row r="4684">
      <c r="A4684" s="62" t="s">
        <v>4822</v>
      </c>
      <c r="B4684" s="63">
        <v>44307.0</v>
      </c>
      <c r="C4684" s="62" t="s">
        <v>119</v>
      </c>
      <c r="D4684" s="64">
        <v>45.0</v>
      </c>
      <c r="E4684" s="62" t="s">
        <v>109</v>
      </c>
      <c r="F4684" s="62" t="s">
        <v>115</v>
      </c>
      <c r="G4684" s="64" t="s">
        <v>59</v>
      </c>
      <c r="H4684" s="3" t="s">
        <v>68</v>
      </c>
      <c r="I4684" s="65">
        <f>IFERROR(VLOOKUP(A4684,'3. Call duration'!$A:$C,3,0),"--")</f>
        <v>29.37630265</v>
      </c>
      <c r="J4684" s="65" t="str">
        <f t="array" ref="J4684">XLOOKUP(H4684,'2. Matching'!$A$2:$A$39,'2. Matching'!$B$2:$B$39,"--")</f>
        <v>Acquisition</v>
      </c>
      <c r="K4684" s="65" t="str">
        <f t="shared" si="1"/>
        <v>In</v>
      </c>
    </row>
    <row r="4685">
      <c r="A4685" s="62" t="s">
        <v>4823</v>
      </c>
      <c r="B4685" s="63">
        <v>44278.0</v>
      </c>
      <c r="C4685" s="62" t="s">
        <v>119</v>
      </c>
      <c r="D4685" s="64">
        <v>45.0</v>
      </c>
      <c r="E4685" s="62" t="s">
        <v>109</v>
      </c>
      <c r="F4685" s="62" t="s">
        <v>115</v>
      </c>
      <c r="G4685" s="64" t="s">
        <v>64</v>
      </c>
      <c r="H4685" s="3" t="s">
        <v>116</v>
      </c>
      <c r="I4685" s="65">
        <f>IFERROR(VLOOKUP(A4685,'3. Call duration'!$A:$C,3,0),"--")</f>
        <v>33.59978499</v>
      </c>
      <c r="J4685" s="65" t="str">
        <f t="array" ref="J4685">XLOOKUP(H4685,'2. Matching'!$A$2:$A$39,'2. Matching'!$B$2:$B$39,"--")</f>
        <v>Acquisition</v>
      </c>
      <c r="K4685" s="65" t="str">
        <f t="shared" si="1"/>
        <v>In</v>
      </c>
    </row>
    <row r="4686">
      <c r="A4686" s="62" t="s">
        <v>4824</v>
      </c>
      <c r="B4686" s="63">
        <v>44307.0</v>
      </c>
      <c r="C4686" s="62" t="s">
        <v>119</v>
      </c>
      <c r="D4686" s="64">
        <v>45.0</v>
      </c>
      <c r="E4686" s="62" t="s">
        <v>109</v>
      </c>
      <c r="F4686" s="62" t="s">
        <v>115</v>
      </c>
      <c r="G4686" s="64" t="s">
        <v>64</v>
      </c>
      <c r="H4686" s="3" t="s">
        <v>131</v>
      </c>
      <c r="I4686" s="65">
        <f>IFERROR(VLOOKUP(A4686,'3. Call duration'!$A:$C,3,0),"--")</f>
        <v>28.86741018</v>
      </c>
      <c r="J4686" s="65" t="str">
        <f t="array" ref="J4686">XLOOKUP(H4686,'2. Matching'!$A$2:$A$39,'2. Matching'!$B$2:$B$39,"--")</f>
        <v>Acquisition</v>
      </c>
      <c r="K4686" s="65" t="str">
        <f t="shared" si="1"/>
        <v>In</v>
      </c>
    </row>
    <row r="4687">
      <c r="A4687" s="62" t="s">
        <v>4825</v>
      </c>
      <c r="B4687" s="63">
        <v>44272.0</v>
      </c>
      <c r="C4687" s="62" t="s">
        <v>119</v>
      </c>
      <c r="D4687" s="64">
        <v>45.0</v>
      </c>
      <c r="E4687" s="62" t="s">
        <v>109</v>
      </c>
      <c r="F4687" s="62" t="s">
        <v>110</v>
      </c>
      <c r="G4687" s="64" t="s">
        <v>64</v>
      </c>
      <c r="H4687" s="3" t="s">
        <v>185</v>
      </c>
      <c r="I4687" s="65">
        <f>IFERROR(VLOOKUP(A4687,'3. Call duration'!$A:$C,3,0),"--")</f>
        <v>20.3060698</v>
      </c>
      <c r="J4687" s="65" t="str">
        <f t="array" ref="J4687">XLOOKUP(H4687,'2. Matching'!$A$2:$A$39,'2. Matching'!$B$2:$B$39,"--")</f>
        <v>SEO</v>
      </c>
      <c r="K4687" s="65" t="str">
        <f t="shared" si="1"/>
        <v>In</v>
      </c>
    </row>
    <row r="4688">
      <c r="A4688" s="62" t="s">
        <v>4826</v>
      </c>
      <c r="B4688" s="63">
        <v>44274.0</v>
      </c>
      <c r="C4688" s="62" t="s">
        <v>119</v>
      </c>
      <c r="D4688" s="64">
        <v>45.0</v>
      </c>
      <c r="E4688" s="62" t="s">
        <v>109</v>
      </c>
      <c r="F4688" s="62" t="s">
        <v>110</v>
      </c>
      <c r="G4688" s="64" t="s">
        <v>64</v>
      </c>
      <c r="H4688" s="3" t="s">
        <v>131</v>
      </c>
      <c r="I4688" s="65">
        <f>IFERROR(VLOOKUP(A4688,'3. Call duration'!$A:$C,3,0),"--")</f>
        <v>31.7581216</v>
      </c>
      <c r="J4688" s="65" t="str">
        <f t="array" ref="J4688">XLOOKUP(H4688,'2. Matching'!$A$2:$A$39,'2. Matching'!$B$2:$B$39,"--")</f>
        <v>Acquisition</v>
      </c>
      <c r="K4688" s="65" t="str">
        <f t="shared" si="1"/>
        <v>In</v>
      </c>
    </row>
    <row r="4689">
      <c r="A4689" s="62" t="s">
        <v>4827</v>
      </c>
      <c r="B4689" s="63">
        <v>44280.0</v>
      </c>
      <c r="C4689" s="62" t="s">
        <v>119</v>
      </c>
      <c r="D4689" s="64">
        <v>45.0</v>
      </c>
      <c r="E4689" s="62" t="s">
        <v>109</v>
      </c>
      <c r="F4689" s="62" t="s">
        <v>115</v>
      </c>
      <c r="G4689" s="64" t="s">
        <v>64</v>
      </c>
      <c r="H4689" s="3" t="s">
        <v>185</v>
      </c>
      <c r="I4689" s="65">
        <f>IFERROR(VLOOKUP(A4689,'3. Call duration'!$A:$C,3,0),"--")</f>
        <v>33.02047445</v>
      </c>
      <c r="J4689" s="65" t="str">
        <f t="array" ref="J4689">XLOOKUP(H4689,'2. Matching'!$A$2:$A$39,'2. Matching'!$B$2:$B$39,"--")</f>
        <v>SEO</v>
      </c>
      <c r="K4689" s="65" t="str">
        <f t="shared" si="1"/>
        <v>In</v>
      </c>
    </row>
    <row r="4690">
      <c r="A4690" s="62" t="s">
        <v>4828</v>
      </c>
      <c r="B4690" s="63">
        <v>44287.0</v>
      </c>
      <c r="C4690" s="62" t="s">
        <v>119</v>
      </c>
      <c r="D4690" s="64">
        <v>45.0</v>
      </c>
      <c r="E4690" s="62" t="s">
        <v>109</v>
      </c>
      <c r="F4690" s="62" t="s">
        <v>115</v>
      </c>
      <c r="G4690" s="64" t="s">
        <v>64</v>
      </c>
      <c r="H4690" s="3" t="s">
        <v>185</v>
      </c>
      <c r="I4690" s="65">
        <f>IFERROR(VLOOKUP(A4690,'3. Call duration'!$A:$C,3,0),"--")</f>
        <v>26.27957542</v>
      </c>
      <c r="J4690" s="65" t="str">
        <f t="array" ref="J4690">XLOOKUP(H4690,'2. Matching'!$A$2:$A$39,'2. Matching'!$B$2:$B$39,"--")</f>
        <v>SEO</v>
      </c>
      <c r="K4690" s="65" t="str">
        <f t="shared" si="1"/>
        <v>In</v>
      </c>
    </row>
    <row r="4691">
      <c r="A4691" s="62" t="s">
        <v>4829</v>
      </c>
      <c r="B4691" s="63">
        <v>44266.0</v>
      </c>
      <c r="C4691" s="62" t="s">
        <v>119</v>
      </c>
      <c r="D4691" s="64">
        <v>45.0</v>
      </c>
      <c r="E4691" s="62" t="s">
        <v>109</v>
      </c>
      <c r="F4691" s="62" t="s">
        <v>115</v>
      </c>
      <c r="G4691" s="64" t="s">
        <v>64</v>
      </c>
      <c r="H4691" s="3" t="s">
        <v>169</v>
      </c>
      <c r="I4691" s="65">
        <f>IFERROR(VLOOKUP(A4691,'3. Call duration'!$A:$C,3,0),"--")</f>
        <v>27.6413952</v>
      </c>
      <c r="J4691" s="65" t="str">
        <f t="array" ref="J4691">XLOOKUP(H4691,'2. Matching'!$A$2:$A$39,'2. Matching'!$B$2:$B$39,"--")</f>
        <v>SEO</v>
      </c>
      <c r="K4691" s="65" t="str">
        <f t="shared" si="1"/>
        <v>In</v>
      </c>
    </row>
    <row r="4692">
      <c r="A4692" s="62" t="s">
        <v>4830</v>
      </c>
      <c r="B4692" s="63">
        <v>44273.0</v>
      </c>
      <c r="C4692" s="62" t="s">
        <v>119</v>
      </c>
      <c r="D4692" s="64">
        <v>45.0</v>
      </c>
      <c r="E4692" s="62" t="s">
        <v>109</v>
      </c>
      <c r="F4692" s="62" t="s">
        <v>110</v>
      </c>
      <c r="G4692" s="64" t="s">
        <v>64</v>
      </c>
      <c r="H4692" s="3" t="s">
        <v>297</v>
      </c>
      <c r="I4692" s="65">
        <f>IFERROR(VLOOKUP(A4692,'3. Call duration'!$A:$C,3,0),"--")</f>
        <v>23.53199239</v>
      </c>
      <c r="J4692" s="65" t="str">
        <f t="array" ref="J4692">XLOOKUP(H4692,'2. Matching'!$A$2:$A$39,'2. Matching'!$B$2:$B$39,"--")</f>
        <v>Farming</v>
      </c>
      <c r="K4692" s="65" t="str">
        <f t="shared" si="1"/>
        <v>In</v>
      </c>
    </row>
    <row r="4693">
      <c r="A4693" s="62" t="s">
        <v>4831</v>
      </c>
      <c r="B4693" s="63">
        <v>44266.0</v>
      </c>
      <c r="C4693" s="62" t="s">
        <v>119</v>
      </c>
      <c r="D4693" s="64">
        <v>45.0</v>
      </c>
      <c r="E4693" s="62" t="s">
        <v>109</v>
      </c>
      <c r="F4693" s="62" t="s">
        <v>110</v>
      </c>
      <c r="G4693" s="64" t="s">
        <v>63</v>
      </c>
      <c r="H4693" s="3" t="s">
        <v>128</v>
      </c>
      <c r="I4693" s="65">
        <f>IFERROR(VLOOKUP(A4693,'3. Call duration'!$A:$C,3,0),"--")</f>
        <v>25.9123</v>
      </c>
      <c r="J4693" s="65" t="str">
        <f t="array" ref="J4693">XLOOKUP(H4693,'2. Matching'!$A$2:$A$39,'2. Matching'!$B$2:$B$39,"--")</f>
        <v>Acquisition</v>
      </c>
      <c r="K4693" s="65" t="str">
        <f t="shared" si="1"/>
        <v>In</v>
      </c>
    </row>
    <row r="4694">
      <c r="A4694" s="62" t="s">
        <v>4832</v>
      </c>
      <c r="B4694" s="63">
        <v>44298.0</v>
      </c>
      <c r="C4694" s="62" t="s">
        <v>119</v>
      </c>
      <c r="D4694" s="64">
        <v>45.0</v>
      </c>
      <c r="E4694" s="62" t="s">
        <v>109</v>
      </c>
      <c r="F4694" s="62" t="s">
        <v>110</v>
      </c>
      <c r="G4694" s="64" t="s">
        <v>64</v>
      </c>
      <c r="H4694" s="3" t="s">
        <v>297</v>
      </c>
      <c r="I4694" s="65">
        <f>IFERROR(VLOOKUP(A4694,'3. Call duration'!$A:$C,3,0),"--")</f>
        <v>32.03431709</v>
      </c>
      <c r="J4694" s="65" t="str">
        <f t="array" ref="J4694">XLOOKUP(H4694,'2. Matching'!$A$2:$A$39,'2. Matching'!$B$2:$B$39,"--")</f>
        <v>Farming</v>
      </c>
      <c r="K4694" s="65" t="str">
        <f t="shared" si="1"/>
        <v>In</v>
      </c>
    </row>
    <row r="4695">
      <c r="A4695" s="62" t="s">
        <v>4833</v>
      </c>
      <c r="B4695" s="63">
        <v>44307.0</v>
      </c>
      <c r="C4695" s="62" t="s">
        <v>119</v>
      </c>
      <c r="D4695" s="64">
        <v>45.0</v>
      </c>
      <c r="E4695" s="62" t="s">
        <v>109</v>
      </c>
      <c r="F4695" s="62" t="s">
        <v>110</v>
      </c>
      <c r="G4695" s="64" t="s">
        <v>63</v>
      </c>
      <c r="H4695" s="3" t="s">
        <v>183</v>
      </c>
      <c r="I4695" s="65">
        <f>IFERROR(VLOOKUP(A4695,'3. Call duration'!$A:$C,3,0),"--")</f>
        <v>31.71847388</v>
      </c>
      <c r="J4695" s="65" t="str">
        <f t="array" ref="J4695">XLOOKUP(H4695,'2. Matching'!$A$2:$A$39,'2. Matching'!$B$2:$B$39,"--")</f>
        <v>SEO</v>
      </c>
      <c r="K4695" s="65" t="str">
        <f t="shared" si="1"/>
        <v>In</v>
      </c>
    </row>
    <row r="4696">
      <c r="A4696" s="62" t="s">
        <v>4834</v>
      </c>
      <c r="B4696" s="63">
        <v>44273.0</v>
      </c>
      <c r="C4696" s="62" t="s">
        <v>119</v>
      </c>
      <c r="D4696" s="64">
        <v>45.0</v>
      </c>
      <c r="E4696" s="62" t="s">
        <v>109</v>
      </c>
      <c r="F4696" s="62" t="s">
        <v>115</v>
      </c>
      <c r="G4696" s="64" t="s">
        <v>64</v>
      </c>
      <c r="H4696" s="3" t="s">
        <v>116</v>
      </c>
      <c r="I4696" s="65">
        <f>IFERROR(VLOOKUP(A4696,'3. Call duration'!$A:$C,3,0),"--")</f>
        <v>10.14418824</v>
      </c>
      <c r="J4696" s="65" t="str">
        <f t="array" ref="J4696">XLOOKUP(H4696,'2. Matching'!$A$2:$A$39,'2. Matching'!$B$2:$B$39,"--")</f>
        <v>Acquisition</v>
      </c>
      <c r="K4696" s="65" t="str">
        <f t="shared" si="1"/>
        <v>In</v>
      </c>
    </row>
    <row r="4697">
      <c r="A4697" s="62" t="s">
        <v>4835</v>
      </c>
      <c r="B4697" s="63">
        <v>44274.0</v>
      </c>
      <c r="C4697" s="62" t="s">
        <v>119</v>
      </c>
      <c r="D4697" s="64">
        <v>45.0</v>
      </c>
      <c r="E4697" s="62" t="s">
        <v>109</v>
      </c>
      <c r="F4697" s="62" t="s">
        <v>115</v>
      </c>
      <c r="G4697" s="64" t="s">
        <v>64</v>
      </c>
      <c r="H4697" s="3" t="s">
        <v>185</v>
      </c>
      <c r="I4697" s="65">
        <f>IFERROR(VLOOKUP(A4697,'3. Call duration'!$A:$C,3,0),"--")</f>
        <v>22.68649526</v>
      </c>
      <c r="J4697" s="65" t="str">
        <f t="array" ref="J4697">XLOOKUP(H4697,'2. Matching'!$A$2:$A$39,'2. Matching'!$B$2:$B$39,"--")</f>
        <v>SEO</v>
      </c>
      <c r="K4697" s="65" t="str">
        <f t="shared" si="1"/>
        <v>In</v>
      </c>
    </row>
    <row r="4698">
      <c r="A4698" s="62" t="s">
        <v>4836</v>
      </c>
      <c r="B4698" s="63">
        <v>44274.0</v>
      </c>
      <c r="C4698" s="62" t="s">
        <v>119</v>
      </c>
      <c r="D4698" s="64">
        <v>45.0</v>
      </c>
      <c r="E4698" s="62" t="s">
        <v>109</v>
      </c>
      <c r="F4698" s="62" t="s">
        <v>115</v>
      </c>
      <c r="G4698" s="64" t="s">
        <v>63</v>
      </c>
      <c r="H4698" s="3" t="s">
        <v>189</v>
      </c>
      <c r="I4698" s="65">
        <f>IFERROR(VLOOKUP(A4698,'3. Call duration'!$A:$C,3,0),"--")</f>
        <v>44.67207902</v>
      </c>
      <c r="J4698" s="65" t="str">
        <f t="array" ref="J4698">XLOOKUP(H4698,'2. Matching'!$A$2:$A$39,'2. Matching'!$B$2:$B$39,"--")</f>
        <v>SEO</v>
      </c>
      <c r="K4698" s="65" t="str">
        <f t="shared" si="1"/>
        <v>Out</v>
      </c>
    </row>
    <row r="4699">
      <c r="A4699" s="62" t="s">
        <v>4837</v>
      </c>
      <c r="B4699" s="63">
        <v>44300.0</v>
      </c>
      <c r="C4699" s="62" t="s">
        <v>119</v>
      </c>
      <c r="D4699" s="64">
        <v>45.0</v>
      </c>
      <c r="E4699" s="62" t="s">
        <v>109</v>
      </c>
      <c r="F4699" s="62" t="s">
        <v>115</v>
      </c>
      <c r="G4699" s="64" t="s">
        <v>64</v>
      </c>
      <c r="H4699" s="3" t="s">
        <v>164</v>
      </c>
      <c r="I4699" s="65">
        <f>IFERROR(VLOOKUP(A4699,'3. Call duration'!$A:$C,3,0),"--")</f>
        <v>33.01975631</v>
      </c>
      <c r="J4699" s="65" t="str">
        <f t="array" ref="J4699">XLOOKUP(H4699,'2. Matching'!$A$2:$A$39,'2. Matching'!$B$2:$B$39,"--")</f>
        <v>SEO</v>
      </c>
      <c r="K4699" s="65" t="str">
        <f t="shared" si="1"/>
        <v>In</v>
      </c>
    </row>
    <row r="4700">
      <c r="A4700" s="62" t="s">
        <v>4838</v>
      </c>
      <c r="B4700" s="63">
        <v>44281.0</v>
      </c>
      <c r="C4700" s="62" t="s">
        <v>119</v>
      </c>
      <c r="D4700" s="64">
        <v>45.0</v>
      </c>
      <c r="E4700" s="62" t="s">
        <v>109</v>
      </c>
      <c r="F4700" s="62" t="s">
        <v>110</v>
      </c>
      <c r="G4700" s="64" t="s">
        <v>64</v>
      </c>
      <c r="H4700" s="3" t="s">
        <v>297</v>
      </c>
      <c r="I4700" s="65">
        <f>IFERROR(VLOOKUP(A4700,'3. Call duration'!$A:$C,3,0),"--")</f>
        <v>31.64956856</v>
      </c>
      <c r="J4700" s="65" t="str">
        <f t="array" ref="J4700">XLOOKUP(H4700,'2. Matching'!$A$2:$A$39,'2. Matching'!$B$2:$B$39,"--")</f>
        <v>Farming</v>
      </c>
      <c r="K4700" s="65" t="str">
        <f t="shared" si="1"/>
        <v>In</v>
      </c>
    </row>
    <row r="4701">
      <c r="A4701" s="62" t="s">
        <v>4839</v>
      </c>
      <c r="B4701" s="63">
        <v>44258.0</v>
      </c>
      <c r="C4701" s="62" t="s">
        <v>119</v>
      </c>
      <c r="D4701" s="64">
        <v>45.0</v>
      </c>
      <c r="E4701" s="62" t="s">
        <v>109</v>
      </c>
      <c r="F4701" s="62" t="s">
        <v>115</v>
      </c>
      <c r="G4701" s="64" t="s">
        <v>62</v>
      </c>
      <c r="H4701" s="3" t="s">
        <v>286</v>
      </c>
      <c r="I4701" s="65">
        <f>IFERROR(VLOOKUP(A4701,'3. Call duration'!$A:$C,3,0),"--")</f>
        <v>27.57299454</v>
      </c>
      <c r="J4701" s="65" t="str">
        <f t="array" ref="J4701">XLOOKUP(H4701,'2. Matching'!$A$2:$A$39,'2. Matching'!$B$2:$B$39,"--")</f>
        <v>Farming</v>
      </c>
      <c r="K4701" s="65" t="str">
        <f t="shared" si="1"/>
        <v>In</v>
      </c>
    </row>
    <row r="4702">
      <c r="A4702" s="62" t="s">
        <v>4840</v>
      </c>
      <c r="B4702" s="63">
        <v>44274.0</v>
      </c>
      <c r="C4702" s="62" t="s">
        <v>119</v>
      </c>
      <c r="D4702" s="64">
        <v>45.0</v>
      </c>
      <c r="E4702" s="62" t="s">
        <v>109</v>
      </c>
      <c r="F4702" s="62" t="s">
        <v>110</v>
      </c>
      <c r="G4702" s="64" t="s">
        <v>64</v>
      </c>
      <c r="H4702" s="3" t="s">
        <v>175</v>
      </c>
      <c r="I4702" s="65">
        <f>IFERROR(VLOOKUP(A4702,'3. Call duration'!$A:$C,3,0),"--")</f>
        <v>12.74122673</v>
      </c>
      <c r="J4702" s="65" t="str">
        <f t="array" ref="J4702">XLOOKUP(H4702,'2. Matching'!$A$2:$A$39,'2. Matching'!$B$2:$B$39,"--")</f>
        <v>SEO</v>
      </c>
      <c r="K4702" s="65" t="str">
        <f t="shared" si="1"/>
        <v>In</v>
      </c>
    </row>
    <row r="4703">
      <c r="A4703" s="62" t="s">
        <v>4841</v>
      </c>
      <c r="B4703" s="63">
        <v>44265.0</v>
      </c>
      <c r="C4703" s="62" t="s">
        <v>119</v>
      </c>
      <c r="D4703" s="64">
        <v>45.0</v>
      </c>
      <c r="E4703" s="62" t="s">
        <v>109</v>
      </c>
      <c r="F4703" s="62" t="s">
        <v>115</v>
      </c>
      <c r="G4703" s="64" t="s">
        <v>64</v>
      </c>
      <c r="H4703" s="3" t="s">
        <v>185</v>
      </c>
      <c r="I4703" s="65">
        <f>IFERROR(VLOOKUP(A4703,'3. Call duration'!$A:$C,3,0),"--")</f>
        <v>30.62997556</v>
      </c>
      <c r="J4703" s="65" t="str">
        <f t="array" ref="J4703">XLOOKUP(H4703,'2. Matching'!$A$2:$A$39,'2. Matching'!$B$2:$B$39,"--")</f>
        <v>SEO</v>
      </c>
      <c r="K4703" s="65" t="str">
        <f t="shared" si="1"/>
        <v>In</v>
      </c>
    </row>
    <row r="4704">
      <c r="A4704" s="62" t="s">
        <v>4842</v>
      </c>
      <c r="B4704" s="63">
        <v>44298.0</v>
      </c>
      <c r="C4704" s="62" t="s">
        <v>119</v>
      </c>
      <c r="D4704" s="64">
        <v>45.0</v>
      </c>
      <c r="E4704" s="62" t="s">
        <v>109</v>
      </c>
      <c r="F4704" s="62" t="s">
        <v>110</v>
      </c>
      <c r="G4704" s="64" t="s">
        <v>63</v>
      </c>
      <c r="H4704" s="3" t="s">
        <v>128</v>
      </c>
      <c r="I4704" s="65">
        <f>IFERROR(VLOOKUP(A4704,'3. Call duration'!$A:$C,3,0),"--")</f>
        <v>31.54158605</v>
      </c>
      <c r="J4704" s="65" t="str">
        <f t="array" ref="J4704">XLOOKUP(H4704,'2. Matching'!$A$2:$A$39,'2. Matching'!$B$2:$B$39,"--")</f>
        <v>Acquisition</v>
      </c>
      <c r="K4704" s="65" t="str">
        <f t="shared" si="1"/>
        <v>In</v>
      </c>
    </row>
    <row r="4705">
      <c r="A4705" s="62" t="s">
        <v>4843</v>
      </c>
      <c r="B4705" s="63">
        <v>44260.0</v>
      </c>
      <c r="C4705" s="62" t="s">
        <v>119</v>
      </c>
      <c r="D4705" s="64">
        <v>45.0</v>
      </c>
      <c r="E4705" s="62" t="s">
        <v>109</v>
      </c>
      <c r="F4705" s="62" t="s">
        <v>110</v>
      </c>
      <c r="G4705" s="64" t="s">
        <v>64</v>
      </c>
      <c r="H4705" s="3" t="s">
        <v>145</v>
      </c>
      <c r="I4705" s="65">
        <f>IFERROR(VLOOKUP(A4705,'3. Call duration'!$A:$C,3,0),"--")</f>
        <v>28.13518866</v>
      </c>
      <c r="J4705" s="65" t="str">
        <f t="array" ref="J4705">XLOOKUP(H4705,'2. Matching'!$A$2:$A$39,'2. Matching'!$B$2:$B$39,"--")</f>
        <v>SEO</v>
      </c>
      <c r="K4705" s="65" t="str">
        <f t="shared" si="1"/>
        <v>In</v>
      </c>
    </row>
    <row r="4706">
      <c r="A4706" s="62" t="s">
        <v>4844</v>
      </c>
      <c r="B4706" s="63">
        <v>44265.0</v>
      </c>
      <c r="C4706" s="62" t="s">
        <v>119</v>
      </c>
      <c r="D4706" s="64">
        <v>45.0</v>
      </c>
      <c r="E4706" s="62" t="s">
        <v>109</v>
      </c>
      <c r="F4706" s="62" t="s">
        <v>115</v>
      </c>
      <c r="G4706" s="64" t="s">
        <v>64</v>
      </c>
      <c r="H4706" s="3" t="s">
        <v>175</v>
      </c>
      <c r="I4706" s="65">
        <f>IFERROR(VLOOKUP(A4706,'3. Call duration'!$A:$C,3,0),"--")</f>
        <v>25.76405127</v>
      </c>
      <c r="J4706" s="65" t="str">
        <f t="array" ref="J4706">XLOOKUP(H4706,'2. Matching'!$A$2:$A$39,'2. Matching'!$B$2:$B$39,"--")</f>
        <v>SEO</v>
      </c>
      <c r="K4706" s="65" t="str">
        <f t="shared" si="1"/>
        <v>In</v>
      </c>
    </row>
    <row r="4707">
      <c r="A4707" s="62" t="s">
        <v>4845</v>
      </c>
      <c r="B4707" s="63">
        <v>44260.0</v>
      </c>
      <c r="C4707" s="62" t="s">
        <v>119</v>
      </c>
      <c r="D4707" s="64">
        <v>45.0</v>
      </c>
      <c r="E4707" s="62" t="s">
        <v>109</v>
      </c>
      <c r="F4707" s="62" t="s">
        <v>110</v>
      </c>
      <c r="G4707" s="64" t="s">
        <v>64</v>
      </c>
      <c r="H4707" s="3" t="s">
        <v>131</v>
      </c>
      <c r="I4707" s="65">
        <f>IFERROR(VLOOKUP(A4707,'3. Call duration'!$A:$C,3,0),"--")</f>
        <v>21.56707839</v>
      </c>
      <c r="J4707" s="65" t="str">
        <f t="array" ref="J4707">XLOOKUP(H4707,'2. Matching'!$A$2:$A$39,'2. Matching'!$B$2:$B$39,"--")</f>
        <v>Acquisition</v>
      </c>
      <c r="K4707" s="65" t="str">
        <f t="shared" si="1"/>
        <v>In</v>
      </c>
    </row>
    <row r="4708">
      <c r="A4708" s="62" t="s">
        <v>4846</v>
      </c>
      <c r="B4708" s="63">
        <v>44277.0</v>
      </c>
      <c r="C4708" s="62" t="s">
        <v>119</v>
      </c>
      <c r="D4708" s="64">
        <v>45.0</v>
      </c>
      <c r="E4708" s="62" t="s">
        <v>109</v>
      </c>
      <c r="F4708" s="62" t="s">
        <v>110</v>
      </c>
      <c r="G4708" s="64" t="s">
        <v>63</v>
      </c>
      <c r="H4708" s="3" t="s">
        <v>189</v>
      </c>
      <c r="I4708" s="65">
        <f>IFERROR(VLOOKUP(A4708,'3. Call duration'!$A:$C,3,0),"--")</f>
        <v>27.61386163</v>
      </c>
      <c r="J4708" s="65" t="str">
        <f t="array" ref="J4708">XLOOKUP(H4708,'2. Matching'!$A$2:$A$39,'2. Matching'!$B$2:$B$39,"--")</f>
        <v>SEO</v>
      </c>
      <c r="K4708" s="65" t="str">
        <f t="shared" si="1"/>
        <v>Out</v>
      </c>
    </row>
    <row r="4709">
      <c r="A4709" s="62" t="s">
        <v>4847</v>
      </c>
      <c r="B4709" s="63">
        <v>44295.0</v>
      </c>
      <c r="C4709" s="62" t="s">
        <v>119</v>
      </c>
      <c r="D4709" s="64">
        <v>45.0</v>
      </c>
      <c r="E4709" s="62" t="s">
        <v>109</v>
      </c>
      <c r="F4709" s="62" t="s">
        <v>115</v>
      </c>
      <c r="G4709" s="64" t="s">
        <v>64</v>
      </c>
      <c r="H4709" s="3" t="s">
        <v>145</v>
      </c>
      <c r="I4709" s="65">
        <f>IFERROR(VLOOKUP(A4709,'3. Call duration'!$A:$C,3,0),"--")</f>
        <v>21.43509074</v>
      </c>
      <c r="J4709" s="65" t="str">
        <f t="array" ref="J4709">XLOOKUP(H4709,'2. Matching'!$A$2:$A$39,'2. Matching'!$B$2:$B$39,"--")</f>
        <v>SEO</v>
      </c>
      <c r="K4709" s="65" t="str">
        <f t="shared" si="1"/>
        <v>In</v>
      </c>
    </row>
    <row r="4710">
      <c r="A4710" s="62" t="s">
        <v>4848</v>
      </c>
      <c r="B4710" s="63">
        <v>44267.0</v>
      </c>
      <c r="C4710" s="62" t="s">
        <v>119</v>
      </c>
      <c r="D4710" s="64">
        <v>45.0</v>
      </c>
      <c r="E4710" s="62" t="s">
        <v>109</v>
      </c>
      <c r="F4710" s="62" t="s">
        <v>115</v>
      </c>
      <c r="G4710" s="64" t="s">
        <v>64</v>
      </c>
      <c r="H4710" s="3" t="s">
        <v>221</v>
      </c>
      <c r="I4710" s="65">
        <f>IFERROR(VLOOKUP(A4710,'3. Call duration'!$A:$C,3,0),"--")</f>
        <v>44.21621675</v>
      </c>
      <c r="J4710" s="65" t="str">
        <f t="array" ref="J4710">XLOOKUP(H4710,'2. Matching'!$A$2:$A$39,'2. Matching'!$B$2:$B$39,"--")</f>
        <v>Farming</v>
      </c>
      <c r="K4710" s="65" t="str">
        <f t="shared" si="1"/>
        <v>In</v>
      </c>
    </row>
    <row r="4711">
      <c r="A4711" s="62" t="s">
        <v>4849</v>
      </c>
      <c r="B4711" s="63">
        <v>44259.0</v>
      </c>
      <c r="C4711" s="62" t="s">
        <v>119</v>
      </c>
      <c r="D4711" s="64">
        <v>45.0</v>
      </c>
      <c r="E4711" s="62" t="s">
        <v>109</v>
      </c>
      <c r="F4711" s="62" t="s">
        <v>115</v>
      </c>
      <c r="G4711" s="64" t="s">
        <v>64</v>
      </c>
      <c r="H4711" s="3" t="s">
        <v>175</v>
      </c>
      <c r="I4711" s="65">
        <f>IFERROR(VLOOKUP(A4711,'3. Call duration'!$A:$C,3,0),"--")</f>
        <v>29.56590759</v>
      </c>
      <c r="J4711" s="65" t="str">
        <f t="array" ref="J4711">XLOOKUP(H4711,'2. Matching'!$A$2:$A$39,'2. Matching'!$B$2:$B$39,"--")</f>
        <v>SEO</v>
      </c>
      <c r="K4711" s="65" t="str">
        <f t="shared" si="1"/>
        <v>In</v>
      </c>
    </row>
    <row r="4712">
      <c r="A4712" s="62" t="s">
        <v>4850</v>
      </c>
      <c r="B4712" s="63">
        <v>44280.0</v>
      </c>
      <c r="C4712" s="62" t="s">
        <v>119</v>
      </c>
      <c r="D4712" s="64">
        <v>45.0</v>
      </c>
      <c r="E4712" s="62" t="s">
        <v>109</v>
      </c>
      <c r="F4712" s="62" t="s">
        <v>115</v>
      </c>
      <c r="G4712" s="64" t="s">
        <v>64</v>
      </c>
      <c r="H4712" s="3" t="s">
        <v>164</v>
      </c>
      <c r="I4712" s="65">
        <f>IFERROR(VLOOKUP(A4712,'3. Call duration'!$A:$C,3,0),"--")</f>
        <v>27.19902502</v>
      </c>
      <c r="J4712" s="65" t="str">
        <f t="array" ref="J4712">XLOOKUP(H4712,'2. Matching'!$A$2:$A$39,'2. Matching'!$B$2:$B$39,"--")</f>
        <v>SEO</v>
      </c>
      <c r="K4712" s="65" t="str">
        <f t="shared" si="1"/>
        <v>In</v>
      </c>
    </row>
    <row r="4713">
      <c r="A4713" s="62" t="s">
        <v>4851</v>
      </c>
      <c r="B4713" s="63">
        <v>44278.0</v>
      </c>
      <c r="C4713" s="62" t="s">
        <v>119</v>
      </c>
      <c r="D4713" s="64">
        <v>45.0</v>
      </c>
      <c r="E4713" s="62" t="s">
        <v>109</v>
      </c>
      <c r="F4713" s="62" t="s">
        <v>115</v>
      </c>
      <c r="G4713" s="64" t="s">
        <v>64</v>
      </c>
      <c r="H4713" s="3" t="s">
        <v>169</v>
      </c>
      <c r="I4713" s="65">
        <f>IFERROR(VLOOKUP(A4713,'3. Call duration'!$A:$C,3,0),"--")</f>
        <v>38.29586886</v>
      </c>
      <c r="J4713" s="65" t="str">
        <f t="array" ref="J4713">XLOOKUP(H4713,'2. Matching'!$A$2:$A$39,'2. Matching'!$B$2:$B$39,"--")</f>
        <v>SEO</v>
      </c>
      <c r="K4713" s="65" t="str">
        <f t="shared" si="1"/>
        <v>In</v>
      </c>
    </row>
    <row r="4714">
      <c r="A4714" s="62" t="s">
        <v>4852</v>
      </c>
      <c r="B4714" s="63">
        <v>44298.0</v>
      </c>
      <c r="C4714" s="62" t="s">
        <v>119</v>
      </c>
      <c r="D4714" s="64">
        <v>45.0</v>
      </c>
      <c r="E4714" s="62" t="s">
        <v>109</v>
      </c>
      <c r="F4714" s="62" t="s">
        <v>115</v>
      </c>
      <c r="G4714" s="64" t="s">
        <v>64</v>
      </c>
      <c r="H4714" s="3" t="s">
        <v>131</v>
      </c>
      <c r="I4714" s="65">
        <f>IFERROR(VLOOKUP(A4714,'3. Call duration'!$A:$C,3,0),"--")</f>
        <v>32.41682648</v>
      </c>
      <c r="J4714" s="65" t="str">
        <f t="array" ref="J4714">XLOOKUP(H4714,'2. Matching'!$A$2:$A$39,'2. Matching'!$B$2:$B$39,"--")</f>
        <v>Acquisition</v>
      </c>
      <c r="K4714" s="65" t="str">
        <f t="shared" si="1"/>
        <v>In</v>
      </c>
    </row>
    <row r="4715">
      <c r="A4715" s="62" t="s">
        <v>4853</v>
      </c>
      <c r="B4715" s="63">
        <v>44264.0</v>
      </c>
      <c r="C4715" s="62" t="s">
        <v>119</v>
      </c>
      <c r="D4715" s="64">
        <v>45.0</v>
      </c>
      <c r="E4715" s="62" t="s">
        <v>109</v>
      </c>
      <c r="F4715" s="62" t="s">
        <v>115</v>
      </c>
      <c r="G4715" s="64" t="s">
        <v>64</v>
      </c>
      <c r="H4715" s="3" t="s">
        <v>139</v>
      </c>
      <c r="I4715" s="65">
        <f>IFERROR(VLOOKUP(A4715,'3. Call duration'!$A:$C,3,0),"--")</f>
        <v>31.06783621</v>
      </c>
      <c r="J4715" s="65" t="str">
        <f t="array" ref="J4715">XLOOKUP(H4715,'2. Matching'!$A$2:$A$39,'2. Matching'!$B$2:$B$39,"--")</f>
        <v>Acquisition</v>
      </c>
      <c r="K4715" s="65" t="str">
        <f t="shared" si="1"/>
        <v>In</v>
      </c>
    </row>
    <row r="4716">
      <c r="A4716" s="62" t="s">
        <v>4854</v>
      </c>
      <c r="B4716" s="63">
        <v>44272.0</v>
      </c>
      <c r="C4716" s="62" t="s">
        <v>119</v>
      </c>
      <c r="D4716" s="64">
        <v>45.0</v>
      </c>
      <c r="E4716" s="62" t="s">
        <v>109</v>
      </c>
      <c r="F4716" s="62" t="s">
        <v>115</v>
      </c>
      <c r="G4716" s="64" t="s">
        <v>64</v>
      </c>
      <c r="H4716" s="3" t="s">
        <v>139</v>
      </c>
      <c r="I4716" s="65">
        <f>IFERROR(VLOOKUP(A4716,'3. Call duration'!$A:$C,3,0),"--")</f>
        <v>13.85578377</v>
      </c>
      <c r="J4716" s="65" t="str">
        <f t="array" ref="J4716">XLOOKUP(H4716,'2. Matching'!$A$2:$A$39,'2. Matching'!$B$2:$B$39,"--")</f>
        <v>Acquisition</v>
      </c>
      <c r="K4716" s="65" t="str">
        <f t="shared" si="1"/>
        <v>In</v>
      </c>
    </row>
    <row r="4717">
      <c r="A4717" s="62" t="s">
        <v>4855</v>
      </c>
      <c r="B4717" s="63">
        <v>44260.0</v>
      </c>
      <c r="C4717" s="62" t="s">
        <v>119</v>
      </c>
      <c r="D4717" s="64">
        <v>45.0</v>
      </c>
      <c r="E4717" s="62" t="s">
        <v>109</v>
      </c>
      <c r="F4717" s="62" t="s">
        <v>110</v>
      </c>
      <c r="G4717" s="64" t="s">
        <v>64</v>
      </c>
      <c r="H4717" s="3" t="s">
        <v>185</v>
      </c>
      <c r="I4717" s="65">
        <f>IFERROR(VLOOKUP(A4717,'3. Call duration'!$A:$C,3,0),"--")</f>
        <v>47.33440177</v>
      </c>
      <c r="J4717" s="65" t="str">
        <f t="array" ref="J4717">XLOOKUP(H4717,'2. Matching'!$A$2:$A$39,'2. Matching'!$B$2:$B$39,"--")</f>
        <v>SEO</v>
      </c>
      <c r="K4717" s="65" t="str">
        <f t="shared" si="1"/>
        <v>In</v>
      </c>
    </row>
    <row r="4718">
      <c r="A4718" s="62" t="s">
        <v>4856</v>
      </c>
      <c r="B4718" s="63">
        <v>44292.0</v>
      </c>
      <c r="C4718" s="62" t="s">
        <v>119</v>
      </c>
      <c r="D4718" s="64">
        <v>45.0</v>
      </c>
      <c r="E4718" s="62" t="s">
        <v>109</v>
      </c>
      <c r="F4718" s="62" t="s">
        <v>110</v>
      </c>
      <c r="G4718" s="64" t="s">
        <v>64</v>
      </c>
      <c r="H4718" s="3" t="s">
        <v>169</v>
      </c>
      <c r="I4718" s="65">
        <f>IFERROR(VLOOKUP(A4718,'3. Call duration'!$A:$C,3,0),"--")</f>
        <v>30.87330429</v>
      </c>
      <c r="J4718" s="65" t="str">
        <f t="array" ref="J4718">XLOOKUP(H4718,'2. Matching'!$A$2:$A$39,'2. Matching'!$B$2:$B$39,"--")</f>
        <v>SEO</v>
      </c>
      <c r="K4718" s="65" t="str">
        <f t="shared" si="1"/>
        <v>In</v>
      </c>
    </row>
    <row r="4719">
      <c r="A4719" s="62" t="s">
        <v>4857</v>
      </c>
      <c r="B4719" s="63">
        <v>44271.0</v>
      </c>
      <c r="C4719" s="62" t="s">
        <v>119</v>
      </c>
      <c r="D4719" s="64">
        <v>45.0</v>
      </c>
      <c r="E4719" s="62" t="s">
        <v>109</v>
      </c>
      <c r="F4719" s="62" t="s">
        <v>115</v>
      </c>
      <c r="G4719" s="64" t="s">
        <v>64</v>
      </c>
      <c r="H4719" s="3" t="s">
        <v>139</v>
      </c>
      <c r="I4719" s="65">
        <f>IFERROR(VLOOKUP(A4719,'3. Call duration'!$A:$C,3,0),"--")</f>
        <v>22.25775573</v>
      </c>
      <c r="J4719" s="65" t="str">
        <f t="array" ref="J4719">XLOOKUP(H4719,'2. Matching'!$A$2:$A$39,'2. Matching'!$B$2:$B$39,"--")</f>
        <v>Acquisition</v>
      </c>
      <c r="K4719" s="65" t="str">
        <f t="shared" si="1"/>
        <v>In</v>
      </c>
    </row>
    <row r="4720">
      <c r="A4720" s="62" t="s">
        <v>4858</v>
      </c>
      <c r="B4720" s="63">
        <v>44263.0</v>
      </c>
      <c r="C4720" s="62" t="s">
        <v>119</v>
      </c>
      <c r="D4720" s="64">
        <v>45.0</v>
      </c>
      <c r="E4720" s="62" t="s">
        <v>109</v>
      </c>
      <c r="F4720" s="62" t="s">
        <v>115</v>
      </c>
      <c r="G4720" s="64" t="s">
        <v>64</v>
      </c>
      <c r="H4720" s="3" t="s">
        <v>131</v>
      </c>
      <c r="I4720" s="65">
        <f>IFERROR(VLOOKUP(A4720,'3. Call duration'!$A:$C,3,0),"--")</f>
        <v>24.9912758</v>
      </c>
      <c r="J4720" s="65" t="str">
        <f t="array" ref="J4720">XLOOKUP(H4720,'2. Matching'!$A$2:$A$39,'2. Matching'!$B$2:$B$39,"--")</f>
        <v>Acquisition</v>
      </c>
      <c r="K4720" s="65" t="str">
        <f t="shared" si="1"/>
        <v>In</v>
      </c>
    </row>
    <row r="4721">
      <c r="A4721" s="62" t="s">
        <v>4859</v>
      </c>
      <c r="B4721" s="63">
        <v>44306.0</v>
      </c>
      <c r="C4721" s="62" t="s">
        <v>119</v>
      </c>
      <c r="D4721" s="64">
        <v>45.0</v>
      </c>
      <c r="E4721" s="62" t="s">
        <v>109</v>
      </c>
      <c r="F4721" s="62" t="s">
        <v>110</v>
      </c>
      <c r="G4721" s="64" t="s">
        <v>64</v>
      </c>
      <c r="H4721" s="3" t="s">
        <v>52</v>
      </c>
      <c r="I4721" s="65">
        <f>IFERROR(VLOOKUP(A4721,'3. Call duration'!$A:$C,3,0),"--")</f>
        <v>10.41462018</v>
      </c>
      <c r="J4721" s="65" t="str">
        <f t="array" ref="J4721">XLOOKUP(H4721,'2. Matching'!$A$2:$A$39,'2. Matching'!$B$2:$B$39,"--")</f>
        <v>Partnerships</v>
      </c>
      <c r="K4721" s="65" t="str">
        <f t="shared" si="1"/>
        <v>In</v>
      </c>
    </row>
    <row r="4722">
      <c r="A4722" s="62" t="s">
        <v>4860</v>
      </c>
      <c r="B4722" s="63">
        <v>44282.0</v>
      </c>
      <c r="C4722" s="62" t="s">
        <v>119</v>
      </c>
      <c r="D4722" s="64">
        <v>45.0</v>
      </c>
      <c r="E4722" s="62" t="s">
        <v>109</v>
      </c>
      <c r="F4722" s="62" t="s">
        <v>115</v>
      </c>
      <c r="G4722" s="64" t="s">
        <v>64</v>
      </c>
      <c r="H4722" s="3" t="s">
        <v>139</v>
      </c>
      <c r="I4722" s="65">
        <f>IFERROR(VLOOKUP(A4722,'3. Call duration'!$A:$C,3,0),"--")</f>
        <v>33.31563141</v>
      </c>
      <c r="J4722" s="65" t="str">
        <f t="array" ref="J4722">XLOOKUP(H4722,'2. Matching'!$A$2:$A$39,'2. Matching'!$B$2:$B$39,"--")</f>
        <v>Acquisition</v>
      </c>
      <c r="K4722" s="65" t="str">
        <f t="shared" si="1"/>
        <v>In</v>
      </c>
    </row>
    <row r="4723">
      <c r="A4723" s="62" t="s">
        <v>4861</v>
      </c>
      <c r="B4723" s="63">
        <v>44277.0</v>
      </c>
      <c r="C4723" s="62" t="s">
        <v>119</v>
      </c>
      <c r="D4723" s="64">
        <v>45.0</v>
      </c>
      <c r="E4723" s="62" t="s">
        <v>109</v>
      </c>
      <c r="F4723" s="62" t="s">
        <v>115</v>
      </c>
      <c r="G4723" s="64" t="s">
        <v>64</v>
      </c>
      <c r="H4723" s="3" t="s">
        <v>52</v>
      </c>
      <c r="I4723" s="65">
        <f>IFERROR(VLOOKUP(A4723,'3. Call duration'!$A:$C,3,0),"--")</f>
        <v>22.36480602</v>
      </c>
      <c r="J4723" s="65" t="str">
        <f t="array" ref="J4723">XLOOKUP(H4723,'2. Matching'!$A$2:$A$39,'2. Matching'!$B$2:$B$39,"--")</f>
        <v>Partnerships</v>
      </c>
      <c r="K4723" s="65" t="str">
        <f t="shared" si="1"/>
        <v>In</v>
      </c>
    </row>
    <row r="4724">
      <c r="A4724" s="62" t="s">
        <v>4862</v>
      </c>
      <c r="B4724" s="63">
        <v>44267.0</v>
      </c>
      <c r="C4724" s="62" t="s">
        <v>119</v>
      </c>
      <c r="D4724" s="64">
        <v>45.0</v>
      </c>
      <c r="E4724" s="62" t="s">
        <v>109</v>
      </c>
      <c r="F4724" s="62" t="s">
        <v>115</v>
      </c>
      <c r="G4724" s="64" t="s">
        <v>64</v>
      </c>
      <c r="H4724" s="3" t="s">
        <v>175</v>
      </c>
      <c r="I4724" s="65">
        <f>IFERROR(VLOOKUP(A4724,'3. Call duration'!$A:$C,3,0),"--")</f>
        <v>13.50067191</v>
      </c>
      <c r="J4724" s="65" t="str">
        <f t="array" ref="J4724">XLOOKUP(H4724,'2. Matching'!$A$2:$A$39,'2. Matching'!$B$2:$B$39,"--")</f>
        <v>SEO</v>
      </c>
      <c r="K4724" s="65" t="str">
        <f t="shared" si="1"/>
        <v>In</v>
      </c>
    </row>
    <row r="4725">
      <c r="A4725" s="62" t="s">
        <v>4863</v>
      </c>
      <c r="B4725" s="63">
        <v>44312.0</v>
      </c>
      <c r="C4725" s="62" t="s">
        <v>119</v>
      </c>
      <c r="D4725" s="64">
        <v>45.0</v>
      </c>
      <c r="E4725" s="62" t="s">
        <v>109</v>
      </c>
      <c r="F4725" s="62" t="s">
        <v>115</v>
      </c>
      <c r="G4725" s="64" t="s">
        <v>64</v>
      </c>
      <c r="H4725" s="3" t="s">
        <v>141</v>
      </c>
      <c r="I4725" s="65" t="str">
        <f>IFERROR(VLOOKUP(A4725,'3. Call duration'!$A:$C,3,0),"--")</f>
        <v>--</v>
      </c>
      <c r="J4725" s="65" t="str">
        <f t="array" ref="J4725">XLOOKUP(H4725,'2. Matching'!$A$2:$A$39,'2. Matching'!$B$2:$B$39,"--")</f>
        <v>Acquisition</v>
      </c>
      <c r="K4725" s="65" t="str">
        <f t="shared" si="1"/>
        <v>In</v>
      </c>
    </row>
    <row r="4726">
      <c r="A4726" s="62" t="s">
        <v>4864</v>
      </c>
      <c r="B4726" s="63">
        <v>44277.0</v>
      </c>
      <c r="C4726" s="62" t="s">
        <v>119</v>
      </c>
      <c r="D4726" s="64">
        <v>45.0</v>
      </c>
      <c r="E4726" s="62" t="s">
        <v>109</v>
      </c>
      <c r="F4726" s="62" t="s">
        <v>115</v>
      </c>
      <c r="G4726" s="64" t="s">
        <v>64</v>
      </c>
      <c r="H4726" s="3" t="s">
        <v>169</v>
      </c>
      <c r="I4726" s="65">
        <f>IFERROR(VLOOKUP(A4726,'3. Call duration'!$A:$C,3,0),"--")</f>
        <v>12.70252789</v>
      </c>
      <c r="J4726" s="65" t="str">
        <f t="array" ref="J4726">XLOOKUP(H4726,'2. Matching'!$A$2:$A$39,'2. Matching'!$B$2:$B$39,"--")</f>
        <v>SEO</v>
      </c>
      <c r="K4726" s="65" t="str">
        <f t="shared" si="1"/>
        <v>In</v>
      </c>
    </row>
    <row r="4727">
      <c r="A4727" s="62" t="s">
        <v>4865</v>
      </c>
      <c r="B4727" s="63">
        <v>44278.0</v>
      </c>
      <c r="C4727" s="62" t="s">
        <v>119</v>
      </c>
      <c r="D4727" s="64">
        <v>45.0</v>
      </c>
      <c r="E4727" s="62" t="s">
        <v>109</v>
      </c>
      <c r="F4727" s="62" t="s">
        <v>115</v>
      </c>
      <c r="G4727" s="64" t="s">
        <v>64</v>
      </c>
      <c r="H4727" s="3" t="s">
        <v>116</v>
      </c>
      <c r="I4727" s="65">
        <f>IFERROR(VLOOKUP(A4727,'3. Call duration'!$A:$C,3,0),"--")</f>
        <v>44.38555969</v>
      </c>
      <c r="J4727" s="65" t="str">
        <f t="array" ref="J4727">XLOOKUP(H4727,'2. Matching'!$A$2:$A$39,'2. Matching'!$B$2:$B$39,"--")</f>
        <v>Acquisition</v>
      </c>
      <c r="K4727" s="65" t="str">
        <f t="shared" si="1"/>
        <v>In</v>
      </c>
    </row>
    <row r="4728">
      <c r="A4728" s="62" t="s">
        <v>4866</v>
      </c>
      <c r="B4728" s="63">
        <v>44278.0</v>
      </c>
      <c r="C4728" s="62" t="s">
        <v>119</v>
      </c>
      <c r="D4728" s="64">
        <v>45.0</v>
      </c>
      <c r="E4728" s="62" t="s">
        <v>109</v>
      </c>
      <c r="F4728" s="62" t="s">
        <v>110</v>
      </c>
      <c r="G4728" s="64" t="s">
        <v>64</v>
      </c>
      <c r="H4728" s="3" t="s">
        <v>175</v>
      </c>
      <c r="I4728" s="65" t="str">
        <f>IFERROR(VLOOKUP(A4728,'3. Call duration'!$A:$C,3,0),"--")</f>
        <v>--</v>
      </c>
      <c r="J4728" s="65" t="str">
        <f t="array" ref="J4728">XLOOKUP(H4728,'2. Matching'!$A$2:$A$39,'2. Matching'!$B$2:$B$39,"--")</f>
        <v>SEO</v>
      </c>
      <c r="K4728" s="65" t="str">
        <f t="shared" si="1"/>
        <v>In</v>
      </c>
    </row>
    <row r="4729">
      <c r="A4729" s="62" t="s">
        <v>4867</v>
      </c>
      <c r="B4729" s="63">
        <v>44294.0</v>
      </c>
      <c r="C4729" s="62" t="s">
        <v>119</v>
      </c>
      <c r="D4729" s="64">
        <v>45.0</v>
      </c>
      <c r="E4729" s="62" t="s">
        <v>109</v>
      </c>
      <c r="F4729" s="62" t="s">
        <v>110</v>
      </c>
      <c r="G4729" s="64" t="s">
        <v>64</v>
      </c>
      <c r="H4729" s="3" t="s">
        <v>185</v>
      </c>
      <c r="I4729" s="65">
        <f>IFERROR(VLOOKUP(A4729,'3. Call duration'!$A:$C,3,0),"--")</f>
        <v>11.10308358</v>
      </c>
      <c r="J4729" s="65" t="str">
        <f t="array" ref="J4729">XLOOKUP(H4729,'2. Matching'!$A$2:$A$39,'2. Matching'!$B$2:$B$39,"--")</f>
        <v>SEO</v>
      </c>
      <c r="K4729" s="65" t="str">
        <f t="shared" si="1"/>
        <v>In</v>
      </c>
    </row>
    <row r="4730">
      <c r="A4730" s="62" t="s">
        <v>4868</v>
      </c>
      <c r="B4730" s="63">
        <v>44258.0</v>
      </c>
      <c r="C4730" s="62" t="s">
        <v>119</v>
      </c>
      <c r="D4730" s="64">
        <v>45.0</v>
      </c>
      <c r="E4730" s="62" t="s">
        <v>109</v>
      </c>
      <c r="F4730" s="62" t="s">
        <v>115</v>
      </c>
      <c r="G4730" s="64" t="s">
        <v>64</v>
      </c>
      <c r="H4730" s="3" t="s">
        <v>139</v>
      </c>
      <c r="I4730" s="65">
        <f>IFERROR(VLOOKUP(A4730,'3. Call duration'!$A:$C,3,0),"--")</f>
        <v>26.29255424</v>
      </c>
      <c r="J4730" s="65" t="str">
        <f t="array" ref="J4730">XLOOKUP(H4730,'2. Matching'!$A$2:$A$39,'2. Matching'!$B$2:$B$39,"--")</f>
        <v>Acquisition</v>
      </c>
      <c r="K4730" s="65" t="str">
        <f t="shared" si="1"/>
        <v>In</v>
      </c>
    </row>
    <row r="4731">
      <c r="A4731" s="62" t="s">
        <v>4869</v>
      </c>
      <c r="B4731" s="63">
        <v>44267.0</v>
      </c>
      <c r="C4731" s="62" t="s">
        <v>119</v>
      </c>
      <c r="D4731" s="64">
        <v>45.0</v>
      </c>
      <c r="E4731" s="62" t="s">
        <v>109</v>
      </c>
      <c r="F4731" s="62" t="s">
        <v>110</v>
      </c>
      <c r="G4731" s="64" t="s">
        <v>64</v>
      </c>
      <c r="H4731" s="3" t="s">
        <v>169</v>
      </c>
      <c r="I4731" s="65">
        <f>IFERROR(VLOOKUP(A4731,'3. Call duration'!$A:$C,3,0),"--")</f>
        <v>32.72822525</v>
      </c>
      <c r="J4731" s="65" t="str">
        <f t="array" ref="J4731">XLOOKUP(H4731,'2. Matching'!$A$2:$A$39,'2. Matching'!$B$2:$B$39,"--")</f>
        <v>SEO</v>
      </c>
      <c r="K4731" s="65" t="str">
        <f t="shared" si="1"/>
        <v>In</v>
      </c>
    </row>
    <row r="4732">
      <c r="A4732" s="62" t="s">
        <v>4870</v>
      </c>
      <c r="B4732" s="63">
        <v>44256.0</v>
      </c>
      <c r="C4732" s="62" t="s">
        <v>119</v>
      </c>
      <c r="D4732" s="64">
        <v>45.0</v>
      </c>
      <c r="E4732" s="62" t="s">
        <v>109</v>
      </c>
      <c r="F4732" s="62" t="s">
        <v>115</v>
      </c>
      <c r="G4732" s="64" t="s">
        <v>64</v>
      </c>
      <c r="H4732" s="3" t="s">
        <v>141</v>
      </c>
      <c r="I4732" s="65">
        <f>IFERROR(VLOOKUP(A4732,'3. Call duration'!$A:$C,3,0),"--")</f>
        <v>22.15316637</v>
      </c>
      <c r="J4732" s="65" t="str">
        <f t="array" ref="J4732">XLOOKUP(H4732,'2. Matching'!$A$2:$A$39,'2. Matching'!$B$2:$B$39,"--")</f>
        <v>Acquisition</v>
      </c>
      <c r="K4732" s="65" t="str">
        <f t="shared" si="1"/>
        <v>In</v>
      </c>
    </row>
    <row r="4733">
      <c r="A4733" s="62" t="s">
        <v>4871</v>
      </c>
      <c r="B4733" s="63">
        <v>44277.0</v>
      </c>
      <c r="C4733" s="62" t="s">
        <v>119</v>
      </c>
      <c r="D4733" s="64">
        <v>45.0</v>
      </c>
      <c r="E4733" s="62" t="s">
        <v>109</v>
      </c>
      <c r="F4733" s="62" t="s">
        <v>115</v>
      </c>
      <c r="G4733" s="64" t="s">
        <v>64</v>
      </c>
      <c r="H4733" s="3" t="s">
        <v>116</v>
      </c>
      <c r="I4733" s="65" t="str">
        <f>IFERROR(VLOOKUP(A4733,'3. Call duration'!$A:$C,3,0),"--")</f>
        <v>--</v>
      </c>
      <c r="J4733" s="65" t="str">
        <f t="array" ref="J4733">XLOOKUP(H4733,'2. Matching'!$A$2:$A$39,'2. Matching'!$B$2:$B$39,"--")</f>
        <v>Acquisition</v>
      </c>
      <c r="K4733" s="65" t="str">
        <f t="shared" si="1"/>
        <v>In</v>
      </c>
    </row>
    <row r="4734">
      <c r="A4734" s="62" t="s">
        <v>4872</v>
      </c>
      <c r="B4734" s="63">
        <v>44307.0</v>
      </c>
      <c r="C4734" s="62" t="s">
        <v>119</v>
      </c>
      <c r="D4734" s="64">
        <v>45.0</v>
      </c>
      <c r="E4734" s="62" t="s">
        <v>109</v>
      </c>
      <c r="F4734" s="62" t="s">
        <v>110</v>
      </c>
      <c r="G4734" s="64" t="s">
        <v>64</v>
      </c>
      <c r="H4734" s="3" t="s">
        <v>145</v>
      </c>
      <c r="I4734" s="65">
        <f>IFERROR(VLOOKUP(A4734,'3. Call duration'!$A:$C,3,0),"--")</f>
        <v>15.3816971</v>
      </c>
      <c r="J4734" s="65" t="str">
        <f t="array" ref="J4734">XLOOKUP(H4734,'2. Matching'!$A$2:$A$39,'2. Matching'!$B$2:$B$39,"--")</f>
        <v>SEO</v>
      </c>
      <c r="K4734" s="65" t="str">
        <f t="shared" si="1"/>
        <v>In</v>
      </c>
    </row>
    <row r="4735">
      <c r="A4735" s="62" t="s">
        <v>4873</v>
      </c>
      <c r="B4735" s="63">
        <v>44313.0</v>
      </c>
      <c r="C4735" s="62" t="s">
        <v>119</v>
      </c>
      <c r="D4735" s="64">
        <v>45.0</v>
      </c>
      <c r="E4735" s="62" t="s">
        <v>109</v>
      </c>
      <c r="F4735" s="62" t="s">
        <v>110</v>
      </c>
      <c r="G4735" s="64" t="s">
        <v>64</v>
      </c>
      <c r="H4735" s="3" t="s">
        <v>49</v>
      </c>
      <c r="I4735" s="65">
        <f>IFERROR(VLOOKUP(A4735,'3. Call duration'!$A:$C,3,0),"--")</f>
        <v>21.00747197</v>
      </c>
      <c r="J4735" s="65" t="str">
        <f t="array" ref="J4735">XLOOKUP(H4735,'2. Matching'!$A$2:$A$39,'2. Matching'!$B$2:$B$39,"--")</f>
        <v>Partnerships</v>
      </c>
      <c r="K4735" s="65" t="str">
        <f t="shared" si="1"/>
        <v>In</v>
      </c>
    </row>
    <row r="4736">
      <c r="A4736" s="62" t="s">
        <v>4874</v>
      </c>
      <c r="B4736" s="63">
        <v>44313.0</v>
      </c>
      <c r="C4736" s="62" t="s">
        <v>119</v>
      </c>
      <c r="D4736" s="64">
        <v>45.0</v>
      </c>
      <c r="E4736" s="62" t="s">
        <v>109</v>
      </c>
      <c r="F4736" s="62" t="s">
        <v>110</v>
      </c>
      <c r="G4736" s="64" t="s">
        <v>64</v>
      </c>
      <c r="H4736" s="3" t="s">
        <v>49</v>
      </c>
      <c r="I4736" s="65">
        <f>IFERROR(VLOOKUP(A4736,'3. Call duration'!$A:$C,3,0),"--")</f>
        <v>7.233910561</v>
      </c>
      <c r="J4736" s="65" t="str">
        <f t="array" ref="J4736">XLOOKUP(H4736,'2. Matching'!$A$2:$A$39,'2. Matching'!$B$2:$B$39,"--")</f>
        <v>Partnerships</v>
      </c>
      <c r="K4736" s="65" t="str">
        <f t="shared" si="1"/>
        <v>In</v>
      </c>
    </row>
    <row r="4737">
      <c r="A4737" s="62" t="s">
        <v>4875</v>
      </c>
      <c r="B4737" s="63">
        <v>44265.0</v>
      </c>
      <c r="C4737" s="62" t="s">
        <v>119</v>
      </c>
      <c r="D4737" s="64">
        <v>45.0</v>
      </c>
      <c r="E4737" s="62" t="s">
        <v>109</v>
      </c>
      <c r="F4737" s="62" t="s">
        <v>110</v>
      </c>
      <c r="G4737" s="64" t="s">
        <v>64</v>
      </c>
      <c r="H4737" s="3" t="s">
        <v>185</v>
      </c>
      <c r="I4737" s="65">
        <f>IFERROR(VLOOKUP(A4737,'3. Call duration'!$A:$C,3,0),"--")</f>
        <v>30.45451688</v>
      </c>
      <c r="J4737" s="65" t="str">
        <f t="array" ref="J4737">XLOOKUP(H4737,'2. Matching'!$A$2:$A$39,'2. Matching'!$B$2:$B$39,"--")</f>
        <v>SEO</v>
      </c>
      <c r="K4737" s="65" t="str">
        <f t="shared" si="1"/>
        <v>In</v>
      </c>
    </row>
    <row r="4738">
      <c r="A4738" s="62" t="s">
        <v>4876</v>
      </c>
      <c r="B4738" s="63">
        <v>44309.0</v>
      </c>
      <c r="C4738" s="62" t="s">
        <v>119</v>
      </c>
      <c r="D4738" s="64">
        <v>45.0</v>
      </c>
      <c r="E4738" s="62" t="s">
        <v>109</v>
      </c>
      <c r="F4738" s="62" t="s">
        <v>115</v>
      </c>
      <c r="G4738" s="64" t="s">
        <v>64</v>
      </c>
      <c r="H4738" s="3" t="s">
        <v>55</v>
      </c>
      <c r="I4738" s="65">
        <f>IFERROR(VLOOKUP(A4738,'3. Call duration'!$A:$C,3,0),"--")</f>
        <v>15.34476078</v>
      </c>
      <c r="J4738" s="65" t="str">
        <f t="array" ref="J4738">XLOOKUP(H4738,'2. Matching'!$A$2:$A$39,'2. Matching'!$B$2:$B$39,"--")</f>
        <v>Partnerships</v>
      </c>
      <c r="K4738" s="65" t="str">
        <f t="shared" si="1"/>
        <v>In</v>
      </c>
    </row>
    <row r="4739">
      <c r="A4739" s="62" t="s">
        <v>4877</v>
      </c>
      <c r="B4739" s="63">
        <v>44278.0</v>
      </c>
      <c r="C4739" s="62" t="s">
        <v>119</v>
      </c>
      <c r="D4739" s="64">
        <v>45.0</v>
      </c>
      <c r="E4739" s="62" t="s">
        <v>109</v>
      </c>
      <c r="F4739" s="62" t="s">
        <v>110</v>
      </c>
      <c r="G4739" s="64" t="s">
        <v>64</v>
      </c>
      <c r="H4739" s="3" t="s">
        <v>185</v>
      </c>
      <c r="I4739" s="65">
        <f>IFERROR(VLOOKUP(A4739,'3. Call duration'!$A:$C,3,0),"--")</f>
        <v>25.78466116</v>
      </c>
      <c r="J4739" s="65" t="str">
        <f t="array" ref="J4739">XLOOKUP(H4739,'2. Matching'!$A$2:$A$39,'2. Matching'!$B$2:$B$39,"--")</f>
        <v>SEO</v>
      </c>
      <c r="K4739" s="65" t="str">
        <f t="shared" si="1"/>
        <v>In</v>
      </c>
    </row>
    <row r="4740">
      <c r="A4740" s="62" t="s">
        <v>4878</v>
      </c>
      <c r="B4740" s="63">
        <v>44295.0</v>
      </c>
      <c r="C4740" s="62" t="s">
        <v>119</v>
      </c>
      <c r="D4740" s="64">
        <v>45.0</v>
      </c>
      <c r="E4740" s="62" t="s">
        <v>109</v>
      </c>
      <c r="F4740" s="62" t="s">
        <v>115</v>
      </c>
      <c r="G4740" s="64" t="s">
        <v>64</v>
      </c>
      <c r="H4740" s="3" t="s">
        <v>141</v>
      </c>
      <c r="I4740" s="65">
        <f>IFERROR(VLOOKUP(A4740,'3. Call duration'!$A:$C,3,0),"--")</f>
        <v>33.38302628</v>
      </c>
      <c r="J4740" s="65" t="str">
        <f t="array" ref="J4740">XLOOKUP(H4740,'2. Matching'!$A$2:$A$39,'2. Matching'!$B$2:$B$39,"--")</f>
        <v>Acquisition</v>
      </c>
      <c r="K4740" s="65" t="str">
        <f t="shared" si="1"/>
        <v>In</v>
      </c>
    </row>
    <row r="4741">
      <c r="A4741" s="62" t="s">
        <v>4879</v>
      </c>
      <c r="B4741" s="63">
        <v>44313.0</v>
      </c>
      <c r="C4741" s="62" t="s">
        <v>119</v>
      </c>
      <c r="D4741" s="64">
        <v>45.0</v>
      </c>
      <c r="E4741" s="62" t="s">
        <v>109</v>
      </c>
      <c r="F4741" s="62" t="s">
        <v>110</v>
      </c>
      <c r="G4741" s="64" t="s">
        <v>64</v>
      </c>
      <c r="H4741" s="3" t="s">
        <v>49</v>
      </c>
      <c r="I4741" s="65">
        <f>IFERROR(VLOOKUP(A4741,'3. Call duration'!$A:$C,3,0),"--")</f>
        <v>17.4916061</v>
      </c>
      <c r="J4741" s="65" t="str">
        <f t="array" ref="J4741">XLOOKUP(H4741,'2. Matching'!$A$2:$A$39,'2. Matching'!$B$2:$B$39,"--")</f>
        <v>Partnerships</v>
      </c>
      <c r="K4741" s="65" t="str">
        <f t="shared" si="1"/>
        <v>In</v>
      </c>
    </row>
    <row r="4742">
      <c r="A4742" s="62" t="s">
        <v>4880</v>
      </c>
      <c r="B4742" s="63">
        <v>44258.0</v>
      </c>
      <c r="C4742" s="62" t="s">
        <v>119</v>
      </c>
      <c r="D4742" s="64">
        <v>45.0</v>
      </c>
      <c r="E4742" s="62" t="s">
        <v>109</v>
      </c>
      <c r="F4742" s="62" t="s">
        <v>115</v>
      </c>
      <c r="G4742" s="64" t="s">
        <v>64</v>
      </c>
      <c r="H4742" s="3" t="s">
        <v>155</v>
      </c>
      <c r="I4742" s="65">
        <f>IFERROR(VLOOKUP(A4742,'3. Call duration'!$A:$C,3,0),"--")</f>
        <v>26.67288619</v>
      </c>
      <c r="J4742" s="65" t="str">
        <f t="array" ref="J4742">XLOOKUP(H4742,'2. Matching'!$A$2:$A$39,'2. Matching'!$B$2:$B$39,"--")</f>
        <v>SEO</v>
      </c>
      <c r="K4742" s="65" t="str">
        <f t="shared" si="1"/>
        <v>In</v>
      </c>
    </row>
    <row r="4743">
      <c r="A4743" s="62" t="s">
        <v>4881</v>
      </c>
      <c r="B4743" s="63">
        <v>44306.0</v>
      </c>
      <c r="C4743" s="62" t="s">
        <v>119</v>
      </c>
      <c r="D4743" s="64">
        <v>45.0</v>
      </c>
      <c r="E4743" s="62" t="s">
        <v>109</v>
      </c>
      <c r="F4743" s="62" t="s">
        <v>115</v>
      </c>
      <c r="G4743" s="64" t="s">
        <v>64</v>
      </c>
      <c r="H4743" s="3" t="s">
        <v>131</v>
      </c>
      <c r="I4743" s="65">
        <f>IFERROR(VLOOKUP(A4743,'3. Call duration'!$A:$C,3,0),"--")</f>
        <v>20.40341704</v>
      </c>
      <c r="J4743" s="65" t="str">
        <f t="array" ref="J4743">XLOOKUP(H4743,'2. Matching'!$A$2:$A$39,'2. Matching'!$B$2:$B$39,"--")</f>
        <v>Acquisition</v>
      </c>
      <c r="K4743" s="65" t="str">
        <f t="shared" si="1"/>
        <v>In</v>
      </c>
    </row>
    <row r="4744">
      <c r="A4744" s="62" t="s">
        <v>4882</v>
      </c>
      <c r="B4744" s="63">
        <v>44281.0</v>
      </c>
      <c r="C4744" s="62" t="s">
        <v>119</v>
      </c>
      <c r="D4744" s="64">
        <v>45.0</v>
      </c>
      <c r="E4744" s="62" t="s">
        <v>109</v>
      </c>
      <c r="F4744" s="62" t="s">
        <v>110</v>
      </c>
      <c r="G4744" s="64" t="s">
        <v>64</v>
      </c>
      <c r="H4744" s="3" t="s">
        <v>116</v>
      </c>
      <c r="I4744" s="65">
        <f>IFERROR(VLOOKUP(A4744,'3. Call duration'!$A:$C,3,0),"--")</f>
        <v>26.59370847</v>
      </c>
      <c r="J4744" s="65" t="str">
        <f t="array" ref="J4744">XLOOKUP(H4744,'2. Matching'!$A$2:$A$39,'2. Matching'!$B$2:$B$39,"--")</f>
        <v>Acquisition</v>
      </c>
      <c r="K4744" s="65" t="str">
        <f t="shared" si="1"/>
        <v>In</v>
      </c>
    </row>
    <row r="4745">
      <c r="A4745" s="62" t="s">
        <v>4883</v>
      </c>
      <c r="B4745" s="63">
        <v>44263.0</v>
      </c>
      <c r="C4745" s="62" t="s">
        <v>119</v>
      </c>
      <c r="D4745" s="64">
        <v>45.0</v>
      </c>
      <c r="E4745" s="62" t="s">
        <v>109</v>
      </c>
      <c r="F4745" s="62" t="s">
        <v>115</v>
      </c>
      <c r="G4745" s="64" t="s">
        <v>64</v>
      </c>
      <c r="H4745" s="3" t="s">
        <v>139</v>
      </c>
      <c r="I4745" s="65">
        <f>IFERROR(VLOOKUP(A4745,'3. Call duration'!$A:$C,3,0),"--")</f>
        <v>36.95446813</v>
      </c>
      <c r="J4745" s="65" t="str">
        <f t="array" ref="J4745">XLOOKUP(H4745,'2. Matching'!$A$2:$A$39,'2. Matching'!$B$2:$B$39,"--")</f>
        <v>Acquisition</v>
      </c>
      <c r="K4745" s="65" t="str">
        <f t="shared" si="1"/>
        <v>In</v>
      </c>
    </row>
    <row r="4746">
      <c r="A4746" s="62" t="s">
        <v>4884</v>
      </c>
      <c r="B4746" s="63">
        <v>44295.0</v>
      </c>
      <c r="C4746" s="62" t="s">
        <v>119</v>
      </c>
      <c r="D4746" s="64">
        <v>45.0</v>
      </c>
      <c r="E4746" s="62" t="s">
        <v>109</v>
      </c>
      <c r="F4746" s="62" t="s">
        <v>110</v>
      </c>
      <c r="G4746" s="64" t="s">
        <v>64</v>
      </c>
      <c r="H4746" s="3" t="s">
        <v>52</v>
      </c>
      <c r="I4746" s="65">
        <f>IFERROR(VLOOKUP(A4746,'3. Call duration'!$A:$C,3,0),"--")</f>
        <v>15.70262363</v>
      </c>
      <c r="J4746" s="65" t="str">
        <f t="array" ref="J4746">XLOOKUP(H4746,'2. Matching'!$A$2:$A$39,'2. Matching'!$B$2:$B$39,"--")</f>
        <v>Partnerships</v>
      </c>
      <c r="K4746" s="65" t="str">
        <f t="shared" si="1"/>
        <v>In</v>
      </c>
    </row>
    <row r="4747">
      <c r="A4747" s="62" t="s">
        <v>4885</v>
      </c>
      <c r="B4747" s="63">
        <v>44301.0</v>
      </c>
      <c r="C4747" s="62" t="s">
        <v>119</v>
      </c>
      <c r="D4747" s="64">
        <v>45.0</v>
      </c>
      <c r="E4747" s="62" t="s">
        <v>109</v>
      </c>
      <c r="F4747" s="62" t="s">
        <v>115</v>
      </c>
      <c r="G4747" s="64" t="s">
        <v>64</v>
      </c>
      <c r="H4747" s="3" t="s">
        <v>164</v>
      </c>
      <c r="I4747" s="65">
        <f>IFERROR(VLOOKUP(A4747,'3. Call duration'!$A:$C,3,0),"--")</f>
        <v>24.45041434</v>
      </c>
      <c r="J4747" s="65" t="str">
        <f t="array" ref="J4747">XLOOKUP(H4747,'2. Matching'!$A$2:$A$39,'2. Matching'!$B$2:$B$39,"--")</f>
        <v>SEO</v>
      </c>
      <c r="K4747" s="65" t="str">
        <f t="shared" si="1"/>
        <v>In</v>
      </c>
    </row>
    <row r="4748">
      <c r="A4748" s="62" t="s">
        <v>4886</v>
      </c>
      <c r="B4748" s="63">
        <v>44279.0</v>
      </c>
      <c r="C4748" s="62" t="s">
        <v>119</v>
      </c>
      <c r="D4748" s="64">
        <v>45.0</v>
      </c>
      <c r="E4748" s="62" t="s">
        <v>109</v>
      </c>
      <c r="F4748" s="62" t="s">
        <v>115</v>
      </c>
      <c r="G4748" s="64" t="s">
        <v>62</v>
      </c>
      <c r="H4748" s="3" t="s">
        <v>203</v>
      </c>
      <c r="I4748" s="65">
        <f>IFERROR(VLOOKUP(A4748,'3. Call duration'!$A:$C,3,0),"--")</f>
        <v>40.25078356</v>
      </c>
      <c r="J4748" s="65" t="str">
        <f t="array" ref="J4748">XLOOKUP(H4748,'2. Matching'!$A$2:$A$39,'2. Matching'!$B$2:$B$39,"--")</f>
        <v>Farming</v>
      </c>
      <c r="K4748" s="65" t="str">
        <f t="shared" si="1"/>
        <v>In</v>
      </c>
    </row>
    <row r="4749">
      <c r="A4749" s="62" t="s">
        <v>4887</v>
      </c>
      <c r="B4749" s="63">
        <v>44279.0</v>
      </c>
      <c r="C4749" s="62" t="s">
        <v>119</v>
      </c>
      <c r="D4749" s="64">
        <v>45.0</v>
      </c>
      <c r="E4749" s="62" t="s">
        <v>109</v>
      </c>
      <c r="F4749" s="62" t="s">
        <v>115</v>
      </c>
      <c r="G4749" s="64" t="s">
        <v>64</v>
      </c>
      <c r="H4749" s="3" t="s">
        <v>185</v>
      </c>
      <c r="I4749" s="65">
        <f>IFERROR(VLOOKUP(A4749,'3. Call duration'!$A:$C,3,0),"--")</f>
        <v>30.37346565</v>
      </c>
      <c r="J4749" s="65" t="str">
        <f t="array" ref="J4749">XLOOKUP(H4749,'2. Matching'!$A$2:$A$39,'2. Matching'!$B$2:$B$39,"--")</f>
        <v>SEO</v>
      </c>
      <c r="K4749" s="65" t="str">
        <f t="shared" si="1"/>
        <v>In</v>
      </c>
    </row>
    <row r="4750">
      <c r="A4750" s="62" t="s">
        <v>4888</v>
      </c>
      <c r="B4750" s="63">
        <v>44307.0</v>
      </c>
      <c r="C4750" s="62" t="s">
        <v>119</v>
      </c>
      <c r="D4750" s="64">
        <v>45.0</v>
      </c>
      <c r="E4750" s="62" t="s">
        <v>109</v>
      </c>
      <c r="F4750" s="62" t="s">
        <v>115</v>
      </c>
      <c r="G4750" s="64" t="s">
        <v>64</v>
      </c>
      <c r="H4750" s="3" t="s">
        <v>185</v>
      </c>
      <c r="I4750" s="65">
        <f>IFERROR(VLOOKUP(A4750,'3. Call duration'!$A:$C,3,0),"--")</f>
        <v>22.40908545</v>
      </c>
      <c r="J4750" s="65" t="str">
        <f t="array" ref="J4750">XLOOKUP(H4750,'2. Matching'!$A$2:$A$39,'2. Matching'!$B$2:$B$39,"--")</f>
        <v>SEO</v>
      </c>
      <c r="K4750" s="65" t="str">
        <f t="shared" si="1"/>
        <v>In</v>
      </c>
    </row>
    <row r="4751">
      <c r="A4751" s="62" t="s">
        <v>4889</v>
      </c>
      <c r="B4751" s="63">
        <v>44278.0</v>
      </c>
      <c r="C4751" s="62" t="s">
        <v>119</v>
      </c>
      <c r="D4751" s="64">
        <v>45.0</v>
      </c>
      <c r="E4751" s="62" t="s">
        <v>109</v>
      </c>
      <c r="F4751" s="62" t="s">
        <v>115</v>
      </c>
      <c r="G4751" s="64" t="s">
        <v>64</v>
      </c>
      <c r="H4751" s="3" t="s">
        <v>185</v>
      </c>
      <c r="I4751" s="65" t="str">
        <f>IFERROR(VLOOKUP(A4751,'3. Call duration'!$A:$C,3,0),"--")</f>
        <v>--</v>
      </c>
      <c r="J4751" s="65" t="str">
        <f t="array" ref="J4751">XLOOKUP(H4751,'2. Matching'!$A$2:$A$39,'2. Matching'!$B$2:$B$39,"--")</f>
        <v>SEO</v>
      </c>
      <c r="K4751" s="65" t="str">
        <f t="shared" si="1"/>
        <v>In</v>
      </c>
    </row>
    <row r="4752">
      <c r="A4752" s="62" t="s">
        <v>4890</v>
      </c>
      <c r="B4752" s="63">
        <v>44278.0</v>
      </c>
      <c r="C4752" s="62" t="s">
        <v>119</v>
      </c>
      <c r="D4752" s="64">
        <v>45.0</v>
      </c>
      <c r="E4752" s="62" t="s">
        <v>109</v>
      </c>
      <c r="F4752" s="62" t="s">
        <v>115</v>
      </c>
      <c r="G4752" s="64" t="s">
        <v>64</v>
      </c>
      <c r="H4752" s="3" t="s">
        <v>185</v>
      </c>
      <c r="I4752" s="65">
        <f>IFERROR(VLOOKUP(A4752,'3. Call duration'!$A:$C,3,0),"--")</f>
        <v>22.76241705</v>
      </c>
      <c r="J4752" s="65" t="str">
        <f t="array" ref="J4752">XLOOKUP(H4752,'2. Matching'!$A$2:$A$39,'2. Matching'!$B$2:$B$39,"--")</f>
        <v>SEO</v>
      </c>
      <c r="K4752" s="65" t="str">
        <f t="shared" si="1"/>
        <v>In</v>
      </c>
    </row>
    <row r="4753">
      <c r="A4753" s="62" t="s">
        <v>4891</v>
      </c>
      <c r="B4753" s="63">
        <v>44259.0</v>
      </c>
      <c r="C4753" s="62" t="s">
        <v>119</v>
      </c>
      <c r="D4753" s="64">
        <v>45.0</v>
      </c>
      <c r="E4753" s="62" t="s">
        <v>109</v>
      </c>
      <c r="F4753" s="62" t="s">
        <v>115</v>
      </c>
      <c r="G4753" s="64" t="s">
        <v>64</v>
      </c>
      <c r="H4753" s="3" t="s">
        <v>139</v>
      </c>
      <c r="I4753" s="65">
        <f>IFERROR(VLOOKUP(A4753,'3. Call duration'!$A:$C,3,0),"--")</f>
        <v>32.32208561</v>
      </c>
      <c r="J4753" s="65" t="str">
        <f t="array" ref="J4753">XLOOKUP(H4753,'2. Matching'!$A$2:$A$39,'2. Matching'!$B$2:$B$39,"--")</f>
        <v>Acquisition</v>
      </c>
      <c r="K4753" s="65" t="str">
        <f t="shared" si="1"/>
        <v>In</v>
      </c>
    </row>
    <row r="4754">
      <c r="A4754" s="62" t="s">
        <v>4892</v>
      </c>
      <c r="B4754" s="63">
        <v>44259.0</v>
      </c>
      <c r="C4754" s="62" t="s">
        <v>119</v>
      </c>
      <c r="D4754" s="64">
        <v>45.0</v>
      </c>
      <c r="E4754" s="62" t="s">
        <v>109</v>
      </c>
      <c r="F4754" s="62" t="s">
        <v>115</v>
      </c>
      <c r="G4754" s="64" t="s">
        <v>64</v>
      </c>
      <c r="H4754" s="3" t="s">
        <v>221</v>
      </c>
      <c r="I4754" s="65">
        <f>IFERROR(VLOOKUP(A4754,'3. Call duration'!$A:$C,3,0),"--")</f>
        <v>33.1276262</v>
      </c>
      <c r="J4754" s="65" t="str">
        <f t="array" ref="J4754">XLOOKUP(H4754,'2. Matching'!$A$2:$A$39,'2. Matching'!$B$2:$B$39,"--")</f>
        <v>Farming</v>
      </c>
      <c r="K4754" s="65" t="str">
        <f t="shared" si="1"/>
        <v>In</v>
      </c>
    </row>
    <row r="4755">
      <c r="A4755" s="62" t="s">
        <v>4893</v>
      </c>
      <c r="B4755" s="63">
        <v>44278.0</v>
      </c>
      <c r="C4755" s="62" t="s">
        <v>119</v>
      </c>
      <c r="D4755" s="64">
        <v>45.0</v>
      </c>
      <c r="E4755" s="62" t="s">
        <v>109</v>
      </c>
      <c r="F4755" s="62" t="s">
        <v>110</v>
      </c>
      <c r="G4755" s="64" t="s">
        <v>64</v>
      </c>
      <c r="H4755" s="3" t="s">
        <v>175</v>
      </c>
      <c r="I4755" s="65">
        <f>IFERROR(VLOOKUP(A4755,'3. Call duration'!$A:$C,3,0),"--")</f>
        <v>22.30305139</v>
      </c>
      <c r="J4755" s="65" t="str">
        <f t="array" ref="J4755">XLOOKUP(H4755,'2. Matching'!$A$2:$A$39,'2. Matching'!$B$2:$B$39,"--")</f>
        <v>SEO</v>
      </c>
      <c r="K4755" s="65" t="str">
        <f t="shared" si="1"/>
        <v>In</v>
      </c>
    </row>
    <row r="4756">
      <c r="A4756" s="62" t="s">
        <v>4894</v>
      </c>
      <c r="B4756" s="63">
        <v>44277.0</v>
      </c>
      <c r="C4756" s="62" t="s">
        <v>119</v>
      </c>
      <c r="D4756" s="64">
        <v>45.0</v>
      </c>
      <c r="E4756" s="62" t="s">
        <v>109</v>
      </c>
      <c r="F4756" s="62" t="s">
        <v>115</v>
      </c>
      <c r="G4756" s="64" t="s">
        <v>64</v>
      </c>
      <c r="H4756" s="3" t="s">
        <v>155</v>
      </c>
      <c r="I4756" s="65">
        <f>IFERROR(VLOOKUP(A4756,'3. Call duration'!$A:$C,3,0),"--")</f>
        <v>33.63816307</v>
      </c>
      <c r="J4756" s="65" t="str">
        <f t="array" ref="J4756">XLOOKUP(H4756,'2. Matching'!$A$2:$A$39,'2. Matching'!$B$2:$B$39,"--")</f>
        <v>SEO</v>
      </c>
      <c r="K4756" s="65" t="str">
        <f t="shared" si="1"/>
        <v>In</v>
      </c>
    </row>
    <row r="4757">
      <c r="A4757" s="62" t="s">
        <v>4895</v>
      </c>
      <c r="B4757" s="63">
        <v>44273.0</v>
      </c>
      <c r="C4757" s="62" t="s">
        <v>119</v>
      </c>
      <c r="D4757" s="64">
        <v>45.0</v>
      </c>
      <c r="E4757" s="62" t="s">
        <v>109</v>
      </c>
      <c r="F4757" s="62" t="s">
        <v>115</v>
      </c>
      <c r="G4757" s="64" t="s">
        <v>64</v>
      </c>
      <c r="H4757" s="3" t="s">
        <v>139</v>
      </c>
      <c r="I4757" s="65">
        <f>IFERROR(VLOOKUP(A4757,'3. Call duration'!$A:$C,3,0),"--")</f>
        <v>28.05946038</v>
      </c>
      <c r="J4757" s="65" t="str">
        <f t="array" ref="J4757">XLOOKUP(H4757,'2. Matching'!$A$2:$A$39,'2. Matching'!$B$2:$B$39,"--")</f>
        <v>Acquisition</v>
      </c>
      <c r="K4757" s="65" t="str">
        <f t="shared" si="1"/>
        <v>In</v>
      </c>
    </row>
    <row r="4758">
      <c r="A4758" s="62" t="s">
        <v>4896</v>
      </c>
      <c r="B4758" s="63">
        <v>44274.0</v>
      </c>
      <c r="C4758" s="62" t="s">
        <v>119</v>
      </c>
      <c r="D4758" s="64">
        <v>45.0</v>
      </c>
      <c r="E4758" s="62" t="s">
        <v>109</v>
      </c>
      <c r="F4758" s="62" t="s">
        <v>110</v>
      </c>
      <c r="G4758" s="64" t="s">
        <v>64</v>
      </c>
      <c r="H4758" s="3" t="s">
        <v>52</v>
      </c>
      <c r="I4758" s="65">
        <f>IFERROR(VLOOKUP(A4758,'3. Call duration'!$A:$C,3,0),"--")</f>
        <v>26.5710165</v>
      </c>
      <c r="J4758" s="65" t="str">
        <f t="array" ref="J4758">XLOOKUP(H4758,'2. Matching'!$A$2:$A$39,'2. Matching'!$B$2:$B$39,"--")</f>
        <v>Partnerships</v>
      </c>
      <c r="K4758" s="65" t="str">
        <f t="shared" si="1"/>
        <v>In</v>
      </c>
    </row>
    <row r="4759">
      <c r="A4759" s="62" t="s">
        <v>4897</v>
      </c>
      <c r="B4759" s="63">
        <v>44316.0</v>
      </c>
      <c r="C4759" s="62" t="s">
        <v>119</v>
      </c>
      <c r="D4759" s="64">
        <v>45.0</v>
      </c>
      <c r="E4759" s="62" t="s">
        <v>109</v>
      </c>
      <c r="F4759" s="62" t="s">
        <v>115</v>
      </c>
      <c r="G4759" s="64" t="s">
        <v>64</v>
      </c>
      <c r="H4759" s="3" t="s">
        <v>185</v>
      </c>
      <c r="I4759" s="65">
        <f>IFERROR(VLOOKUP(A4759,'3. Call duration'!$A:$C,3,0),"--")</f>
        <v>46.93271434</v>
      </c>
      <c r="J4759" s="65" t="str">
        <f t="array" ref="J4759">XLOOKUP(H4759,'2. Matching'!$A$2:$A$39,'2. Matching'!$B$2:$B$39,"--")</f>
        <v>SEO</v>
      </c>
      <c r="K4759" s="65" t="str">
        <f t="shared" si="1"/>
        <v>In</v>
      </c>
    </row>
    <row r="4760">
      <c r="A4760" s="62" t="s">
        <v>4898</v>
      </c>
      <c r="B4760" s="63">
        <v>44307.0</v>
      </c>
      <c r="C4760" s="62" t="s">
        <v>119</v>
      </c>
      <c r="D4760" s="64">
        <v>45.0</v>
      </c>
      <c r="E4760" s="62" t="s">
        <v>109</v>
      </c>
      <c r="F4760" s="62" t="s">
        <v>115</v>
      </c>
      <c r="G4760" s="64" t="s">
        <v>64</v>
      </c>
      <c r="H4760" s="3" t="s">
        <v>155</v>
      </c>
      <c r="I4760" s="65">
        <f>IFERROR(VLOOKUP(A4760,'3. Call duration'!$A:$C,3,0),"--")</f>
        <v>28.70423215</v>
      </c>
      <c r="J4760" s="65" t="str">
        <f t="array" ref="J4760">XLOOKUP(H4760,'2. Matching'!$A$2:$A$39,'2. Matching'!$B$2:$B$39,"--")</f>
        <v>SEO</v>
      </c>
      <c r="K4760" s="65" t="str">
        <f t="shared" si="1"/>
        <v>In</v>
      </c>
    </row>
    <row r="4761">
      <c r="A4761" s="62" t="s">
        <v>4899</v>
      </c>
      <c r="B4761" s="63">
        <v>44257.0</v>
      </c>
      <c r="C4761" s="62" t="s">
        <v>119</v>
      </c>
      <c r="D4761" s="64">
        <v>45.0</v>
      </c>
      <c r="E4761" s="62" t="s">
        <v>109</v>
      </c>
      <c r="F4761" s="62" t="s">
        <v>115</v>
      </c>
      <c r="G4761" s="64" t="s">
        <v>64</v>
      </c>
      <c r="H4761" s="3" t="s">
        <v>139</v>
      </c>
      <c r="I4761" s="65">
        <f>IFERROR(VLOOKUP(A4761,'3. Call duration'!$A:$C,3,0),"--")</f>
        <v>16.59730226</v>
      </c>
      <c r="J4761" s="65" t="str">
        <f t="array" ref="J4761">XLOOKUP(H4761,'2. Matching'!$A$2:$A$39,'2. Matching'!$B$2:$B$39,"--")</f>
        <v>Acquisition</v>
      </c>
      <c r="K4761" s="65" t="str">
        <f t="shared" si="1"/>
        <v>In</v>
      </c>
    </row>
    <row r="4762">
      <c r="A4762" s="62" t="s">
        <v>4900</v>
      </c>
      <c r="B4762" s="63">
        <v>44267.0</v>
      </c>
      <c r="C4762" s="62" t="s">
        <v>119</v>
      </c>
      <c r="D4762" s="64">
        <v>45.0</v>
      </c>
      <c r="E4762" s="62" t="s">
        <v>109</v>
      </c>
      <c r="F4762" s="62" t="s">
        <v>115</v>
      </c>
      <c r="G4762" s="64" t="s">
        <v>62</v>
      </c>
      <c r="H4762" s="3" t="s">
        <v>286</v>
      </c>
      <c r="I4762" s="65">
        <f>IFERROR(VLOOKUP(A4762,'3. Call duration'!$A:$C,3,0),"--")</f>
        <v>30.19505554</v>
      </c>
      <c r="J4762" s="65" t="str">
        <f t="array" ref="J4762">XLOOKUP(H4762,'2. Matching'!$A$2:$A$39,'2. Matching'!$B$2:$B$39,"--")</f>
        <v>Farming</v>
      </c>
      <c r="K4762" s="65" t="str">
        <f t="shared" si="1"/>
        <v>In</v>
      </c>
    </row>
    <row r="4763">
      <c r="A4763" s="62" t="s">
        <v>4901</v>
      </c>
      <c r="B4763" s="63">
        <v>44262.0</v>
      </c>
      <c r="C4763" s="62" t="s">
        <v>119</v>
      </c>
      <c r="D4763" s="64">
        <v>45.0</v>
      </c>
      <c r="E4763" s="62" t="s">
        <v>109</v>
      </c>
      <c r="F4763" s="62" t="s">
        <v>115</v>
      </c>
      <c r="G4763" s="64" t="s">
        <v>64</v>
      </c>
      <c r="H4763" s="3" t="s">
        <v>155</v>
      </c>
      <c r="I4763" s="65">
        <f>IFERROR(VLOOKUP(A4763,'3. Call duration'!$A:$C,3,0),"--")</f>
        <v>22.29413844</v>
      </c>
      <c r="J4763" s="65" t="str">
        <f t="array" ref="J4763">XLOOKUP(H4763,'2. Matching'!$A$2:$A$39,'2. Matching'!$B$2:$B$39,"--")</f>
        <v>SEO</v>
      </c>
      <c r="K4763" s="65" t="str">
        <f t="shared" si="1"/>
        <v>In</v>
      </c>
    </row>
    <row r="4764">
      <c r="A4764" s="62" t="s">
        <v>4902</v>
      </c>
      <c r="B4764" s="63">
        <v>44307.0</v>
      </c>
      <c r="C4764" s="62" t="s">
        <v>119</v>
      </c>
      <c r="D4764" s="64">
        <v>45.0</v>
      </c>
      <c r="E4764" s="62" t="s">
        <v>109</v>
      </c>
      <c r="F4764" s="62" t="s">
        <v>110</v>
      </c>
      <c r="G4764" s="64" t="s">
        <v>64</v>
      </c>
      <c r="H4764" s="3" t="s">
        <v>52</v>
      </c>
      <c r="I4764" s="65">
        <f>IFERROR(VLOOKUP(A4764,'3. Call duration'!$A:$C,3,0),"--")</f>
        <v>14.56772204</v>
      </c>
      <c r="J4764" s="65" t="str">
        <f t="array" ref="J4764">XLOOKUP(H4764,'2. Matching'!$A$2:$A$39,'2. Matching'!$B$2:$B$39,"--")</f>
        <v>Partnerships</v>
      </c>
      <c r="K4764" s="65" t="str">
        <f t="shared" si="1"/>
        <v>In</v>
      </c>
    </row>
    <row r="4765">
      <c r="A4765" s="62" t="s">
        <v>4903</v>
      </c>
      <c r="B4765" s="63">
        <v>44266.0</v>
      </c>
      <c r="C4765" s="62" t="s">
        <v>119</v>
      </c>
      <c r="D4765" s="64">
        <v>45.0</v>
      </c>
      <c r="E4765" s="62" t="s">
        <v>109</v>
      </c>
      <c r="F4765" s="62" t="s">
        <v>110</v>
      </c>
      <c r="G4765" s="64" t="s">
        <v>63</v>
      </c>
      <c r="H4765" s="3" t="s">
        <v>128</v>
      </c>
      <c r="I4765" s="65">
        <f>IFERROR(VLOOKUP(A4765,'3. Call duration'!$A:$C,3,0),"--")</f>
        <v>33.23542215</v>
      </c>
      <c r="J4765" s="65" t="str">
        <f t="array" ref="J4765">XLOOKUP(H4765,'2. Matching'!$A$2:$A$39,'2. Matching'!$B$2:$B$39,"--")</f>
        <v>Acquisition</v>
      </c>
      <c r="K4765" s="65" t="str">
        <f t="shared" si="1"/>
        <v>In</v>
      </c>
    </row>
    <row r="4766">
      <c r="A4766" s="62" t="s">
        <v>4904</v>
      </c>
      <c r="B4766" s="63">
        <v>44307.0</v>
      </c>
      <c r="C4766" s="62" t="s">
        <v>119</v>
      </c>
      <c r="D4766" s="64">
        <v>45.0</v>
      </c>
      <c r="E4766" s="62" t="s">
        <v>109</v>
      </c>
      <c r="F4766" s="62" t="s">
        <v>115</v>
      </c>
      <c r="G4766" s="64" t="s">
        <v>64</v>
      </c>
      <c r="H4766" s="3" t="s">
        <v>297</v>
      </c>
      <c r="I4766" s="65">
        <f>IFERROR(VLOOKUP(A4766,'3. Call duration'!$A:$C,3,0),"--")</f>
        <v>14.26823406</v>
      </c>
      <c r="J4766" s="65" t="str">
        <f t="array" ref="J4766">XLOOKUP(H4766,'2. Matching'!$A$2:$A$39,'2. Matching'!$B$2:$B$39,"--")</f>
        <v>Farming</v>
      </c>
      <c r="K4766" s="65" t="str">
        <f t="shared" si="1"/>
        <v>In</v>
      </c>
    </row>
    <row r="4767">
      <c r="A4767" s="62" t="s">
        <v>4905</v>
      </c>
      <c r="B4767" s="63">
        <v>44263.0</v>
      </c>
      <c r="C4767" s="62" t="s">
        <v>119</v>
      </c>
      <c r="D4767" s="64">
        <v>45.0</v>
      </c>
      <c r="E4767" s="62" t="s">
        <v>109</v>
      </c>
      <c r="F4767" s="62" t="s">
        <v>110</v>
      </c>
      <c r="G4767" s="64" t="s">
        <v>64</v>
      </c>
      <c r="H4767" s="3" t="s">
        <v>297</v>
      </c>
      <c r="I4767" s="65">
        <f>IFERROR(VLOOKUP(A4767,'3. Call duration'!$A:$C,3,0),"--")</f>
        <v>30.90598046</v>
      </c>
      <c r="J4767" s="65" t="str">
        <f t="array" ref="J4767">XLOOKUP(H4767,'2. Matching'!$A$2:$A$39,'2. Matching'!$B$2:$B$39,"--")</f>
        <v>Farming</v>
      </c>
      <c r="K4767" s="65" t="str">
        <f t="shared" si="1"/>
        <v>In</v>
      </c>
    </row>
    <row r="4768">
      <c r="A4768" s="62" t="s">
        <v>4906</v>
      </c>
      <c r="B4768" s="63">
        <v>44273.0</v>
      </c>
      <c r="C4768" s="62" t="s">
        <v>119</v>
      </c>
      <c r="D4768" s="64">
        <v>45.0</v>
      </c>
      <c r="E4768" s="62" t="s">
        <v>109</v>
      </c>
      <c r="F4768" s="62" t="s">
        <v>110</v>
      </c>
      <c r="G4768" s="64" t="s">
        <v>64</v>
      </c>
      <c r="H4768" s="3" t="s">
        <v>169</v>
      </c>
      <c r="I4768" s="65">
        <f>IFERROR(VLOOKUP(A4768,'3. Call duration'!$A:$C,3,0),"--")</f>
        <v>31.62060269</v>
      </c>
      <c r="J4768" s="65" t="str">
        <f t="array" ref="J4768">XLOOKUP(H4768,'2. Matching'!$A$2:$A$39,'2. Matching'!$B$2:$B$39,"--")</f>
        <v>SEO</v>
      </c>
      <c r="K4768" s="65" t="str">
        <f t="shared" si="1"/>
        <v>In</v>
      </c>
    </row>
    <row r="4769">
      <c r="A4769" s="62" t="s">
        <v>4907</v>
      </c>
      <c r="B4769" s="63">
        <v>44275.0</v>
      </c>
      <c r="C4769" s="62" t="s">
        <v>119</v>
      </c>
      <c r="D4769" s="64">
        <v>45.0</v>
      </c>
      <c r="E4769" s="62" t="s">
        <v>109</v>
      </c>
      <c r="F4769" s="62" t="s">
        <v>110</v>
      </c>
      <c r="G4769" s="64" t="s">
        <v>64</v>
      </c>
      <c r="H4769" s="3" t="s">
        <v>297</v>
      </c>
      <c r="I4769" s="65">
        <f>IFERROR(VLOOKUP(A4769,'3. Call duration'!$A:$C,3,0),"--")</f>
        <v>33.33274483</v>
      </c>
      <c r="J4769" s="65" t="str">
        <f t="array" ref="J4769">XLOOKUP(H4769,'2. Matching'!$A$2:$A$39,'2. Matching'!$B$2:$B$39,"--")</f>
        <v>Farming</v>
      </c>
      <c r="K4769" s="65" t="str">
        <f t="shared" si="1"/>
        <v>In</v>
      </c>
    </row>
    <row r="4770">
      <c r="A4770" s="62" t="s">
        <v>4908</v>
      </c>
      <c r="B4770" s="63">
        <v>44268.0</v>
      </c>
      <c r="C4770" s="62" t="s">
        <v>119</v>
      </c>
      <c r="D4770" s="64">
        <v>45.0</v>
      </c>
      <c r="E4770" s="62" t="s">
        <v>109</v>
      </c>
      <c r="F4770" s="62" t="s">
        <v>115</v>
      </c>
      <c r="G4770" s="64" t="s">
        <v>64</v>
      </c>
      <c r="H4770" s="3" t="s">
        <v>139</v>
      </c>
      <c r="I4770" s="65" t="str">
        <f>IFERROR(VLOOKUP(A4770,'3. Call duration'!$A:$C,3,0),"--")</f>
        <v>--</v>
      </c>
      <c r="J4770" s="65" t="str">
        <f t="array" ref="J4770">XLOOKUP(H4770,'2. Matching'!$A$2:$A$39,'2. Matching'!$B$2:$B$39,"--")</f>
        <v>Acquisition</v>
      </c>
      <c r="K4770" s="65" t="str">
        <f t="shared" si="1"/>
        <v>In</v>
      </c>
    </row>
    <row r="4771">
      <c r="A4771" s="62" t="s">
        <v>4909</v>
      </c>
      <c r="B4771" s="63">
        <v>44293.0</v>
      </c>
      <c r="C4771" s="62" t="s">
        <v>119</v>
      </c>
      <c r="D4771" s="64">
        <v>45.0</v>
      </c>
      <c r="E4771" s="62" t="s">
        <v>109</v>
      </c>
      <c r="F4771" s="62" t="s">
        <v>115</v>
      </c>
      <c r="G4771" s="64" t="s">
        <v>63</v>
      </c>
      <c r="H4771" s="3" t="s">
        <v>189</v>
      </c>
      <c r="I4771" s="65">
        <f>IFERROR(VLOOKUP(A4771,'3. Call duration'!$A:$C,3,0),"--")</f>
        <v>32.7901706</v>
      </c>
      <c r="J4771" s="65" t="str">
        <f t="array" ref="J4771">XLOOKUP(H4771,'2. Matching'!$A$2:$A$39,'2. Matching'!$B$2:$B$39,"--")</f>
        <v>SEO</v>
      </c>
      <c r="K4771" s="65" t="str">
        <f t="shared" si="1"/>
        <v>Out</v>
      </c>
    </row>
    <row r="4772">
      <c r="A4772" s="62" t="s">
        <v>4910</v>
      </c>
      <c r="B4772" s="63">
        <v>44274.0</v>
      </c>
      <c r="C4772" s="62" t="s">
        <v>119</v>
      </c>
      <c r="D4772" s="64">
        <v>45.0</v>
      </c>
      <c r="E4772" s="62" t="s">
        <v>109</v>
      </c>
      <c r="F4772" s="62" t="s">
        <v>110</v>
      </c>
      <c r="G4772" s="64" t="s">
        <v>64</v>
      </c>
      <c r="H4772" s="3" t="s">
        <v>297</v>
      </c>
      <c r="I4772" s="65">
        <f>IFERROR(VLOOKUP(A4772,'3. Call duration'!$A:$C,3,0),"--")</f>
        <v>31.57364909</v>
      </c>
      <c r="J4772" s="65" t="str">
        <f t="array" ref="J4772">XLOOKUP(H4772,'2. Matching'!$A$2:$A$39,'2. Matching'!$B$2:$B$39,"--")</f>
        <v>Farming</v>
      </c>
      <c r="K4772" s="65" t="str">
        <f t="shared" si="1"/>
        <v>In</v>
      </c>
    </row>
    <row r="4773">
      <c r="A4773" s="62" t="s">
        <v>4911</v>
      </c>
      <c r="B4773" s="63">
        <v>44313.0</v>
      </c>
      <c r="C4773" s="62" t="s">
        <v>119</v>
      </c>
      <c r="D4773" s="64">
        <v>45.0</v>
      </c>
      <c r="E4773" s="62" t="s">
        <v>109</v>
      </c>
      <c r="F4773" s="62" t="s">
        <v>115</v>
      </c>
      <c r="G4773" s="64" t="s">
        <v>64</v>
      </c>
      <c r="H4773" s="3" t="s">
        <v>116</v>
      </c>
      <c r="I4773" s="65">
        <f>IFERROR(VLOOKUP(A4773,'3. Call duration'!$A:$C,3,0),"--")</f>
        <v>26.24379213</v>
      </c>
      <c r="J4773" s="65" t="str">
        <f t="array" ref="J4773">XLOOKUP(H4773,'2. Matching'!$A$2:$A$39,'2. Matching'!$B$2:$B$39,"--")</f>
        <v>Acquisition</v>
      </c>
      <c r="K4773" s="65" t="str">
        <f t="shared" si="1"/>
        <v>In</v>
      </c>
    </row>
    <row r="4774">
      <c r="A4774" s="62" t="s">
        <v>4912</v>
      </c>
      <c r="B4774" s="63">
        <v>44306.0</v>
      </c>
      <c r="C4774" s="62" t="s">
        <v>119</v>
      </c>
      <c r="D4774" s="64">
        <v>45.0</v>
      </c>
      <c r="E4774" s="62" t="s">
        <v>109</v>
      </c>
      <c r="F4774" s="62" t="s">
        <v>115</v>
      </c>
      <c r="G4774" s="64" t="s">
        <v>63</v>
      </c>
      <c r="H4774" s="3" t="s">
        <v>189</v>
      </c>
      <c r="I4774" s="65">
        <f>IFERROR(VLOOKUP(A4774,'3. Call duration'!$A:$C,3,0),"--")</f>
        <v>26.71004106</v>
      </c>
      <c r="J4774" s="65" t="str">
        <f t="array" ref="J4774">XLOOKUP(H4774,'2. Matching'!$A$2:$A$39,'2. Matching'!$B$2:$B$39,"--")</f>
        <v>SEO</v>
      </c>
      <c r="K4774" s="65" t="str">
        <f t="shared" si="1"/>
        <v>Out</v>
      </c>
    </row>
    <row r="4775">
      <c r="A4775" s="62" t="s">
        <v>4913</v>
      </c>
      <c r="B4775" s="63">
        <v>44263.0</v>
      </c>
      <c r="C4775" s="62" t="s">
        <v>119</v>
      </c>
      <c r="D4775" s="64">
        <v>45.0</v>
      </c>
      <c r="E4775" s="62" t="s">
        <v>109</v>
      </c>
      <c r="F4775" s="62" t="s">
        <v>115</v>
      </c>
      <c r="G4775" s="64" t="s">
        <v>64</v>
      </c>
      <c r="H4775" s="3" t="s">
        <v>175</v>
      </c>
      <c r="I4775" s="65">
        <f>IFERROR(VLOOKUP(A4775,'3. Call duration'!$A:$C,3,0),"--")</f>
        <v>33.01854819</v>
      </c>
      <c r="J4775" s="65" t="str">
        <f t="array" ref="J4775">XLOOKUP(H4775,'2. Matching'!$A$2:$A$39,'2. Matching'!$B$2:$B$39,"--")</f>
        <v>SEO</v>
      </c>
      <c r="K4775" s="65" t="str">
        <f t="shared" si="1"/>
        <v>In</v>
      </c>
    </row>
    <row r="4776">
      <c r="A4776" s="62" t="s">
        <v>4914</v>
      </c>
      <c r="B4776" s="63">
        <v>44280.0</v>
      </c>
      <c r="C4776" s="62" t="s">
        <v>119</v>
      </c>
      <c r="D4776" s="64">
        <v>45.0</v>
      </c>
      <c r="E4776" s="62" t="s">
        <v>109</v>
      </c>
      <c r="F4776" s="62" t="s">
        <v>115</v>
      </c>
      <c r="G4776" s="64" t="s">
        <v>63</v>
      </c>
      <c r="H4776" s="3" t="s">
        <v>189</v>
      </c>
      <c r="I4776" s="65">
        <f>IFERROR(VLOOKUP(A4776,'3. Call duration'!$A:$C,3,0),"--")</f>
        <v>27.9314543</v>
      </c>
      <c r="J4776" s="65" t="str">
        <f t="array" ref="J4776">XLOOKUP(H4776,'2. Matching'!$A$2:$A$39,'2. Matching'!$B$2:$B$39,"--")</f>
        <v>SEO</v>
      </c>
      <c r="K4776" s="65" t="str">
        <f t="shared" si="1"/>
        <v>Out</v>
      </c>
    </row>
    <row r="4777">
      <c r="A4777" s="62" t="s">
        <v>4915</v>
      </c>
      <c r="B4777" s="63">
        <v>44292.0</v>
      </c>
      <c r="C4777" s="62" t="s">
        <v>119</v>
      </c>
      <c r="D4777" s="64">
        <v>45.0</v>
      </c>
      <c r="E4777" s="62" t="s">
        <v>109</v>
      </c>
      <c r="F4777" s="62" t="s">
        <v>110</v>
      </c>
      <c r="G4777" s="64" t="s">
        <v>64</v>
      </c>
      <c r="H4777" s="3" t="s">
        <v>164</v>
      </c>
      <c r="I4777" s="65">
        <f>IFERROR(VLOOKUP(A4777,'3. Call duration'!$A:$C,3,0),"--")</f>
        <v>23.49923371</v>
      </c>
      <c r="J4777" s="65" t="str">
        <f t="array" ref="J4777">XLOOKUP(H4777,'2. Matching'!$A$2:$A$39,'2. Matching'!$B$2:$B$39,"--")</f>
        <v>SEO</v>
      </c>
      <c r="K4777" s="65" t="str">
        <f t="shared" si="1"/>
        <v>In</v>
      </c>
    </row>
    <row r="4778">
      <c r="A4778" s="62" t="s">
        <v>4916</v>
      </c>
      <c r="B4778" s="63">
        <v>44277.0</v>
      </c>
      <c r="C4778" s="62" t="s">
        <v>119</v>
      </c>
      <c r="D4778" s="64">
        <v>45.0</v>
      </c>
      <c r="E4778" s="62" t="s">
        <v>109</v>
      </c>
      <c r="F4778" s="62" t="s">
        <v>115</v>
      </c>
      <c r="G4778" s="64" t="s">
        <v>64</v>
      </c>
      <c r="H4778" s="3" t="s">
        <v>164</v>
      </c>
      <c r="I4778" s="65">
        <f>IFERROR(VLOOKUP(A4778,'3. Call duration'!$A:$C,3,0),"--")</f>
        <v>20.51308969</v>
      </c>
      <c r="J4778" s="65" t="str">
        <f t="array" ref="J4778">XLOOKUP(H4778,'2. Matching'!$A$2:$A$39,'2. Matching'!$B$2:$B$39,"--")</f>
        <v>SEO</v>
      </c>
      <c r="K4778" s="65" t="str">
        <f t="shared" si="1"/>
        <v>In</v>
      </c>
    </row>
    <row r="4779">
      <c r="A4779" s="62" t="s">
        <v>4917</v>
      </c>
      <c r="B4779" s="63">
        <v>44277.0</v>
      </c>
      <c r="C4779" s="62" t="s">
        <v>119</v>
      </c>
      <c r="D4779" s="64">
        <v>45.0</v>
      </c>
      <c r="E4779" s="62" t="s">
        <v>109</v>
      </c>
      <c r="F4779" s="62" t="s">
        <v>115</v>
      </c>
      <c r="G4779" s="64" t="s">
        <v>64</v>
      </c>
      <c r="H4779" s="3" t="s">
        <v>169</v>
      </c>
      <c r="I4779" s="65">
        <f>IFERROR(VLOOKUP(A4779,'3. Call duration'!$A:$C,3,0),"--")</f>
        <v>31.90794475</v>
      </c>
      <c r="J4779" s="65" t="str">
        <f t="array" ref="J4779">XLOOKUP(H4779,'2. Matching'!$A$2:$A$39,'2. Matching'!$B$2:$B$39,"--")</f>
        <v>SEO</v>
      </c>
      <c r="K4779" s="65" t="str">
        <f t="shared" si="1"/>
        <v>In</v>
      </c>
    </row>
    <row r="4780">
      <c r="A4780" s="62" t="s">
        <v>4918</v>
      </c>
      <c r="B4780" s="63">
        <v>44306.0</v>
      </c>
      <c r="C4780" s="62" t="s">
        <v>119</v>
      </c>
      <c r="D4780" s="64">
        <v>45.0</v>
      </c>
      <c r="E4780" s="62" t="s">
        <v>109</v>
      </c>
      <c r="F4780" s="62" t="s">
        <v>115</v>
      </c>
      <c r="G4780" s="64" t="s">
        <v>64</v>
      </c>
      <c r="H4780" s="3" t="s">
        <v>175</v>
      </c>
      <c r="I4780" s="65">
        <f>IFERROR(VLOOKUP(A4780,'3. Call duration'!$A:$C,3,0),"--")</f>
        <v>20.05909438</v>
      </c>
      <c r="J4780" s="65" t="str">
        <f t="array" ref="J4780">XLOOKUP(H4780,'2. Matching'!$A$2:$A$39,'2. Matching'!$B$2:$B$39,"--")</f>
        <v>SEO</v>
      </c>
      <c r="K4780" s="65" t="str">
        <f t="shared" si="1"/>
        <v>In</v>
      </c>
    </row>
    <row r="4781">
      <c r="A4781" s="62" t="s">
        <v>4919</v>
      </c>
      <c r="B4781" s="63">
        <v>44270.0</v>
      </c>
      <c r="C4781" s="62" t="s">
        <v>119</v>
      </c>
      <c r="D4781" s="64">
        <v>45.0</v>
      </c>
      <c r="E4781" s="62" t="s">
        <v>109</v>
      </c>
      <c r="F4781" s="62" t="s">
        <v>115</v>
      </c>
      <c r="G4781" s="64" t="s">
        <v>64</v>
      </c>
      <c r="H4781" s="3" t="s">
        <v>164</v>
      </c>
      <c r="I4781" s="65">
        <f>IFERROR(VLOOKUP(A4781,'3. Call duration'!$A:$C,3,0),"--")</f>
        <v>31.80587718</v>
      </c>
      <c r="J4781" s="65" t="str">
        <f t="array" ref="J4781">XLOOKUP(H4781,'2. Matching'!$A$2:$A$39,'2. Matching'!$B$2:$B$39,"--")</f>
        <v>SEO</v>
      </c>
      <c r="K4781" s="65" t="str">
        <f t="shared" si="1"/>
        <v>In</v>
      </c>
    </row>
    <row r="4782">
      <c r="A4782" s="62" t="s">
        <v>4920</v>
      </c>
      <c r="B4782" s="63">
        <v>44302.0</v>
      </c>
      <c r="C4782" s="62" t="s">
        <v>119</v>
      </c>
      <c r="D4782" s="64">
        <v>45.0</v>
      </c>
      <c r="E4782" s="62" t="s">
        <v>109</v>
      </c>
      <c r="F4782" s="62" t="s">
        <v>110</v>
      </c>
      <c r="G4782" s="64" t="s">
        <v>64</v>
      </c>
      <c r="H4782" s="3" t="s">
        <v>116</v>
      </c>
      <c r="I4782" s="65">
        <f>IFERROR(VLOOKUP(A4782,'3. Call duration'!$A:$C,3,0),"--")</f>
        <v>32.34953394</v>
      </c>
      <c r="J4782" s="65" t="str">
        <f t="array" ref="J4782">XLOOKUP(H4782,'2. Matching'!$A$2:$A$39,'2. Matching'!$B$2:$B$39,"--")</f>
        <v>Acquisition</v>
      </c>
      <c r="K4782" s="65" t="str">
        <f t="shared" si="1"/>
        <v>In</v>
      </c>
    </row>
    <row r="4783">
      <c r="A4783" s="62" t="s">
        <v>4921</v>
      </c>
      <c r="B4783" s="63">
        <v>44278.0</v>
      </c>
      <c r="C4783" s="62" t="s">
        <v>119</v>
      </c>
      <c r="D4783" s="64">
        <v>45.0</v>
      </c>
      <c r="E4783" s="62" t="s">
        <v>109</v>
      </c>
      <c r="F4783" s="62" t="s">
        <v>115</v>
      </c>
      <c r="G4783" s="64" t="s">
        <v>64</v>
      </c>
      <c r="H4783" s="3" t="s">
        <v>164</v>
      </c>
      <c r="I4783" s="65">
        <f>IFERROR(VLOOKUP(A4783,'3. Call duration'!$A:$C,3,0),"--")</f>
        <v>27.56784455</v>
      </c>
      <c r="J4783" s="65" t="str">
        <f t="array" ref="J4783">XLOOKUP(H4783,'2. Matching'!$A$2:$A$39,'2. Matching'!$B$2:$B$39,"--")</f>
        <v>SEO</v>
      </c>
      <c r="K4783" s="65" t="str">
        <f t="shared" si="1"/>
        <v>In</v>
      </c>
    </row>
    <row r="4784">
      <c r="A4784" s="62" t="s">
        <v>4922</v>
      </c>
      <c r="B4784" s="63">
        <v>44315.0</v>
      </c>
      <c r="C4784" s="62" t="s">
        <v>119</v>
      </c>
      <c r="D4784" s="64">
        <v>45.0</v>
      </c>
      <c r="E4784" s="62" t="s">
        <v>109</v>
      </c>
      <c r="F4784" s="62" t="s">
        <v>110</v>
      </c>
      <c r="G4784" s="64" t="s">
        <v>63</v>
      </c>
      <c r="H4784" s="3" t="s">
        <v>189</v>
      </c>
      <c r="I4784" s="65">
        <f>IFERROR(VLOOKUP(A4784,'3. Call duration'!$A:$C,3,0),"--")</f>
        <v>24.92827864</v>
      </c>
      <c r="J4784" s="65" t="str">
        <f t="array" ref="J4784">XLOOKUP(H4784,'2. Matching'!$A$2:$A$39,'2. Matching'!$B$2:$B$39,"--")</f>
        <v>SEO</v>
      </c>
      <c r="K4784" s="65" t="str">
        <f t="shared" si="1"/>
        <v>Out</v>
      </c>
    </row>
    <row r="4785">
      <c r="A4785" s="62" t="s">
        <v>4923</v>
      </c>
      <c r="B4785" s="63">
        <v>44278.0</v>
      </c>
      <c r="C4785" s="62" t="s">
        <v>119</v>
      </c>
      <c r="D4785" s="64">
        <v>45.0</v>
      </c>
      <c r="E4785" s="62" t="s">
        <v>109</v>
      </c>
      <c r="F4785" s="62" t="s">
        <v>110</v>
      </c>
      <c r="G4785" s="64" t="s">
        <v>64</v>
      </c>
      <c r="H4785" s="3" t="s">
        <v>52</v>
      </c>
      <c r="I4785" s="65">
        <f>IFERROR(VLOOKUP(A4785,'3. Call duration'!$A:$C,3,0),"--")</f>
        <v>18.80858719</v>
      </c>
      <c r="J4785" s="65" t="str">
        <f t="array" ref="J4785">XLOOKUP(H4785,'2. Matching'!$A$2:$A$39,'2. Matching'!$B$2:$B$39,"--")</f>
        <v>Partnerships</v>
      </c>
      <c r="K4785" s="65" t="str">
        <f t="shared" si="1"/>
        <v>In</v>
      </c>
    </row>
    <row r="4786">
      <c r="A4786" s="62" t="s">
        <v>4924</v>
      </c>
      <c r="B4786" s="63">
        <v>44293.0</v>
      </c>
      <c r="C4786" s="62" t="s">
        <v>119</v>
      </c>
      <c r="D4786" s="64">
        <v>45.0</v>
      </c>
      <c r="E4786" s="62" t="s">
        <v>109</v>
      </c>
      <c r="F4786" s="62" t="s">
        <v>115</v>
      </c>
      <c r="G4786" s="64" t="s">
        <v>64</v>
      </c>
      <c r="H4786" s="3" t="s">
        <v>169</v>
      </c>
      <c r="I4786" s="65">
        <f>IFERROR(VLOOKUP(A4786,'3. Call duration'!$A:$C,3,0),"--")</f>
        <v>20.08703558</v>
      </c>
      <c r="J4786" s="65" t="str">
        <f t="array" ref="J4786">XLOOKUP(H4786,'2. Matching'!$A$2:$A$39,'2. Matching'!$B$2:$B$39,"--")</f>
        <v>SEO</v>
      </c>
      <c r="K4786" s="65" t="str">
        <f t="shared" si="1"/>
        <v>In</v>
      </c>
    </row>
    <row r="4787">
      <c r="A4787" s="62" t="s">
        <v>4925</v>
      </c>
      <c r="B4787" s="63">
        <v>44268.0</v>
      </c>
      <c r="C4787" s="62" t="s">
        <v>119</v>
      </c>
      <c r="D4787" s="64">
        <v>45.0</v>
      </c>
      <c r="E4787" s="62" t="s">
        <v>109</v>
      </c>
      <c r="F4787" s="62" t="s">
        <v>115</v>
      </c>
      <c r="G4787" s="64" t="s">
        <v>64</v>
      </c>
      <c r="H4787" s="3" t="s">
        <v>139</v>
      </c>
      <c r="I4787" s="65">
        <f>IFERROR(VLOOKUP(A4787,'3. Call duration'!$A:$C,3,0),"--")</f>
        <v>33.06148207</v>
      </c>
      <c r="J4787" s="65" t="str">
        <f t="array" ref="J4787">XLOOKUP(H4787,'2. Matching'!$A$2:$A$39,'2. Matching'!$B$2:$B$39,"--")</f>
        <v>Acquisition</v>
      </c>
      <c r="K4787" s="65" t="str">
        <f t="shared" si="1"/>
        <v>In</v>
      </c>
    </row>
    <row r="4788">
      <c r="A4788" s="62" t="s">
        <v>4926</v>
      </c>
      <c r="B4788" s="63">
        <v>44272.0</v>
      </c>
      <c r="C4788" s="62" t="s">
        <v>119</v>
      </c>
      <c r="D4788" s="64">
        <v>45.0</v>
      </c>
      <c r="E4788" s="62" t="s">
        <v>109</v>
      </c>
      <c r="F4788" s="62" t="s">
        <v>115</v>
      </c>
      <c r="G4788" s="64" t="s">
        <v>64</v>
      </c>
      <c r="H4788" s="3" t="s">
        <v>169</v>
      </c>
      <c r="I4788" s="65">
        <f>IFERROR(VLOOKUP(A4788,'3. Call duration'!$A:$C,3,0),"--")</f>
        <v>48.82278352</v>
      </c>
      <c r="J4788" s="65" t="str">
        <f t="array" ref="J4788">XLOOKUP(H4788,'2. Matching'!$A$2:$A$39,'2. Matching'!$B$2:$B$39,"--")</f>
        <v>SEO</v>
      </c>
      <c r="K4788" s="65" t="str">
        <f t="shared" si="1"/>
        <v>In</v>
      </c>
    </row>
    <row r="4789">
      <c r="A4789" s="62" t="s">
        <v>4927</v>
      </c>
      <c r="B4789" s="63">
        <v>44267.0</v>
      </c>
      <c r="C4789" s="62" t="s">
        <v>119</v>
      </c>
      <c r="D4789" s="64">
        <v>45.0</v>
      </c>
      <c r="E4789" s="62" t="s">
        <v>109</v>
      </c>
      <c r="F4789" s="62" t="s">
        <v>115</v>
      </c>
      <c r="G4789" s="64" t="s">
        <v>64</v>
      </c>
      <c r="H4789" s="3" t="s">
        <v>116</v>
      </c>
      <c r="I4789" s="65" t="str">
        <f>IFERROR(VLOOKUP(A4789,'3. Call duration'!$A:$C,3,0),"--")</f>
        <v>--</v>
      </c>
      <c r="J4789" s="65" t="str">
        <f t="array" ref="J4789">XLOOKUP(H4789,'2. Matching'!$A$2:$A$39,'2. Matching'!$B$2:$B$39,"--")</f>
        <v>Acquisition</v>
      </c>
      <c r="K4789" s="65" t="str">
        <f t="shared" si="1"/>
        <v>In</v>
      </c>
    </row>
    <row r="4790">
      <c r="A4790" s="62" t="s">
        <v>4928</v>
      </c>
      <c r="B4790" s="63">
        <v>44312.0</v>
      </c>
      <c r="C4790" s="62" t="s">
        <v>119</v>
      </c>
      <c r="D4790" s="64">
        <v>45.0</v>
      </c>
      <c r="E4790" s="62" t="s">
        <v>109</v>
      </c>
      <c r="F4790" s="62" t="s">
        <v>110</v>
      </c>
      <c r="G4790" s="64" t="s">
        <v>64</v>
      </c>
      <c r="H4790" s="3" t="s">
        <v>175</v>
      </c>
      <c r="I4790" s="65">
        <f>IFERROR(VLOOKUP(A4790,'3. Call duration'!$A:$C,3,0),"--")</f>
        <v>32.38410295</v>
      </c>
      <c r="J4790" s="65" t="str">
        <f t="array" ref="J4790">XLOOKUP(H4790,'2. Matching'!$A$2:$A$39,'2. Matching'!$B$2:$B$39,"--")</f>
        <v>SEO</v>
      </c>
      <c r="K4790" s="65" t="str">
        <f t="shared" si="1"/>
        <v>In</v>
      </c>
    </row>
    <row r="4791">
      <c r="A4791" s="62" t="s">
        <v>4929</v>
      </c>
      <c r="B4791" s="63">
        <v>44312.0</v>
      </c>
      <c r="C4791" s="62" t="s">
        <v>119</v>
      </c>
      <c r="D4791" s="64">
        <v>45.0</v>
      </c>
      <c r="E4791" s="62" t="s">
        <v>109</v>
      </c>
      <c r="F4791" s="62" t="s">
        <v>110</v>
      </c>
      <c r="G4791" s="64" t="s">
        <v>64</v>
      </c>
      <c r="H4791" s="3" t="s">
        <v>52</v>
      </c>
      <c r="I4791" s="65">
        <f>IFERROR(VLOOKUP(A4791,'3. Call duration'!$A:$C,3,0),"--")</f>
        <v>17.36050319</v>
      </c>
      <c r="J4791" s="65" t="str">
        <f t="array" ref="J4791">XLOOKUP(H4791,'2. Matching'!$A$2:$A$39,'2. Matching'!$B$2:$B$39,"--")</f>
        <v>Partnerships</v>
      </c>
      <c r="K4791" s="65" t="str">
        <f t="shared" si="1"/>
        <v>In</v>
      </c>
    </row>
    <row r="4792">
      <c r="A4792" s="62" t="s">
        <v>4930</v>
      </c>
      <c r="B4792" s="63">
        <v>44278.0</v>
      </c>
      <c r="C4792" s="62" t="s">
        <v>119</v>
      </c>
      <c r="D4792" s="64">
        <v>45.0</v>
      </c>
      <c r="E4792" s="62" t="s">
        <v>109</v>
      </c>
      <c r="F4792" s="62" t="s">
        <v>115</v>
      </c>
      <c r="G4792" s="64" t="s">
        <v>64</v>
      </c>
      <c r="H4792" s="3" t="s">
        <v>164</v>
      </c>
      <c r="I4792" s="65" t="str">
        <f>IFERROR(VLOOKUP(A4792,'3. Call duration'!$A:$C,3,0),"--")</f>
        <v>--</v>
      </c>
      <c r="J4792" s="65" t="str">
        <f t="array" ref="J4792">XLOOKUP(H4792,'2. Matching'!$A$2:$A$39,'2. Matching'!$B$2:$B$39,"--")</f>
        <v>SEO</v>
      </c>
      <c r="K4792" s="65" t="str">
        <f t="shared" si="1"/>
        <v>In</v>
      </c>
    </row>
    <row r="4793">
      <c r="A4793" s="62" t="s">
        <v>4931</v>
      </c>
      <c r="B4793" s="63">
        <v>44272.0</v>
      </c>
      <c r="C4793" s="62" t="s">
        <v>119</v>
      </c>
      <c r="D4793" s="64">
        <v>45.0</v>
      </c>
      <c r="E4793" s="62" t="s">
        <v>109</v>
      </c>
      <c r="F4793" s="62" t="s">
        <v>110</v>
      </c>
      <c r="G4793" s="64" t="s">
        <v>64</v>
      </c>
      <c r="H4793" s="3" t="s">
        <v>185</v>
      </c>
      <c r="I4793" s="65">
        <f>IFERROR(VLOOKUP(A4793,'3. Call duration'!$A:$C,3,0),"--")</f>
        <v>21.45168957</v>
      </c>
      <c r="J4793" s="65" t="str">
        <f t="array" ref="J4793">XLOOKUP(H4793,'2. Matching'!$A$2:$A$39,'2. Matching'!$B$2:$B$39,"--")</f>
        <v>SEO</v>
      </c>
      <c r="K4793" s="65" t="str">
        <f t="shared" si="1"/>
        <v>In</v>
      </c>
    </row>
    <row r="4794">
      <c r="A4794" s="62" t="s">
        <v>4932</v>
      </c>
      <c r="B4794" s="63">
        <v>44307.0</v>
      </c>
      <c r="C4794" s="62" t="s">
        <v>119</v>
      </c>
      <c r="D4794" s="64">
        <v>45.0</v>
      </c>
      <c r="E4794" s="62" t="s">
        <v>109</v>
      </c>
      <c r="F4794" s="62" t="s">
        <v>115</v>
      </c>
      <c r="G4794" s="64" t="s">
        <v>64</v>
      </c>
      <c r="H4794" s="3" t="s">
        <v>141</v>
      </c>
      <c r="I4794" s="65">
        <f>IFERROR(VLOOKUP(A4794,'3. Call duration'!$A:$C,3,0),"--")</f>
        <v>20.45885396</v>
      </c>
      <c r="J4794" s="65" t="str">
        <f t="array" ref="J4794">XLOOKUP(H4794,'2. Matching'!$A$2:$A$39,'2. Matching'!$B$2:$B$39,"--")</f>
        <v>Acquisition</v>
      </c>
      <c r="K4794" s="65" t="str">
        <f t="shared" si="1"/>
        <v>In</v>
      </c>
    </row>
    <row r="4795">
      <c r="A4795" s="62" t="s">
        <v>4933</v>
      </c>
      <c r="B4795" s="63">
        <v>44308.0</v>
      </c>
      <c r="C4795" s="62" t="s">
        <v>119</v>
      </c>
      <c r="D4795" s="64">
        <v>45.0</v>
      </c>
      <c r="E4795" s="62" t="s">
        <v>109</v>
      </c>
      <c r="F4795" s="62" t="s">
        <v>115</v>
      </c>
      <c r="G4795" s="64" t="s">
        <v>64</v>
      </c>
      <c r="H4795" s="3" t="s">
        <v>169</v>
      </c>
      <c r="I4795" s="65">
        <f>IFERROR(VLOOKUP(A4795,'3. Call duration'!$A:$C,3,0),"--")</f>
        <v>24.79349288</v>
      </c>
      <c r="J4795" s="65" t="str">
        <f t="array" ref="J4795">XLOOKUP(H4795,'2. Matching'!$A$2:$A$39,'2. Matching'!$B$2:$B$39,"--")</f>
        <v>SEO</v>
      </c>
      <c r="K4795" s="65" t="str">
        <f t="shared" si="1"/>
        <v>In</v>
      </c>
    </row>
    <row r="4796">
      <c r="A4796" s="62" t="s">
        <v>4934</v>
      </c>
      <c r="B4796" s="63">
        <v>44278.0</v>
      </c>
      <c r="C4796" s="62" t="s">
        <v>119</v>
      </c>
      <c r="D4796" s="64">
        <v>45.0</v>
      </c>
      <c r="E4796" s="62" t="s">
        <v>109</v>
      </c>
      <c r="F4796" s="62" t="s">
        <v>110</v>
      </c>
      <c r="G4796" s="64" t="s">
        <v>64</v>
      </c>
      <c r="H4796" s="3" t="s">
        <v>297</v>
      </c>
      <c r="I4796" s="65">
        <f>IFERROR(VLOOKUP(A4796,'3. Call duration'!$A:$C,3,0),"--")</f>
        <v>16.43800565</v>
      </c>
      <c r="J4796" s="65" t="str">
        <f t="array" ref="J4796">XLOOKUP(H4796,'2. Matching'!$A$2:$A$39,'2. Matching'!$B$2:$B$39,"--")</f>
        <v>Farming</v>
      </c>
      <c r="K4796" s="65" t="str">
        <f t="shared" si="1"/>
        <v>In</v>
      </c>
    </row>
    <row r="4797">
      <c r="A4797" s="62" t="s">
        <v>4935</v>
      </c>
      <c r="B4797" s="63">
        <v>44298.0</v>
      </c>
      <c r="C4797" s="62" t="s">
        <v>119</v>
      </c>
      <c r="D4797" s="64">
        <v>45.0</v>
      </c>
      <c r="E4797" s="62" t="s">
        <v>109</v>
      </c>
      <c r="F4797" s="62" t="s">
        <v>115</v>
      </c>
      <c r="G4797" s="64" t="s">
        <v>64</v>
      </c>
      <c r="H4797" s="3" t="s">
        <v>169</v>
      </c>
      <c r="I4797" s="65">
        <f>IFERROR(VLOOKUP(A4797,'3. Call duration'!$A:$C,3,0),"--")</f>
        <v>23.14460642</v>
      </c>
      <c r="J4797" s="65" t="str">
        <f t="array" ref="J4797">XLOOKUP(H4797,'2. Matching'!$A$2:$A$39,'2. Matching'!$B$2:$B$39,"--")</f>
        <v>SEO</v>
      </c>
      <c r="K4797" s="65" t="str">
        <f t="shared" si="1"/>
        <v>In</v>
      </c>
    </row>
    <row r="4798">
      <c r="A4798" s="62" t="s">
        <v>4936</v>
      </c>
      <c r="B4798" s="63">
        <v>44273.0</v>
      </c>
      <c r="C4798" s="62" t="s">
        <v>119</v>
      </c>
      <c r="D4798" s="64">
        <v>45.0</v>
      </c>
      <c r="E4798" s="62" t="s">
        <v>109</v>
      </c>
      <c r="F4798" s="62" t="s">
        <v>115</v>
      </c>
      <c r="G4798" s="64" t="s">
        <v>64</v>
      </c>
      <c r="H4798" s="3" t="s">
        <v>164</v>
      </c>
      <c r="I4798" s="65">
        <f>IFERROR(VLOOKUP(A4798,'3. Call duration'!$A:$C,3,0),"--")</f>
        <v>21.72002064</v>
      </c>
      <c r="J4798" s="65" t="str">
        <f t="array" ref="J4798">XLOOKUP(H4798,'2. Matching'!$A$2:$A$39,'2. Matching'!$B$2:$B$39,"--")</f>
        <v>SEO</v>
      </c>
      <c r="K4798" s="65" t="str">
        <f t="shared" si="1"/>
        <v>In</v>
      </c>
    </row>
    <row r="4799">
      <c r="A4799" s="62" t="s">
        <v>4937</v>
      </c>
      <c r="B4799" s="63">
        <v>44258.0</v>
      </c>
      <c r="C4799" s="62" t="s">
        <v>119</v>
      </c>
      <c r="D4799" s="64">
        <v>45.0</v>
      </c>
      <c r="E4799" s="62" t="s">
        <v>109</v>
      </c>
      <c r="F4799" s="62" t="s">
        <v>115</v>
      </c>
      <c r="G4799" s="64" t="s">
        <v>64</v>
      </c>
      <c r="H4799" s="3" t="s">
        <v>297</v>
      </c>
      <c r="I4799" s="65">
        <f>IFERROR(VLOOKUP(A4799,'3. Call duration'!$A:$C,3,0),"--")</f>
        <v>22.79755939</v>
      </c>
      <c r="J4799" s="65" t="str">
        <f t="array" ref="J4799">XLOOKUP(H4799,'2. Matching'!$A$2:$A$39,'2. Matching'!$B$2:$B$39,"--")</f>
        <v>Farming</v>
      </c>
      <c r="K4799" s="65" t="str">
        <f t="shared" si="1"/>
        <v>In</v>
      </c>
    </row>
    <row r="4800">
      <c r="A4800" s="62" t="s">
        <v>4938</v>
      </c>
      <c r="B4800" s="63">
        <v>44312.0</v>
      </c>
      <c r="C4800" s="62" t="s">
        <v>119</v>
      </c>
      <c r="D4800" s="64">
        <v>45.0</v>
      </c>
      <c r="E4800" s="62" t="s">
        <v>109</v>
      </c>
      <c r="F4800" s="62" t="s">
        <v>115</v>
      </c>
      <c r="G4800" s="64" t="s">
        <v>64</v>
      </c>
      <c r="H4800" s="3" t="s">
        <v>185</v>
      </c>
      <c r="I4800" s="65">
        <f>IFERROR(VLOOKUP(A4800,'3. Call duration'!$A:$C,3,0),"--")</f>
        <v>11.8823787</v>
      </c>
      <c r="J4800" s="65" t="str">
        <f t="array" ref="J4800">XLOOKUP(H4800,'2. Matching'!$A$2:$A$39,'2. Matching'!$B$2:$B$39,"--")</f>
        <v>SEO</v>
      </c>
      <c r="K4800" s="65" t="str">
        <f t="shared" si="1"/>
        <v>In</v>
      </c>
    </row>
    <row r="4801">
      <c r="A4801" s="62" t="s">
        <v>4939</v>
      </c>
      <c r="B4801" s="63">
        <v>44279.0</v>
      </c>
      <c r="C4801" s="62" t="s">
        <v>119</v>
      </c>
      <c r="D4801" s="64">
        <v>45.0</v>
      </c>
      <c r="E4801" s="62" t="s">
        <v>109</v>
      </c>
      <c r="F4801" s="62" t="s">
        <v>115</v>
      </c>
      <c r="G4801" s="64" t="s">
        <v>64</v>
      </c>
      <c r="H4801" s="3" t="s">
        <v>141</v>
      </c>
      <c r="I4801" s="65">
        <f>IFERROR(VLOOKUP(A4801,'3. Call duration'!$A:$C,3,0),"--")</f>
        <v>32.2195119</v>
      </c>
      <c r="J4801" s="65" t="str">
        <f t="array" ref="J4801">XLOOKUP(H4801,'2. Matching'!$A$2:$A$39,'2. Matching'!$B$2:$B$39,"--")</f>
        <v>Acquisition</v>
      </c>
      <c r="K4801" s="65" t="str">
        <f t="shared" si="1"/>
        <v>In</v>
      </c>
    </row>
    <row r="4802">
      <c r="A4802" s="62" t="s">
        <v>4940</v>
      </c>
      <c r="B4802" s="63">
        <v>44278.0</v>
      </c>
      <c r="C4802" s="62" t="s">
        <v>119</v>
      </c>
      <c r="D4802" s="64">
        <v>45.0</v>
      </c>
      <c r="E4802" s="62" t="s">
        <v>109</v>
      </c>
      <c r="F4802" s="62" t="s">
        <v>115</v>
      </c>
      <c r="G4802" s="64" t="s">
        <v>64</v>
      </c>
      <c r="H4802" s="3" t="s">
        <v>185</v>
      </c>
      <c r="I4802" s="65">
        <f>IFERROR(VLOOKUP(A4802,'3. Call duration'!$A:$C,3,0),"--")</f>
        <v>21.20013391</v>
      </c>
      <c r="J4802" s="65" t="str">
        <f t="array" ref="J4802">XLOOKUP(H4802,'2. Matching'!$A$2:$A$39,'2. Matching'!$B$2:$B$39,"--")</f>
        <v>SEO</v>
      </c>
      <c r="K4802" s="65" t="str">
        <f t="shared" si="1"/>
        <v>In</v>
      </c>
    </row>
    <row r="4803">
      <c r="A4803" s="62" t="s">
        <v>4941</v>
      </c>
      <c r="B4803" s="63">
        <v>44258.0</v>
      </c>
      <c r="C4803" s="62" t="s">
        <v>119</v>
      </c>
      <c r="D4803" s="64">
        <v>45.0</v>
      </c>
      <c r="E4803" s="62" t="s">
        <v>109</v>
      </c>
      <c r="F4803" s="62" t="s">
        <v>115</v>
      </c>
      <c r="G4803" s="64" t="s">
        <v>64</v>
      </c>
      <c r="H4803" s="3" t="s">
        <v>175</v>
      </c>
      <c r="I4803" s="65">
        <f>IFERROR(VLOOKUP(A4803,'3. Call duration'!$A:$C,3,0),"--")</f>
        <v>15.00309738</v>
      </c>
      <c r="J4803" s="65" t="str">
        <f t="array" ref="J4803">XLOOKUP(H4803,'2. Matching'!$A$2:$A$39,'2. Matching'!$B$2:$B$39,"--")</f>
        <v>SEO</v>
      </c>
      <c r="K4803" s="65" t="str">
        <f t="shared" si="1"/>
        <v>In</v>
      </c>
    </row>
    <row r="4804">
      <c r="A4804" s="62" t="s">
        <v>4942</v>
      </c>
      <c r="B4804" s="63">
        <v>44267.0</v>
      </c>
      <c r="C4804" s="62" t="s">
        <v>119</v>
      </c>
      <c r="D4804" s="64">
        <v>45.0</v>
      </c>
      <c r="E4804" s="62" t="s">
        <v>109</v>
      </c>
      <c r="F4804" s="62" t="s">
        <v>110</v>
      </c>
      <c r="G4804" s="64" t="s">
        <v>64</v>
      </c>
      <c r="H4804" s="3" t="s">
        <v>139</v>
      </c>
      <c r="I4804" s="65">
        <f>IFERROR(VLOOKUP(A4804,'3. Call duration'!$A:$C,3,0),"--")</f>
        <v>20.64436963</v>
      </c>
      <c r="J4804" s="65" t="str">
        <f t="array" ref="J4804">XLOOKUP(H4804,'2. Matching'!$A$2:$A$39,'2. Matching'!$B$2:$B$39,"--")</f>
        <v>Acquisition</v>
      </c>
      <c r="K4804" s="65" t="str">
        <f t="shared" si="1"/>
        <v>In</v>
      </c>
    </row>
    <row r="4805">
      <c r="A4805" s="62" t="s">
        <v>4943</v>
      </c>
      <c r="B4805" s="63">
        <v>44279.0</v>
      </c>
      <c r="C4805" s="62" t="s">
        <v>119</v>
      </c>
      <c r="D4805" s="64">
        <v>45.0</v>
      </c>
      <c r="E4805" s="62" t="s">
        <v>109</v>
      </c>
      <c r="F4805" s="62" t="s">
        <v>110</v>
      </c>
      <c r="G4805" s="64" t="s">
        <v>64</v>
      </c>
      <c r="H4805" s="3" t="s">
        <v>185</v>
      </c>
      <c r="I4805" s="65">
        <f>IFERROR(VLOOKUP(A4805,'3. Call duration'!$A:$C,3,0),"--")</f>
        <v>26.91603592</v>
      </c>
      <c r="J4805" s="65" t="str">
        <f t="array" ref="J4805">XLOOKUP(H4805,'2. Matching'!$A$2:$A$39,'2. Matching'!$B$2:$B$39,"--")</f>
        <v>SEO</v>
      </c>
      <c r="K4805" s="65" t="str">
        <f t="shared" si="1"/>
        <v>In</v>
      </c>
    </row>
    <row r="4806">
      <c r="A4806" s="62" t="s">
        <v>4944</v>
      </c>
      <c r="B4806" s="63">
        <v>44259.0</v>
      </c>
      <c r="C4806" s="62" t="s">
        <v>119</v>
      </c>
      <c r="D4806" s="64">
        <v>45.0</v>
      </c>
      <c r="E4806" s="62" t="s">
        <v>109</v>
      </c>
      <c r="F4806" s="62" t="s">
        <v>115</v>
      </c>
      <c r="G4806" s="64" t="s">
        <v>64</v>
      </c>
      <c r="H4806" s="3" t="s">
        <v>155</v>
      </c>
      <c r="I4806" s="65">
        <f>IFERROR(VLOOKUP(A4806,'3. Call duration'!$A:$C,3,0),"--")</f>
        <v>16.62297909</v>
      </c>
      <c r="J4806" s="65" t="str">
        <f t="array" ref="J4806">XLOOKUP(H4806,'2. Matching'!$A$2:$A$39,'2. Matching'!$B$2:$B$39,"--")</f>
        <v>SEO</v>
      </c>
      <c r="K4806" s="65" t="str">
        <f t="shared" si="1"/>
        <v>In</v>
      </c>
    </row>
    <row r="4807">
      <c r="A4807" s="62" t="s">
        <v>4945</v>
      </c>
      <c r="B4807" s="63">
        <v>44281.0</v>
      </c>
      <c r="C4807" s="62" t="s">
        <v>119</v>
      </c>
      <c r="D4807" s="64">
        <v>45.0</v>
      </c>
      <c r="E4807" s="62" t="s">
        <v>109</v>
      </c>
      <c r="F4807" s="62" t="s">
        <v>110</v>
      </c>
      <c r="G4807" s="64" t="s">
        <v>64</v>
      </c>
      <c r="H4807" s="3" t="s">
        <v>297</v>
      </c>
      <c r="I4807" s="65">
        <f>IFERROR(VLOOKUP(A4807,'3. Call duration'!$A:$C,3,0),"--")</f>
        <v>23.24798462</v>
      </c>
      <c r="J4807" s="65" t="str">
        <f t="array" ref="J4807">XLOOKUP(H4807,'2. Matching'!$A$2:$A$39,'2. Matching'!$B$2:$B$39,"--")</f>
        <v>Farming</v>
      </c>
      <c r="K4807" s="65" t="str">
        <f t="shared" si="1"/>
        <v>In</v>
      </c>
    </row>
    <row r="4808">
      <c r="A4808" s="62" t="s">
        <v>4946</v>
      </c>
      <c r="B4808" s="63">
        <v>44315.0</v>
      </c>
      <c r="C4808" s="62" t="s">
        <v>119</v>
      </c>
      <c r="D4808" s="64">
        <v>45.0</v>
      </c>
      <c r="E4808" s="62" t="s">
        <v>109</v>
      </c>
      <c r="F4808" s="62" t="s">
        <v>110</v>
      </c>
      <c r="G4808" s="64" t="s">
        <v>63</v>
      </c>
      <c r="H4808" s="3" t="s">
        <v>183</v>
      </c>
      <c r="I4808" s="65">
        <f>IFERROR(VLOOKUP(A4808,'3. Call duration'!$A:$C,3,0),"--")</f>
        <v>29.41491981</v>
      </c>
      <c r="J4808" s="65" t="str">
        <f t="array" ref="J4808">XLOOKUP(H4808,'2. Matching'!$A$2:$A$39,'2. Matching'!$B$2:$B$39,"--")</f>
        <v>SEO</v>
      </c>
      <c r="K4808" s="65" t="str">
        <f t="shared" si="1"/>
        <v>In</v>
      </c>
    </row>
    <row r="4809">
      <c r="A4809" s="62" t="s">
        <v>4947</v>
      </c>
      <c r="B4809" s="63">
        <v>44279.0</v>
      </c>
      <c r="C4809" s="62" t="s">
        <v>119</v>
      </c>
      <c r="D4809" s="64">
        <v>45.0</v>
      </c>
      <c r="E4809" s="62" t="s">
        <v>109</v>
      </c>
      <c r="F4809" s="62" t="s">
        <v>115</v>
      </c>
      <c r="G4809" s="64" t="s">
        <v>64</v>
      </c>
      <c r="H4809" s="3" t="s">
        <v>175</v>
      </c>
      <c r="I4809" s="65">
        <f>IFERROR(VLOOKUP(A4809,'3. Call duration'!$A:$C,3,0),"--")</f>
        <v>33.8384011</v>
      </c>
      <c r="J4809" s="65" t="str">
        <f t="array" ref="J4809">XLOOKUP(H4809,'2. Matching'!$A$2:$A$39,'2. Matching'!$B$2:$B$39,"--")</f>
        <v>SEO</v>
      </c>
      <c r="K4809" s="65" t="str">
        <f t="shared" si="1"/>
        <v>In</v>
      </c>
    </row>
    <row r="4810">
      <c r="A4810" s="62" t="s">
        <v>4948</v>
      </c>
      <c r="B4810" s="63">
        <v>44284.0</v>
      </c>
      <c r="C4810" s="62" t="s">
        <v>119</v>
      </c>
      <c r="D4810" s="64">
        <v>45.0</v>
      </c>
      <c r="E4810" s="62" t="s">
        <v>109</v>
      </c>
      <c r="F4810" s="62" t="s">
        <v>115</v>
      </c>
      <c r="G4810" s="64" t="s">
        <v>64</v>
      </c>
      <c r="H4810" s="3" t="s">
        <v>145</v>
      </c>
      <c r="I4810" s="65">
        <f>IFERROR(VLOOKUP(A4810,'3. Call duration'!$A:$C,3,0),"--")</f>
        <v>31.83134857</v>
      </c>
      <c r="J4810" s="65" t="str">
        <f t="array" ref="J4810">XLOOKUP(H4810,'2. Matching'!$A$2:$A$39,'2. Matching'!$B$2:$B$39,"--")</f>
        <v>SEO</v>
      </c>
      <c r="K4810" s="65" t="str">
        <f t="shared" si="1"/>
        <v>In</v>
      </c>
    </row>
    <row r="4811">
      <c r="A4811" s="62" t="s">
        <v>4949</v>
      </c>
      <c r="B4811" s="63">
        <v>44263.0</v>
      </c>
      <c r="C4811" s="62" t="s">
        <v>119</v>
      </c>
      <c r="D4811" s="64">
        <v>45.0</v>
      </c>
      <c r="E4811" s="62" t="s">
        <v>109</v>
      </c>
      <c r="F4811" s="62" t="s">
        <v>110</v>
      </c>
      <c r="G4811" s="64" t="s">
        <v>64</v>
      </c>
      <c r="H4811" s="3" t="s">
        <v>139</v>
      </c>
      <c r="I4811" s="65">
        <f>IFERROR(VLOOKUP(A4811,'3. Call duration'!$A:$C,3,0),"--")</f>
        <v>33.60526541</v>
      </c>
      <c r="J4811" s="65" t="str">
        <f t="array" ref="J4811">XLOOKUP(H4811,'2. Matching'!$A$2:$A$39,'2. Matching'!$B$2:$B$39,"--")</f>
        <v>Acquisition</v>
      </c>
      <c r="K4811" s="65" t="str">
        <f t="shared" si="1"/>
        <v>In</v>
      </c>
    </row>
    <row r="4812">
      <c r="A4812" s="62" t="s">
        <v>4950</v>
      </c>
      <c r="B4812" s="63">
        <v>44312.0</v>
      </c>
      <c r="C4812" s="62" t="s">
        <v>119</v>
      </c>
      <c r="D4812" s="64">
        <v>45.0</v>
      </c>
      <c r="E4812" s="62" t="s">
        <v>109</v>
      </c>
      <c r="F4812" s="62" t="s">
        <v>110</v>
      </c>
      <c r="G4812" s="64" t="s">
        <v>64</v>
      </c>
      <c r="H4812" s="3" t="s">
        <v>169</v>
      </c>
      <c r="I4812" s="65">
        <f>IFERROR(VLOOKUP(A4812,'3. Call duration'!$A:$C,3,0),"--")</f>
        <v>28.57472612</v>
      </c>
      <c r="J4812" s="65" t="str">
        <f t="array" ref="J4812">XLOOKUP(H4812,'2. Matching'!$A$2:$A$39,'2. Matching'!$B$2:$B$39,"--")</f>
        <v>SEO</v>
      </c>
      <c r="K4812" s="65" t="str">
        <f t="shared" si="1"/>
        <v>In</v>
      </c>
    </row>
    <row r="4813">
      <c r="A4813" s="62" t="s">
        <v>4951</v>
      </c>
      <c r="B4813" s="63">
        <v>44313.0</v>
      </c>
      <c r="C4813" s="62" t="s">
        <v>119</v>
      </c>
      <c r="D4813" s="64">
        <v>45.0</v>
      </c>
      <c r="E4813" s="62" t="s">
        <v>109</v>
      </c>
      <c r="F4813" s="62" t="s">
        <v>115</v>
      </c>
      <c r="G4813" s="64" t="s">
        <v>64</v>
      </c>
      <c r="H4813" s="3" t="s">
        <v>141</v>
      </c>
      <c r="I4813" s="65">
        <f>IFERROR(VLOOKUP(A4813,'3. Call duration'!$A:$C,3,0),"--")</f>
        <v>32.88606629</v>
      </c>
      <c r="J4813" s="65" t="str">
        <f t="array" ref="J4813">XLOOKUP(H4813,'2. Matching'!$A$2:$A$39,'2. Matching'!$B$2:$B$39,"--")</f>
        <v>Acquisition</v>
      </c>
      <c r="K4813" s="65" t="str">
        <f t="shared" si="1"/>
        <v>In</v>
      </c>
    </row>
    <row r="4814">
      <c r="A4814" s="62" t="s">
        <v>4952</v>
      </c>
      <c r="B4814" s="63">
        <v>44278.0</v>
      </c>
      <c r="C4814" s="62" t="s">
        <v>119</v>
      </c>
      <c r="D4814" s="64">
        <v>45.0</v>
      </c>
      <c r="E4814" s="62" t="s">
        <v>109</v>
      </c>
      <c r="F4814" s="62" t="s">
        <v>115</v>
      </c>
      <c r="G4814" s="64" t="s">
        <v>64</v>
      </c>
      <c r="H4814" s="3" t="s">
        <v>49</v>
      </c>
      <c r="I4814" s="65">
        <f>IFERROR(VLOOKUP(A4814,'3. Call duration'!$A:$C,3,0),"--")</f>
        <v>22.99904446</v>
      </c>
      <c r="J4814" s="65" t="str">
        <f t="array" ref="J4814">XLOOKUP(H4814,'2. Matching'!$A$2:$A$39,'2. Matching'!$B$2:$B$39,"--")</f>
        <v>Partnerships</v>
      </c>
      <c r="K4814" s="65" t="str">
        <f t="shared" si="1"/>
        <v>In</v>
      </c>
    </row>
    <row r="4815">
      <c r="A4815" s="62" t="s">
        <v>4953</v>
      </c>
      <c r="B4815" s="63">
        <v>44263.0</v>
      </c>
      <c r="C4815" s="62" t="s">
        <v>119</v>
      </c>
      <c r="D4815" s="64">
        <v>45.0</v>
      </c>
      <c r="E4815" s="62" t="s">
        <v>109</v>
      </c>
      <c r="F4815" s="62" t="s">
        <v>115</v>
      </c>
      <c r="G4815" s="64" t="s">
        <v>63</v>
      </c>
      <c r="H4815" s="3" t="s">
        <v>128</v>
      </c>
      <c r="I4815" s="65">
        <f>IFERROR(VLOOKUP(A4815,'3. Call duration'!$A:$C,3,0),"--")</f>
        <v>20.12393297</v>
      </c>
      <c r="J4815" s="65" t="str">
        <f t="array" ref="J4815">XLOOKUP(H4815,'2. Matching'!$A$2:$A$39,'2. Matching'!$B$2:$B$39,"--")</f>
        <v>Acquisition</v>
      </c>
      <c r="K4815" s="65" t="str">
        <f t="shared" si="1"/>
        <v>In</v>
      </c>
    </row>
    <row r="4816">
      <c r="A4816" s="62" t="s">
        <v>4954</v>
      </c>
      <c r="B4816" s="63">
        <v>44313.0</v>
      </c>
      <c r="C4816" s="62" t="s">
        <v>119</v>
      </c>
      <c r="D4816" s="64">
        <v>45.0</v>
      </c>
      <c r="E4816" s="62" t="s">
        <v>109</v>
      </c>
      <c r="F4816" s="62" t="s">
        <v>110</v>
      </c>
      <c r="G4816" s="64" t="s">
        <v>64</v>
      </c>
      <c r="H4816" s="3" t="s">
        <v>164</v>
      </c>
      <c r="I4816" s="65">
        <f>IFERROR(VLOOKUP(A4816,'3. Call duration'!$A:$C,3,0),"--")</f>
        <v>35.39856368</v>
      </c>
      <c r="J4816" s="65" t="str">
        <f t="array" ref="J4816">XLOOKUP(H4816,'2. Matching'!$A$2:$A$39,'2. Matching'!$B$2:$B$39,"--")</f>
        <v>SEO</v>
      </c>
      <c r="K4816" s="65" t="str">
        <f t="shared" si="1"/>
        <v>In</v>
      </c>
    </row>
    <row r="4817">
      <c r="A4817" s="62" t="s">
        <v>4955</v>
      </c>
      <c r="B4817" s="63">
        <v>44288.0</v>
      </c>
      <c r="C4817" s="62" t="s">
        <v>119</v>
      </c>
      <c r="D4817" s="64">
        <v>45.0</v>
      </c>
      <c r="E4817" s="62" t="s">
        <v>109</v>
      </c>
      <c r="F4817" s="62" t="s">
        <v>115</v>
      </c>
      <c r="G4817" s="64" t="s">
        <v>64</v>
      </c>
      <c r="H4817" s="3" t="s">
        <v>185</v>
      </c>
      <c r="I4817" s="65">
        <f>IFERROR(VLOOKUP(A4817,'3. Call duration'!$A:$C,3,0),"--")</f>
        <v>26.84968312</v>
      </c>
      <c r="J4817" s="65" t="str">
        <f t="array" ref="J4817">XLOOKUP(H4817,'2. Matching'!$A$2:$A$39,'2. Matching'!$B$2:$B$39,"--")</f>
        <v>SEO</v>
      </c>
      <c r="K4817" s="65" t="str">
        <f t="shared" si="1"/>
        <v>In</v>
      </c>
    </row>
    <row r="4818">
      <c r="A4818" s="62" t="s">
        <v>4956</v>
      </c>
      <c r="B4818" s="63">
        <v>44281.0</v>
      </c>
      <c r="C4818" s="62" t="s">
        <v>119</v>
      </c>
      <c r="D4818" s="64">
        <v>45.0</v>
      </c>
      <c r="E4818" s="62" t="s">
        <v>109</v>
      </c>
      <c r="F4818" s="62" t="s">
        <v>110</v>
      </c>
      <c r="G4818" s="64" t="s">
        <v>64</v>
      </c>
      <c r="H4818" s="3" t="s">
        <v>297</v>
      </c>
      <c r="I4818" s="65">
        <f>IFERROR(VLOOKUP(A4818,'3. Call duration'!$A:$C,3,0),"--")</f>
        <v>20.75703486</v>
      </c>
      <c r="J4818" s="65" t="str">
        <f t="array" ref="J4818">XLOOKUP(H4818,'2. Matching'!$A$2:$A$39,'2. Matching'!$B$2:$B$39,"--")</f>
        <v>Farming</v>
      </c>
      <c r="K4818" s="65" t="str">
        <f t="shared" si="1"/>
        <v>In</v>
      </c>
    </row>
    <row r="4819">
      <c r="A4819" s="62" t="s">
        <v>4957</v>
      </c>
      <c r="B4819" s="63">
        <v>44309.0</v>
      </c>
      <c r="C4819" s="62" t="s">
        <v>119</v>
      </c>
      <c r="D4819" s="64">
        <v>45.0</v>
      </c>
      <c r="E4819" s="62" t="s">
        <v>109</v>
      </c>
      <c r="F4819" s="62" t="s">
        <v>115</v>
      </c>
      <c r="G4819" s="64" t="s">
        <v>64</v>
      </c>
      <c r="H4819" s="3" t="s">
        <v>185</v>
      </c>
      <c r="I4819" s="65">
        <f>IFERROR(VLOOKUP(A4819,'3. Call duration'!$A:$C,3,0),"--")</f>
        <v>41.34759288</v>
      </c>
      <c r="J4819" s="65" t="str">
        <f t="array" ref="J4819">XLOOKUP(H4819,'2. Matching'!$A$2:$A$39,'2. Matching'!$B$2:$B$39,"--")</f>
        <v>SEO</v>
      </c>
      <c r="K4819" s="65" t="str">
        <f t="shared" si="1"/>
        <v>In</v>
      </c>
    </row>
    <row r="4820">
      <c r="A4820" s="62" t="s">
        <v>4958</v>
      </c>
      <c r="B4820" s="63">
        <v>44306.0</v>
      </c>
      <c r="C4820" s="62" t="s">
        <v>119</v>
      </c>
      <c r="D4820" s="64">
        <v>45.0</v>
      </c>
      <c r="E4820" s="62" t="s">
        <v>109</v>
      </c>
      <c r="F4820" s="62" t="s">
        <v>110</v>
      </c>
      <c r="G4820" s="64" t="s">
        <v>64</v>
      </c>
      <c r="H4820" s="3" t="s">
        <v>175</v>
      </c>
      <c r="I4820" s="65">
        <f>IFERROR(VLOOKUP(A4820,'3. Call duration'!$A:$C,3,0),"--")</f>
        <v>33.64864335</v>
      </c>
      <c r="J4820" s="65" t="str">
        <f t="array" ref="J4820">XLOOKUP(H4820,'2. Matching'!$A$2:$A$39,'2. Matching'!$B$2:$B$39,"--")</f>
        <v>SEO</v>
      </c>
      <c r="K4820" s="65" t="str">
        <f t="shared" si="1"/>
        <v>In</v>
      </c>
    </row>
    <row r="4821">
      <c r="A4821" s="62" t="s">
        <v>4959</v>
      </c>
      <c r="B4821" s="63">
        <v>44308.0</v>
      </c>
      <c r="C4821" s="62" t="s">
        <v>119</v>
      </c>
      <c r="D4821" s="64">
        <v>45.0</v>
      </c>
      <c r="E4821" s="62" t="s">
        <v>109</v>
      </c>
      <c r="F4821" s="62" t="s">
        <v>115</v>
      </c>
      <c r="G4821" s="64" t="s">
        <v>64</v>
      </c>
      <c r="H4821" s="3" t="s">
        <v>145</v>
      </c>
      <c r="I4821" s="65">
        <f>IFERROR(VLOOKUP(A4821,'3. Call duration'!$A:$C,3,0),"--")</f>
        <v>31.8459159</v>
      </c>
      <c r="J4821" s="65" t="str">
        <f t="array" ref="J4821">XLOOKUP(H4821,'2. Matching'!$A$2:$A$39,'2. Matching'!$B$2:$B$39,"--")</f>
        <v>SEO</v>
      </c>
      <c r="K4821" s="65" t="str">
        <f t="shared" si="1"/>
        <v>In</v>
      </c>
    </row>
    <row r="4822">
      <c r="A4822" s="62" t="s">
        <v>4960</v>
      </c>
      <c r="B4822" s="63">
        <v>44258.0</v>
      </c>
      <c r="C4822" s="62" t="s">
        <v>119</v>
      </c>
      <c r="D4822" s="64">
        <v>45.0</v>
      </c>
      <c r="E4822" s="62" t="s">
        <v>109</v>
      </c>
      <c r="F4822" s="62" t="s">
        <v>115</v>
      </c>
      <c r="G4822" s="64" t="s">
        <v>64</v>
      </c>
      <c r="H4822" s="3" t="s">
        <v>131</v>
      </c>
      <c r="I4822" s="65">
        <f>IFERROR(VLOOKUP(A4822,'3. Call duration'!$A:$C,3,0),"--")</f>
        <v>26.15197124</v>
      </c>
      <c r="J4822" s="65" t="str">
        <f t="array" ref="J4822">XLOOKUP(H4822,'2. Matching'!$A$2:$A$39,'2. Matching'!$B$2:$B$39,"--")</f>
        <v>Acquisition</v>
      </c>
      <c r="K4822" s="65" t="str">
        <f t="shared" si="1"/>
        <v>In</v>
      </c>
    </row>
    <row r="4823">
      <c r="A4823" s="62" t="s">
        <v>4961</v>
      </c>
      <c r="B4823" s="63">
        <v>44293.0</v>
      </c>
      <c r="C4823" s="62" t="s">
        <v>119</v>
      </c>
      <c r="D4823" s="64">
        <v>45.0</v>
      </c>
      <c r="E4823" s="62" t="s">
        <v>109</v>
      </c>
      <c r="F4823" s="62" t="s">
        <v>115</v>
      </c>
      <c r="G4823" s="64" t="s">
        <v>64</v>
      </c>
      <c r="H4823" s="3" t="s">
        <v>185</v>
      </c>
      <c r="I4823" s="65">
        <f>IFERROR(VLOOKUP(A4823,'3. Call duration'!$A:$C,3,0),"--")</f>
        <v>45.04309552</v>
      </c>
      <c r="J4823" s="65" t="str">
        <f t="array" ref="J4823">XLOOKUP(H4823,'2. Matching'!$A$2:$A$39,'2. Matching'!$B$2:$B$39,"--")</f>
        <v>SEO</v>
      </c>
      <c r="K4823" s="65" t="str">
        <f t="shared" si="1"/>
        <v>In</v>
      </c>
    </row>
    <row r="4824">
      <c r="A4824" s="62" t="s">
        <v>4962</v>
      </c>
      <c r="B4824" s="63">
        <v>44281.0</v>
      </c>
      <c r="C4824" s="62" t="s">
        <v>119</v>
      </c>
      <c r="D4824" s="64">
        <v>45.0</v>
      </c>
      <c r="E4824" s="62" t="s">
        <v>109</v>
      </c>
      <c r="F4824" s="62" t="s">
        <v>115</v>
      </c>
      <c r="G4824" s="64" t="s">
        <v>64</v>
      </c>
      <c r="H4824" s="3" t="s">
        <v>164</v>
      </c>
      <c r="I4824" s="65">
        <f>IFERROR(VLOOKUP(A4824,'3. Call duration'!$A:$C,3,0),"--")</f>
        <v>32.31718889</v>
      </c>
      <c r="J4824" s="65" t="str">
        <f t="array" ref="J4824">XLOOKUP(H4824,'2. Matching'!$A$2:$A$39,'2. Matching'!$B$2:$B$39,"--")</f>
        <v>SEO</v>
      </c>
      <c r="K4824" s="65" t="str">
        <f t="shared" si="1"/>
        <v>In</v>
      </c>
    </row>
    <row r="4825">
      <c r="A4825" s="62" t="s">
        <v>4963</v>
      </c>
      <c r="B4825" s="63">
        <v>44272.0</v>
      </c>
      <c r="C4825" s="62" t="s">
        <v>119</v>
      </c>
      <c r="D4825" s="64">
        <v>45.0</v>
      </c>
      <c r="E4825" s="62" t="s">
        <v>109</v>
      </c>
      <c r="F4825" s="62" t="s">
        <v>115</v>
      </c>
      <c r="G4825" s="64" t="s">
        <v>64</v>
      </c>
      <c r="H4825" s="3" t="s">
        <v>221</v>
      </c>
      <c r="I4825" s="65">
        <f>IFERROR(VLOOKUP(A4825,'3. Call duration'!$A:$C,3,0),"--")</f>
        <v>29.65184388</v>
      </c>
      <c r="J4825" s="65" t="str">
        <f t="array" ref="J4825">XLOOKUP(H4825,'2. Matching'!$A$2:$A$39,'2. Matching'!$B$2:$B$39,"--")</f>
        <v>Farming</v>
      </c>
      <c r="K4825" s="65" t="str">
        <f t="shared" si="1"/>
        <v>In</v>
      </c>
    </row>
    <row r="4826">
      <c r="A4826" s="62" t="s">
        <v>4964</v>
      </c>
      <c r="B4826" s="63">
        <v>44260.0</v>
      </c>
      <c r="C4826" s="62" t="s">
        <v>119</v>
      </c>
      <c r="D4826" s="64">
        <v>45.0</v>
      </c>
      <c r="E4826" s="62" t="s">
        <v>109</v>
      </c>
      <c r="F4826" s="62" t="s">
        <v>110</v>
      </c>
      <c r="G4826" s="64" t="s">
        <v>63</v>
      </c>
      <c r="H4826" s="3" t="s">
        <v>189</v>
      </c>
      <c r="I4826" s="65">
        <f>IFERROR(VLOOKUP(A4826,'3. Call duration'!$A:$C,3,0),"--")</f>
        <v>32.82751842</v>
      </c>
      <c r="J4826" s="65" t="str">
        <f t="array" ref="J4826">XLOOKUP(H4826,'2. Matching'!$A$2:$A$39,'2. Matching'!$B$2:$B$39,"--")</f>
        <v>SEO</v>
      </c>
      <c r="K4826" s="65" t="str">
        <f t="shared" si="1"/>
        <v>Out</v>
      </c>
    </row>
    <row r="4827">
      <c r="A4827" s="62" t="s">
        <v>4965</v>
      </c>
      <c r="B4827" s="63">
        <v>44279.0</v>
      </c>
      <c r="C4827" s="62" t="s">
        <v>119</v>
      </c>
      <c r="D4827" s="64">
        <v>45.0</v>
      </c>
      <c r="E4827" s="62" t="s">
        <v>109</v>
      </c>
      <c r="F4827" s="62" t="s">
        <v>110</v>
      </c>
      <c r="G4827" s="64" t="s">
        <v>64</v>
      </c>
      <c r="H4827" s="3" t="s">
        <v>297</v>
      </c>
      <c r="I4827" s="65">
        <f>IFERROR(VLOOKUP(A4827,'3. Call duration'!$A:$C,3,0),"--")</f>
        <v>31.51650394</v>
      </c>
      <c r="J4827" s="65" t="str">
        <f t="array" ref="J4827">XLOOKUP(H4827,'2. Matching'!$A$2:$A$39,'2. Matching'!$B$2:$B$39,"--")</f>
        <v>Farming</v>
      </c>
      <c r="K4827" s="65" t="str">
        <f t="shared" si="1"/>
        <v>In</v>
      </c>
    </row>
    <row r="4828">
      <c r="A4828" s="62" t="s">
        <v>4966</v>
      </c>
      <c r="B4828" s="63">
        <v>44292.0</v>
      </c>
      <c r="C4828" s="62" t="s">
        <v>119</v>
      </c>
      <c r="D4828" s="64">
        <v>45.0</v>
      </c>
      <c r="E4828" s="62" t="s">
        <v>109</v>
      </c>
      <c r="F4828" s="62" t="s">
        <v>115</v>
      </c>
      <c r="G4828" s="64" t="s">
        <v>64</v>
      </c>
      <c r="H4828" s="3" t="s">
        <v>145</v>
      </c>
      <c r="I4828" s="65">
        <f>IFERROR(VLOOKUP(A4828,'3. Call duration'!$A:$C,3,0),"--")</f>
        <v>24.43739615</v>
      </c>
      <c r="J4828" s="65" t="str">
        <f t="array" ref="J4828">XLOOKUP(H4828,'2. Matching'!$A$2:$A$39,'2. Matching'!$B$2:$B$39,"--")</f>
        <v>SEO</v>
      </c>
      <c r="K4828" s="65" t="str">
        <f t="shared" si="1"/>
        <v>In</v>
      </c>
    </row>
    <row r="4829">
      <c r="A4829" s="62" t="s">
        <v>4967</v>
      </c>
      <c r="B4829" s="63">
        <v>44259.0</v>
      </c>
      <c r="C4829" s="62" t="s">
        <v>119</v>
      </c>
      <c r="D4829" s="64">
        <v>45.0</v>
      </c>
      <c r="E4829" s="62" t="s">
        <v>109</v>
      </c>
      <c r="F4829" s="62" t="s">
        <v>115</v>
      </c>
      <c r="G4829" s="64" t="s">
        <v>64</v>
      </c>
      <c r="H4829" s="3" t="s">
        <v>139</v>
      </c>
      <c r="I4829" s="65" t="str">
        <f>IFERROR(VLOOKUP(A4829,'3. Call duration'!$A:$C,3,0),"--")</f>
        <v>--</v>
      </c>
      <c r="J4829" s="65" t="str">
        <f t="array" ref="J4829">XLOOKUP(H4829,'2. Matching'!$A$2:$A$39,'2. Matching'!$B$2:$B$39,"--")</f>
        <v>Acquisition</v>
      </c>
      <c r="K4829" s="65" t="str">
        <f t="shared" si="1"/>
        <v>In</v>
      </c>
    </row>
    <row r="4830">
      <c r="A4830" s="62" t="s">
        <v>4968</v>
      </c>
      <c r="B4830" s="63">
        <v>44309.0</v>
      </c>
      <c r="C4830" s="62" t="s">
        <v>119</v>
      </c>
      <c r="D4830" s="64">
        <v>45.0</v>
      </c>
      <c r="E4830" s="62" t="s">
        <v>109</v>
      </c>
      <c r="F4830" s="62" t="s">
        <v>110</v>
      </c>
      <c r="G4830" s="64" t="s">
        <v>64</v>
      </c>
      <c r="H4830" s="3" t="s">
        <v>52</v>
      </c>
      <c r="I4830" s="65">
        <f>IFERROR(VLOOKUP(A4830,'3. Call duration'!$A:$C,3,0),"--")</f>
        <v>17.2921232</v>
      </c>
      <c r="J4830" s="65" t="str">
        <f t="array" ref="J4830">XLOOKUP(H4830,'2. Matching'!$A$2:$A$39,'2. Matching'!$B$2:$B$39,"--")</f>
        <v>Partnerships</v>
      </c>
      <c r="K4830" s="65" t="str">
        <f t="shared" si="1"/>
        <v>In</v>
      </c>
    </row>
    <row r="4831">
      <c r="A4831" s="62" t="s">
        <v>4969</v>
      </c>
      <c r="B4831" s="63">
        <v>44309.0</v>
      </c>
      <c r="C4831" s="62" t="s">
        <v>119</v>
      </c>
      <c r="D4831" s="64">
        <v>45.0</v>
      </c>
      <c r="E4831" s="62" t="s">
        <v>109</v>
      </c>
      <c r="F4831" s="62" t="s">
        <v>110</v>
      </c>
      <c r="G4831" s="64" t="s">
        <v>64</v>
      </c>
      <c r="H4831" s="3" t="s">
        <v>297</v>
      </c>
      <c r="I4831" s="65">
        <f>IFERROR(VLOOKUP(A4831,'3. Call duration'!$A:$C,3,0),"--")</f>
        <v>29.32409244</v>
      </c>
      <c r="J4831" s="65" t="str">
        <f t="array" ref="J4831">XLOOKUP(H4831,'2. Matching'!$A$2:$A$39,'2. Matching'!$B$2:$B$39,"--")</f>
        <v>Farming</v>
      </c>
      <c r="K4831" s="65" t="str">
        <f t="shared" si="1"/>
        <v>In</v>
      </c>
    </row>
    <row r="4832">
      <c r="A4832" s="62" t="s">
        <v>4970</v>
      </c>
      <c r="B4832" s="63">
        <v>44271.0</v>
      </c>
      <c r="C4832" s="62" t="s">
        <v>119</v>
      </c>
      <c r="D4832" s="64">
        <v>45.0</v>
      </c>
      <c r="E4832" s="62" t="s">
        <v>109</v>
      </c>
      <c r="F4832" s="62" t="s">
        <v>110</v>
      </c>
      <c r="G4832" s="64" t="s">
        <v>64</v>
      </c>
      <c r="H4832" s="3" t="s">
        <v>297</v>
      </c>
      <c r="I4832" s="65">
        <f>IFERROR(VLOOKUP(A4832,'3. Call duration'!$A:$C,3,0),"--")</f>
        <v>27.22254927</v>
      </c>
      <c r="J4832" s="65" t="str">
        <f t="array" ref="J4832">XLOOKUP(H4832,'2. Matching'!$A$2:$A$39,'2. Matching'!$B$2:$B$39,"--")</f>
        <v>Farming</v>
      </c>
      <c r="K4832" s="65" t="str">
        <f t="shared" si="1"/>
        <v>In</v>
      </c>
    </row>
    <row r="4833">
      <c r="A4833" s="62" t="s">
        <v>4971</v>
      </c>
      <c r="B4833" s="63">
        <v>44287.0</v>
      </c>
      <c r="C4833" s="62" t="s">
        <v>119</v>
      </c>
      <c r="D4833" s="64">
        <v>45.0</v>
      </c>
      <c r="E4833" s="62" t="s">
        <v>109</v>
      </c>
      <c r="F4833" s="62" t="s">
        <v>115</v>
      </c>
      <c r="G4833" s="64" t="s">
        <v>64</v>
      </c>
      <c r="H4833" s="3" t="s">
        <v>185</v>
      </c>
      <c r="I4833" s="65">
        <f>IFERROR(VLOOKUP(A4833,'3. Call duration'!$A:$C,3,0),"--")</f>
        <v>22.97527619</v>
      </c>
      <c r="J4833" s="65" t="str">
        <f t="array" ref="J4833">XLOOKUP(H4833,'2. Matching'!$A$2:$A$39,'2. Matching'!$B$2:$B$39,"--")</f>
        <v>SEO</v>
      </c>
      <c r="K4833" s="65" t="str">
        <f t="shared" si="1"/>
        <v>In</v>
      </c>
    </row>
    <row r="4834">
      <c r="A4834" s="62" t="s">
        <v>4972</v>
      </c>
      <c r="B4834" s="63">
        <v>44313.0</v>
      </c>
      <c r="C4834" s="62" t="s">
        <v>119</v>
      </c>
      <c r="D4834" s="64">
        <v>45.0</v>
      </c>
      <c r="E4834" s="62" t="s">
        <v>109</v>
      </c>
      <c r="F4834" s="62" t="s">
        <v>115</v>
      </c>
      <c r="G4834" s="64" t="s">
        <v>64</v>
      </c>
      <c r="H4834" s="3" t="s">
        <v>164</v>
      </c>
      <c r="I4834" s="65">
        <f>IFERROR(VLOOKUP(A4834,'3. Call duration'!$A:$C,3,0),"--")</f>
        <v>24.92487065</v>
      </c>
      <c r="J4834" s="65" t="str">
        <f t="array" ref="J4834">XLOOKUP(H4834,'2. Matching'!$A$2:$A$39,'2. Matching'!$B$2:$B$39,"--")</f>
        <v>SEO</v>
      </c>
      <c r="K4834" s="65" t="str">
        <f t="shared" si="1"/>
        <v>In</v>
      </c>
    </row>
    <row r="4835">
      <c r="A4835" s="62" t="s">
        <v>4973</v>
      </c>
      <c r="B4835" s="63">
        <v>44310.0</v>
      </c>
      <c r="C4835" s="62" t="s">
        <v>119</v>
      </c>
      <c r="D4835" s="64">
        <v>45.0</v>
      </c>
      <c r="E4835" s="62" t="s">
        <v>109</v>
      </c>
      <c r="F4835" s="62" t="s">
        <v>115</v>
      </c>
      <c r="G4835" s="64" t="s">
        <v>64</v>
      </c>
      <c r="H4835" s="3" t="s">
        <v>169</v>
      </c>
      <c r="I4835" s="65">
        <f>IFERROR(VLOOKUP(A4835,'3. Call duration'!$A:$C,3,0),"--")</f>
        <v>28.29310522</v>
      </c>
      <c r="J4835" s="65" t="str">
        <f t="array" ref="J4835">XLOOKUP(H4835,'2. Matching'!$A$2:$A$39,'2. Matching'!$B$2:$B$39,"--")</f>
        <v>SEO</v>
      </c>
      <c r="K4835" s="65" t="str">
        <f t="shared" si="1"/>
        <v>In</v>
      </c>
    </row>
    <row r="4836">
      <c r="A4836" s="62" t="s">
        <v>4974</v>
      </c>
      <c r="B4836" s="63">
        <v>44305.0</v>
      </c>
      <c r="C4836" s="62" t="s">
        <v>119</v>
      </c>
      <c r="D4836" s="64">
        <v>45.0</v>
      </c>
      <c r="E4836" s="62" t="s">
        <v>109</v>
      </c>
      <c r="F4836" s="62" t="s">
        <v>110</v>
      </c>
      <c r="G4836" s="64" t="s">
        <v>64</v>
      </c>
      <c r="H4836" s="3" t="s">
        <v>139</v>
      </c>
      <c r="I4836" s="65">
        <f>IFERROR(VLOOKUP(A4836,'3. Call duration'!$A:$C,3,0),"--")</f>
        <v>25.09001378</v>
      </c>
      <c r="J4836" s="65" t="str">
        <f t="array" ref="J4836">XLOOKUP(H4836,'2. Matching'!$A$2:$A$39,'2. Matching'!$B$2:$B$39,"--")</f>
        <v>Acquisition</v>
      </c>
      <c r="K4836" s="65" t="str">
        <f t="shared" si="1"/>
        <v>In</v>
      </c>
    </row>
    <row r="4837">
      <c r="A4837" s="62" t="s">
        <v>4975</v>
      </c>
      <c r="B4837" s="63">
        <v>44263.0</v>
      </c>
      <c r="C4837" s="62" t="s">
        <v>119</v>
      </c>
      <c r="D4837" s="64">
        <v>45.0</v>
      </c>
      <c r="E4837" s="62" t="s">
        <v>109</v>
      </c>
      <c r="F4837" s="62" t="s">
        <v>115</v>
      </c>
      <c r="G4837" s="64" t="s">
        <v>64</v>
      </c>
      <c r="H4837" s="3" t="s">
        <v>169</v>
      </c>
      <c r="I4837" s="65">
        <f>IFERROR(VLOOKUP(A4837,'3. Call duration'!$A:$C,3,0),"--")</f>
        <v>12.90507044</v>
      </c>
      <c r="J4837" s="65" t="str">
        <f t="array" ref="J4837">XLOOKUP(H4837,'2. Matching'!$A$2:$A$39,'2. Matching'!$B$2:$B$39,"--")</f>
        <v>SEO</v>
      </c>
      <c r="K4837" s="65" t="str">
        <f t="shared" si="1"/>
        <v>In</v>
      </c>
    </row>
    <row r="4838">
      <c r="A4838" s="62" t="s">
        <v>4976</v>
      </c>
      <c r="B4838" s="63">
        <v>44315.0</v>
      </c>
      <c r="C4838" s="62" t="s">
        <v>119</v>
      </c>
      <c r="D4838" s="64">
        <v>45.0</v>
      </c>
      <c r="E4838" s="62" t="s">
        <v>109</v>
      </c>
      <c r="F4838" s="62" t="s">
        <v>110</v>
      </c>
      <c r="G4838" s="64" t="s">
        <v>64</v>
      </c>
      <c r="H4838" s="3" t="s">
        <v>131</v>
      </c>
      <c r="I4838" s="65">
        <f>IFERROR(VLOOKUP(A4838,'3. Call duration'!$A:$C,3,0),"--")</f>
        <v>21.19392608</v>
      </c>
      <c r="J4838" s="65" t="str">
        <f t="array" ref="J4838">XLOOKUP(H4838,'2. Matching'!$A$2:$A$39,'2. Matching'!$B$2:$B$39,"--")</f>
        <v>Acquisition</v>
      </c>
      <c r="K4838" s="65" t="str">
        <f t="shared" si="1"/>
        <v>In</v>
      </c>
    </row>
    <row r="4839">
      <c r="A4839" s="62" t="s">
        <v>4977</v>
      </c>
      <c r="B4839" s="63">
        <v>44312.0</v>
      </c>
      <c r="C4839" s="62" t="s">
        <v>119</v>
      </c>
      <c r="D4839" s="64">
        <v>45.0</v>
      </c>
      <c r="E4839" s="62" t="s">
        <v>109</v>
      </c>
      <c r="F4839" s="62" t="s">
        <v>115</v>
      </c>
      <c r="G4839" s="64" t="s">
        <v>64</v>
      </c>
      <c r="H4839" s="3" t="s">
        <v>141</v>
      </c>
      <c r="I4839" s="65">
        <f>IFERROR(VLOOKUP(A4839,'3. Call duration'!$A:$C,3,0),"--")</f>
        <v>30.21980314</v>
      </c>
      <c r="J4839" s="65" t="str">
        <f t="array" ref="J4839">XLOOKUP(H4839,'2. Matching'!$A$2:$A$39,'2. Matching'!$B$2:$B$39,"--")</f>
        <v>Acquisition</v>
      </c>
      <c r="K4839" s="65" t="str">
        <f t="shared" si="1"/>
        <v>In</v>
      </c>
    </row>
    <row r="4840">
      <c r="A4840" s="62" t="s">
        <v>4978</v>
      </c>
      <c r="B4840" s="63">
        <v>44268.0</v>
      </c>
      <c r="C4840" s="62" t="s">
        <v>119</v>
      </c>
      <c r="D4840" s="64">
        <v>45.0</v>
      </c>
      <c r="E4840" s="62" t="s">
        <v>109</v>
      </c>
      <c r="F4840" s="62" t="s">
        <v>115</v>
      </c>
      <c r="G4840" s="64" t="s">
        <v>64</v>
      </c>
      <c r="H4840" s="3" t="s">
        <v>185</v>
      </c>
      <c r="I4840" s="65" t="str">
        <f>IFERROR(VLOOKUP(A4840,'3. Call duration'!$A:$C,3,0),"--")</f>
        <v>--</v>
      </c>
      <c r="J4840" s="65" t="str">
        <f t="array" ref="J4840">XLOOKUP(H4840,'2. Matching'!$A$2:$A$39,'2. Matching'!$B$2:$B$39,"--")</f>
        <v>SEO</v>
      </c>
      <c r="K4840" s="65" t="str">
        <f t="shared" si="1"/>
        <v>In</v>
      </c>
    </row>
    <row r="4841">
      <c r="A4841" s="62" t="s">
        <v>4979</v>
      </c>
      <c r="B4841" s="63">
        <v>44284.0</v>
      </c>
      <c r="C4841" s="62" t="s">
        <v>119</v>
      </c>
      <c r="D4841" s="64">
        <v>45.0</v>
      </c>
      <c r="E4841" s="62" t="s">
        <v>109</v>
      </c>
      <c r="F4841" s="62" t="s">
        <v>115</v>
      </c>
      <c r="G4841" s="64" t="s">
        <v>64</v>
      </c>
      <c r="H4841" s="3" t="s">
        <v>55</v>
      </c>
      <c r="I4841" s="65">
        <f>IFERROR(VLOOKUP(A4841,'3. Call duration'!$A:$C,3,0),"--")</f>
        <v>16.24155989</v>
      </c>
      <c r="J4841" s="65" t="str">
        <f t="array" ref="J4841">XLOOKUP(H4841,'2. Matching'!$A$2:$A$39,'2. Matching'!$B$2:$B$39,"--")</f>
        <v>Partnerships</v>
      </c>
      <c r="K4841" s="65" t="str">
        <f t="shared" si="1"/>
        <v>In</v>
      </c>
    </row>
    <row r="4842">
      <c r="A4842" s="62" t="s">
        <v>4980</v>
      </c>
      <c r="B4842" s="63">
        <v>44259.0</v>
      </c>
      <c r="C4842" s="62" t="s">
        <v>119</v>
      </c>
      <c r="D4842" s="64">
        <v>45.0</v>
      </c>
      <c r="E4842" s="62" t="s">
        <v>109</v>
      </c>
      <c r="F4842" s="62" t="s">
        <v>115</v>
      </c>
      <c r="G4842" s="64" t="s">
        <v>64</v>
      </c>
      <c r="H4842" s="3" t="s">
        <v>169</v>
      </c>
      <c r="I4842" s="65">
        <f>IFERROR(VLOOKUP(A4842,'3. Call duration'!$A:$C,3,0),"--")</f>
        <v>24.24768564</v>
      </c>
      <c r="J4842" s="65" t="str">
        <f t="array" ref="J4842">XLOOKUP(H4842,'2. Matching'!$A$2:$A$39,'2. Matching'!$B$2:$B$39,"--")</f>
        <v>SEO</v>
      </c>
      <c r="K4842" s="65" t="str">
        <f t="shared" si="1"/>
        <v>In</v>
      </c>
    </row>
    <row r="4843">
      <c r="A4843" s="62" t="s">
        <v>4981</v>
      </c>
      <c r="B4843" s="63">
        <v>44296.0</v>
      </c>
      <c r="C4843" s="62" t="s">
        <v>119</v>
      </c>
      <c r="D4843" s="64">
        <v>45.0</v>
      </c>
      <c r="E4843" s="62" t="s">
        <v>109</v>
      </c>
      <c r="F4843" s="62" t="s">
        <v>115</v>
      </c>
      <c r="G4843" s="64" t="s">
        <v>64</v>
      </c>
      <c r="H4843" s="3" t="s">
        <v>141</v>
      </c>
      <c r="I4843" s="65">
        <f>IFERROR(VLOOKUP(A4843,'3. Call duration'!$A:$C,3,0),"--")</f>
        <v>29.8930193</v>
      </c>
      <c r="J4843" s="65" t="str">
        <f t="array" ref="J4843">XLOOKUP(H4843,'2. Matching'!$A$2:$A$39,'2. Matching'!$B$2:$B$39,"--")</f>
        <v>Acquisition</v>
      </c>
      <c r="K4843" s="65" t="str">
        <f t="shared" si="1"/>
        <v>In</v>
      </c>
    </row>
    <row r="4844">
      <c r="A4844" s="62" t="s">
        <v>4982</v>
      </c>
      <c r="B4844" s="63">
        <v>44280.0</v>
      </c>
      <c r="C4844" s="62" t="s">
        <v>119</v>
      </c>
      <c r="D4844" s="64">
        <v>45.0</v>
      </c>
      <c r="E4844" s="62" t="s">
        <v>109</v>
      </c>
      <c r="F4844" s="62" t="s">
        <v>110</v>
      </c>
      <c r="G4844" s="64" t="s">
        <v>64</v>
      </c>
      <c r="H4844" s="3" t="s">
        <v>297</v>
      </c>
      <c r="I4844" s="65" t="str">
        <f>IFERROR(VLOOKUP(A4844,'3. Call duration'!$A:$C,3,0),"--")</f>
        <v>--</v>
      </c>
      <c r="J4844" s="65" t="str">
        <f t="array" ref="J4844">XLOOKUP(H4844,'2. Matching'!$A$2:$A$39,'2. Matching'!$B$2:$B$39,"--")</f>
        <v>Farming</v>
      </c>
      <c r="K4844" s="65" t="str">
        <f t="shared" si="1"/>
        <v>In</v>
      </c>
    </row>
    <row r="4845">
      <c r="A4845" s="62" t="s">
        <v>4983</v>
      </c>
      <c r="B4845" s="63">
        <v>44306.0</v>
      </c>
      <c r="C4845" s="62" t="s">
        <v>119</v>
      </c>
      <c r="D4845" s="64">
        <v>45.0</v>
      </c>
      <c r="E4845" s="62" t="s">
        <v>109</v>
      </c>
      <c r="F4845" s="62" t="s">
        <v>115</v>
      </c>
      <c r="G4845" s="64" t="s">
        <v>64</v>
      </c>
      <c r="H4845" s="3" t="s">
        <v>169</v>
      </c>
      <c r="I4845" s="65">
        <f>IFERROR(VLOOKUP(A4845,'3. Call duration'!$A:$C,3,0),"--")</f>
        <v>12.88971934</v>
      </c>
      <c r="J4845" s="65" t="str">
        <f t="array" ref="J4845">XLOOKUP(H4845,'2. Matching'!$A$2:$A$39,'2. Matching'!$B$2:$B$39,"--")</f>
        <v>SEO</v>
      </c>
      <c r="K4845" s="65" t="str">
        <f t="shared" si="1"/>
        <v>In</v>
      </c>
    </row>
    <row r="4846">
      <c r="A4846" s="62" t="s">
        <v>4984</v>
      </c>
      <c r="B4846" s="63">
        <v>44278.0</v>
      </c>
      <c r="C4846" s="62" t="s">
        <v>119</v>
      </c>
      <c r="D4846" s="64">
        <v>45.0</v>
      </c>
      <c r="E4846" s="62" t="s">
        <v>109</v>
      </c>
      <c r="F4846" s="62" t="s">
        <v>115</v>
      </c>
      <c r="G4846" s="64" t="s">
        <v>64</v>
      </c>
      <c r="H4846" s="3" t="s">
        <v>169</v>
      </c>
      <c r="I4846" s="65">
        <f>IFERROR(VLOOKUP(A4846,'3. Call duration'!$A:$C,3,0),"--")</f>
        <v>50.20473016</v>
      </c>
      <c r="J4846" s="65" t="str">
        <f t="array" ref="J4846">XLOOKUP(H4846,'2. Matching'!$A$2:$A$39,'2. Matching'!$B$2:$B$39,"--")</f>
        <v>SEO</v>
      </c>
      <c r="K4846" s="65" t="str">
        <f t="shared" si="1"/>
        <v>In</v>
      </c>
    </row>
    <row r="4847">
      <c r="A4847" s="62" t="s">
        <v>4985</v>
      </c>
      <c r="B4847" s="63">
        <v>44284.0</v>
      </c>
      <c r="C4847" s="62" t="s">
        <v>119</v>
      </c>
      <c r="D4847" s="64">
        <v>45.0</v>
      </c>
      <c r="E4847" s="62" t="s">
        <v>109</v>
      </c>
      <c r="F4847" s="62" t="s">
        <v>115</v>
      </c>
      <c r="G4847" s="64" t="s">
        <v>64</v>
      </c>
      <c r="H4847" s="3" t="s">
        <v>185</v>
      </c>
      <c r="I4847" s="65">
        <f>IFERROR(VLOOKUP(A4847,'3. Call duration'!$A:$C,3,0),"--")</f>
        <v>35.03110173</v>
      </c>
      <c r="J4847" s="65" t="str">
        <f t="array" ref="J4847">XLOOKUP(H4847,'2. Matching'!$A$2:$A$39,'2. Matching'!$B$2:$B$39,"--")</f>
        <v>SEO</v>
      </c>
      <c r="K4847" s="65" t="str">
        <f t="shared" si="1"/>
        <v>In</v>
      </c>
    </row>
    <row r="4848">
      <c r="A4848" s="62" t="s">
        <v>4986</v>
      </c>
      <c r="B4848" s="63">
        <v>44266.0</v>
      </c>
      <c r="C4848" s="62" t="s">
        <v>119</v>
      </c>
      <c r="D4848" s="64">
        <v>45.0</v>
      </c>
      <c r="E4848" s="62" t="s">
        <v>109</v>
      </c>
      <c r="F4848" s="62" t="s">
        <v>115</v>
      </c>
      <c r="G4848" s="64" t="s">
        <v>64</v>
      </c>
      <c r="H4848" s="3" t="s">
        <v>175</v>
      </c>
      <c r="I4848" s="65" t="str">
        <f>IFERROR(VLOOKUP(A4848,'3. Call duration'!$A:$C,3,0),"--")</f>
        <v>--</v>
      </c>
      <c r="J4848" s="65" t="str">
        <f t="array" ref="J4848">XLOOKUP(H4848,'2. Matching'!$A$2:$A$39,'2. Matching'!$B$2:$B$39,"--")</f>
        <v>SEO</v>
      </c>
      <c r="K4848" s="65" t="str">
        <f t="shared" si="1"/>
        <v>In</v>
      </c>
    </row>
    <row r="4849">
      <c r="A4849" s="62" t="s">
        <v>4987</v>
      </c>
      <c r="B4849" s="63">
        <v>44308.0</v>
      </c>
      <c r="C4849" s="62" t="s">
        <v>119</v>
      </c>
      <c r="D4849" s="64">
        <v>45.0</v>
      </c>
      <c r="E4849" s="62" t="s">
        <v>109</v>
      </c>
      <c r="F4849" s="62" t="s">
        <v>115</v>
      </c>
      <c r="G4849" s="64" t="s">
        <v>64</v>
      </c>
      <c r="H4849" s="3" t="s">
        <v>185</v>
      </c>
      <c r="I4849" s="65" t="str">
        <f>IFERROR(VLOOKUP(A4849,'3. Call duration'!$A:$C,3,0),"--")</f>
        <v>--</v>
      </c>
      <c r="J4849" s="65" t="str">
        <f t="array" ref="J4849">XLOOKUP(H4849,'2. Matching'!$A$2:$A$39,'2. Matching'!$B$2:$B$39,"--")</f>
        <v>SEO</v>
      </c>
      <c r="K4849" s="65" t="str">
        <f t="shared" si="1"/>
        <v>In</v>
      </c>
    </row>
    <row r="4850">
      <c r="A4850" s="62" t="s">
        <v>4988</v>
      </c>
      <c r="B4850" s="63">
        <v>44305.0</v>
      </c>
      <c r="C4850" s="62" t="s">
        <v>119</v>
      </c>
      <c r="D4850" s="64">
        <v>45.0</v>
      </c>
      <c r="E4850" s="62" t="s">
        <v>109</v>
      </c>
      <c r="F4850" s="62" t="s">
        <v>110</v>
      </c>
      <c r="G4850" s="64" t="s">
        <v>64</v>
      </c>
      <c r="H4850" s="3" t="s">
        <v>145</v>
      </c>
      <c r="I4850" s="65">
        <f>IFERROR(VLOOKUP(A4850,'3. Call duration'!$A:$C,3,0),"--")</f>
        <v>21.86024024</v>
      </c>
      <c r="J4850" s="65" t="str">
        <f t="array" ref="J4850">XLOOKUP(H4850,'2. Matching'!$A$2:$A$39,'2. Matching'!$B$2:$B$39,"--")</f>
        <v>SEO</v>
      </c>
      <c r="K4850" s="65" t="str">
        <f t="shared" si="1"/>
        <v>In</v>
      </c>
    </row>
    <row r="4851">
      <c r="A4851" s="62" t="s">
        <v>4989</v>
      </c>
      <c r="B4851" s="63">
        <v>44307.0</v>
      </c>
      <c r="C4851" s="62" t="s">
        <v>119</v>
      </c>
      <c r="D4851" s="64">
        <v>45.0</v>
      </c>
      <c r="E4851" s="62" t="s">
        <v>109</v>
      </c>
      <c r="F4851" s="62" t="s">
        <v>115</v>
      </c>
      <c r="G4851" s="64" t="s">
        <v>64</v>
      </c>
      <c r="H4851" s="3" t="s">
        <v>52</v>
      </c>
      <c r="I4851" s="65">
        <f>IFERROR(VLOOKUP(A4851,'3. Call duration'!$A:$C,3,0),"--")</f>
        <v>20.81406618</v>
      </c>
      <c r="J4851" s="65" t="str">
        <f t="array" ref="J4851">XLOOKUP(H4851,'2. Matching'!$A$2:$A$39,'2. Matching'!$B$2:$B$39,"--")</f>
        <v>Partnerships</v>
      </c>
      <c r="K4851" s="65" t="str">
        <f t="shared" si="1"/>
        <v>In</v>
      </c>
    </row>
    <row r="4852">
      <c r="A4852" s="62" t="s">
        <v>4990</v>
      </c>
      <c r="B4852" s="63">
        <v>44306.0</v>
      </c>
      <c r="C4852" s="62" t="s">
        <v>119</v>
      </c>
      <c r="D4852" s="64">
        <v>45.0</v>
      </c>
      <c r="E4852" s="62" t="s">
        <v>109</v>
      </c>
      <c r="F4852" s="62" t="s">
        <v>110</v>
      </c>
      <c r="G4852" s="64" t="s">
        <v>64</v>
      </c>
      <c r="H4852" s="3" t="s">
        <v>52</v>
      </c>
      <c r="I4852" s="65">
        <f>IFERROR(VLOOKUP(A4852,'3. Call duration'!$A:$C,3,0),"--")</f>
        <v>22.53756009</v>
      </c>
      <c r="J4852" s="65" t="str">
        <f t="array" ref="J4852">XLOOKUP(H4852,'2. Matching'!$A$2:$A$39,'2. Matching'!$B$2:$B$39,"--")</f>
        <v>Partnerships</v>
      </c>
      <c r="K4852" s="65" t="str">
        <f t="shared" si="1"/>
        <v>In</v>
      </c>
    </row>
    <row r="4853">
      <c r="A4853" s="62" t="s">
        <v>4991</v>
      </c>
      <c r="B4853" s="63">
        <v>44274.0</v>
      </c>
      <c r="C4853" s="62" t="s">
        <v>119</v>
      </c>
      <c r="D4853" s="64">
        <v>45.0</v>
      </c>
      <c r="E4853" s="62" t="s">
        <v>109</v>
      </c>
      <c r="F4853" s="62" t="s">
        <v>110</v>
      </c>
      <c r="G4853" s="64" t="s">
        <v>64</v>
      </c>
      <c r="H4853" s="3" t="s">
        <v>297</v>
      </c>
      <c r="I4853" s="65">
        <f>IFERROR(VLOOKUP(A4853,'3. Call duration'!$A:$C,3,0),"--")</f>
        <v>23.82306017</v>
      </c>
      <c r="J4853" s="65" t="str">
        <f t="array" ref="J4853">XLOOKUP(H4853,'2. Matching'!$A$2:$A$39,'2. Matching'!$B$2:$B$39,"--")</f>
        <v>Farming</v>
      </c>
      <c r="K4853" s="65" t="str">
        <f t="shared" si="1"/>
        <v>In</v>
      </c>
    </row>
    <row r="4854">
      <c r="A4854" s="62" t="s">
        <v>4992</v>
      </c>
      <c r="B4854" s="63">
        <v>44310.0</v>
      </c>
      <c r="C4854" s="62" t="s">
        <v>119</v>
      </c>
      <c r="D4854" s="64">
        <v>45.0</v>
      </c>
      <c r="E4854" s="62" t="s">
        <v>109</v>
      </c>
      <c r="F4854" s="62" t="s">
        <v>115</v>
      </c>
      <c r="G4854" s="64" t="s">
        <v>64</v>
      </c>
      <c r="H4854" s="3" t="s">
        <v>185</v>
      </c>
      <c r="I4854" s="65">
        <f>IFERROR(VLOOKUP(A4854,'3. Call duration'!$A:$C,3,0),"--")</f>
        <v>31.09803778</v>
      </c>
      <c r="J4854" s="65" t="str">
        <f t="array" ref="J4854">XLOOKUP(H4854,'2. Matching'!$A$2:$A$39,'2. Matching'!$B$2:$B$39,"--")</f>
        <v>SEO</v>
      </c>
      <c r="K4854" s="65" t="str">
        <f t="shared" si="1"/>
        <v>In</v>
      </c>
    </row>
    <row r="4855">
      <c r="A4855" s="62" t="s">
        <v>4993</v>
      </c>
      <c r="B4855" s="63">
        <v>44273.0</v>
      </c>
      <c r="C4855" s="62" t="s">
        <v>119</v>
      </c>
      <c r="D4855" s="64">
        <v>45.0</v>
      </c>
      <c r="E4855" s="62" t="s">
        <v>109</v>
      </c>
      <c r="F4855" s="62" t="s">
        <v>115</v>
      </c>
      <c r="G4855" s="64" t="s">
        <v>64</v>
      </c>
      <c r="H4855" s="3" t="s">
        <v>141</v>
      </c>
      <c r="I4855" s="65">
        <f>IFERROR(VLOOKUP(A4855,'3. Call duration'!$A:$C,3,0),"--")</f>
        <v>32.01892072</v>
      </c>
      <c r="J4855" s="65" t="str">
        <f t="array" ref="J4855">XLOOKUP(H4855,'2. Matching'!$A$2:$A$39,'2. Matching'!$B$2:$B$39,"--")</f>
        <v>Acquisition</v>
      </c>
      <c r="K4855" s="65" t="str">
        <f t="shared" si="1"/>
        <v>In</v>
      </c>
    </row>
    <row r="4856">
      <c r="A4856" s="62" t="s">
        <v>4994</v>
      </c>
      <c r="B4856" s="63">
        <v>44314.0</v>
      </c>
      <c r="C4856" s="62" t="s">
        <v>119</v>
      </c>
      <c r="D4856" s="64">
        <v>45.0</v>
      </c>
      <c r="E4856" s="62" t="s">
        <v>109</v>
      </c>
      <c r="F4856" s="62" t="s">
        <v>115</v>
      </c>
      <c r="G4856" s="64" t="s">
        <v>64</v>
      </c>
      <c r="H4856" s="3" t="s">
        <v>141</v>
      </c>
      <c r="I4856" s="65">
        <f>IFERROR(VLOOKUP(A4856,'3. Call duration'!$A:$C,3,0),"--")</f>
        <v>31.16207063</v>
      </c>
      <c r="J4856" s="65" t="str">
        <f t="array" ref="J4856">XLOOKUP(H4856,'2. Matching'!$A$2:$A$39,'2. Matching'!$B$2:$B$39,"--")</f>
        <v>Acquisition</v>
      </c>
      <c r="K4856" s="65" t="str">
        <f t="shared" si="1"/>
        <v>In</v>
      </c>
    </row>
    <row r="4857">
      <c r="A4857" s="62" t="s">
        <v>4995</v>
      </c>
      <c r="B4857" s="63">
        <v>44293.0</v>
      </c>
      <c r="C4857" s="62" t="s">
        <v>119</v>
      </c>
      <c r="D4857" s="64">
        <v>45.0</v>
      </c>
      <c r="E4857" s="62" t="s">
        <v>109</v>
      </c>
      <c r="F4857" s="62" t="s">
        <v>110</v>
      </c>
      <c r="G4857" s="64" t="s">
        <v>64</v>
      </c>
      <c r="H4857" s="3" t="s">
        <v>297</v>
      </c>
      <c r="I4857" s="65">
        <f>IFERROR(VLOOKUP(A4857,'3. Call duration'!$A:$C,3,0),"--")</f>
        <v>20.48105822</v>
      </c>
      <c r="J4857" s="65" t="str">
        <f t="array" ref="J4857">XLOOKUP(H4857,'2. Matching'!$A$2:$A$39,'2. Matching'!$B$2:$B$39,"--")</f>
        <v>Farming</v>
      </c>
      <c r="K4857" s="65" t="str">
        <f t="shared" si="1"/>
        <v>In</v>
      </c>
    </row>
    <row r="4858">
      <c r="A4858" s="62" t="s">
        <v>4996</v>
      </c>
      <c r="B4858" s="63">
        <v>44267.0</v>
      </c>
      <c r="C4858" s="62" t="s">
        <v>119</v>
      </c>
      <c r="D4858" s="64">
        <v>45.0</v>
      </c>
      <c r="E4858" s="62" t="s">
        <v>109</v>
      </c>
      <c r="F4858" s="62" t="s">
        <v>115</v>
      </c>
      <c r="G4858" s="64" t="s">
        <v>64</v>
      </c>
      <c r="H4858" s="3" t="s">
        <v>164</v>
      </c>
      <c r="I4858" s="65">
        <f>IFERROR(VLOOKUP(A4858,'3. Call duration'!$A:$C,3,0),"--")</f>
        <v>10.26637925</v>
      </c>
      <c r="J4858" s="65" t="str">
        <f t="array" ref="J4858">XLOOKUP(H4858,'2. Matching'!$A$2:$A$39,'2. Matching'!$B$2:$B$39,"--")</f>
        <v>SEO</v>
      </c>
      <c r="K4858" s="65" t="str">
        <f t="shared" si="1"/>
        <v>In</v>
      </c>
    </row>
    <row r="4859">
      <c r="A4859" s="62" t="s">
        <v>4997</v>
      </c>
      <c r="B4859" s="63">
        <v>44309.0</v>
      </c>
      <c r="C4859" s="62" t="s">
        <v>119</v>
      </c>
      <c r="D4859" s="64">
        <v>45.0</v>
      </c>
      <c r="E4859" s="62" t="s">
        <v>109</v>
      </c>
      <c r="F4859" s="62" t="s">
        <v>115</v>
      </c>
      <c r="G4859" s="64" t="s">
        <v>64</v>
      </c>
      <c r="H4859" s="3" t="s">
        <v>169</v>
      </c>
      <c r="I4859" s="65">
        <f>IFERROR(VLOOKUP(A4859,'3. Call duration'!$A:$C,3,0),"--")</f>
        <v>24.75248076</v>
      </c>
      <c r="J4859" s="65" t="str">
        <f t="array" ref="J4859">XLOOKUP(H4859,'2. Matching'!$A$2:$A$39,'2. Matching'!$B$2:$B$39,"--")</f>
        <v>SEO</v>
      </c>
      <c r="K4859" s="65" t="str">
        <f t="shared" si="1"/>
        <v>In</v>
      </c>
    </row>
    <row r="4860">
      <c r="A4860" s="62" t="s">
        <v>4998</v>
      </c>
      <c r="B4860" s="63">
        <v>44272.0</v>
      </c>
      <c r="C4860" s="62" t="s">
        <v>119</v>
      </c>
      <c r="D4860" s="64">
        <v>45.0</v>
      </c>
      <c r="E4860" s="62" t="s">
        <v>109</v>
      </c>
      <c r="F4860" s="62" t="s">
        <v>115</v>
      </c>
      <c r="G4860" s="64" t="s">
        <v>64</v>
      </c>
      <c r="H4860" s="3" t="s">
        <v>55</v>
      </c>
      <c r="I4860" s="65" t="str">
        <f>IFERROR(VLOOKUP(A4860,'3. Call duration'!$A:$C,3,0),"--")</f>
        <v>--</v>
      </c>
      <c r="J4860" s="65" t="str">
        <f t="array" ref="J4860">XLOOKUP(H4860,'2. Matching'!$A$2:$A$39,'2. Matching'!$B$2:$B$39,"--")</f>
        <v>Partnerships</v>
      </c>
      <c r="K4860" s="65" t="str">
        <f t="shared" si="1"/>
        <v>In</v>
      </c>
    </row>
    <row r="4861">
      <c r="A4861" s="62" t="s">
        <v>4999</v>
      </c>
      <c r="B4861" s="63">
        <v>44280.0</v>
      </c>
      <c r="C4861" s="62" t="s">
        <v>119</v>
      </c>
      <c r="D4861" s="64">
        <v>45.0</v>
      </c>
      <c r="E4861" s="62" t="s">
        <v>109</v>
      </c>
      <c r="F4861" s="62" t="s">
        <v>115</v>
      </c>
      <c r="G4861" s="64" t="s">
        <v>64</v>
      </c>
      <c r="H4861" s="3" t="s">
        <v>175</v>
      </c>
      <c r="I4861" s="65">
        <f>IFERROR(VLOOKUP(A4861,'3. Call duration'!$A:$C,3,0),"--")</f>
        <v>30.86620658</v>
      </c>
      <c r="J4861" s="65" t="str">
        <f t="array" ref="J4861">XLOOKUP(H4861,'2. Matching'!$A$2:$A$39,'2. Matching'!$B$2:$B$39,"--")</f>
        <v>SEO</v>
      </c>
      <c r="K4861" s="65" t="str">
        <f t="shared" si="1"/>
        <v>In</v>
      </c>
    </row>
    <row r="4862">
      <c r="A4862" s="62" t="s">
        <v>5000</v>
      </c>
      <c r="B4862" s="63">
        <v>44298.0</v>
      </c>
      <c r="C4862" s="62" t="s">
        <v>119</v>
      </c>
      <c r="D4862" s="64">
        <v>45.0</v>
      </c>
      <c r="E4862" s="62" t="s">
        <v>109</v>
      </c>
      <c r="F4862" s="62" t="s">
        <v>115</v>
      </c>
      <c r="G4862" s="64" t="s">
        <v>64</v>
      </c>
      <c r="H4862" s="3" t="s">
        <v>175</v>
      </c>
      <c r="I4862" s="65">
        <f>IFERROR(VLOOKUP(A4862,'3. Call duration'!$A:$C,3,0),"--")</f>
        <v>21.23252579</v>
      </c>
      <c r="J4862" s="65" t="str">
        <f t="array" ref="J4862">XLOOKUP(H4862,'2. Matching'!$A$2:$A$39,'2. Matching'!$B$2:$B$39,"--")</f>
        <v>SEO</v>
      </c>
      <c r="K4862" s="65" t="str">
        <f t="shared" si="1"/>
        <v>In</v>
      </c>
    </row>
    <row r="4863">
      <c r="A4863" s="62" t="s">
        <v>5001</v>
      </c>
      <c r="B4863" s="63">
        <v>44273.0</v>
      </c>
      <c r="C4863" s="62" t="s">
        <v>119</v>
      </c>
      <c r="D4863" s="64">
        <v>45.0</v>
      </c>
      <c r="E4863" s="62" t="s">
        <v>109</v>
      </c>
      <c r="F4863" s="62" t="s">
        <v>115</v>
      </c>
      <c r="G4863" s="64" t="s">
        <v>64</v>
      </c>
      <c r="H4863" s="3" t="s">
        <v>141</v>
      </c>
      <c r="I4863" s="65" t="str">
        <f>IFERROR(VLOOKUP(A4863,'3. Call duration'!$A:$C,3,0),"--")</f>
        <v>--</v>
      </c>
      <c r="J4863" s="65" t="str">
        <f t="array" ref="J4863">XLOOKUP(H4863,'2. Matching'!$A$2:$A$39,'2. Matching'!$B$2:$B$39,"--")</f>
        <v>Acquisition</v>
      </c>
      <c r="K4863" s="65" t="str">
        <f t="shared" si="1"/>
        <v>In</v>
      </c>
    </row>
    <row r="4864">
      <c r="A4864" s="62" t="s">
        <v>5002</v>
      </c>
      <c r="B4864" s="63">
        <v>44266.0</v>
      </c>
      <c r="C4864" s="62" t="s">
        <v>119</v>
      </c>
      <c r="D4864" s="64">
        <v>45.0</v>
      </c>
      <c r="E4864" s="62" t="s">
        <v>109</v>
      </c>
      <c r="F4864" s="62" t="s">
        <v>115</v>
      </c>
      <c r="G4864" s="64" t="s">
        <v>64</v>
      </c>
      <c r="H4864" s="3" t="s">
        <v>145</v>
      </c>
      <c r="I4864" s="65">
        <f>IFERROR(VLOOKUP(A4864,'3. Call duration'!$A:$C,3,0),"--")</f>
        <v>26.92289725</v>
      </c>
      <c r="J4864" s="65" t="str">
        <f t="array" ref="J4864">XLOOKUP(H4864,'2. Matching'!$A$2:$A$39,'2. Matching'!$B$2:$B$39,"--")</f>
        <v>SEO</v>
      </c>
      <c r="K4864" s="65" t="str">
        <f t="shared" si="1"/>
        <v>In</v>
      </c>
    </row>
    <row r="4865">
      <c r="A4865" s="62" t="s">
        <v>5003</v>
      </c>
      <c r="B4865" s="63">
        <v>44309.0</v>
      </c>
      <c r="C4865" s="62" t="s">
        <v>119</v>
      </c>
      <c r="D4865" s="64">
        <v>45.0</v>
      </c>
      <c r="E4865" s="62" t="s">
        <v>109</v>
      </c>
      <c r="F4865" s="62" t="s">
        <v>115</v>
      </c>
      <c r="G4865" s="64" t="s">
        <v>64</v>
      </c>
      <c r="H4865" s="3" t="s">
        <v>116</v>
      </c>
      <c r="I4865" s="65">
        <f>IFERROR(VLOOKUP(A4865,'3. Call duration'!$A:$C,3,0),"--")</f>
        <v>27.41829954</v>
      </c>
      <c r="J4865" s="65" t="str">
        <f t="array" ref="J4865">XLOOKUP(H4865,'2. Matching'!$A$2:$A$39,'2. Matching'!$B$2:$B$39,"--")</f>
        <v>Acquisition</v>
      </c>
      <c r="K4865" s="65" t="str">
        <f t="shared" si="1"/>
        <v>In</v>
      </c>
    </row>
    <row r="4866">
      <c r="A4866" s="62" t="s">
        <v>5004</v>
      </c>
      <c r="B4866" s="63">
        <v>44256.0</v>
      </c>
      <c r="C4866" s="62" t="s">
        <v>119</v>
      </c>
      <c r="D4866" s="64">
        <v>45.0</v>
      </c>
      <c r="E4866" s="62" t="s">
        <v>109</v>
      </c>
      <c r="F4866" s="62" t="s">
        <v>110</v>
      </c>
      <c r="G4866" s="64" t="s">
        <v>64</v>
      </c>
      <c r="H4866" s="3" t="s">
        <v>297</v>
      </c>
      <c r="I4866" s="65">
        <f>IFERROR(VLOOKUP(A4866,'3. Call duration'!$A:$C,3,0),"--")</f>
        <v>16.78209</v>
      </c>
      <c r="J4866" s="65" t="str">
        <f t="array" ref="J4866">XLOOKUP(H4866,'2. Matching'!$A$2:$A$39,'2. Matching'!$B$2:$B$39,"--")</f>
        <v>Farming</v>
      </c>
      <c r="K4866" s="65" t="str">
        <f t="shared" si="1"/>
        <v>In</v>
      </c>
    </row>
    <row r="4867">
      <c r="A4867" s="62" t="s">
        <v>5005</v>
      </c>
      <c r="B4867" s="63">
        <v>44256.0</v>
      </c>
      <c r="C4867" s="62" t="s">
        <v>119</v>
      </c>
      <c r="D4867" s="64">
        <v>45.0</v>
      </c>
      <c r="E4867" s="62" t="s">
        <v>109</v>
      </c>
      <c r="F4867" s="62" t="s">
        <v>110</v>
      </c>
      <c r="G4867" s="64" t="s">
        <v>64</v>
      </c>
      <c r="H4867" s="3" t="s">
        <v>297</v>
      </c>
      <c r="I4867" s="65">
        <f>IFERROR(VLOOKUP(A4867,'3. Call duration'!$A:$C,3,0),"--")</f>
        <v>30.31805089</v>
      </c>
      <c r="J4867" s="65" t="str">
        <f t="array" ref="J4867">XLOOKUP(H4867,'2. Matching'!$A$2:$A$39,'2. Matching'!$B$2:$B$39,"--")</f>
        <v>Farming</v>
      </c>
      <c r="K4867" s="65" t="str">
        <f t="shared" si="1"/>
        <v>In</v>
      </c>
    </row>
    <row r="4868">
      <c r="A4868" s="62" t="s">
        <v>5006</v>
      </c>
      <c r="B4868" s="63">
        <v>44314.0</v>
      </c>
      <c r="C4868" s="62" t="s">
        <v>119</v>
      </c>
      <c r="D4868" s="64">
        <v>45.0</v>
      </c>
      <c r="E4868" s="62" t="s">
        <v>109</v>
      </c>
      <c r="F4868" s="62" t="s">
        <v>110</v>
      </c>
      <c r="G4868" s="64" t="s">
        <v>64</v>
      </c>
      <c r="H4868" s="3" t="s">
        <v>52</v>
      </c>
      <c r="I4868" s="65">
        <f>IFERROR(VLOOKUP(A4868,'3. Call duration'!$A:$C,3,0),"--")</f>
        <v>17.94648691</v>
      </c>
      <c r="J4868" s="65" t="str">
        <f t="array" ref="J4868">XLOOKUP(H4868,'2. Matching'!$A$2:$A$39,'2. Matching'!$B$2:$B$39,"--")</f>
        <v>Partnerships</v>
      </c>
      <c r="K4868" s="65" t="str">
        <f t="shared" si="1"/>
        <v>In</v>
      </c>
    </row>
    <row r="4869">
      <c r="A4869" s="62" t="s">
        <v>5007</v>
      </c>
      <c r="B4869" s="63">
        <v>44263.0</v>
      </c>
      <c r="C4869" s="62" t="s">
        <v>119</v>
      </c>
      <c r="D4869" s="64">
        <v>45.0</v>
      </c>
      <c r="E4869" s="62" t="s">
        <v>109</v>
      </c>
      <c r="F4869" s="62" t="s">
        <v>115</v>
      </c>
      <c r="G4869" s="64" t="s">
        <v>64</v>
      </c>
      <c r="H4869" s="3" t="s">
        <v>49</v>
      </c>
      <c r="I4869" s="65">
        <f>IFERROR(VLOOKUP(A4869,'3. Call duration'!$A:$C,3,0),"--")</f>
        <v>17.44574159</v>
      </c>
      <c r="J4869" s="65" t="str">
        <f t="array" ref="J4869">XLOOKUP(H4869,'2. Matching'!$A$2:$A$39,'2. Matching'!$B$2:$B$39,"--")</f>
        <v>Partnerships</v>
      </c>
      <c r="K4869" s="65" t="str">
        <f t="shared" si="1"/>
        <v>In</v>
      </c>
    </row>
    <row r="4870">
      <c r="A4870" s="62" t="s">
        <v>5008</v>
      </c>
      <c r="B4870" s="63">
        <v>44277.0</v>
      </c>
      <c r="C4870" s="62" t="s">
        <v>119</v>
      </c>
      <c r="D4870" s="64">
        <v>45.0</v>
      </c>
      <c r="E4870" s="62" t="s">
        <v>109</v>
      </c>
      <c r="F4870" s="62" t="s">
        <v>115</v>
      </c>
      <c r="G4870" s="64" t="s">
        <v>64</v>
      </c>
      <c r="H4870" s="3" t="s">
        <v>52</v>
      </c>
      <c r="I4870" s="65">
        <f>IFERROR(VLOOKUP(A4870,'3. Call duration'!$A:$C,3,0),"--")</f>
        <v>16.99593123</v>
      </c>
      <c r="J4870" s="65" t="str">
        <f t="array" ref="J4870">XLOOKUP(H4870,'2. Matching'!$A$2:$A$39,'2. Matching'!$B$2:$B$39,"--")</f>
        <v>Partnerships</v>
      </c>
      <c r="K4870" s="65" t="str">
        <f t="shared" si="1"/>
        <v>In</v>
      </c>
    </row>
    <row r="4871">
      <c r="A4871" s="62" t="s">
        <v>5009</v>
      </c>
      <c r="B4871" s="63">
        <v>44258.0</v>
      </c>
      <c r="C4871" s="62" t="s">
        <v>119</v>
      </c>
      <c r="D4871" s="64">
        <v>45.0</v>
      </c>
      <c r="E4871" s="62" t="s">
        <v>109</v>
      </c>
      <c r="F4871" s="62" t="s">
        <v>115</v>
      </c>
      <c r="G4871" s="64" t="s">
        <v>64</v>
      </c>
      <c r="H4871" s="3" t="s">
        <v>139</v>
      </c>
      <c r="I4871" s="65">
        <f>IFERROR(VLOOKUP(A4871,'3. Call duration'!$A:$C,3,0),"--")</f>
        <v>20.43476724</v>
      </c>
      <c r="J4871" s="65" t="str">
        <f t="array" ref="J4871">XLOOKUP(H4871,'2. Matching'!$A$2:$A$39,'2. Matching'!$B$2:$B$39,"--")</f>
        <v>Acquisition</v>
      </c>
      <c r="K4871" s="65" t="str">
        <f t="shared" si="1"/>
        <v>In</v>
      </c>
    </row>
    <row r="4872">
      <c r="A4872" s="62" t="s">
        <v>5010</v>
      </c>
      <c r="B4872" s="63">
        <v>44305.0</v>
      </c>
      <c r="C4872" s="62" t="s">
        <v>119</v>
      </c>
      <c r="D4872" s="64">
        <v>45.0</v>
      </c>
      <c r="E4872" s="62" t="s">
        <v>109</v>
      </c>
      <c r="F4872" s="62" t="s">
        <v>115</v>
      </c>
      <c r="G4872" s="64" t="s">
        <v>64</v>
      </c>
      <c r="H4872" s="3" t="s">
        <v>49</v>
      </c>
      <c r="I4872" s="65">
        <f>IFERROR(VLOOKUP(A4872,'3. Call duration'!$A:$C,3,0),"--")</f>
        <v>21.34486385</v>
      </c>
      <c r="J4872" s="65" t="str">
        <f t="array" ref="J4872">XLOOKUP(H4872,'2. Matching'!$A$2:$A$39,'2. Matching'!$B$2:$B$39,"--")</f>
        <v>Partnerships</v>
      </c>
      <c r="K4872" s="65" t="str">
        <f t="shared" si="1"/>
        <v>In</v>
      </c>
    </row>
    <row r="4873">
      <c r="A4873" s="62" t="s">
        <v>5011</v>
      </c>
      <c r="B4873" s="63">
        <v>44294.0</v>
      </c>
      <c r="C4873" s="62" t="s">
        <v>119</v>
      </c>
      <c r="D4873" s="64">
        <v>45.0</v>
      </c>
      <c r="E4873" s="62" t="s">
        <v>109</v>
      </c>
      <c r="F4873" s="62" t="s">
        <v>115</v>
      </c>
      <c r="G4873" s="64" t="s">
        <v>64</v>
      </c>
      <c r="H4873" s="3" t="s">
        <v>131</v>
      </c>
      <c r="I4873" s="65" t="str">
        <f>IFERROR(VLOOKUP(A4873,'3. Call duration'!$A:$C,3,0),"--")</f>
        <v>--</v>
      </c>
      <c r="J4873" s="65" t="str">
        <f t="array" ref="J4873">XLOOKUP(H4873,'2. Matching'!$A$2:$A$39,'2. Matching'!$B$2:$B$39,"--")</f>
        <v>Acquisition</v>
      </c>
      <c r="K4873" s="65" t="str">
        <f t="shared" si="1"/>
        <v>In</v>
      </c>
    </row>
    <row r="4874">
      <c r="A4874" s="62" t="s">
        <v>5012</v>
      </c>
      <c r="B4874" s="63">
        <v>44302.0</v>
      </c>
      <c r="C4874" s="62" t="s">
        <v>119</v>
      </c>
      <c r="D4874" s="64">
        <v>45.0</v>
      </c>
      <c r="E4874" s="62" t="s">
        <v>109</v>
      </c>
      <c r="F4874" s="62" t="s">
        <v>110</v>
      </c>
      <c r="G4874" s="64" t="s">
        <v>64</v>
      </c>
      <c r="H4874" s="3" t="s">
        <v>52</v>
      </c>
      <c r="I4874" s="65">
        <f>IFERROR(VLOOKUP(A4874,'3. Call duration'!$A:$C,3,0),"--")</f>
        <v>17.74316797</v>
      </c>
      <c r="J4874" s="65" t="str">
        <f t="array" ref="J4874">XLOOKUP(H4874,'2. Matching'!$A$2:$A$39,'2. Matching'!$B$2:$B$39,"--")</f>
        <v>Partnerships</v>
      </c>
      <c r="K4874" s="65" t="str">
        <f t="shared" si="1"/>
        <v>In</v>
      </c>
    </row>
    <row r="4875">
      <c r="A4875" s="62" t="s">
        <v>5013</v>
      </c>
      <c r="B4875" s="63">
        <v>44280.0</v>
      </c>
      <c r="C4875" s="62" t="s">
        <v>119</v>
      </c>
      <c r="D4875" s="64">
        <v>45.0</v>
      </c>
      <c r="E4875" s="62" t="s">
        <v>109</v>
      </c>
      <c r="F4875" s="62" t="s">
        <v>110</v>
      </c>
      <c r="G4875" s="64" t="s">
        <v>64</v>
      </c>
      <c r="H4875" s="3" t="s">
        <v>297</v>
      </c>
      <c r="I4875" s="65">
        <f>IFERROR(VLOOKUP(A4875,'3. Call duration'!$A:$C,3,0),"--")</f>
        <v>27.54409502</v>
      </c>
      <c r="J4875" s="65" t="str">
        <f t="array" ref="J4875">XLOOKUP(H4875,'2. Matching'!$A$2:$A$39,'2. Matching'!$B$2:$B$39,"--")</f>
        <v>Farming</v>
      </c>
      <c r="K4875" s="65" t="str">
        <f t="shared" si="1"/>
        <v>In</v>
      </c>
    </row>
    <row r="4876">
      <c r="A4876" s="62" t="s">
        <v>5014</v>
      </c>
      <c r="B4876" s="63">
        <v>44265.0</v>
      </c>
      <c r="C4876" s="62" t="s">
        <v>119</v>
      </c>
      <c r="D4876" s="64">
        <v>45.0</v>
      </c>
      <c r="E4876" s="62" t="s">
        <v>109</v>
      </c>
      <c r="F4876" s="62" t="s">
        <v>115</v>
      </c>
      <c r="G4876" s="64" t="s">
        <v>64</v>
      </c>
      <c r="H4876" s="3" t="s">
        <v>131</v>
      </c>
      <c r="I4876" s="65">
        <f>IFERROR(VLOOKUP(A4876,'3. Call duration'!$A:$C,3,0),"--")</f>
        <v>30.40179464</v>
      </c>
      <c r="J4876" s="65" t="str">
        <f t="array" ref="J4876">XLOOKUP(H4876,'2. Matching'!$A$2:$A$39,'2. Matching'!$B$2:$B$39,"--")</f>
        <v>Acquisition</v>
      </c>
      <c r="K4876" s="65" t="str">
        <f t="shared" si="1"/>
        <v>In</v>
      </c>
    </row>
    <row r="4877">
      <c r="A4877" s="62" t="s">
        <v>5015</v>
      </c>
      <c r="B4877" s="63">
        <v>44287.0</v>
      </c>
      <c r="C4877" s="62" t="s">
        <v>119</v>
      </c>
      <c r="D4877" s="64">
        <v>45.0</v>
      </c>
      <c r="E4877" s="62" t="s">
        <v>109</v>
      </c>
      <c r="F4877" s="62" t="s">
        <v>115</v>
      </c>
      <c r="G4877" s="64" t="s">
        <v>64</v>
      </c>
      <c r="H4877" s="3" t="s">
        <v>49</v>
      </c>
      <c r="I4877" s="65">
        <f>IFERROR(VLOOKUP(A4877,'3. Call duration'!$A:$C,3,0),"--")</f>
        <v>8.999140213</v>
      </c>
      <c r="J4877" s="65" t="str">
        <f t="array" ref="J4877">XLOOKUP(H4877,'2. Matching'!$A$2:$A$39,'2. Matching'!$B$2:$B$39,"--")</f>
        <v>Partnerships</v>
      </c>
      <c r="K4877" s="65" t="str">
        <f t="shared" si="1"/>
        <v>In</v>
      </c>
    </row>
    <row r="4878">
      <c r="A4878" s="62" t="s">
        <v>5016</v>
      </c>
      <c r="B4878" s="63">
        <v>44281.0</v>
      </c>
      <c r="C4878" s="62" t="s">
        <v>119</v>
      </c>
      <c r="D4878" s="64">
        <v>45.0</v>
      </c>
      <c r="E4878" s="62" t="s">
        <v>109</v>
      </c>
      <c r="F4878" s="62" t="s">
        <v>115</v>
      </c>
      <c r="G4878" s="64" t="s">
        <v>64</v>
      </c>
      <c r="H4878" s="3" t="s">
        <v>49</v>
      </c>
      <c r="I4878" s="65">
        <f>IFERROR(VLOOKUP(A4878,'3. Call duration'!$A:$C,3,0),"--")</f>
        <v>18.35290841</v>
      </c>
      <c r="J4878" s="65" t="str">
        <f t="array" ref="J4878">XLOOKUP(H4878,'2. Matching'!$A$2:$A$39,'2. Matching'!$B$2:$B$39,"--")</f>
        <v>Partnerships</v>
      </c>
      <c r="K4878" s="65" t="str">
        <f t="shared" si="1"/>
        <v>In</v>
      </c>
    </row>
    <row r="4879">
      <c r="A4879" s="62" t="s">
        <v>5017</v>
      </c>
      <c r="B4879" s="63">
        <v>44313.0</v>
      </c>
      <c r="C4879" s="62" t="s">
        <v>119</v>
      </c>
      <c r="D4879" s="64">
        <v>45.0</v>
      </c>
      <c r="E4879" s="62" t="s">
        <v>109</v>
      </c>
      <c r="F4879" s="62" t="s">
        <v>110</v>
      </c>
      <c r="G4879" s="64" t="s">
        <v>64</v>
      </c>
      <c r="H4879" s="3" t="s">
        <v>297</v>
      </c>
      <c r="I4879" s="65">
        <f>IFERROR(VLOOKUP(A4879,'3. Call duration'!$A:$C,3,0),"--")</f>
        <v>38.47522277</v>
      </c>
      <c r="J4879" s="65" t="str">
        <f t="array" ref="J4879">XLOOKUP(H4879,'2. Matching'!$A$2:$A$39,'2. Matching'!$B$2:$B$39,"--")</f>
        <v>Farming</v>
      </c>
      <c r="K4879" s="65" t="str">
        <f t="shared" si="1"/>
        <v>In</v>
      </c>
    </row>
    <row r="4880">
      <c r="A4880" s="62" t="s">
        <v>5018</v>
      </c>
      <c r="B4880" s="63">
        <v>44279.0</v>
      </c>
      <c r="C4880" s="62" t="s">
        <v>119</v>
      </c>
      <c r="D4880" s="64">
        <v>45.0</v>
      </c>
      <c r="E4880" s="62" t="s">
        <v>109</v>
      </c>
      <c r="F4880" s="62" t="s">
        <v>115</v>
      </c>
      <c r="G4880" s="64" t="s">
        <v>64</v>
      </c>
      <c r="H4880" s="3" t="s">
        <v>185</v>
      </c>
      <c r="I4880" s="65">
        <f>IFERROR(VLOOKUP(A4880,'3. Call duration'!$A:$C,3,0),"--")</f>
        <v>27.79677892</v>
      </c>
      <c r="J4880" s="65" t="str">
        <f t="array" ref="J4880">XLOOKUP(H4880,'2. Matching'!$A$2:$A$39,'2. Matching'!$B$2:$B$39,"--")</f>
        <v>SEO</v>
      </c>
      <c r="K4880" s="65" t="str">
        <f t="shared" si="1"/>
        <v>In</v>
      </c>
    </row>
    <row r="4881">
      <c r="A4881" s="62" t="s">
        <v>5019</v>
      </c>
      <c r="B4881" s="63">
        <v>44309.0</v>
      </c>
      <c r="C4881" s="62" t="s">
        <v>119</v>
      </c>
      <c r="D4881" s="64">
        <v>45.0</v>
      </c>
      <c r="E4881" s="62" t="s">
        <v>109</v>
      </c>
      <c r="F4881" s="62" t="s">
        <v>110</v>
      </c>
      <c r="G4881" s="64" t="s">
        <v>64</v>
      </c>
      <c r="H4881" s="3" t="s">
        <v>297</v>
      </c>
      <c r="I4881" s="65">
        <f>IFERROR(VLOOKUP(A4881,'3. Call duration'!$A:$C,3,0),"--")</f>
        <v>14.01956008</v>
      </c>
      <c r="J4881" s="65" t="str">
        <f t="array" ref="J4881">XLOOKUP(H4881,'2. Matching'!$A$2:$A$39,'2. Matching'!$B$2:$B$39,"--")</f>
        <v>Farming</v>
      </c>
      <c r="K4881" s="65" t="str">
        <f t="shared" si="1"/>
        <v>In</v>
      </c>
    </row>
    <row r="4882">
      <c r="A4882" s="62" t="s">
        <v>5020</v>
      </c>
      <c r="B4882" s="63">
        <v>44263.0</v>
      </c>
      <c r="C4882" s="62" t="s">
        <v>119</v>
      </c>
      <c r="D4882" s="64">
        <v>45.0</v>
      </c>
      <c r="E4882" s="62" t="s">
        <v>109</v>
      </c>
      <c r="F4882" s="62" t="s">
        <v>110</v>
      </c>
      <c r="G4882" s="64" t="s">
        <v>64</v>
      </c>
      <c r="H4882" s="3" t="s">
        <v>141</v>
      </c>
      <c r="I4882" s="65">
        <f>IFERROR(VLOOKUP(A4882,'3. Call duration'!$A:$C,3,0),"--")</f>
        <v>28.10971031</v>
      </c>
      <c r="J4882" s="65" t="str">
        <f t="array" ref="J4882">XLOOKUP(H4882,'2. Matching'!$A$2:$A$39,'2. Matching'!$B$2:$B$39,"--")</f>
        <v>Acquisition</v>
      </c>
      <c r="K4882" s="65" t="str">
        <f t="shared" si="1"/>
        <v>In</v>
      </c>
    </row>
    <row r="4883">
      <c r="A4883" s="62" t="s">
        <v>5021</v>
      </c>
      <c r="B4883" s="63">
        <v>44274.0</v>
      </c>
      <c r="C4883" s="62" t="s">
        <v>119</v>
      </c>
      <c r="D4883" s="64">
        <v>45.0</v>
      </c>
      <c r="E4883" s="62" t="s">
        <v>109</v>
      </c>
      <c r="F4883" s="62" t="s">
        <v>115</v>
      </c>
      <c r="G4883" s="64" t="s">
        <v>64</v>
      </c>
      <c r="H4883" s="3" t="s">
        <v>116</v>
      </c>
      <c r="I4883" s="65">
        <f>IFERROR(VLOOKUP(A4883,'3. Call duration'!$A:$C,3,0),"--")</f>
        <v>30.17656013</v>
      </c>
      <c r="J4883" s="65" t="str">
        <f t="array" ref="J4883">XLOOKUP(H4883,'2. Matching'!$A$2:$A$39,'2. Matching'!$B$2:$B$39,"--")</f>
        <v>Acquisition</v>
      </c>
      <c r="K4883" s="65" t="str">
        <f t="shared" si="1"/>
        <v>In</v>
      </c>
    </row>
    <row r="4884">
      <c r="A4884" s="62" t="s">
        <v>5022</v>
      </c>
      <c r="B4884" s="63">
        <v>44309.0</v>
      </c>
      <c r="C4884" s="62" t="s">
        <v>119</v>
      </c>
      <c r="D4884" s="64">
        <v>45.0</v>
      </c>
      <c r="E4884" s="62" t="s">
        <v>109</v>
      </c>
      <c r="F4884" s="62" t="s">
        <v>110</v>
      </c>
      <c r="G4884" s="64" t="s">
        <v>64</v>
      </c>
      <c r="H4884" s="3" t="s">
        <v>171</v>
      </c>
      <c r="I4884" s="65">
        <f>IFERROR(VLOOKUP(A4884,'3. Call duration'!$A:$C,3,0),"--")</f>
        <v>31.18810612</v>
      </c>
      <c r="J4884" s="65" t="str">
        <f t="array" ref="J4884">XLOOKUP(H4884,'2. Matching'!$A$2:$A$39,'2. Matching'!$B$2:$B$39,"--")</f>
        <v>SEO</v>
      </c>
      <c r="K4884" s="65" t="str">
        <f t="shared" si="1"/>
        <v>In</v>
      </c>
    </row>
    <row r="4885">
      <c r="A4885" s="62" t="s">
        <v>5023</v>
      </c>
      <c r="B4885" s="63">
        <v>44312.0</v>
      </c>
      <c r="C4885" s="62" t="s">
        <v>119</v>
      </c>
      <c r="D4885" s="64">
        <v>45.0</v>
      </c>
      <c r="E4885" s="62" t="s">
        <v>109</v>
      </c>
      <c r="F4885" s="62" t="s">
        <v>115</v>
      </c>
      <c r="G4885" s="64" t="s">
        <v>64</v>
      </c>
      <c r="H4885" s="3" t="s">
        <v>169</v>
      </c>
      <c r="I4885" s="65">
        <f>IFERROR(VLOOKUP(A4885,'3. Call duration'!$A:$C,3,0),"--")</f>
        <v>31.99827789</v>
      </c>
      <c r="J4885" s="65" t="str">
        <f t="array" ref="J4885">XLOOKUP(H4885,'2. Matching'!$A$2:$A$39,'2. Matching'!$B$2:$B$39,"--")</f>
        <v>SEO</v>
      </c>
      <c r="K4885" s="65" t="str">
        <f t="shared" si="1"/>
        <v>In</v>
      </c>
    </row>
    <row r="4886">
      <c r="A4886" s="62" t="s">
        <v>5024</v>
      </c>
      <c r="B4886" s="63">
        <v>44309.0</v>
      </c>
      <c r="C4886" s="62" t="s">
        <v>119</v>
      </c>
      <c r="D4886" s="64">
        <v>45.0</v>
      </c>
      <c r="E4886" s="62" t="s">
        <v>109</v>
      </c>
      <c r="F4886" s="62" t="s">
        <v>110</v>
      </c>
      <c r="G4886" s="64" t="s">
        <v>64</v>
      </c>
      <c r="H4886" s="3" t="s">
        <v>171</v>
      </c>
      <c r="I4886" s="65">
        <f>IFERROR(VLOOKUP(A4886,'3. Call duration'!$A:$C,3,0),"--")</f>
        <v>14.32341667</v>
      </c>
      <c r="J4886" s="65" t="str">
        <f t="array" ref="J4886">XLOOKUP(H4886,'2. Matching'!$A$2:$A$39,'2. Matching'!$B$2:$B$39,"--")</f>
        <v>SEO</v>
      </c>
      <c r="K4886" s="65" t="str">
        <f t="shared" si="1"/>
        <v>In</v>
      </c>
    </row>
    <row r="4887">
      <c r="A4887" s="62" t="s">
        <v>5025</v>
      </c>
      <c r="B4887" s="63">
        <v>44258.0</v>
      </c>
      <c r="C4887" s="62" t="s">
        <v>119</v>
      </c>
      <c r="D4887" s="64">
        <v>45.0</v>
      </c>
      <c r="E4887" s="62" t="s">
        <v>109</v>
      </c>
      <c r="F4887" s="62" t="s">
        <v>110</v>
      </c>
      <c r="G4887" s="64" t="s">
        <v>64</v>
      </c>
      <c r="H4887" s="3" t="s">
        <v>297</v>
      </c>
      <c r="I4887" s="65">
        <f>IFERROR(VLOOKUP(A4887,'3. Call duration'!$A:$C,3,0),"--")</f>
        <v>29.19927136</v>
      </c>
      <c r="J4887" s="65" t="str">
        <f t="array" ref="J4887">XLOOKUP(H4887,'2. Matching'!$A$2:$A$39,'2. Matching'!$B$2:$B$39,"--")</f>
        <v>Farming</v>
      </c>
      <c r="K4887" s="65" t="str">
        <f t="shared" si="1"/>
        <v>In</v>
      </c>
    </row>
    <row r="4888">
      <c r="A4888" s="62" t="s">
        <v>5026</v>
      </c>
      <c r="B4888" s="63">
        <v>44273.0</v>
      </c>
      <c r="C4888" s="62" t="s">
        <v>119</v>
      </c>
      <c r="D4888" s="64">
        <v>45.0</v>
      </c>
      <c r="E4888" s="62" t="s">
        <v>109</v>
      </c>
      <c r="F4888" s="62" t="s">
        <v>115</v>
      </c>
      <c r="G4888" s="64" t="s">
        <v>64</v>
      </c>
      <c r="H4888" s="3" t="s">
        <v>185</v>
      </c>
      <c r="I4888" s="65">
        <f>IFERROR(VLOOKUP(A4888,'3. Call duration'!$A:$C,3,0),"--")</f>
        <v>14.96571578</v>
      </c>
      <c r="J4888" s="65" t="str">
        <f t="array" ref="J4888">XLOOKUP(H4888,'2. Matching'!$A$2:$A$39,'2. Matching'!$B$2:$B$39,"--")</f>
        <v>SEO</v>
      </c>
      <c r="K4888" s="65" t="str">
        <f t="shared" si="1"/>
        <v>In</v>
      </c>
    </row>
    <row r="4889">
      <c r="A4889" s="62" t="s">
        <v>5027</v>
      </c>
      <c r="B4889" s="63">
        <v>44307.0</v>
      </c>
      <c r="C4889" s="62" t="s">
        <v>119</v>
      </c>
      <c r="D4889" s="64">
        <v>45.0</v>
      </c>
      <c r="E4889" s="62" t="s">
        <v>109</v>
      </c>
      <c r="F4889" s="62" t="s">
        <v>110</v>
      </c>
      <c r="G4889" s="64" t="s">
        <v>64</v>
      </c>
      <c r="H4889" s="3" t="s">
        <v>221</v>
      </c>
      <c r="I4889" s="65">
        <f>IFERROR(VLOOKUP(A4889,'3. Call duration'!$A:$C,3,0),"--")</f>
        <v>32.65008353</v>
      </c>
      <c r="J4889" s="65" t="str">
        <f t="array" ref="J4889">XLOOKUP(H4889,'2. Matching'!$A$2:$A$39,'2. Matching'!$B$2:$B$39,"--")</f>
        <v>Farming</v>
      </c>
      <c r="K4889" s="65" t="str">
        <f t="shared" si="1"/>
        <v>In</v>
      </c>
    </row>
    <row r="4890">
      <c r="A4890" s="62" t="s">
        <v>5028</v>
      </c>
      <c r="B4890" s="63">
        <v>44305.0</v>
      </c>
      <c r="C4890" s="62" t="s">
        <v>119</v>
      </c>
      <c r="D4890" s="64">
        <v>45.0</v>
      </c>
      <c r="E4890" s="62" t="s">
        <v>109</v>
      </c>
      <c r="F4890" s="62" t="s">
        <v>115</v>
      </c>
      <c r="G4890" s="64" t="s">
        <v>64</v>
      </c>
      <c r="H4890" s="3" t="s">
        <v>139</v>
      </c>
      <c r="I4890" s="65">
        <f>IFERROR(VLOOKUP(A4890,'3. Call duration'!$A:$C,3,0),"--")</f>
        <v>30.07501181</v>
      </c>
      <c r="J4890" s="65" t="str">
        <f t="array" ref="J4890">XLOOKUP(H4890,'2. Matching'!$A$2:$A$39,'2. Matching'!$B$2:$B$39,"--")</f>
        <v>Acquisition</v>
      </c>
      <c r="K4890" s="65" t="str">
        <f t="shared" si="1"/>
        <v>In</v>
      </c>
    </row>
    <row r="4891">
      <c r="A4891" s="62" t="s">
        <v>5029</v>
      </c>
      <c r="B4891" s="63">
        <v>44313.0</v>
      </c>
      <c r="C4891" s="62" t="s">
        <v>119</v>
      </c>
      <c r="D4891" s="64">
        <v>45.0</v>
      </c>
      <c r="E4891" s="62" t="s">
        <v>109</v>
      </c>
      <c r="F4891" s="62" t="s">
        <v>115</v>
      </c>
      <c r="G4891" s="64" t="s">
        <v>63</v>
      </c>
      <c r="H4891" s="3" t="s">
        <v>183</v>
      </c>
      <c r="I4891" s="65">
        <f>IFERROR(VLOOKUP(A4891,'3. Call duration'!$A:$C,3,0),"--")</f>
        <v>28.05133954</v>
      </c>
      <c r="J4891" s="65" t="str">
        <f t="array" ref="J4891">XLOOKUP(H4891,'2. Matching'!$A$2:$A$39,'2. Matching'!$B$2:$B$39,"--")</f>
        <v>SEO</v>
      </c>
      <c r="K4891" s="65" t="str">
        <f t="shared" si="1"/>
        <v>In</v>
      </c>
    </row>
    <row r="4892">
      <c r="A4892" s="62" t="s">
        <v>5030</v>
      </c>
      <c r="B4892" s="63">
        <v>44274.0</v>
      </c>
      <c r="C4892" s="62" t="s">
        <v>119</v>
      </c>
      <c r="D4892" s="64">
        <v>45.0</v>
      </c>
      <c r="E4892" s="62" t="s">
        <v>109</v>
      </c>
      <c r="F4892" s="62" t="s">
        <v>110</v>
      </c>
      <c r="G4892" s="64" t="s">
        <v>64</v>
      </c>
      <c r="H4892" s="3" t="s">
        <v>297</v>
      </c>
      <c r="I4892" s="65">
        <f>IFERROR(VLOOKUP(A4892,'3. Call duration'!$A:$C,3,0),"--")</f>
        <v>32.37639916</v>
      </c>
      <c r="J4892" s="65" t="str">
        <f t="array" ref="J4892">XLOOKUP(H4892,'2. Matching'!$A$2:$A$39,'2. Matching'!$B$2:$B$39,"--")</f>
        <v>Farming</v>
      </c>
      <c r="K4892" s="65" t="str">
        <f t="shared" si="1"/>
        <v>In</v>
      </c>
    </row>
    <row r="4893">
      <c r="A4893" s="62" t="s">
        <v>5031</v>
      </c>
      <c r="B4893" s="63">
        <v>44312.0</v>
      </c>
      <c r="C4893" s="62" t="s">
        <v>119</v>
      </c>
      <c r="D4893" s="64">
        <v>45.0</v>
      </c>
      <c r="E4893" s="62" t="s">
        <v>109</v>
      </c>
      <c r="F4893" s="62" t="s">
        <v>110</v>
      </c>
      <c r="G4893" s="64" t="s">
        <v>64</v>
      </c>
      <c r="H4893" s="3" t="s">
        <v>185</v>
      </c>
      <c r="I4893" s="65">
        <f>IFERROR(VLOOKUP(A4893,'3. Call duration'!$A:$C,3,0),"--")</f>
        <v>47.62968663</v>
      </c>
      <c r="J4893" s="65" t="str">
        <f t="array" ref="J4893">XLOOKUP(H4893,'2. Matching'!$A$2:$A$39,'2. Matching'!$B$2:$B$39,"--")</f>
        <v>SEO</v>
      </c>
      <c r="K4893" s="65" t="str">
        <f t="shared" si="1"/>
        <v>In</v>
      </c>
    </row>
    <row r="4894">
      <c r="A4894" s="62" t="s">
        <v>5032</v>
      </c>
      <c r="B4894" s="63">
        <v>44278.0</v>
      </c>
      <c r="C4894" s="62" t="s">
        <v>119</v>
      </c>
      <c r="D4894" s="64">
        <v>45.0</v>
      </c>
      <c r="E4894" s="62" t="s">
        <v>109</v>
      </c>
      <c r="F4894" s="62" t="s">
        <v>110</v>
      </c>
      <c r="G4894" s="64" t="s">
        <v>64</v>
      </c>
      <c r="H4894" s="3" t="s">
        <v>221</v>
      </c>
      <c r="I4894" s="65">
        <f>IFERROR(VLOOKUP(A4894,'3. Call duration'!$A:$C,3,0),"--")</f>
        <v>20.01136118</v>
      </c>
      <c r="J4894" s="65" t="str">
        <f t="array" ref="J4894">XLOOKUP(H4894,'2. Matching'!$A$2:$A$39,'2. Matching'!$B$2:$B$39,"--")</f>
        <v>Farming</v>
      </c>
      <c r="K4894" s="65" t="str">
        <f t="shared" si="1"/>
        <v>In</v>
      </c>
    </row>
    <row r="4895">
      <c r="A4895" s="62" t="s">
        <v>5033</v>
      </c>
      <c r="B4895" s="63">
        <v>44278.0</v>
      </c>
      <c r="C4895" s="62" t="s">
        <v>119</v>
      </c>
      <c r="D4895" s="64">
        <v>45.0</v>
      </c>
      <c r="E4895" s="62" t="s">
        <v>109</v>
      </c>
      <c r="F4895" s="62" t="s">
        <v>115</v>
      </c>
      <c r="G4895" s="64" t="s">
        <v>64</v>
      </c>
      <c r="H4895" s="3" t="s">
        <v>221</v>
      </c>
      <c r="I4895" s="65">
        <f>IFERROR(VLOOKUP(A4895,'3. Call duration'!$A:$C,3,0),"--")</f>
        <v>29.82602913</v>
      </c>
      <c r="J4895" s="65" t="str">
        <f t="array" ref="J4895">XLOOKUP(H4895,'2. Matching'!$A$2:$A$39,'2. Matching'!$B$2:$B$39,"--")</f>
        <v>Farming</v>
      </c>
      <c r="K4895" s="65" t="str">
        <f t="shared" si="1"/>
        <v>In</v>
      </c>
    </row>
    <row r="4896">
      <c r="A4896" s="62" t="s">
        <v>5034</v>
      </c>
      <c r="B4896" s="63">
        <v>44257.0</v>
      </c>
      <c r="C4896" s="62" t="s">
        <v>119</v>
      </c>
      <c r="D4896" s="64">
        <v>45.0</v>
      </c>
      <c r="E4896" s="62" t="s">
        <v>109</v>
      </c>
      <c r="F4896" s="62" t="s">
        <v>110</v>
      </c>
      <c r="G4896" s="64" t="s">
        <v>64</v>
      </c>
      <c r="H4896" s="3" t="s">
        <v>139</v>
      </c>
      <c r="I4896" s="65">
        <f>IFERROR(VLOOKUP(A4896,'3. Call duration'!$A:$C,3,0),"--")</f>
        <v>33.56878713</v>
      </c>
      <c r="J4896" s="65" t="str">
        <f t="array" ref="J4896">XLOOKUP(H4896,'2. Matching'!$A$2:$A$39,'2. Matching'!$B$2:$B$39,"--")</f>
        <v>Acquisition</v>
      </c>
      <c r="K4896" s="65" t="str">
        <f t="shared" si="1"/>
        <v>In</v>
      </c>
    </row>
    <row r="4897">
      <c r="A4897" s="62" t="s">
        <v>5035</v>
      </c>
      <c r="B4897" s="63">
        <v>44265.0</v>
      </c>
      <c r="C4897" s="62" t="s">
        <v>119</v>
      </c>
      <c r="D4897" s="64">
        <v>45.0</v>
      </c>
      <c r="E4897" s="62" t="s">
        <v>109</v>
      </c>
      <c r="F4897" s="62" t="s">
        <v>115</v>
      </c>
      <c r="G4897" s="64" t="s">
        <v>64</v>
      </c>
      <c r="H4897" s="3" t="s">
        <v>169</v>
      </c>
      <c r="I4897" s="65">
        <f>IFERROR(VLOOKUP(A4897,'3. Call duration'!$A:$C,3,0),"--")</f>
        <v>31.3192845</v>
      </c>
      <c r="J4897" s="65" t="str">
        <f t="array" ref="J4897">XLOOKUP(H4897,'2. Matching'!$A$2:$A$39,'2. Matching'!$B$2:$B$39,"--")</f>
        <v>SEO</v>
      </c>
      <c r="K4897" s="65" t="str">
        <f t="shared" si="1"/>
        <v>In</v>
      </c>
    </row>
    <row r="4898">
      <c r="A4898" s="62" t="s">
        <v>5036</v>
      </c>
      <c r="B4898" s="63">
        <v>44309.0</v>
      </c>
      <c r="C4898" s="62" t="s">
        <v>119</v>
      </c>
      <c r="D4898" s="64">
        <v>45.0</v>
      </c>
      <c r="E4898" s="62" t="s">
        <v>109</v>
      </c>
      <c r="F4898" s="62" t="s">
        <v>110</v>
      </c>
      <c r="G4898" s="64" t="s">
        <v>64</v>
      </c>
      <c r="H4898" s="3" t="s">
        <v>297</v>
      </c>
      <c r="I4898" s="65">
        <f>IFERROR(VLOOKUP(A4898,'3. Call duration'!$A:$C,3,0),"--")</f>
        <v>20.07964913</v>
      </c>
      <c r="J4898" s="65" t="str">
        <f t="array" ref="J4898">XLOOKUP(H4898,'2. Matching'!$A$2:$A$39,'2. Matching'!$B$2:$B$39,"--")</f>
        <v>Farming</v>
      </c>
      <c r="K4898" s="65" t="str">
        <f t="shared" si="1"/>
        <v>In</v>
      </c>
    </row>
    <row r="4899">
      <c r="A4899" s="62" t="s">
        <v>5037</v>
      </c>
      <c r="B4899" s="63">
        <v>44306.0</v>
      </c>
      <c r="C4899" s="62" t="s">
        <v>119</v>
      </c>
      <c r="D4899" s="64">
        <v>45.0</v>
      </c>
      <c r="E4899" s="62" t="s">
        <v>109</v>
      </c>
      <c r="F4899" s="62" t="s">
        <v>110</v>
      </c>
      <c r="G4899" s="64" t="s">
        <v>63</v>
      </c>
      <c r="H4899" s="3" t="s">
        <v>189</v>
      </c>
      <c r="I4899" s="65">
        <f>IFERROR(VLOOKUP(A4899,'3. Call duration'!$A:$C,3,0),"--")</f>
        <v>34.14766946</v>
      </c>
      <c r="J4899" s="65" t="str">
        <f t="array" ref="J4899">XLOOKUP(H4899,'2. Matching'!$A$2:$A$39,'2. Matching'!$B$2:$B$39,"--")</f>
        <v>SEO</v>
      </c>
      <c r="K4899" s="65" t="str">
        <f t="shared" si="1"/>
        <v>Out</v>
      </c>
    </row>
    <row r="4900">
      <c r="A4900" s="62" t="s">
        <v>5038</v>
      </c>
      <c r="B4900" s="63">
        <v>44307.0</v>
      </c>
      <c r="C4900" s="62" t="s">
        <v>119</v>
      </c>
      <c r="D4900" s="64">
        <v>45.0</v>
      </c>
      <c r="E4900" s="62" t="s">
        <v>109</v>
      </c>
      <c r="F4900" s="62" t="s">
        <v>110</v>
      </c>
      <c r="G4900" s="64" t="s">
        <v>64</v>
      </c>
      <c r="H4900" s="3" t="s">
        <v>164</v>
      </c>
      <c r="I4900" s="65">
        <f>IFERROR(VLOOKUP(A4900,'3. Call duration'!$A:$C,3,0),"--")</f>
        <v>29.43387822</v>
      </c>
      <c r="J4900" s="65" t="str">
        <f t="array" ref="J4900">XLOOKUP(H4900,'2. Matching'!$A$2:$A$39,'2. Matching'!$B$2:$B$39,"--")</f>
        <v>SEO</v>
      </c>
      <c r="K4900" s="65" t="str">
        <f t="shared" si="1"/>
        <v>In</v>
      </c>
    </row>
    <row r="4901">
      <c r="A4901" s="62" t="s">
        <v>5039</v>
      </c>
      <c r="B4901" s="63">
        <v>44309.0</v>
      </c>
      <c r="C4901" s="62" t="s">
        <v>119</v>
      </c>
      <c r="D4901" s="64">
        <v>45.0</v>
      </c>
      <c r="E4901" s="62" t="s">
        <v>109</v>
      </c>
      <c r="F4901" s="62" t="s">
        <v>115</v>
      </c>
      <c r="G4901" s="64" t="s">
        <v>64</v>
      </c>
      <c r="H4901" s="3" t="s">
        <v>116</v>
      </c>
      <c r="I4901" s="65">
        <f>IFERROR(VLOOKUP(A4901,'3. Call duration'!$A:$C,3,0),"--")</f>
        <v>12.29339591</v>
      </c>
      <c r="J4901" s="65" t="str">
        <f t="array" ref="J4901">XLOOKUP(H4901,'2. Matching'!$A$2:$A$39,'2. Matching'!$B$2:$B$39,"--")</f>
        <v>Acquisition</v>
      </c>
      <c r="K4901" s="65" t="str">
        <f t="shared" si="1"/>
        <v>In</v>
      </c>
    </row>
    <row r="4902">
      <c r="A4902" s="62" t="s">
        <v>5040</v>
      </c>
      <c r="B4902" s="63">
        <v>44316.0</v>
      </c>
      <c r="C4902" s="62" t="s">
        <v>119</v>
      </c>
      <c r="D4902" s="64">
        <v>45.0</v>
      </c>
      <c r="E4902" s="62" t="s">
        <v>109</v>
      </c>
      <c r="F4902" s="62" t="s">
        <v>115</v>
      </c>
      <c r="G4902" s="64" t="s">
        <v>64</v>
      </c>
      <c r="H4902" s="3" t="s">
        <v>155</v>
      </c>
      <c r="I4902" s="65">
        <f>IFERROR(VLOOKUP(A4902,'3. Call duration'!$A:$C,3,0),"--")</f>
        <v>25.88137855</v>
      </c>
      <c r="J4902" s="65" t="str">
        <f t="array" ref="J4902">XLOOKUP(H4902,'2. Matching'!$A$2:$A$39,'2. Matching'!$B$2:$B$39,"--")</f>
        <v>SEO</v>
      </c>
      <c r="K4902" s="65" t="str">
        <f t="shared" si="1"/>
        <v>In</v>
      </c>
    </row>
    <row r="4903">
      <c r="A4903" s="62" t="s">
        <v>5041</v>
      </c>
      <c r="B4903" s="63">
        <v>44284.0</v>
      </c>
      <c r="C4903" s="62" t="s">
        <v>119</v>
      </c>
      <c r="D4903" s="64">
        <v>45.0</v>
      </c>
      <c r="E4903" s="62" t="s">
        <v>109</v>
      </c>
      <c r="F4903" s="62" t="s">
        <v>115</v>
      </c>
      <c r="G4903" s="64" t="s">
        <v>64</v>
      </c>
      <c r="H4903" s="3" t="s">
        <v>185</v>
      </c>
      <c r="I4903" s="65">
        <f>IFERROR(VLOOKUP(A4903,'3. Call duration'!$A:$C,3,0),"--")</f>
        <v>29.02484129</v>
      </c>
      <c r="J4903" s="65" t="str">
        <f t="array" ref="J4903">XLOOKUP(H4903,'2. Matching'!$A$2:$A$39,'2. Matching'!$B$2:$B$39,"--")</f>
        <v>SEO</v>
      </c>
      <c r="K4903" s="65" t="str">
        <f t="shared" si="1"/>
        <v>In</v>
      </c>
    </row>
    <row r="4904">
      <c r="A4904" s="62" t="s">
        <v>5042</v>
      </c>
      <c r="B4904" s="63">
        <v>44258.0</v>
      </c>
      <c r="C4904" s="62" t="s">
        <v>119</v>
      </c>
      <c r="D4904" s="64">
        <v>45.0</v>
      </c>
      <c r="E4904" s="62" t="s">
        <v>109</v>
      </c>
      <c r="F4904" s="62" t="s">
        <v>115</v>
      </c>
      <c r="G4904" s="64" t="s">
        <v>64</v>
      </c>
      <c r="H4904" s="3" t="s">
        <v>221</v>
      </c>
      <c r="I4904" s="65">
        <f>IFERROR(VLOOKUP(A4904,'3. Call duration'!$A:$C,3,0),"--")</f>
        <v>25.65400078</v>
      </c>
      <c r="J4904" s="65" t="str">
        <f t="array" ref="J4904">XLOOKUP(H4904,'2. Matching'!$A$2:$A$39,'2. Matching'!$B$2:$B$39,"--")</f>
        <v>Farming</v>
      </c>
      <c r="K4904" s="65" t="str">
        <f t="shared" si="1"/>
        <v>In</v>
      </c>
    </row>
    <row r="4905">
      <c r="A4905" s="62" t="s">
        <v>5043</v>
      </c>
      <c r="B4905" s="63">
        <v>44287.0</v>
      </c>
      <c r="C4905" s="62" t="s">
        <v>119</v>
      </c>
      <c r="D4905" s="64">
        <v>45.0</v>
      </c>
      <c r="E4905" s="62" t="s">
        <v>109</v>
      </c>
      <c r="F4905" s="62" t="s">
        <v>115</v>
      </c>
      <c r="G4905" s="64" t="s">
        <v>64</v>
      </c>
      <c r="H4905" s="3" t="s">
        <v>221</v>
      </c>
      <c r="I4905" s="65">
        <f>IFERROR(VLOOKUP(A4905,'3. Call duration'!$A:$C,3,0),"--")</f>
        <v>26.01053329</v>
      </c>
      <c r="J4905" s="65" t="str">
        <f t="array" ref="J4905">XLOOKUP(H4905,'2. Matching'!$A$2:$A$39,'2. Matching'!$B$2:$B$39,"--")</f>
        <v>Farming</v>
      </c>
      <c r="K4905" s="65" t="str">
        <f t="shared" si="1"/>
        <v>In</v>
      </c>
    </row>
    <row r="4906">
      <c r="A4906" s="62" t="s">
        <v>5044</v>
      </c>
      <c r="B4906" s="63">
        <v>44306.0</v>
      </c>
      <c r="C4906" s="62" t="s">
        <v>119</v>
      </c>
      <c r="D4906" s="64">
        <v>45.0</v>
      </c>
      <c r="E4906" s="62" t="s">
        <v>109</v>
      </c>
      <c r="F4906" s="62" t="s">
        <v>110</v>
      </c>
      <c r="G4906" s="64" t="s">
        <v>63</v>
      </c>
      <c r="H4906" s="3" t="s">
        <v>189</v>
      </c>
      <c r="I4906" s="65" t="str">
        <f>IFERROR(VLOOKUP(A4906,'3. Call duration'!$A:$C,3,0),"--")</f>
        <v>--</v>
      </c>
      <c r="J4906" s="65" t="str">
        <f t="array" ref="J4906">XLOOKUP(H4906,'2. Matching'!$A$2:$A$39,'2. Matching'!$B$2:$B$39,"--")</f>
        <v>SEO</v>
      </c>
      <c r="K4906" s="65" t="str">
        <f t="shared" si="1"/>
        <v>Out</v>
      </c>
    </row>
    <row r="4907">
      <c r="A4907" s="62" t="s">
        <v>5045</v>
      </c>
      <c r="B4907" s="63">
        <v>44294.0</v>
      </c>
      <c r="C4907" s="62" t="s">
        <v>119</v>
      </c>
      <c r="D4907" s="64">
        <v>45.0</v>
      </c>
      <c r="E4907" s="62" t="s">
        <v>109</v>
      </c>
      <c r="F4907" s="62" t="s">
        <v>115</v>
      </c>
      <c r="G4907" s="64" t="s">
        <v>64</v>
      </c>
      <c r="H4907" s="3" t="s">
        <v>131</v>
      </c>
      <c r="I4907" s="65">
        <f>IFERROR(VLOOKUP(A4907,'3. Call duration'!$A:$C,3,0),"--")</f>
        <v>24.09424303</v>
      </c>
      <c r="J4907" s="65" t="str">
        <f t="array" ref="J4907">XLOOKUP(H4907,'2. Matching'!$A$2:$A$39,'2. Matching'!$B$2:$B$39,"--")</f>
        <v>Acquisition</v>
      </c>
      <c r="K4907" s="65" t="str">
        <f t="shared" si="1"/>
        <v>In</v>
      </c>
    </row>
    <row r="4908">
      <c r="A4908" s="62" t="s">
        <v>5046</v>
      </c>
      <c r="B4908" s="63">
        <v>44265.0</v>
      </c>
      <c r="C4908" s="62" t="s">
        <v>119</v>
      </c>
      <c r="D4908" s="64">
        <v>45.0</v>
      </c>
      <c r="E4908" s="62" t="s">
        <v>109</v>
      </c>
      <c r="F4908" s="62" t="s">
        <v>115</v>
      </c>
      <c r="G4908" s="64" t="s">
        <v>64</v>
      </c>
      <c r="H4908" s="3" t="s">
        <v>155</v>
      </c>
      <c r="I4908" s="65">
        <f>IFERROR(VLOOKUP(A4908,'3. Call duration'!$A:$C,3,0),"--")</f>
        <v>21.99295076</v>
      </c>
      <c r="J4908" s="65" t="str">
        <f t="array" ref="J4908">XLOOKUP(H4908,'2. Matching'!$A$2:$A$39,'2. Matching'!$B$2:$B$39,"--")</f>
        <v>SEO</v>
      </c>
      <c r="K4908" s="65" t="str">
        <f t="shared" si="1"/>
        <v>In</v>
      </c>
    </row>
    <row r="4909">
      <c r="A4909" s="62" t="s">
        <v>5047</v>
      </c>
      <c r="B4909" s="63">
        <v>44299.0</v>
      </c>
      <c r="C4909" s="62" t="s">
        <v>119</v>
      </c>
      <c r="D4909" s="64">
        <v>45.0</v>
      </c>
      <c r="E4909" s="62" t="s">
        <v>109</v>
      </c>
      <c r="F4909" s="62" t="s">
        <v>110</v>
      </c>
      <c r="G4909" s="64" t="s">
        <v>64</v>
      </c>
      <c r="H4909" s="3" t="s">
        <v>49</v>
      </c>
      <c r="I4909" s="65">
        <f>IFERROR(VLOOKUP(A4909,'3. Call duration'!$A:$C,3,0),"--")</f>
        <v>18.52302681</v>
      </c>
      <c r="J4909" s="65" t="str">
        <f t="array" ref="J4909">XLOOKUP(H4909,'2. Matching'!$A$2:$A$39,'2. Matching'!$B$2:$B$39,"--")</f>
        <v>Partnerships</v>
      </c>
      <c r="K4909" s="65" t="str">
        <f t="shared" si="1"/>
        <v>In</v>
      </c>
    </row>
    <row r="4910">
      <c r="A4910" s="62" t="s">
        <v>5048</v>
      </c>
      <c r="B4910" s="63">
        <v>44265.0</v>
      </c>
      <c r="C4910" s="62" t="s">
        <v>119</v>
      </c>
      <c r="D4910" s="64">
        <v>45.0</v>
      </c>
      <c r="E4910" s="62" t="s">
        <v>109</v>
      </c>
      <c r="F4910" s="62" t="s">
        <v>115</v>
      </c>
      <c r="G4910" s="64" t="s">
        <v>64</v>
      </c>
      <c r="H4910" s="3" t="s">
        <v>139</v>
      </c>
      <c r="I4910" s="65" t="str">
        <f>IFERROR(VLOOKUP(A4910,'3. Call duration'!$A:$C,3,0),"--")</f>
        <v>--</v>
      </c>
      <c r="J4910" s="65" t="str">
        <f t="array" ref="J4910">XLOOKUP(H4910,'2. Matching'!$A$2:$A$39,'2. Matching'!$B$2:$B$39,"--")</f>
        <v>Acquisition</v>
      </c>
      <c r="K4910" s="65" t="str">
        <f t="shared" si="1"/>
        <v>In</v>
      </c>
    </row>
    <row r="4911">
      <c r="A4911" s="62" t="s">
        <v>5049</v>
      </c>
      <c r="B4911" s="63">
        <v>44308.0</v>
      </c>
      <c r="C4911" s="62" t="s">
        <v>119</v>
      </c>
      <c r="D4911" s="64">
        <v>45.0</v>
      </c>
      <c r="E4911" s="62" t="s">
        <v>109</v>
      </c>
      <c r="F4911" s="62" t="s">
        <v>110</v>
      </c>
      <c r="G4911" s="64" t="s">
        <v>64</v>
      </c>
      <c r="H4911" s="3" t="s">
        <v>297</v>
      </c>
      <c r="I4911" s="65">
        <f>IFERROR(VLOOKUP(A4911,'3. Call duration'!$A:$C,3,0),"--")</f>
        <v>25.51519804</v>
      </c>
      <c r="J4911" s="65" t="str">
        <f t="array" ref="J4911">XLOOKUP(H4911,'2. Matching'!$A$2:$A$39,'2. Matching'!$B$2:$B$39,"--")</f>
        <v>Farming</v>
      </c>
      <c r="K4911" s="65" t="str">
        <f t="shared" si="1"/>
        <v>In</v>
      </c>
    </row>
    <row r="4912">
      <c r="A4912" s="62" t="s">
        <v>5050</v>
      </c>
      <c r="B4912" s="63">
        <v>44257.0</v>
      </c>
      <c r="C4912" s="62" t="s">
        <v>119</v>
      </c>
      <c r="D4912" s="64">
        <v>45.0</v>
      </c>
      <c r="E4912" s="62" t="s">
        <v>109</v>
      </c>
      <c r="F4912" s="62" t="s">
        <v>115</v>
      </c>
      <c r="G4912" s="64" t="s">
        <v>64</v>
      </c>
      <c r="H4912" s="3" t="s">
        <v>54</v>
      </c>
      <c r="I4912" s="65">
        <f>IFERROR(VLOOKUP(A4912,'3. Call duration'!$A:$C,3,0),"--")</f>
        <v>20.20299098</v>
      </c>
      <c r="J4912" s="65" t="str">
        <f t="array" ref="J4912">XLOOKUP(H4912,'2. Matching'!$A$2:$A$39,'2. Matching'!$B$2:$B$39,"--")</f>
        <v>Partnerships</v>
      </c>
      <c r="K4912" s="65" t="str">
        <f t="shared" si="1"/>
        <v>In</v>
      </c>
    </row>
    <row r="4913">
      <c r="A4913" s="62" t="s">
        <v>5051</v>
      </c>
      <c r="B4913" s="63">
        <v>44273.0</v>
      </c>
      <c r="C4913" s="62" t="s">
        <v>119</v>
      </c>
      <c r="D4913" s="64">
        <v>45.0</v>
      </c>
      <c r="E4913" s="62" t="s">
        <v>109</v>
      </c>
      <c r="F4913" s="62" t="s">
        <v>110</v>
      </c>
      <c r="G4913" s="64" t="s">
        <v>64</v>
      </c>
      <c r="H4913" s="3" t="s">
        <v>164</v>
      </c>
      <c r="I4913" s="65">
        <f>IFERROR(VLOOKUP(A4913,'3. Call duration'!$A:$C,3,0),"--")</f>
        <v>32.98009661</v>
      </c>
      <c r="J4913" s="65" t="str">
        <f t="array" ref="J4913">XLOOKUP(H4913,'2. Matching'!$A$2:$A$39,'2. Matching'!$B$2:$B$39,"--")</f>
        <v>SEO</v>
      </c>
      <c r="K4913" s="65" t="str">
        <f t="shared" si="1"/>
        <v>In</v>
      </c>
    </row>
    <row r="4914">
      <c r="A4914" s="62" t="s">
        <v>5052</v>
      </c>
      <c r="B4914" s="63">
        <v>44268.0</v>
      </c>
      <c r="C4914" s="62" t="s">
        <v>119</v>
      </c>
      <c r="D4914" s="64">
        <v>45.0</v>
      </c>
      <c r="E4914" s="62" t="s">
        <v>109</v>
      </c>
      <c r="F4914" s="62" t="s">
        <v>115</v>
      </c>
      <c r="G4914" s="64" t="s">
        <v>64</v>
      </c>
      <c r="H4914" s="3" t="s">
        <v>139</v>
      </c>
      <c r="I4914" s="65">
        <f>IFERROR(VLOOKUP(A4914,'3. Call duration'!$A:$C,3,0),"--")</f>
        <v>12.16825541</v>
      </c>
      <c r="J4914" s="65" t="str">
        <f t="array" ref="J4914">XLOOKUP(H4914,'2. Matching'!$A$2:$A$39,'2. Matching'!$B$2:$B$39,"--")</f>
        <v>Acquisition</v>
      </c>
      <c r="K4914" s="65" t="str">
        <f t="shared" si="1"/>
        <v>In</v>
      </c>
    </row>
    <row r="4915">
      <c r="A4915" s="62" t="s">
        <v>5053</v>
      </c>
      <c r="B4915" s="63">
        <v>44313.0</v>
      </c>
      <c r="C4915" s="62" t="s">
        <v>119</v>
      </c>
      <c r="D4915" s="64">
        <v>45.0</v>
      </c>
      <c r="E4915" s="62" t="s">
        <v>109</v>
      </c>
      <c r="F4915" s="62" t="s">
        <v>115</v>
      </c>
      <c r="G4915" s="64" t="s">
        <v>64</v>
      </c>
      <c r="H4915" s="3" t="s">
        <v>169</v>
      </c>
      <c r="I4915" s="65">
        <f>IFERROR(VLOOKUP(A4915,'3. Call duration'!$A:$C,3,0),"--")</f>
        <v>14.17816116</v>
      </c>
      <c r="J4915" s="65" t="str">
        <f t="array" ref="J4915">XLOOKUP(H4915,'2. Matching'!$A$2:$A$39,'2. Matching'!$B$2:$B$39,"--")</f>
        <v>SEO</v>
      </c>
      <c r="K4915" s="65" t="str">
        <f t="shared" si="1"/>
        <v>In</v>
      </c>
    </row>
    <row r="4916">
      <c r="A4916" s="62" t="s">
        <v>5054</v>
      </c>
      <c r="B4916" s="63">
        <v>44287.0</v>
      </c>
      <c r="C4916" s="62" t="s">
        <v>119</v>
      </c>
      <c r="D4916" s="64">
        <v>45.0</v>
      </c>
      <c r="E4916" s="62" t="s">
        <v>109</v>
      </c>
      <c r="F4916" s="62" t="s">
        <v>115</v>
      </c>
      <c r="G4916" s="64" t="s">
        <v>64</v>
      </c>
      <c r="H4916" s="3" t="s">
        <v>169</v>
      </c>
      <c r="I4916" s="65">
        <f>IFERROR(VLOOKUP(A4916,'3. Call duration'!$A:$C,3,0),"--")</f>
        <v>22.20328526</v>
      </c>
      <c r="J4916" s="65" t="str">
        <f t="array" ref="J4916">XLOOKUP(H4916,'2. Matching'!$A$2:$A$39,'2. Matching'!$B$2:$B$39,"--")</f>
        <v>SEO</v>
      </c>
      <c r="K4916" s="65" t="str">
        <f t="shared" si="1"/>
        <v>In</v>
      </c>
    </row>
    <row r="4917">
      <c r="A4917" s="62" t="s">
        <v>5055</v>
      </c>
      <c r="B4917" s="63">
        <v>44308.0</v>
      </c>
      <c r="C4917" s="62" t="s">
        <v>119</v>
      </c>
      <c r="D4917" s="64">
        <v>45.0</v>
      </c>
      <c r="E4917" s="62" t="s">
        <v>109</v>
      </c>
      <c r="F4917" s="62" t="s">
        <v>115</v>
      </c>
      <c r="G4917" s="64" t="s">
        <v>64</v>
      </c>
      <c r="H4917" s="3" t="s">
        <v>164</v>
      </c>
      <c r="I4917" s="65">
        <f>IFERROR(VLOOKUP(A4917,'3. Call duration'!$A:$C,3,0),"--")</f>
        <v>32.11656456</v>
      </c>
      <c r="J4917" s="65" t="str">
        <f t="array" ref="J4917">XLOOKUP(H4917,'2. Matching'!$A$2:$A$39,'2. Matching'!$B$2:$B$39,"--")</f>
        <v>SEO</v>
      </c>
      <c r="K4917" s="65" t="str">
        <f t="shared" si="1"/>
        <v>In</v>
      </c>
    </row>
    <row r="4918">
      <c r="A4918" s="62" t="s">
        <v>5056</v>
      </c>
      <c r="B4918" s="63">
        <v>44312.0</v>
      </c>
      <c r="C4918" s="62" t="s">
        <v>119</v>
      </c>
      <c r="D4918" s="64">
        <v>45.0</v>
      </c>
      <c r="E4918" s="62" t="s">
        <v>109</v>
      </c>
      <c r="F4918" s="62" t="s">
        <v>110</v>
      </c>
      <c r="G4918" s="64" t="s">
        <v>64</v>
      </c>
      <c r="H4918" s="3" t="s">
        <v>141</v>
      </c>
      <c r="I4918" s="65">
        <f>IFERROR(VLOOKUP(A4918,'3. Call duration'!$A:$C,3,0),"--")</f>
        <v>15.02239738</v>
      </c>
      <c r="J4918" s="65" t="str">
        <f t="array" ref="J4918">XLOOKUP(H4918,'2. Matching'!$A$2:$A$39,'2. Matching'!$B$2:$B$39,"--")</f>
        <v>Acquisition</v>
      </c>
      <c r="K4918" s="65" t="str">
        <f t="shared" si="1"/>
        <v>In</v>
      </c>
    </row>
    <row r="4919">
      <c r="A4919" s="62" t="s">
        <v>5057</v>
      </c>
      <c r="B4919" s="63">
        <v>44264.0</v>
      </c>
      <c r="C4919" s="62" t="s">
        <v>119</v>
      </c>
      <c r="D4919" s="64">
        <v>45.0</v>
      </c>
      <c r="E4919" s="62" t="s">
        <v>109</v>
      </c>
      <c r="F4919" s="62" t="s">
        <v>115</v>
      </c>
      <c r="G4919" s="64" t="s">
        <v>64</v>
      </c>
      <c r="H4919" s="3" t="s">
        <v>185</v>
      </c>
      <c r="I4919" s="65">
        <f>IFERROR(VLOOKUP(A4919,'3. Call duration'!$A:$C,3,0),"--")</f>
        <v>24.1719494</v>
      </c>
      <c r="J4919" s="65" t="str">
        <f t="array" ref="J4919">XLOOKUP(H4919,'2. Matching'!$A$2:$A$39,'2. Matching'!$B$2:$B$39,"--")</f>
        <v>SEO</v>
      </c>
      <c r="K4919" s="65" t="str">
        <f t="shared" si="1"/>
        <v>In</v>
      </c>
    </row>
    <row r="4920">
      <c r="A4920" s="62" t="s">
        <v>5058</v>
      </c>
      <c r="B4920" s="63">
        <v>44280.0</v>
      </c>
      <c r="C4920" s="62" t="s">
        <v>119</v>
      </c>
      <c r="D4920" s="64">
        <v>45.0</v>
      </c>
      <c r="E4920" s="62" t="s">
        <v>109</v>
      </c>
      <c r="F4920" s="62" t="s">
        <v>115</v>
      </c>
      <c r="G4920" s="64" t="s">
        <v>64</v>
      </c>
      <c r="H4920" s="3" t="s">
        <v>164</v>
      </c>
      <c r="I4920" s="65">
        <f>IFERROR(VLOOKUP(A4920,'3. Call duration'!$A:$C,3,0),"--")</f>
        <v>32.29393403</v>
      </c>
      <c r="J4920" s="65" t="str">
        <f t="array" ref="J4920">XLOOKUP(H4920,'2. Matching'!$A$2:$A$39,'2. Matching'!$B$2:$B$39,"--")</f>
        <v>SEO</v>
      </c>
      <c r="K4920" s="65" t="str">
        <f t="shared" si="1"/>
        <v>In</v>
      </c>
    </row>
    <row r="4921">
      <c r="A4921" s="62" t="s">
        <v>5059</v>
      </c>
      <c r="B4921" s="63">
        <v>44264.0</v>
      </c>
      <c r="C4921" s="62" t="s">
        <v>119</v>
      </c>
      <c r="D4921" s="64">
        <v>45.0</v>
      </c>
      <c r="E4921" s="62" t="s">
        <v>109</v>
      </c>
      <c r="F4921" s="62" t="s">
        <v>115</v>
      </c>
      <c r="G4921" s="64" t="s">
        <v>64</v>
      </c>
      <c r="H4921" s="3" t="s">
        <v>141</v>
      </c>
      <c r="I4921" s="65">
        <f>IFERROR(VLOOKUP(A4921,'3. Call duration'!$A:$C,3,0),"--")</f>
        <v>25.7478958</v>
      </c>
      <c r="J4921" s="65" t="str">
        <f t="array" ref="J4921">XLOOKUP(H4921,'2. Matching'!$A$2:$A$39,'2. Matching'!$B$2:$B$39,"--")</f>
        <v>Acquisition</v>
      </c>
      <c r="K4921" s="65" t="str">
        <f t="shared" si="1"/>
        <v>In</v>
      </c>
    </row>
    <row r="4922">
      <c r="A4922" s="62" t="s">
        <v>5060</v>
      </c>
      <c r="B4922" s="63">
        <v>44260.0</v>
      </c>
      <c r="C4922" s="62" t="s">
        <v>119</v>
      </c>
      <c r="D4922" s="64">
        <v>45.0</v>
      </c>
      <c r="E4922" s="62" t="s">
        <v>109</v>
      </c>
      <c r="F4922" s="62" t="s">
        <v>115</v>
      </c>
      <c r="G4922" s="64" t="s">
        <v>64</v>
      </c>
      <c r="H4922" s="3" t="s">
        <v>175</v>
      </c>
      <c r="I4922" s="65" t="str">
        <f>IFERROR(VLOOKUP(A4922,'3. Call duration'!$A:$C,3,0),"--")</f>
        <v>--</v>
      </c>
      <c r="J4922" s="65" t="str">
        <f t="array" ref="J4922">XLOOKUP(H4922,'2. Matching'!$A$2:$A$39,'2. Matching'!$B$2:$B$39,"--")</f>
        <v>SEO</v>
      </c>
      <c r="K4922" s="65" t="str">
        <f t="shared" si="1"/>
        <v>In</v>
      </c>
    </row>
    <row r="4923">
      <c r="A4923" s="62" t="s">
        <v>5061</v>
      </c>
      <c r="B4923" s="63">
        <v>44281.0</v>
      </c>
      <c r="C4923" s="62" t="s">
        <v>119</v>
      </c>
      <c r="D4923" s="64">
        <v>45.0</v>
      </c>
      <c r="E4923" s="62" t="s">
        <v>109</v>
      </c>
      <c r="F4923" s="62" t="s">
        <v>110</v>
      </c>
      <c r="G4923" s="64" t="s">
        <v>64</v>
      </c>
      <c r="H4923" s="3" t="s">
        <v>175</v>
      </c>
      <c r="I4923" s="65">
        <f>IFERROR(VLOOKUP(A4923,'3. Call duration'!$A:$C,3,0),"--")</f>
        <v>35.88414044</v>
      </c>
      <c r="J4923" s="65" t="str">
        <f t="array" ref="J4923">XLOOKUP(H4923,'2. Matching'!$A$2:$A$39,'2. Matching'!$B$2:$B$39,"--")</f>
        <v>SEO</v>
      </c>
      <c r="K4923" s="65" t="str">
        <f t="shared" si="1"/>
        <v>In</v>
      </c>
    </row>
    <row r="4924">
      <c r="A4924" s="62" t="s">
        <v>5062</v>
      </c>
      <c r="B4924" s="63">
        <v>44265.0</v>
      </c>
      <c r="C4924" s="62" t="s">
        <v>119</v>
      </c>
      <c r="D4924" s="64">
        <v>45.0</v>
      </c>
      <c r="E4924" s="62" t="s">
        <v>109</v>
      </c>
      <c r="F4924" s="62" t="s">
        <v>115</v>
      </c>
      <c r="G4924" s="64" t="s">
        <v>64</v>
      </c>
      <c r="H4924" s="3" t="s">
        <v>185</v>
      </c>
      <c r="I4924" s="65">
        <f>IFERROR(VLOOKUP(A4924,'3. Call duration'!$A:$C,3,0),"--")</f>
        <v>32.87054774</v>
      </c>
      <c r="J4924" s="65" t="str">
        <f t="array" ref="J4924">XLOOKUP(H4924,'2. Matching'!$A$2:$A$39,'2. Matching'!$B$2:$B$39,"--")</f>
        <v>SEO</v>
      </c>
      <c r="K4924" s="65" t="str">
        <f t="shared" si="1"/>
        <v>In</v>
      </c>
    </row>
    <row r="4925">
      <c r="A4925" s="62" t="s">
        <v>5063</v>
      </c>
      <c r="B4925" s="63">
        <v>44256.0</v>
      </c>
      <c r="C4925" s="62" t="s">
        <v>119</v>
      </c>
      <c r="D4925" s="64">
        <v>45.0</v>
      </c>
      <c r="E4925" s="62" t="s">
        <v>109</v>
      </c>
      <c r="F4925" s="62" t="s">
        <v>110</v>
      </c>
      <c r="G4925" s="64" t="s">
        <v>64</v>
      </c>
      <c r="H4925" s="3" t="s">
        <v>139</v>
      </c>
      <c r="I4925" s="65">
        <f>IFERROR(VLOOKUP(A4925,'3. Call duration'!$A:$C,3,0),"--")</f>
        <v>33.46002537</v>
      </c>
      <c r="J4925" s="65" t="str">
        <f t="array" ref="J4925">XLOOKUP(H4925,'2. Matching'!$A$2:$A$39,'2. Matching'!$B$2:$B$39,"--")</f>
        <v>Acquisition</v>
      </c>
      <c r="K4925" s="65" t="str">
        <f t="shared" si="1"/>
        <v>In</v>
      </c>
    </row>
    <row r="4926">
      <c r="A4926" s="62" t="s">
        <v>5064</v>
      </c>
      <c r="B4926" s="63">
        <v>44284.0</v>
      </c>
      <c r="C4926" s="62" t="s">
        <v>119</v>
      </c>
      <c r="D4926" s="64">
        <v>45.0</v>
      </c>
      <c r="E4926" s="62" t="s">
        <v>109</v>
      </c>
      <c r="F4926" s="62" t="s">
        <v>115</v>
      </c>
      <c r="G4926" s="64" t="s">
        <v>64</v>
      </c>
      <c r="H4926" s="3" t="s">
        <v>185</v>
      </c>
      <c r="I4926" s="65">
        <f>IFERROR(VLOOKUP(A4926,'3. Call duration'!$A:$C,3,0),"--")</f>
        <v>21.61639666</v>
      </c>
      <c r="J4926" s="65" t="str">
        <f t="array" ref="J4926">XLOOKUP(H4926,'2. Matching'!$A$2:$A$39,'2. Matching'!$B$2:$B$39,"--")</f>
        <v>SEO</v>
      </c>
      <c r="K4926" s="65" t="str">
        <f t="shared" si="1"/>
        <v>In</v>
      </c>
    </row>
    <row r="4927">
      <c r="A4927" s="62" t="s">
        <v>5065</v>
      </c>
      <c r="B4927" s="63">
        <v>44279.0</v>
      </c>
      <c r="C4927" s="62" t="s">
        <v>119</v>
      </c>
      <c r="D4927" s="64">
        <v>45.0</v>
      </c>
      <c r="E4927" s="62" t="s">
        <v>109</v>
      </c>
      <c r="F4927" s="62" t="s">
        <v>110</v>
      </c>
      <c r="G4927" s="64" t="s">
        <v>64</v>
      </c>
      <c r="H4927" s="3" t="s">
        <v>52</v>
      </c>
      <c r="I4927" s="65">
        <f>IFERROR(VLOOKUP(A4927,'3. Call duration'!$A:$C,3,0),"--")</f>
        <v>11.05901391</v>
      </c>
      <c r="J4927" s="65" t="str">
        <f t="array" ref="J4927">XLOOKUP(H4927,'2. Matching'!$A$2:$A$39,'2. Matching'!$B$2:$B$39,"--")</f>
        <v>Partnerships</v>
      </c>
      <c r="K4927" s="65" t="str">
        <f t="shared" si="1"/>
        <v>In</v>
      </c>
    </row>
    <row r="4928">
      <c r="A4928" s="62" t="s">
        <v>5066</v>
      </c>
      <c r="B4928" s="63">
        <v>44294.0</v>
      </c>
      <c r="C4928" s="62" t="s">
        <v>119</v>
      </c>
      <c r="D4928" s="64">
        <v>45.0</v>
      </c>
      <c r="E4928" s="62" t="s">
        <v>109</v>
      </c>
      <c r="F4928" s="62" t="s">
        <v>115</v>
      </c>
      <c r="G4928" s="64" t="s">
        <v>64</v>
      </c>
      <c r="H4928" s="3" t="s">
        <v>131</v>
      </c>
      <c r="I4928" s="65">
        <f>IFERROR(VLOOKUP(A4928,'3. Call duration'!$A:$C,3,0),"--")</f>
        <v>21.46476668</v>
      </c>
      <c r="J4928" s="65" t="str">
        <f t="array" ref="J4928">XLOOKUP(H4928,'2. Matching'!$A$2:$A$39,'2. Matching'!$B$2:$B$39,"--")</f>
        <v>Acquisition</v>
      </c>
      <c r="K4928" s="65" t="str">
        <f t="shared" si="1"/>
        <v>In</v>
      </c>
    </row>
    <row r="4929">
      <c r="A4929" s="62" t="s">
        <v>5067</v>
      </c>
      <c r="B4929" s="63">
        <v>44286.0</v>
      </c>
      <c r="C4929" s="62" t="s">
        <v>119</v>
      </c>
      <c r="D4929" s="64">
        <v>45.0</v>
      </c>
      <c r="E4929" s="62" t="s">
        <v>109</v>
      </c>
      <c r="F4929" s="62" t="s">
        <v>115</v>
      </c>
      <c r="G4929" s="64" t="s">
        <v>64</v>
      </c>
      <c r="H4929" s="3" t="s">
        <v>141</v>
      </c>
      <c r="I4929" s="65">
        <f>IFERROR(VLOOKUP(A4929,'3. Call duration'!$A:$C,3,0),"--")</f>
        <v>43.98351917</v>
      </c>
      <c r="J4929" s="65" t="str">
        <f t="array" ref="J4929">XLOOKUP(H4929,'2. Matching'!$A$2:$A$39,'2. Matching'!$B$2:$B$39,"--")</f>
        <v>Acquisition</v>
      </c>
      <c r="K4929" s="65" t="str">
        <f t="shared" si="1"/>
        <v>In</v>
      </c>
    </row>
    <row r="4930">
      <c r="A4930" s="62" t="s">
        <v>5068</v>
      </c>
      <c r="B4930" s="63">
        <v>44281.0</v>
      </c>
      <c r="C4930" s="62" t="s">
        <v>119</v>
      </c>
      <c r="D4930" s="64">
        <v>45.0</v>
      </c>
      <c r="E4930" s="62" t="s">
        <v>109</v>
      </c>
      <c r="F4930" s="62" t="s">
        <v>115</v>
      </c>
      <c r="G4930" s="64" t="s">
        <v>64</v>
      </c>
      <c r="H4930" s="3" t="s">
        <v>175</v>
      </c>
      <c r="I4930" s="65">
        <f>IFERROR(VLOOKUP(A4930,'3. Call duration'!$A:$C,3,0),"--")</f>
        <v>28.76112345</v>
      </c>
      <c r="J4930" s="65" t="str">
        <f t="array" ref="J4930">XLOOKUP(H4930,'2. Matching'!$A$2:$A$39,'2. Matching'!$B$2:$B$39,"--")</f>
        <v>SEO</v>
      </c>
      <c r="K4930" s="65" t="str">
        <f t="shared" si="1"/>
        <v>In</v>
      </c>
    </row>
    <row r="4931">
      <c r="A4931" s="62" t="s">
        <v>5069</v>
      </c>
      <c r="B4931" s="63">
        <v>44281.0</v>
      </c>
      <c r="C4931" s="62" t="s">
        <v>119</v>
      </c>
      <c r="D4931" s="64">
        <v>45.0</v>
      </c>
      <c r="E4931" s="62" t="s">
        <v>109</v>
      </c>
      <c r="F4931" s="62" t="s">
        <v>115</v>
      </c>
      <c r="G4931" s="64" t="s">
        <v>64</v>
      </c>
      <c r="H4931" s="3" t="s">
        <v>141</v>
      </c>
      <c r="I4931" s="65">
        <f>IFERROR(VLOOKUP(A4931,'3. Call duration'!$A:$C,3,0),"--")</f>
        <v>45.51944328</v>
      </c>
      <c r="J4931" s="65" t="str">
        <f t="array" ref="J4931">XLOOKUP(H4931,'2. Matching'!$A$2:$A$39,'2. Matching'!$B$2:$B$39,"--")</f>
        <v>Acquisition</v>
      </c>
      <c r="K4931" s="65" t="str">
        <f t="shared" si="1"/>
        <v>In</v>
      </c>
    </row>
    <row r="4932">
      <c r="A4932" s="62" t="s">
        <v>5070</v>
      </c>
      <c r="B4932" s="63">
        <v>44264.0</v>
      </c>
      <c r="C4932" s="62" t="s">
        <v>119</v>
      </c>
      <c r="D4932" s="64">
        <v>45.0</v>
      </c>
      <c r="E4932" s="62" t="s">
        <v>109</v>
      </c>
      <c r="F4932" s="62" t="s">
        <v>110</v>
      </c>
      <c r="G4932" s="64" t="s">
        <v>64</v>
      </c>
      <c r="H4932" s="3" t="s">
        <v>145</v>
      </c>
      <c r="I4932" s="65" t="str">
        <f>IFERROR(VLOOKUP(A4932,'3. Call duration'!$A:$C,3,0),"--")</f>
        <v>--</v>
      </c>
      <c r="J4932" s="65" t="str">
        <f t="array" ref="J4932">XLOOKUP(H4932,'2. Matching'!$A$2:$A$39,'2. Matching'!$B$2:$B$39,"--")</f>
        <v>SEO</v>
      </c>
      <c r="K4932" s="65" t="str">
        <f t="shared" si="1"/>
        <v>In</v>
      </c>
    </row>
    <row r="4933">
      <c r="A4933" s="62" t="s">
        <v>5071</v>
      </c>
      <c r="B4933" s="63">
        <v>44309.0</v>
      </c>
      <c r="C4933" s="62" t="s">
        <v>119</v>
      </c>
      <c r="D4933" s="64">
        <v>45.0</v>
      </c>
      <c r="E4933" s="62" t="s">
        <v>109</v>
      </c>
      <c r="F4933" s="62" t="s">
        <v>110</v>
      </c>
      <c r="G4933" s="64" t="s">
        <v>64</v>
      </c>
      <c r="H4933" s="3" t="s">
        <v>52</v>
      </c>
      <c r="I4933" s="65">
        <f>IFERROR(VLOOKUP(A4933,'3. Call duration'!$A:$C,3,0),"--")</f>
        <v>7.673431909</v>
      </c>
      <c r="J4933" s="65" t="str">
        <f t="array" ref="J4933">XLOOKUP(H4933,'2. Matching'!$A$2:$A$39,'2. Matching'!$B$2:$B$39,"--")</f>
        <v>Partnerships</v>
      </c>
      <c r="K4933" s="65" t="str">
        <f t="shared" si="1"/>
        <v>In</v>
      </c>
    </row>
    <row r="4934">
      <c r="A4934" s="62" t="s">
        <v>5072</v>
      </c>
      <c r="B4934" s="63">
        <v>44307.0</v>
      </c>
      <c r="C4934" s="62" t="s">
        <v>119</v>
      </c>
      <c r="D4934" s="64">
        <v>45.0</v>
      </c>
      <c r="E4934" s="62" t="s">
        <v>109</v>
      </c>
      <c r="F4934" s="62" t="s">
        <v>110</v>
      </c>
      <c r="G4934" s="64" t="s">
        <v>64</v>
      </c>
      <c r="H4934" s="3" t="s">
        <v>145</v>
      </c>
      <c r="I4934" s="65">
        <f>IFERROR(VLOOKUP(A4934,'3. Call duration'!$A:$C,3,0),"--")</f>
        <v>30.68696544</v>
      </c>
      <c r="J4934" s="65" t="str">
        <f t="array" ref="J4934">XLOOKUP(H4934,'2. Matching'!$A$2:$A$39,'2. Matching'!$B$2:$B$39,"--")</f>
        <v>SEO</v>
      </c>
      <c r="K4934" s="65" t="str">
        <f t="shared" si="1"/>
        <v>In</v>
      </c>
    </row>
    <row r="4935">
      <c r="A4935" s="62" t="s">
        <v>5073</v>
      </c>
      <c r="B4935" s="63">
        <v>44298.0</v>
      </c>
      <c r="C4935" s="62" t="s">
        <v>119</v>
      </c>
      <c r="D4935" s="64">
        <v>45.0</v>
      </c>
      <c r="E4935" s="62" t="s">
        <v>109</v>
      </c>
      <c r="F4935" s="62" t="s">
        <v>110</v>
      </c>
      <c r="G4935" s="64" t="s">
        <v>64</v>
      </c>
      <c r="H4935" s="3" t="s">
        <v>297</v>
      </c>
      <c r="I4935" s="65">
        <f>IFERROR(VLOOKUP(A4935,'3. Call duration'!$A:$C,3,0),"--")</f>
        <v>31.4712694</v>
      </c>
      <c r="J4935" s="65" t="str">
        <f t="array" ref="J4935">XLOOKUP(H4935,'2. Matching'!$A$2:$A$39,'2. Matching'!$B$2:$B$39,"--")</f>
        <v>Farming</v>
      </c>
      <c r="K4935" s="65" t="str">
        <f t="shared" si="1"/>
        <v>In</v>
      </c>
    </row>
    <row r="4936">
      <c r="A4936" s="62" t="s">
        <v>5074</v>
      </c>
      <c r="B4936" s="63">
        <v>44273.0</v>
      </c>
      <c r="C4936" s="62" t="s">
        <v>119</v>
      </c>
      <c r="D4936" s="64">
        <v>45.0</v>
      </c>
      <c r="E4936" s="62" t="s">
        <v>109</v>
      </c>
      <c r="F4936" s="62" t="s">
        <v>115</v>
      </c>
      <c r="G4936" s="64" t="s">
        <v>64</v>
      </c>
      <c r="H4936" s="3" t="s">
        <v>185</v>
      </c>
      <c r="I4936" s="65">
        <f>IFERROR(VLOOKUP(A4936,'3. Call duration'!$A:$C,3,0),"--")</f>
        <v>25.72878247</v>
      </c>
      <c r="J4936" s="65" t="str">
        <f t="array" ref="J4936">XLOOKUP(H4936,'2. Matching'!$A$2:$A$39,'2. Matching'!$B$2:$B$39,"--")</f>
        <v>SEO</v>
      </c>
      <c r="K4936" s="65" t="str">
        <f t="shared" si="1"/>
        <v>In</v>
      </c>
    </row>
    <row r="4937">
      <c r="A4937" s="62" t="s">
        <v>5075</v>
      </c>
      <c r="B4937" s="63">
        <v>44271.0</v>
      </c>
      <c r="C4937" s="62" t="s">
        <v>119</v>
      </c>
      <c r="D4937" s="64">
        <v>45.0</v>
      </c>
      <c r="E4937" s="62" t="s">
        <v>109</v>
      </c>
      <c r="F4937" s="62" t="s">
        <v>115</v>
      </c>
      <c r="G4937" s="64" t="s">
        <v>64</v>
      </c>
      <c r="H4937" s="3" t="s">
        <v>164</v>
      </c>
      <c r="I4937" s="65">
        <f>IFERROR(VLOOKUP(A4937,'3. Call duration'!$A:$C,3,0),"--")</f>
        <v>32.52116295</v>
      </c>
      <c r="J4937" s="65" t="str">
        <f t="array" ref="J4937">XLOOKUP(H4937,'2. Matching'!$A$2:$A$39,'2. Matching'!$B$2:$B$39,"--")</f>
        <v>SEO</v>
      </c>
      <c r="K4937" s="65" t="str">
        <f t="shared" si="1"/>
        <v>In</v>
      </c>
    </row>
    <row r="4938">
      <c r="A4938" s="62" t="s">
        <v>5076</v>
      </c>
      <c r="B4938" s="63">
        <v>44294.0</v>
      </c>
      <c r="C4938" s="62" t="s">
        <v>119</v>
      </c>
      <c r="D4938" s="64">
        <v>45.0</v>
      </c>
      <c r="E4938" s="62" t="s">
        <v>109</v>
      </c>
      <c r="F4938" s="62" t="s">
        <v>115</v>
      </c>
      <c r="G4938" s="64" t="s">
        <v>64</v>
      </c>
      <c r="H4938" s="3" t="s">
        <v>185</v>
      </c>
      <c r="I4938" s="65">
        <f>IFERROR(VLOOKUP(A4938,'3. Call duration'!$A:$C,3,0),"--")</f>
        <v>23.82492778</v>
      </c>
      <c r="J4938" s="65" t="str">
        <f t="array" ref="J4938">XLOOKUP(H4938,'2. Matching'!$A$2:$A$39,'2. Matching'!$B$2:$B$39,"--")</f>
        <v>SEO</v>
      </c>
      <c r="K4938" s="65" t="str">
        <f t="shared" si="1"/>
        <v>In</v>
      </c>
    </row>
    <row r="4939">
      <c r="A4939" s="62" t="s">
        <v>5077</v>
      </c>
      <c r="B4939" s="63">
        <v>44280.0</v>
      </c>
      <c r="C4939" s="62" t="s">
        <v>119</v>
      </c>
      <c r="D4939" s="64">
        <v>45.0</v>
      </c>
      <c r="E4939" s="62" t="s">
        <v>109</v>
      </c>
      <c r="F4939" s="62" t="s">
        <v>115</v>
      </c>
      <c r="G4939" s="64" t="s">
        <v>63</v>
      </c>
      <c r="H4939" s="3" t="s">
        <v>189</v>
      </c>
      <c r="I4939" s="65">
        <f>IFERROR(VLOOKUP(A4939,'3. Call duration'!$A:$C,3,0),"--")</f>
        <v>28.26067724</v>
      </c>
      <c r="J4939" s="65" t="str">
        <f t="array" ref="J4939">XLOOKUP(H4939,'2. Matching'!$A$2:$A$39,'2. Matching'!$B$2:$B$39,"--")</f>
        <v>SEO</v>
      </c>
      <c r="K4939" s="65" t="str">
        <f t="shared" si="1"/>
        <v>Out</v>
      </c>
    </row>
    <row r="4940">
      <c r="A4940" s="62" t="s">
        <v>5078</v>
      </c>
      <c r="B4940" s="63">
        <v>44272.0</v>
      </c>
      <c r="C4940" s="62" t="s">
        <v>119</v>
      </c>
      <c r="D4940" s="64">
        <v>45.0</v>
      </c>
      <c r="E4940" s="62" t="s">
        <v>109</v>
      </c>
      <c r="F4940" s="62" t="s">
        <v>115</v>
      </c>
      <c r="G4940" s="64" t="s">
        <v>64</v>
      </c>
      <c r="H4940" s="3" t="s">
        <v>139</v>
      </c>
      <c r="I4940" s="65">
        <f>IFERROR(VLOOKUP(A4940,'3. Call duration'!$A:$C,3,0),"--")</f>
        <v>28.12855101</v>
      </c>
      <c r="J4940" s="65" t="str">
        <f t="array" ref="J4940">XLOOKUP(H4940,'2. Matching'!$A$2:$A$39,'2. Matching'!$B$2:$B$39,"--")</f>
        <v>Acquisition</v>
      </c>
      <c r="K4940" s="65" t="str">
        <f t="shared" si="1"/>
        <v>In</v>
      </c>
    </row>
    <row r="4941">
      <c r="A4941" s="62" t="s">
        <v>5079</v>
      </c>
      <c r="B4941" s="63">
        <v>44302.0</v>
      </c>
      <c r="C4941" s="62" t="s">
        <v>119</v>
      </c>
      <c r="D4941" s="64">
        <v>45.0</v>
      </c>
      <c r="E4941" s="62" t="s">
        <v>109</v>
      </c>
      <c r="F4941" s="62" t="s">
        <v>115</v>
      </c>
      <c r="G4941" s="64" t="s">
        <v>63</v>
      </c>
      <c r="H4941" s="3" t="s">
        <v>128</v>
      </c>
      <c r="I4941" s="65">
        <f>IFERROR(VLOOKUP(A4941,'3. Call duration'!$A:$C,3,0),"--")</f>
        <v>20.93628</v>
      </c>
      <c r="J4941" s="65" t="str">
        <f t="array" ref="J4941">XLOOKUP(H4941,'2. Matching'!$A$2:$A$39,'2. Matching'!$B$2:$B$39,"--")</f>
        <v>Acquisition</v>
      </c>
      <c r="K4941" s="65" t="str">
        <f t="shared" si="1"/>
        <v>In</v>
      </c>
    </row>
    <row r="4942">
      <c r="A4942" s="62" t="s">
        <v>5080</v>
      </c>
      <c r="B4942" s="63">
        <v>44294.0</v>
      </c>
      <c r="C4942" s="62" t="s">
        <v>119</v>
      </c>
      <c r="D4942" s="64">
        <v>45.0</v>
      </c>
      <c r="E4942" s="62" t="s">
        <v>109</v>
      </c>
      <c r="F4942" s="62" t="s">
        <v>110</v>
      </c>
      <c r="G4942" s="64" t="s">
        <v>64</v>
      </c>
      <c r="H4942" s="3" t="s">
        <v>52</v>
      </c>
      <c r="I4942" s="65">
        <f>IFERROR(VLOOKUP(A4942,'3. Call duration'!$A:$C,3,0),"--")</f>
        <v>20.54505513</v>
      </c>
      <c r="J4942" s="65" t="str">
        <f t="array" ref="J4942">XLOOKUP(H4942,'2. Matching'!$A$2:$A$39,'2. Matching'!$B$2:$B$39,"--")</f>
        <v>Partnerships</v>
      </c>
      <c r="K4942" s="65" t="str">
        <f t="shared" si="1"/>
        <v>In</v>
      </c>
    </row>
    <row r="4943">
      <c r="A4943" s="62" t="s">
        <v>5081</v>
      </c>
      <c r="B4943" s="63">
        <v>44264.0</v>
      </c>
      <c r="C4943" s="62" t="s">
        <v>119</v>
      </c>
      <c r="D4943" s="64">
        <v>45.0</v>
      </c>
      <c r="E4943" s="62" t="s">
        <v>109</v>
      </c>
      <c r="F4943" s="62" t="s">
        <v>110</v>
      </c>
      <c r="G4943" s="64" t="s">
        <v>64</v>
      </c>
      <c r="H4943" s="3" t="s">
        <v>116</v>
      </c>
      <c r="I4943" s="65">
        <f>IFERROR(VLOOKUP(A4943,'3. Call duration'!$A:$C,3,0),"--")</f>
        <v>31.17326797</v>
      </c>
      <c r="J4943" s="65" t="str">
        <f t="array" ref="J4943">XLOOKUP(H4943,'2. Matching'!$A$2:$A$39,'2. Matching'!$B$2:$B$39,"--")</f>
        <v>Acquisition</v>
      </c>
      <c r="K4943" s="65" t="str">
        <f t="shared" si="1"/>
        <v>In</v>
      </c>
    </row>
    <row r="4944">
      <c r="A4944" s="62" t="s">
        <v>5082</v>
      </c>
      <c r="B4944" s="63">
        <v>44286.0</v>
      </c>
      <c r="C4944" s="62" t="s">
        <v>119</v>
      </c>
      <c r="D4944" s="64">
        <v>45.0</v>
      </c>
      <c r="E4944" s="62" t="s">
        <v>109</v>
      </c>
      <c r="F4944" s="62" t="s">
        <v>110</v>
      </c>
      <c r="G4944" s="64" t="s">
        <v>64</v>
      </c>
      <c r="H4944" s="3" t="s">
        <v>155</v>
      </c>
      <c r="I4944" s="65">
        <f>IFERROR(VLOOKUP(A4944,'3. Call duration'!$A:$C,3,0),"--")</f>
        <v>27.30853321</v>
      </c>
      <c r="J4944" s="65" t="str">
        <f t="array" ref="J4944">XLOOKUP(H4944,'2. Matching'!$A$2:$A$39,'2. Matching'!$B$2:$B$39,"--")</f>
        <v>SEO</v>
      </c>
      <c r="K4944" s="65" t="str">
        <f t="shared" si="1"/>
        <v>In</v>
      </c>
    </row>
    <row r="4945">
      <c r="A4945" s="62" t="s">
        <v>5083</v>
      </c>
      <c r="B4945" s="63">
        <v>44294.0</v>
      </c>
      <c r="C4945" s="62" t="s">
        <v>119</v>
      </c>
      <c r="D4945" s="64">
        <v>45.0</v>
      </c>
      <c r="E4945" s="62" t="s">
        <v>109</v>
      </c>
      <c r="F4945" s="62" t="s">
        <v>115</v>
      </c>
      <c r="G4945" s="64" t="s">
        <v>64</v>
      </c>
      <c r="H4945" s="3" t="s">
        <v>175</v>
      </c>
      <c r="I4945" s="65">
        <f>IFERROR(VLOOKUP(A4945,'3. Call duration'!$A:$C,3,0),"--")</f>
        <v>26.40728844</v>
      </c>
      <c r="J4945" s="65" t="str">
        <f t="array" ref="J4945">XLOOKUP(H4945,'2. Matching'!$A$2:$A$39,'2. Matching'!$B$2:$B$39,"--")</f>
        <v>SEO</v>
      </c>
      <c r="K4945" s="65" t="str">
        <f t="shared" si="1"/>
        <v>In</v>
      </c>
    </row>
    <row r="4946">
      <c r="A4946" s="62" t="s">
        <v>5084</v>
      </c>
      <c r="B4946" s="63">
        <v>44292.0</v>
      </c>
      <c r="C4946" s="62" t="s">
        <v>119</v>
      </c>
      <c r="D4946" s="64">
        <v>45.0</v>
      </c>
      <c r="E4946" s="62" t="s">
        <v>109</v>
      </c>
      <c r="F4946" s="62" t="s">
        <v>110</v>
      </c>
      <c r="G4946" s="64" t="s">
        <v>64</v>
      </c>
      <c r="H4946" s="3" t="s">
        <v>221</v>
      </c>
      <c r="I4946" s="65">
        <f>IFERROR(VLOOKUP(A4946,'3. Call duration'!$A:$C,3,0),"--")</f>
        <v>29.38831072</v>
      </c>
      <c r="J4946" s="65" t="str">
        <f t="array" ref="J4946">XLOOKUP(H4946,'2. Matching'!$A$2:$A$39,'2. Matching'!$B$2:$B$39,"--")</f>
        <v>Farming</v>
      </c>
      <c r="K4946" s="65" t="str">
        <f t="shared" si="1"/>
        <v>In</v>
      </c>
    </row>
    <row r="4947">
      <c r="A4947" s="62" t="s">
        <v>5085</v>
      </c>
      <c r="B4947" s="63">
        <v>44264.0</v>
      </c>
      <c r="C4947" s="62" t="s">
        <v>119</v>
      </c>
      <c r="D4947" s="64">
        <v>45.0</v>
      </c>
      <c r="E4947" s="62" t="s">
        <v>109</v>
      </c>
      <c r="F4947" s="62" t="s">
        <v>110</v>
      </c>
      <c r="G4947" s="64" t="s">
        <v>64</v>
      </c>
      <c r="H4947" s="3" t="s">
        <v>297</v>
      </c>
      <c r="I4947" s="65">
        <f>IFERROR(VLOOKUP(A4947,'3. Call duration'!$A:$C,3,0),"--")</f>
        <v>27.98442194</v>
      </c>
      <c r="J4947" s="65" t="str">
        <f t="array" ref="J4947">XLOOKUP(H4947,'2. Matching'!$A$2:$A$39,'2. Matching'!$B$2:$B$39,"--")</f>
        <v>Farming</v>
      </c>
      <c r="K4947" s="65" t="str">
        <f t="shared" si="1"/>
        <v>In</v>
      </c>
    </row>
    <row r="4948">
      <c r="A4948" s="62" t="s">
        <v>5086</v>
      </c>
      <c r="B4948" s="63">
        <v>44273.0</v>
      </c>
      <c r="C4948" s="62" t="s">
        <v>119</v>
      </c>
      <c r="D4948" s="64">
        <v>45.0</v>
      </c>
      <c r="E4948" s="62" t="s">
        <v>109</v>
      </c>
      <c r="F4948" s="62" t="s">
        <v>110</v>
      </c>
      <c r="G4948" s="64" t="s">
        <v>64</v>
      </c>
      <c r="H4948" s="3" t="s">
        <v>116</v>
      </c>
      <c r="I4948" s="65">
        <f>IFERROR(VLOOKUP(A4948,'3. Call duration'!$A:$C,3,0),"--")</f>
        <v>20.93810618</v>
      </c>
      <c r="J4948" s="65" t="str">
        <f t="array" ref="J4948">XLOOKUP(H4948,'2. Matching'!$A$2:$A$39,'2. Matching'!$B$2:$B$39,"--")</f>
        <v>Acquisition</v>
      </c>
      <c r="K4948" s="65" t="str">
        <f t="shared" si="1"/>
        <v>In</v>
      </c>
    </row>
    <row r="4949">
      <c r="A4949" s="62" t="s">
        <v>5087</v>
      </c>
      <c r="B4949" s="63">
        <v>44308.0</v>
      </c>
      <c r="C4949" s="62" t="s">
        <v>119</v>
      </c>
      <c r="D4949" s="64">
        <v>45.0</v>
      </c>
      <c r="E4949" s="62" t="s">
        <v>109</v>
      </c>
      <c r="F4949" s="62" t="s">
        <v>115</v>
      </c>
      <c r="G4949" s="64" t="s">
        <v>64</v>
      </c>
      <c r="H4949" s="3" t="s">
        <v>169</v>
      </c>
      <c r="I4949" s="65">
        <f>IFERROR(VLOOKUP(A4949,'3. Call duration'!$A:$C,3,0),"--")</f>
        <v>27.19491046</v>
      </c>
      <c r="J4949" s="65" t="str">
        <f t="array" ref="J4949">XLOOKUP(H4949,'2. Matching'!$A$2:$A$39,'2. Matching'!$B$2:$B$39,"--")</f>
        <v>SEO</v>
      </c>
      <c r="K4949" s="65" t="str">
        <f t="shared" si="1"/>
        <v>In</v>
      </c>
    </row>
    <row r="4950">
      <c r="A4950" s="62" t="s">
        <v>5088</v>
      </c>
      <c r="B4950" s="63">
        <v>44274.0</v>
      </c>
      <c r="C4950" s="62" t="s">
        <v>119</v>
      </c>
      <c r="D4950" s="64">
        <v>45.0</v>
      </c>
      <c r="E4950" s="62" t="s">
        <v>109</v>
      </c>
      <c r="F4950" s="62" t="s">
        <v>110</v>
      </c>
      <c r="G4950" s="64" t="s">
        <v>64</v>
      </c>
      <c r="H4950" s="3" t="s">
        <v>175</v>
      </c>
      <c r="I4950" s="65">
        <f>IFERROR(VLOOKUP(A4950,'3. Call duration'!$A:$C,3,0),"--")</f>
        <v>10.0284646</v>
      </c>
      <c r="J4950" s="65" t="str">
        <f t="array" ref="J4950">XLOOKUP(H4950,'2. Matching'!$A$2:$A$39,'2. Matching'!$B$2:$B$39,"--")</f>
        <v>SEO</v>
      </c>
      <c r="K4950" s="65" t="str">
        <f t="shared" si="1"/>
        <v>In</v>
      </c>
    </row>
    <row r="4951">
      <c r="A4951" s="62" t="s">
        <v>5089</v>
      </c>
      <c r="B4951" s="63">
        <v>44293.0</v>
      </c>
      <c r="C4951" s="62" t="s">
        <v>119</v>
      </c>
      <c r="D4951" s="64">
        <v>45.0</v>
      </c>
      <c r="E4951" s="62" t="s">
        <v>109</v>
      </c>
      <c r="F4951" s="62" t="s">
        <v>115</v>
      </c>
      <c r="G4951" s="64" t="s">
        <v>64</v>
      </c>
      <c r="H4951" s="3" t="s">
        <v>185</v>
      </c>
      <c r="I4951" s="65">
        <f>IFERROR(VLOOKUP(A4951,'3. Call duration'!$A:$C,3,0),"--")</f>
        <v>26.42277098</v>
      </c>
      <c r="J4951" s="65" t="str">
        <f t="array" ref="J4951">XLOOKUP(H4951,'2. Matching'!$A$2:$A$39,'2. Matching'!$B$2:$B$39,"--")</f>
        <v>SEO</v>
      </c>
      <c r="K4951" s="65" t="str">
        <f t="shared" si="1"/>
        <v>In</v>
      </c>
    </row>
    <row r="4952">
      <c r="A4952" s="62" t="s">
        <v>5090</v>
      </c>
      <c r="B4952" s="63">
        <v>44271.0</v>
      </c>
      <c r="C4952" s="62" t="s">
        <v>119</v>
      </c>
      <c r="D4952" s="64">
        <v>45.0</v>
      </c>
      <c r="E4952" s="62" t="s">
        <v>109</v>
      </c>
      <c r="F4952" s="62" t="s">
        <v>115</v>
      </c>
      <c r="G4952" s="64" t="s">
        <v>64</v>
      </c>
      <c r="H4952" s="3" t="s">
        <v>131</v>
      </c>
      <c r="I4952" s="65">
        <f>IFERROR(VLOOKUP(A4952,'3. Call duration'!$A:$C,3,0),"--")</f>
        <v>22.66787866</v>
      </c>
      <c r="J4952" s="65" t="str">
        <f t="array" ref="J4952">XLOOKUP(H4952,'2. Matching'!$A$2:$A$39,'2. Matching'!$B$2:$B$39,"--")</f>
        <v>Acquisition</v>
      </c>
      <c r="K4952" s="65" t="str">
        <f t="shared" si="1"/>
        <v>In</v>
      </c>
    </row>
    <row r="4953">
      <c r="A4953" s="62" t="s">
        <v>5091</v>
      </c>
      <c r="B4953" s="63">
        <v>44266.0</v>
      </c>
      <c r="C4953" s="62" t="s">
        <v>119</v>
      </c>
      <c r="D4953" s="64">
        <v>45.0</v>
      </c>
      <c r="E4953" s="62" t="s">
        <v>109</v>
      </c>
      <c r="F4953" s="62" t="s">
        <v>115</v>
      </c>
      <c r="G4953" s="64" t="s">
        <v>64</v>
      </c>
      <c r="H4953" s="3" t="s">
        <v>175</v>
      </c>
      <c r="I4953" s="65" t="str">
        <f>IFERROR(VLOOKUP(A4953,'3. Call duration'!$A:$C,3,0),"--")</f>
        <v>--</v>
      </c>
      <c r="J4953" s="65" t="str">
        <f t="array" ref="J4953">XLOOKUP(H4953,'2. Matching'!$A$2:$A$39,'2. Matching'!$B$2:$B$39,"--")</f>
        <v>SEO</v>
      </c>
      <c r="K4953" s="65" t="str">
        <f t="shared" si="1"/>
        <v>In</v>
      </c>
    </row>
    <row r="4954">
      <c r="A4954" s="62" t="s">
        <v>5092</v>
      </c>
      <c r="B4954" s="63">
        <v>44284.0</v>
      </c>
      <c r="C4954" s="62" t="s">
        <v>119</v>
      </c>
      <c r="D4954" s="64">
        <v>45.0</v>
      </c>
      <c r="E4954" s="62" t="s">
        <v>109</v>
      </c>
      <c r="F4954" s="62" t="s">
        <v>115</v>
      </c>
      <c r="G4954" s="64" t="s">
        <v>64</v>
      </c>
      <c r="H4954" s="3" t="s">
        <v>169</v>
      </c>
      <c r="I4954" s="65">
        <f>IFERROR(VLOOKUP(A4954,'3. Call duration'!$A:$C,3,0),"--")</f>
        <v>26.0761985</v>
      </c>
      <c r="J4954" s="65" t="str">
        <f t="array" ref="J4954">XLOOKUP(H4954,'2. Matching'!$A$2:$A$39,'2. Matching'!$B$2:$B$39,"--")</f>
        <v>SEO</v>
      </c>
      <c r="K4954" s="65" t="str">
        <f t="shared" si="1"/>
        <v>In</v>
      </c>
    </row>
    <row r="4955">
      <c r="A4955" s="62" t="s">
        <v>5093</v>
      </c>
      <c r="B4955" s="63">
        <v>44272.0</v>
      </c>
      <c r="C4955" s="62" t="s">
        <v>119</v>
      </c>
      <c r="D4955" s="64">
        <v>45.0</v>
      </c>
      <c r="E4955" s="62" t="s">
        <v>109</v>
      </c>
      <c r="F4955" s="62" t="s">
        <v>115</v>
      </c>
      <c r="G4955" s="64" t="s">
        <v>64</v>
      </c>
      <c r="H4955" s="3" t="s">
        <v>139</v>
      </c>
      <c r="I4955" s="65">
        <f>IFERROR(VLOOKUP(A4955,'3. Call duration'!$A:$C,3,0),"--")</f>
        <v>28.54480288</v>
      </c>
      <c r="J4955" s="65" t="str">
        <f t="array" ref="J4955">XLOOKUP(H4955,'2. Matching'!$A$2:$A$39,'2. Matching'!$B$2:$B$39,"--")</f>
        <v>Acquisition</v>
      </c>
      <c r="K4955" s="65" t="str">
        <f t="shared" si="1"/>
        <v>In</v>
      </c>
    </row>
    <row r="4956">
      <c r="A4956" s="62" t="s">
        <v>5094</v>
      </c>
      <c r="B4956" s="63">
        <v>44315.0</v>
      </c>
      <c r="C4956" s="62" t="s">
        <v>119</v>
      </c>
      <c r="D4956" s="64">
        <v>45.0</v>
      </c>
      <c r="E4956" s="62" t="s">
        <v>109</v>
      </c>
      <c r="F4956" s="62" t="s">
        <v>110</v>
      </c>
      <c r="G4956" s="64" t="s">
        <v>64</v>
      </c>
      <c r="H4956" s="3" t="s">
        <v>297</v>
      </c>
      <c r="I4956" s="65">
        <f>IFERROR(VLOOKUP(A4956,'3. Call duration'!$A:$C,3,0),"--")</f>
        <v>29.49864396</v>
      </c>
      <c r="J4956" s="65" t="str">
        <f t="array" ref="J4956">XLOOKUP(H4956,'2. Matching'!$A$2:$A$39,'2. Matching'!$B$2:$B$39,"--")</f>
        <v>Farming</v>
      </c>
      <c r="K4956" s="65" t="str">
        <f t="shared" si="1"/>
        <v>In</v>
      </c>
    </row>
    <row r="4957">
      <c r="A4957" s="62" t="s">
        <v>5095</v>
      </c>
      <c r="B4957" s="63">
        <v>44301.0</v>
      </c>
      <c r="C4957" s="62" t="s">
        <v>119</v>
      </c>
      <c r="D4957" s="64">
        <v>45.0</v>
      </c>
      <c r="E4957" s="62" t="s">
        <v>109</v>
      </c>
      <c r="F4957" s="62" t="s">
        <v>115</v>
      </c>
      <c r="G4957" s="64" t="s">
        <v>64</v>
      </c>
      <c r="H4957" s="3" t="s">
        <v>169</v>
      </c>
      <c r="I4957" s="65">
        <f>IFERROR(VLOOKUP(A4957,'3. Call duration'!$A:$C,3,0),"--")</f>
        <v>21.00907862</v>
      </c>
      <c r="J4957" s="65" t="str">
        <f t="array" ref="J4957">XLOOKUP(H4957,'2. Matching'!$A$2:$A$39,'2. Matching'!$B$2:$B$39,"--")</f>
        <v>SEO</v>
      </c>
      <c r="K4957" s="65" t="str">
        <f t="shared" si="1"/>
        <v>In</v>
      </c>
    </row>
    <row r="4958">
      <c r="A4958" s="62" t="s">
        <v>5096</v>
      </c>
      <c r="B4958" s="63">
        <v>44270.0</v>
      </c>
      <c r="C4958" s="62" t="s">
        <v>119</v>
      </c>
      <c r="D4958" s="64">
        <v>45.0</v>
      </c>
      <c r="E4958" s="62" t="s">
        <v>109</v>
      </c>
      <c r="F4958" s="62" t="s">
        <v>110</v>
      </c>
      <c r="G4958" s="64" t="s">
        <v>64</v>
      </c>
      <c r="H4958" s="3" t="s">
        <v>145</v>
      </c>
      <c r="I4958" s="65">
        <f>IFERROR(VLOOKUP(A4958,'3. Call duration'!$A:$C,3,0),"--")</f>
        <v>33.57793896</v>
      </c>
      <c r="J4958" s="65" t="str">
        <f t="array" ref="J4958">XLOOKUP(H4958,'2. Matching'!$A$2:$A$39,'2. Matching'!$B$2:$B$39,"--")</f>
        <v>SEO</v>
      </c>
      <c r="K4958" s="65" t="str">
        <f t="shared" si="1"/>
        <v>In</v>
      </c>
    </row>
    <row r="4959">
      <c r="A4959" s="62" t="s">
        <v>5097</v>
      </c>
      <c r="B4959" s="63">
        <v>44280.0</v>
      </c>
      <c r="C4959" s="62" t="s">
        <v>119</v>
      </c>
      <c r="D4959" s="64">
        <v>45.0</v>
      </c>
      <c r="E4959" s="62" t="s">
        <v>109</v>
      </c>
      <c r="F4959" s="62" t="s">
        <v>115</v>
      </c>
      <c r="G4959" s="64" t="s">
        <v>64</v>
      </c>
      <c r="H4959" s="3" t="s">
        <v>139</v>
      </c>
      <c r="I4959" s="65">
        <f>IFERROR(VLOOKUP(A4959,'3. Call duration'!$A:$C,3,0),"--")</f>
        <v>11.41068773</v>
      </c>
      <c r="J4959" s="65" t="str">
        <f t="array" ref="J4959">XLOOKUP(H4959,'2. Matching'!$A$2:$A$39,'2. Matching'!$B$2:$B$39,"--")</f>
        <v>Acquisition</v>
      </c>
      <c r="K4959" s="65" t="str">
        <f t="shared" si="1"/>
        <v>In</v>
      </c>
    </row>
    <row r="4960">
      <c r="A4960" s="62" t="s">
        <v>5098</v>
      </c>
      <c r="B4960" s="63">
        <v>44293.0</v>
      </c>
      <c r="C4960" s="62" t="s">
        <v>119</v>
      </c>
      <c r="D4960" s="64">
        <v>45.0</v>
      </c>
      <c r="E4960" s="62" t="s">
        <v>109</v>
      </c>
      <c r="F4960" s="62" t="s">
        <v>110</v>
      </c>
      <c r="G4960" s="64" t="s">
        <v>64</v>
      </c>
      <c r="H4960" s="3" t="s">
        <v>297</v>
      </c>
      <c r="I4960" s="65">
        <f>IFERROR(VLOOKUP(A4960,'3. Call duration'!$A:$C,3,0),"--")</f>
        <v>27.41120802</v>
      </c>
      <c r="J4960" s="65" t="str">
        <f t="array" ref="J4960">XLOOKUP(H4960,'2. Matching'!$A$2:$A$39,'2. Matching'!$B$2:$B$39,"--")</f>
        <v>Farming</v>
      </c>
      <c r="K4960" s="65" t="str">
        <f t="shared" si="1"/>
        <v>In</v>
      </c>
    </row>
    <row r="4961">
      <c r="A4961" s="62" t="s">
        <v>5099</v>
      </c>
      <c r="B4961" s="63">
        <v>44314.0</v>
      </c>
      <c r="C4961" s="62" t="s">
        <v>119</v>
      </c>
      <c r="D4961" s="64">
        <v>45.0</v>
      </c>
      <c r="E4961" s="62" t="s">
        <v>109</v>
      </c>
      <c r="F4961" s="62" t="s">
        <v>110</v>
      </c>
      <c r="G4961" s="64" t="s">
        <v>64</v>
      </c>
      <c r="H4961" s="3" t="s">
        <v>185</v>
      </c>
      <c r="I4961" s="65">
        <f>IFERROR(VLOOKUP(A4961,'3. Call duration'!$A:$C,3,0),"--")</f>
        <v>24.65725941</v>
      </c>
      <c r="J4961" s="65" t="str">
        <f t="array" ref="J4961">XLOOKUP(H4961,'2. Matching'!$A$2:$A$39,'2. Matching'!$B$2:$B$39,"--")</f>
        <v>SEO</v>
      </c>
      <c r="K4961" s="65" t="str">
        <f t="shared" si="1"/>
        <v>In</v>
      </c>
    </row>
    <row r="4962">
      <c r="A4962" s="62" t="s">
        <v>5100</v>
      </c>
      <c r="B4962" s="63">
        <v>44263.0</v>
      </c>
      <c r="C4962" s="62" t="s">
        <v>119</v>
      </c>
      <c r="D4962" s="64">
        <v>45.0</v>
      </c>
      <c r="E4962" s="62" t="s">
        <v>109</v>
      </c>
      <c r="F4962" s="62" t="s">
        <v>115</v>
      </c>
      <c r="G4962" s="64" t="s">
        <v>64</v>
      </c>
      <c r="H4962" s="3" t="s">
        <v>175</v>
      </c>
      <c r="I4962" s="65">
        <f>IFERROR(VLOOKUP(A4962,'3. Call duration'!$A:$C,3,0),"--")</f>
        <v>28.03939447</v>
      </c>
      <c r="J4962" s="65" t="str">
        <f t="array" ref="J4962">XLOOKUP(H4962,'2. Matching'!$A$2:$A$39,'2. Matching'!$B$2:$B$39,"--")</f>
        <v>SEO</v>
      </c>
      <c r="K4962" s="65" t="str">
        <f t="shared" si="1"/>
        <v>In</v>
      </c>
    </row>
    <row r="4963">
      <c r="A4963" s="62" t="s">
        <v>5101</v>
      </c>
      <c r="B4963" s="63">
        <v>44313.0</v>
      </c>
      <c r="C4963" s="62" t="s">
        <v>119</v>
      </c>
      <c r="D4963" s="64">
        <v>45.0</v>
      </c>
      <c r="E4963" s="62" t="s">
        <v>109</v>
      </c>
      <c r="F4963" s="62" t="s">
        <v>115</v>
      </c>
      <c r="G4963" s="64" t="s">
        <v>64</v>
      </c>
      <c r="H4963" s="3" t="s">
        <v>116</v>
      </c>
      <c r="I4963" s="65">
        <f>IFERROR(VLOOKUP(A4963,'3. Call duration'!$A:$C,3,0),"--")</f>
        <v>31.47585754</v>
      </c>
      <c r="J4963" s="65" t="str">
        <f t="array" ref="J4963">XLOOKUP(H4963,'2. Matching'!$A$2:$A$39,'2. Matching'!$B$2:$B$39,"--")</f>
        <v>Acquisition</v>
      </c>
      <c r="K4963" s="65" t="str">
        <f t="shared" si="1"/>
        <v>In</v>
      </c>
    </row>
    <row r="4964">
      <c r="A4964" s="62" t="s">
        <v>5102</v>
      </c>
      <c r="B4964" s="63">
        <v>44314.0</v>
      </c>
      <c r="C4964" s="62" t="s">
        <v>119</v>
      </c>
      <c r="D4964" s="64">
        <v>45.0</v>
      </c>
      <c r="E4964" s="62" t="s">
        <v>109</v>
      </c>
      <c r="F4964" s="62" t="s">
        <v>115</v>
      </c>
      <c r="G4964" s="64" t="s">
        <v>64</v>
      </c>
      <c r="H4964" s="3" t="s">
        <v>169</v>
      </c>
      <c r="I4964" s="65">
        <f>IFERROR(VLOOKUP(A4964,'3. Call duration'!$A:$C,3,0),"--")</f>
        <v>30.5901582</v>
      </c>
      <c r="J4964" s="65" t="str">
        <f t="array" ref="J4964">XLOOKUP(H4964,'2. Matching'!$A$2:$A$39,'2. Matching'!$B$2:$B$39,"--")</f>
        <v>SEO</v>
      </c>
      <c r="K4964" s="65" t="str">
        <f t="shared" si="1"/>
        <v>In</v>
      </c>
    </row>
    <row r="4965">
      <c r="A4965" s="62" t="s">
        <v>5103</v>
      </c>
      <c r="B4965" s="63">
        <v>44308.0</v>
      </c>
      <c r="C4965" s="62" t="s">
        <v>119</v>
      </c>
      <c r="D4965" s="64">
        <v>45.0</v>
      </c>
      <c r="E4965" s="62" t="s">
        <v>109</v>
      </c>
      <c r="F4965" s="62" t="s">
        <v>110</v>
      </c>
      <c r="G4965" s="64" t="s">
        <v>64</v>
      </c>
      <c r="H4965" s="3" t="s">
        <v>49</v>
      </c>
      <c r="I4965" s="65">
        <f>IFERROR(VLOOKUP(A4965,'3. Call duration'!$A:$C,3,0),"--")</f>
        <v>30.07124016</v>
      </c>
      <c r="J4965" s="65" t="str">
        <f t="array" ref="J4965">XLOOKUP(H4965,'2. Matching'!$A$2:$A$39,'2. Matching'!$B$2:$B$39,"--")</f>
        <v>Partnerships</v>
      </c>
      <c r="K4965" s="65" t="str">
        <f t="shared" si="1"/>
        <v>In</v>
      </c>
    </row>
    <row r="4966">
      <c r="A4966" s="62" t="s">
        <v>5104</v>
      </c>
      <c r="B4966" s="63">
        <v>44306.0</v>
      </c>
      <c r="C4966" s="62" t="s">
        <v>119</v>
      </c>
      <c r="D4966" s="64">
        <v>45.0</v>
      </c>
      <c r="E4966" s="62" t="s">
        <v>109</v>
      </c>
      <c r="F4966" s="62" t="s">
        <v>110</v>
      </c>
      <c r="G4966" s="64" t="s">
        <v>64</v>
      </c>
      <c r="H4966" s="3" t="s">
        <v>116</v>
      </c>
      <c r="I4966" s="65">
        <f>IFERROR(VLOOKUP(A4966,'3. Call duration'!$A:$C,3,0),"--")</f>
        <v>28.9342061</v>
      </c>
      <c r="J4966" s="65" t="str">
        <f t="array" ref="J4966">XLOOKUP(H4966,'2. Matching'!$A$2:$A$39,'2. Matching'!$B$2:$B$39,"--")</f>
        <v>Acquisition</v>
      </c>
      <c r="K4966" s="65" t="str">
        <f t="shared" si="1"/>
        <v>In</v>
      </c>
    </row>
    <row r="4967">
      <c r="A4967" s="62" t="s">
        <v>5105</v>
      </c>
      <c r="B4967" s="63">
        <v>44313.0</v>
      </c>
      <c r="C4967" s="62" t="s">
        <v>119</v>
      </c>
      <c r="D4967" s="64">
        <v>45.0</v>
      </c>
      <c r="E4967" s="62" t="s">
        <v>109</v>
      </c>
      <c r="F4967" s="62" t="s">
        <v>115</v>
      </c>
      <c r="G4967" s="64" t="s">
        <v>64</v>
      </c>
      <c r="H4967" s="3" t="s">
        <v>49</v>
      </c>
      <c r="I4967" s="65">
        <f>IFERROR(VLOOKUP(A4967,'3. Call duration'!$A:$C,3,0),"--")</f>
        <v>19.23813661</v>
      </c>
      <c r="J4967" s="65" t="str">
        <f t="array" ref="J4967">XLOOKUP(H4967,'2. Matching'!$A$2:$A$39,'2. Matching'!$B$2:$B$39,"--")</f>
        <v>Partnerships</v>
      </c>
      <c r="K4967" s="65" t="str">
        <f t="shared" si="1"/>
        <v>In</v>
      </c>
    </row>
    <row r="4968">
      <c r="A4968" s="62" t="s">
        <v>5106</v>
      </c>
      <c r="B4968" s="63">
        <v>44278.0</v>
      </c>
      <c r="C4968" s="62" t="s">
        <v>119</v>
      </c>
      <c r="D4968" s="64">
        <v>45.0</v>
      </c>
      <c r="E4968" s="62" t="s">
        <v>109</v>
      </c>
      <c r="F4968" s="62" t="s">
        <v>110</v>
      </c>
      <c r="G4968" s="64" t="s">
        <v>64</v>
      </c>
      <c r="H4968" s="3" t="s">
        <v>155</v>
      </c>
      <c r="I4968" s="65">
        <f>IFERROR(VLOOKUP(A4968,'3. Call duration'!$A:$C,3,0),"--")</f>
        <v>13.85967485</v>
      </c>
      <c r="J4968" s="65" t="str">
        <f t="array" ref="J4968">XLOOKUP(H4968,'2. Matching'!$A$2:$A$39,'2. Matching'!$B$2:$B$39,"--")</f>
        <v>SEO</v>
      </c>
      <c r="K4968" s="65" t="str">
        <f t="shared" si="1"/>
        <v>In</v>
      </c>
    </row>
    <row r="4969">
      <c r="A4969" s="62" t="s">
        <v>5107</v>
      </c>
      <c r="B4969" s="63">
        <v>44309.0</v>
      </c>
      <c r="C4969" s="62" t="s">
        <v>119</v>
      </c>
      <c r="D4969" s="64">
        <v>45.0</v>
      </c>
      <c r="E4969" s="62" t="s">
        <v>109</v>
      </c>
      <c r="F4969" s="62" t="s">
        <v>110</v>
      </c>
      <c r="G4969" s="64" t="s">
        <v>64</v>
      </c>
      <c r="H4969" s="3" t="s">
        <v>155</v>
      </c>
      <c r="I4969" s="65">
        <f>IFERROR(VLOOKUP(A4969,'3. Call duration'!$A:$C,3,0),"--")</f>
        <v>33.29651216</v>
      </c>
      <c r="J4969" s="65" t="str">
        <f t="array" ref="J4969">XLOOKUP(H4969,'2. Matching'!$A$2:$A$39,'2. Matching'!$B$2:$B$39,"--")</f>
        <v>SEO</v>
      </c>
      <c r="K4969" s="65" t="str">
        <f t="shared" si="1"/>
        <v>In</v>
      </c>
    </row>
    <row r="4970">
      <c r="A4970" s="62" t="s">
        <v>5108</v>
      </c>
      <c r="B4970" s="63">
        <v>44266.0</v>
      </c>
      <c r="C4970" s="62" t="s">
        <v>119</v>
      </c>
      <c r="D4970" s="64">
        <v>45.0</v>
      </c>
      <c r="E4970" s="62" t="s">
        <v>109</v>
      </c>
      <c r="F4970" s="62" t="s">
        <v>115</v>
      </c>
      <c r="G4970" s="64" t="s">
        <v>64</v>
      </c>
      <c r="H4970" s="3" t="s">
        <v>49</v>
      </c>
      <c r="I4970" s="65">
        <f>IFERROR(VLOOKUP(A4970,'3. Call duration'!$A:$C,3,0),"--")</f>
        <v>16.22967404</v>
      </c>
      <c r="J4970" s="65" t="str">
        <f t="array" ref="J4970">XLOOKUP(H4970,'2. Matching'!$A$2:$A$39,'2. Matching'!$B$2:$B$39,"--")</f>
        <v>Partnerships</v>
      </c>
      <c r="K4970" s="65" t="str">
        <f t="shared" si="1"/>
        <v>In</v>
      </c>
    </row>
    <row r="4971">
      <c r="A4971" s="62" t="s">
        <v>5109</v>
      </c>
      <c r="B4971" s="63">
        <v>44295.0</v>
      </c>
      <c r="C4971" s="62" t="s">
        <v>119</v>
      </c>
      <c r="D4971" s="64">
        <v>45.0</v>
      </c>
      <c r="E4971" s="62" t="s">
        <v>109</v>
      </c>
      <c r="F4971" s="62" t="s">
        <v>115</v>
      </c>
      <c r="G4971" s="64" t="s">
        <v>62</v>
      </c>
      <c r="H4971" s="3" t="s">
        <v>286</v>
      </c>
      <c r="I4971" s="65">
        <f>IFERROR(VLOOKUP(A4971,'3. Call duration'!$A:$C,3,0),"--")</f>
        <v>29.03831984</v>
      </c>
      <c r="J4971" s="65" t="str">
        <f t="array" ref="J4971">XLOOKUP(H4971,'2. Matching'!$A$2:$A$39,'2. Matching'!$B$2:$B$39,"--")</f>
        <v>Farming</v>
      </c>
      <c r="K4971" s="65" t="str">
        <f t="shared" si="1"/>
        <v>In</v>
      </c>
    </row>
    <row r="4972">
      <c r="A4972" s="62" t="s">
        <v>5110</v>
      </c>
      <c r="B4972" s="63">
        <v>44264.0</v>
      </c>
      <c r="C4972" s="62" t="s">
        <v>119</v>
      </c>
      <c r="D4972" s="64">
        <v>45.0</v>
      </c>
      <c r="E4972" s="62" t="s">
        <v>109</v>
      </c>
      <c r="F4972" s="62" t="s">
        <v>115</v>
      </c>
      <c r="G4972" s="64" t="s">
        <v>64</v>
      </c>
      <c r="H4972" s="3" t="s">
        <v>139</v>
      </c>
      <c r="I4972" s="65">
        <f>IFERROR(VLOOKUP(A4972,'3. Call duration'!$A:$C,3,0),"--")</f>
        <v>24.93955461</v>
      </c>
      <c r="J4972" s="65" t="str">
        <f t="array" ref="J4972">XLOOKUP(H4972,'2. Matching'!$A$2:$A$39,'2. Matching'!$B$2:$B$39,"--")</f>
        <v>Acquisition</v>
      </c>
      <c r="K4972" s="65" t="str">
        <f t="shared" si="1"/>
        <v>In</v>
      </c>
    </row>
    <row r="4973">
      <c r="A4973" s="62" t="s">
        <v>5111</v>
      </c>
      <c r="B4973" s="63">
        <v>44294.0</v>
      </c>
      <c r="C4973" s="62" t="s">
        <v>119</v>
      </c>
      <c r="D4973" s="64">
        <v>45.0</v>
      </c>
      <c r="E4973" s="62" t="s">
        <v>109</v>
      </c>
      <c r="F4973" s="62" t="s">
        <v>115</v>
      </c>
      <c r="G4973" s="64" t="s">
        <v>64</v>
      </c>
      <c r="H4973" s="3" t="s">
        <v>131</v>
      </c>
      <c r="I4973" s="65">
        <f>IFERROR(VLOOKUP(A4973,'3. Call duration'!$A:$C,3,0),"--")</f>
        <v>31.88271023</v>
      </c>
      <c r="J4973" s="65" t="str">
        <f t="array" ref="J4973">XLOOKUP(H4973,'2. Matching'!$A$2:$A$39,'2. Matching'!$B$2:$B$39,"--")</f>
        <v>Acquisition</v>
      </c>
      <c r="K4973" s="65" t="str">
        <f t="shared" si="1"/>
        <v>In</v>
      </c>
    </row>
    <row r="4974">
      <c r="A4974" s="62" t="s">
        <v>5112</v>
      </c>
      <c r="B4974" s="63">
        <v>44299.0</v>
      </c>
      <c r="C4974" s="62" t="s">
        <v>119</v>
      </c>
      <c r="D4974" s="64">
        <v>45.0</v>
      </c>
      <c r="E4974" s="62" t="s">
        <v>109</v>
      </c>
      <c r="F4974" s="62" t="s">
        <v>110</v>
      </c>
      <c r="G4974" s="64" t="s">
        <v>64</v>
      </c>
      <c r="H4974" s="3" t="s">
        <v>54</v>
      </c>
      <c r="I4974" s="65">
        <f>IFERROR(VLOOKUP(A4974,'3. Call duration'!$A:$C,3,0),"--")</f>
        <v>21.60119208</v>
      </c>
      <c r="J4974" s="65" t="str">
        <f t="array" ref="J4974">XLOOKUP(H4974,'2. Matching'!$A$2:$A$39,'2. Matching'!$B$2:$B$39,"--")</f>
        <v>Partnerships</v>
      </c>
      <c r="K4974" s="65" t="str">
        <f t="shared" si="1"/>
        <v>In</v>
      </c>
    </row>
    <row r="4975">
      <c r="A4975" s="62" t="s">
        <v>5113</v>
      </c>
      <c r="B4975" s="63">
        <v>44277.0</v>
      </c>
      <c r="C4975" s="62" t="s">
        <v>119</v>
      </c>
      <c r="D4975" s="64">
        <v>45.0</v>
      </c>
      <c r="E4975" s="62" t="s">
        <v>109</v>
      </c>
      <c r="F4975" s="62" t="s">
        <v>115</v>
      </c>
      <c r="G4975" s="64" t="s">
        <v>64</v>
      </c>
      <c r="H4975" s="3" t="s">
        <v>145</v>
      </c>
      <c r="I4975" s="65">
        <f>IFERROR(VLOOKUP(A4975,'3. Call duration'!$A:$C,3,0),"--")</f>
        <v>23.02277982</v>
      </c>
      <c r="J4975" s="65" t="str">
        <f t="array" ref="J4975">XLOOKUP(H4975,'2. Matching'!$A$2:$A$39,'2. Matching'!$B$2:$B$39,"--")</f>
        <v>SEO</v>
      </c>
      <c r="K4975" s="65" t="str">
        <f t="shared" si="1"/>
        <v>In</v>
      </c>
    </row>
    <row r="4976">
      <c r="A4976" s="62" t="s">
        <v>5114</v>
      </c>
      <c r="B4976" s="63">
        <v>44307.0</v>
      </c>
      <c r="C4976" s="62" t="s">
        <v>119</v>
      </c>
      <c r="D4976" s="64">
        <v>45.0</v>
      </c>
      <c r="E4976" s="62" t="s">
        <v>109</v>
      </c>
      <c r="F4976" s="62" t="s">
        <v>115</v>
      </c>
      <c r="G4976" s="64" t="s">
        <v>64</v>
      </c>
      <c r="H4976" s="3" t="s">
        <v>164</v>
      </c>
      <c r="I4976" s="65">
        <f>IFERROR(VLOOKUP(A4976,'3. Call duration'!$A:$C,3,0),"--")</f>
        <v>23.94962522</v>
      </c>
      <c r="J4976" s="65" t="str">
        <f t="array" ref="J4976">XLOOKUP(H4976,'2. Matching'!$A$2:$A$39,'2. Matching'!$B$2:$B$39,"--")</f>
        <v>SEO</v>
      </c>
      <c r="K4976" s="65" t="str">
        <f t="shared" si="1"/>
        <v>In</v>
      </c>
    </row>
    <row r="4977">
      <c r="A4977" s="62" t="s">
        <v>5115</v>
      </c>
      <c r="B4977" s="63">
        <v>44302.0</v>
      </c>
      <c r="C4977" s="62" t="s">
        <v>119</v>
      </c>
      <c r="D4977" s="64">
        <v>45.0</v>
      </c>
      <c r="E4977" s="62" t="s">
        <v>109</v>
      </c>
      <c r="F4977" s="62" t="s">
        <v>110</v>
      </c>
      <c r="G4977" s="64" t="s">
        <v>64</v>
      </c>
      <c r="H4977" s="3" t="s">
        <v>52</v>
      </c>
      <c r="I4977" s="65" t="str">
        <f>IFERROR(VLOOKUP(A4977,'3. Call duration'!$A:$C,3,0),"--")</f>
        <v>--</v>
      </c>
      <c r="J4977" s="65" t="str">
        <f t="array" ref="J4977">XLOOKUP(H4977,'2. Matching'!$A$2:$A$39,'2. Matching'!$B$2:$B$39,"--")</f>
        <v>Partnerships</v>
      </c>
      <c r="K4977" s="65" t="str">
        <f t="shared" si="1"/>
        <v>In</v>
      </c>
    </row>
    <row r="4978">
      <c r="A4978" s="62" t="s">
        <v>5116</v>
      </c>
      <c r="B4978" s="63">
        <v>44287.0</v>
      </c>
      <c r="C4978" s="62" t="s">
        <v>119</v>
      </c>
      <c r="D4978" s="64">
        <v>45.0</v>
      </c>
      <c r="E4978" s="62" t="s">
        <v>109</v>
      </c>
      <c r="F4978" s="62" t="s">
        <v>115</v>
      </c>
      <c r="G4978" s="64" t="s">
        <v>64</v>
      </c>
      <c r="H4978" s="3" t="s">
        <v>185</v>
      </c>
      <c r="I4978" s="65">
        <f>IFERROR(VLOOKUP(A4978,'3. Call duration'!$A:$C,3,0),"--")</f>
        <v>20.92087599</v>
      </c>
      <c r="J4978" s="65" t="str">
        <f t="array" ref="J4978">XLOOKUP(H4978,'2. Matching'!$A$2:$A$39,'2. Matching'!$B$2:$B$39,"--")</f>
        <v>SEO</v>
      </c>
      <c r="K4978" s="65" t="str">
        <f t="shared" si="1"/>
        <v>In</v>
      </c>
    </row>
    <row r="4979">
      <c r="A4979" s="62" t="s">
        <v>5117</v>
      </c>
      <c r="B4979" s="63">
        <v>44292.0</v>
      </c>
      <c r="C4979" s="62" t="s">
        <v>119</v>
      </c>
      <c r="D4979" s="64">
        <v>45.0</v>
      </c>
      <c r="E4979" s="62" t="s">
        <v>109</v>
      </c>
      <c r="F4979" s="62" t="s">
        <v>110</v>
      </c>
      <c r="G4979" s="64" t="s">
        <v>64</v>
      </c>
      <c r="H4979" s="3" t="s">
        <v>155</v>
      </c>
      <c r="I4979" s="65">
        <f>IFERROR(VLOOKUP(A4979,'3. Call duration'!$A:$C,3,0),"--")</f>
        <v>32.96897215</v>
      </c>
      <c r="J4979" s="65" t="str">
        <f t="array" ref="J4979">XLOOKUP(H4979,'2. Matching'!$A$2:$A$39,'2. Matching'!$B$2:$B$39,"--")</f>
        <v>SEO</v>
      </c>
      <c r="K4979" s="65" t="str">
        <f t="shared" si="1"/>
        <v>In</v>
      </c>
    </row>
    <row r="4980">
      <c r="A4980" s="62" t="s">
        <v>5118</v>
      </c>
      <c r="B4980" s="63">
        <v>44313.0</v>
      </c>
      <c r="C4980" s="62" t="s">
        <v>119</v>
      </c>
      <c r="D4980" s="64">
        <v>45.0</v>
      </c>
      <c r="E4980" s="62" t="s">
        <v>109</v>
      </c>
      <c r="F4980" s="62" t="s">
        <v>115</v>
      </c>
      <c r="G4980" s="64" t="s">
        <v>64</v>
      </c>
      <c r="H4980" s="3" t="s">
        <v>141</v>
      </c>
      <c r="I4980" s="65">
        <f>IFERROR(VLOOKUP(A4980,'3. Call duration'!$A:$C,3,0),"--")</f>
        <v>22.61576626</v>
      </c>
      <c r="J4980" s="65" t="str">
        <f t="array" ref="J4980">XLOOKUP(H4980,'2. Matching'!$A$2:$A$39,'2. Matching'!$B$2:$B$39,"--")</f>
        <v>Acquisition</v>
      </c>
      <c r="K4980" s="65" t="str">
        <f t="shared" si="1"/>
        <v>In</v>
      </c>
    </row>
    <row r="4981">
      <c r="A4981" s="62" t="s">
        <v>5119</v>
      </c>
      <c r="B4981" s="63">
        <v>44312.0</v>
      </c>
      <c r="C4981" s="62" t="s">
        <v>119</v>
      </c>
      <c r="D4981" s="64">
        <v>45.0</v>
      </c>
      <c r="E4981" s="62" t="s">
        <v>109</v>
      </c>
      <c r="F4981" s="62" t="s">
        <v>115</v>
      </c>
      <c r="G4981" s="64" t="s">
        <v>64</v>
      </c>
      <c r="H4981" s="3" t="s">
        <v>155</v>
      </c>
      <c r="I4981" s="65">
        <f>IFERROR(VLOOKUP(A4981,'3. Call duration'!$A:$C,3,0),"--")</f>
        <v>29.4931491</v>
      </c>
      <c r="J4981" s="65" t="str">
        <f t="array" ref="J4981">XLOOKUP(H4981,'2. Matching'!$A$2:$A$39,'2. Matching'!$B$2:$B$39,"--")</f>
        <v>SEO</v>
      </c>
      <c r="K4981" s="65" t="str">
        <f t="shared" si="1"/>
        <v>In</v>
      </c>
    </row>
    <row r="4982">
      <c r="A4982" s="62" t="s">
        <v>5120</v>
      </c>
      <c r="B4982" s="63">
        <v>44272.0</v>
      </c>
      <c r="C4982" s="62" t="s">
        <v>119</v>
      </c>
      <c r="D4982" s="64">
        <v>45.0</v>
      </c>
      <c r="E4982" s="62" t="s">
        <v>109</v>
      </c>
      <c r="F4982" s="62" t="s">
        <v>115</v>
      </c>
      <c r="G4982" s="64" t="s">
        <v>64</v>
      </c>
      <c r="H4982" s="3" t="s">
        <v>139</v>
      </c>
      <c r="I4982" s="65">
        <f>IFERROR(VLOOKUP(A4982,'3. Call duration'!$A:$C,3,0),"--")</f>
        <v>28.68299169</v>
      </c>
      <c r="J4982" s="65" t="str">
        <f t="array" ref="J4982">XLOOKUP(H4982,'2. Matching'!$A$2:$A$39,'2. Matching'!$B$2:$B$39,"--")</f>
        <v>Acquisition</v>
      </c>
      <c r="K4982" s="65" t="str">
        <f t="shared" si="1"/>
        <v>In</v>
      </c>
    </row>
    <row r="4983">
      <c r="A4983" s="62" t="s">
        <v>5121</v>
      </c>
      <c r="B4983" s="63">
        <v>44274.0</v>
      </c>
      <c r="C4983" s="62" t="s">
        <v>119</v>
      </c>
      <c r="D4983" s="64">
        <v>45.0</v>
      </c>
      <c r="E4983" s="62" t="s">
        <v>109</v>
      </c>
      <c r="F4983" s="62" t="s">
        <v>110</v>
      </c>
      <c r="G4983" s="64" t="s">
        <v>64</v>
      </c>
      <c r="H4983" s="3" t="s">
        <v>49</v>
      </c>
      <c r="I4983" s="65">
        <f>IFERROR(VLOOKUP(A4983,'3. Call duration'!$A:$C,3,0),"--")</f>
        <v>15.41723824</v>
      </c>
      <c r="J4983" s="65" t="str">
        <f t="array" ref="J4983">XLOOKUP(H4983,'2. Matching'!$A$2:$A$39,'2. Matching'!$B$2:$B$39,"--")</f>
        <v>Partnerships</v>
      </c>
      <c r="K4983" s="65" t="str">
        <f t="shared" si="1"/>
        <v>In</v>
      </c>
    </row>
    <row r="4984">
      <c r="A4984" s="62" t="s">
        <v>5122</v>
      </c>
      <c r="B4984" s="63">
        <v>44288.0</v>
      </c>
      <c r="C4984" s="62" t="s">
        <v>119</v>
      </c>
      <c r="D4984" s="64">
        <v>45.0</v>
      </c>
      <c r="E4984" s="62" t="s">
        <v>109</v>
      </c>
      <c r="F4984" s="62" t="s">
        <v>110</v>
      </c>
      <c r="G4984" s="64" t="s">
        <v>64</v>
      </c>
      <c r="H4984" s="3" t="s">
        <v>116</v>
      </c>
      <c r="I4984" s="65">
        <f>IFERROR(VLOOKUP(A4984,'3. Call duration'!$A:$C,3,0),"--")</f>
        <v>29.00717137</v>
      </c>
      <c r="J4984" s="65" t="str">
        <f t="array" ref="J4984">XLOOKUP(H4984,'2. Matching'!$A$2:$A$39,'2. Matching'!$B$2:$B$39,"--")</f>
        <v>Acquisition</v>
      </c>
      <c r="K4984" s="65" t="str">
        <f t="shared" si="1"/>
        <v>In</v>
      </c>
    </row>
    <row r="4985">
      <c r="A4985" s="62" t="s">
        <v>5123</v>
      </c>
      <c r="B4985" s="63">
        <v>44284.0</v>
      </c>
      <c r="C4985" s="62" t="s">
        <v>119</v>
      </c>
      <c r="D4985" s="64">
        <v>45.0</v>
      </c>
      <c r="E4985" s="62" t="s">
        <v>109</v>
      </c>
      <c r="F4985" s="62" t="s">
        <v>115</v>
      </c>
      <c r="G4985" s="64" t="s">
        <v>64</v>
      </c>
      <c r="H4985" s="3" t="s">
        <v>169</v>
      </c>
      <c r="I4985" s="65">
        <f>IFERROR(VLOOKUP(A4985,'3. Call duration'!$A:$C,3,0),"--")</f>
        <v>14.89892837</v>
      </c>
      <c r="J4985" s="65" t="str">
        <f t="array" ref="J4985">XLOOKUP(H4985,'2. Matching'!$A$2:$A$39,'2. Matching'!$B$2:$B$39,"--")</f>
        <v>SEO</v>
      </c>
      <c r="K4985" s="65" t="str">
        <f t="shared" si="1"/>
        <v>In</v>
      </c>
    </row>
    <row r="4986">
      <c r="A4986" s="62" t="s">
        <v>5124</v>
      </c>
      <c r="B4986" s="63">
        <v>44284.0</v>
      </c>
      <c r="C4986" s="62" t="s">
        <v>119</v>
      </c>
      <c r="D4986" s="64">
        <v>45.0</v>
      </c>
      <c r="E4986" s="62" t="s">
        <v>109</v>
      </c>
      <c r="F4986" s="62" t="s">
        <v>110</v>
      </c>
      <c r="G4986" s="64" t="s">
        <v>64</v>
      </c>
      <c r="H4986" s="3" t="s">
        <v>221</v>
      </c>
      <c r="I4986" s="65">
        <f>IFERROR(VLOOKUP(A4986,'3. Call duration'!$A:$C,3,0),"--")</f>
        <v>31.10799125</v>
      </c>
      <c r="J4986" s="65" t="str">
        <f t="array" ref="J4986">XLOOKUP(H4986,'2. Matching'!$A$2:$A$39,'2. Matching'!$B$2:$B$39,"--")</f>
        <v>Farming</v>
      </c>
      <c r="K4986" s="65" t="str">
        <f t="shared" si="1"/>
        <v>In</v>
      </c>
    </row>
    <row r="4987">
      <c r="A4987" s="62" t="s">
        <v>5125</v>
      </c>
      <c r="B4987" s="63">
        <v>44278.0</v>
      </c>
      <c r="C4987" s="62" t="s">
        <v>119</v>
      </c>
      <c r="D4987" s="64">
        <v>45.0</v>
      </c>
      <c r="E4987" s="62" t="s">
        <v>109</v>
      </c>
      <c r="F4987" s="62" t="s">
        <v>115</v>
      </c>
      <c r="G4987" s="64" t="s">
        <v>64</v>
      </c>
      <c r="H4987" s="3" t="s">
        <v>141</v>
      </c>
      <c r="I4987" s="65">
        <f>IFERROR(VLOOKUP(A4987,'3. Call duration'!$A:$C,3,0),"--")</f>
        <v>26.58747288</v>
      </c>
      <c r="J4987" s="65" t="str">
        <f t="array" ref="J4987">XLOOKUP(H4987,'2. Matching'!$A$2:$A$39,'2. Matching'!$B$2:$B$39,"--")</f>
        <v>Acquisition</v>
      </c>
      <c r="K4987" s="65" t="str">
        <f t="shared" si="1"/>
        <v>In</v>
      </c>
    </row>
    <row r="4988">
      <c r="A4988" s="62" t="s">
        <v>5126</v>
      </c>
      <c r="B4988" s="63">
        <v>44279.0</v>
      </c>
      <c r="C4988" s="62" t="s">
        <v>119</v>
      </c>
      <c r="D4988" s="64">
        <v>45.0</v>
      </c>
      <c r="E4988" s="62" t="s">
        <v>109</v>
      </c>
      <c r="F4988" s="62" t="s">
        <v>110</v>
      </c>
      <c r="G4988" s="64" t="s">
        <v>64</v>
      </c>
      <c r="H4988" s="3" t="s">
        <v>55</v>
      </c>
      <c r="I4988" s="65">
        <f>IFERROR(VLOOKUP(A4988,'3. Call duration'!$A:$C,3,0),"--")</f>
        <v>23.32664253</v>
      </c>
      <c r="J4988" s="65" t="str">
        <f t="array" ref="J4988">XLOOKUP(H4988,'2. Matching'!$A$2:$A$39,'2. Matching'!$B$2:$B$39,"--")</f>
        <v>Partnerships</v>
      </c>
      <c r="K4988" s="65" t="str">
        <f t="shared" si="1"/>
        <v>In</v>
      </c>
    </row>
    <row r="4989">
      <c r="A4989" s="62" t="s">
        <v>5127</v>
      </c>
      <c r="B4989" s="63">
        <v>44281.0</v>
      </c>
      <c r="C4989" s="62" t="s">
        <v>119</v>
      </c>
      <c r="D4989" s="64">
        <v>45.0</v>
      </c>
      <c r="E4989" s="62" t="s">
        <v>109</v>
      </c>
      <c r="F4989" s="62" t="s">
        <v>110</v>
      </c>
      <c r="G4989" s="64" t="s">
        <v>64</v>
      </c>
      <c r="H4989" s="3" t="s">
        <v>164</v>
      </c>
      <c r="I4989" s="65">
        <f>IFERROR(VLOOKUP(A4989,'3. Call duration'!$A:$C,3,0),"--")</f>
        <v>21.83818535</v>
      </c>
      <c r="J4989" s="65" t="str">
        <f t="array" ref="J4989">XLOOKUP(H4989,'2. Matching'!$A$2:$A$39,'2. Matching'!$B$2:$B$39,"--")</f>
        <v>SEO</v>
      </c>
      <c r="K4989" s="65" t="str">
        <f t="shared" si="1"/>
        <v>In</v>
      </c>
    </row>
    <row r="4990">
      <c r="A4990" s="62" t="s">
        <v>5128</v>
      </c>
      <c r="B4990" s="63">
        <v>44280.0</v>
      </c>
      <c r="C4990" s="62" t="s">
        <v>119</v>
      </c>
      <c r="D4990" s="64">
        <v>45.0</v>
      </c>
      <c r="E4990" s="62" t="s">
        <v>109</v>
      </c>
      <c r="F4990" s="62" t="s">
        <v>115</v>
      </c>
      <c r="G4990" s="64" t="s">
        <v>64</v>
      </c>
      <c r="H4990" s="3" t="s">
        <v>164</v>
      </c>
      <c r="I4990" s="65">
        <f>IFERROR(VLOOKUP(A4990,'3. Call duration'!$A:$C,3,0),"--")</f>
        <v>23.52023462</v>
      </c>
      <c r="J4990" s="65" t="str">
        <f t="array" ref="J4990">XLOOKUP(H4990,'2. Matching'!$A$2:$A$39,'2. Matching'!$B$2:$B$39,"--")</f>
        <v>SEO</v>
      </c>
      <c r="K4990" s="65" t="str">
        <f t="shared" si="1"/>
        <v>In</v>
      </c>
    </row>
    <row r="4991">
      <c r="A4991" s="62" t="s">
        <v>5129</v>
      </c>
      <c r="B4991" s="63">
        <v>44302.0</v>
      </c>
      <c r="C4991" s="62" t="s">
        <v>119</v>
      </c>
      <c r="D4991" s="64">
        <v>45.0</v>
      </c>
      <c r="E4991" s="62" t="s">
        <v>109</v>
      </c>
      <c r="F4991" s="62" t="s">
        <v>115</v>
      </c>
      <c r="G4991" s="64" t="s">
        <v>64</v>
      </c>
      <c r="H4991" s="3" t="s">
        <v>155</v>
      </c>
      <c r="I4991" s="65">
        <f>IFERROR(VLOOKUP(A4991,'3. Call duration'!$A:$C,3,0),"--")</f>
        <v>33.43574226</v>
      </c>
      <c r="J4991" s="65" t="str">
        <f t="array" ref="J4991">XLOOKUP(H4991,'2. Matching'!$A$2:$A$39,'2. Matching'!$B$2:$B$39,"--")</f>
        <v>SEO</v>
      </c>
      <c r="K4991" s="65" t="str">
        <f t="shared" si="1"/>
        <v>In</v>
      </c>
    </row>
    <row r="4992">
      <c r="A4992" s="62" t="s">
        <v>5130</v>
      </c>
      <c r="B4992" s="63">
        <v>44265.0</v>
      </c>
      <c r="C4992" s="62" t="s">
        <v>119</v>
      </c>
      <c r="D4992" s="64">
        <v>45.0</v>
      </c>
      <c r="E4992" s="62" t="s">
        <v>109</v>
      </c>
      <c r="F4992" s="62" t="s">
        <v>115</v>
      </c>
      <c r="G4992" s="64" t="s">
        <v>62</v>
      </c>
      <c r="H4992" s="3" t="s">
        <v>286</v>
      </c>
      <c r="I4992" s="65">
        <f>IFERROR(VLOOKUP(A4992,'3. Call duration'!$A:$C,3,0),"--")</f>
        <v>40.2609436</v>
      </c>
      <c r="J4992" s="65" t="str">
        <f t="array" ref="J4992">XLOOKUP(H4992,'2. Matching'!$A$2:$A$39,'2. Matching'!$B$2:$B$39,"--")</f>
        <v>Farming</v>
      </c>
      <c r="K4992" s="65" t="str">
        <f t="shared" si="1"/>
        <v>In</v>
      </c>
    </row>
    <row r="4993">
      <c r="A4993" s="62" t="s">
        <v>5131</v>
      </c>
      <c r="B4993" s="63">
        <v>44275.0</v>
      </c>
      <c r="C4993" s="62" t="s">
        <v>119</v>
      </c>
      <c r="D4993" s="64">
        <v>45.0</v>
      </c>
      <c r="E4993" s="62" t="s">
        <v>109</v>
      </c>
      <c r="F4993" s="62" t="s">
        <v>115</v>
      </c>
      <c r="G4993" s="64" t="s">
        <v>64</v>
      </c>
      <c r="H4993" s="3" t="s">
        <v>141</v>
      </c>
      <c r="I4993" s="65">
        <f>IFERROR(VLOOKUP(A4993,'3. Call duration'!$A:$C,3,0),"--")</f>
        <v>25.62456719</v>
      </c>
      <c r="J4993" s="65" t="str">
        <f t="array" ref="J4993">XLOOKUP(H4993,'2. Matching'!$A$2:$A$39,'2. Matching'!$B$2:$B$39,"--")</f>
        <v>Acquisition</v>
      </c>
      <c r="K4993" s="65" t="str">
        <f t="shared" si="1"/>
        <v>In</v>
      </c>
    </row>
    <row r="4994">
      <c r="A4994" s="62" t="s">
        <v>5132</v>
      </c>
      <c r="B4994" s="63">
        <v>44305.0</v>
      </c>
      <c r="C4994" s="62" t="s">
        <v>119</v>
      </c>
      <c r="D4994" s="64">
        <v>45.0</v>
      </c>
      <c r="E4994" s="62" t="s">
        <v>109</v>
      </c>
      <c r="F4994" s="62" t="s">
        <v>115</v>
      </c>
      <c r="G4994" s="64" t="s">
        <v>63</v>
      </c>
      <c r="H4994" s="3" t="s">
        <v>189</v>
      </c>
      <c r="I4994" s="65">
        <f>IFERROR(VLOOKUP(A4994,'3. Call duration'!$A:$C,3,0),"--")</f>
        <v>31.04278954</v>
      </c>
      <c r="J4994" s="65" t="str">
        <f t="array" ref="J4994">XLOOKUP(H4994,'2. Matching'!$A$2:$A$39,'2. Matching'!$B$2:$B$39,"--")</f>
        <v>SEO</v>
      </c>
      <c r="K4994" s="65" t="str">
        <f t="shared" si="1"/>
        <v>Out</v>
      </c>
    </row>
    <row r="4995">
      <c r="A4995" s="62" t="s">
        <v>5133</v>
      </c>
      <c r="B4995" s="63">
        <v>44301.0</v>
      </c>
      <c r="C4995" s="62" t="s">
        <v>119</v>
      </c>
      <c r="D4995" s="64">
        <v>45.0</v>
      </c>
      <c r="E4995" s="62" t="s">
        <v>109</v>
      </c>
      <c r="F4995" s="62" t="s">
        <v>110</v>
      </c>
      <c r="G4995" s="64" t="s">
        <v>64</v>
      </c>
      <c r="H4995" s="3" t="s">
        <v>55</v>
      </c>
      <c r="I4995" s="65">
        <f>IFERROR(VLOOKUP(A4995,'3. Call duration'!$A:$C,3,0),"--")</f>
        <v>14.89375412</v>
      </c>
      <c r="J4995" s="65" t="str">
        <f t="array" ref="J4995">XLOOKUP(H4995,'2. Matching'!$A$2:$A$39,'2. Matching'!$B$2:$B$39,"--")</f>
        <v>Partnerships</v>
      </c>
      <c r="K4995" s="65" t="str">
        <f t="shared" si="1"/>
        <v>In</v>
      </c>
    </row>
    <row r="4996">
      <c r="A4996" s="62" t="s">
        <v>5134</v>
      </c>
      <c r="B4996" s="63">
        <v>44272.0</v>
      </c>
      <c r="C4996" s="62" t="s">
        <v>119</v>
      </c>
      <c r="D4996" s="64">
        <v>45.0</v>
      </c>
      <c r="E4996" s="62" t="s">
        <v>109</v>
      </c>
      <c r="F4996" s="62" t="s">
        <v>110</v>
      </c>
      <c r="G4996" s="64" t="s">
        <v>64</v>
      </c>
      <c r="H4996" s="3" t="s">
        <v>185</v>
      </c>
      <c r="I4996" s="65">
        <f>IFERROR(VLOOKUP(A4996,'3. Call duration'!$A:$C,3,0),"--")</f>
        <v>12.59318117</v>
      </c>
      <c r="J4996" s="65" t="str">
        <f t="array" ref="J4996">XLOOKUP(H4996,'2. Matching'!$A$2:$A$39,'2. Matching'!$B$2:$B$39,"--")</f>
        <v>SEO</v>
      </c>
      <c r="K4996" s="65" t="str">
        <f t="shared" si="1"/>
        <v>In</v>
      </c>
    </row>
    <row r="4997">
      <c r="A4997" s="62" t="s">
        <v>5135</v>
      </c>
      <c r="B4997" s="63">
        <v>44285.0</v>
      </c>
      <c r="C4997" s="62" t="s">
        <v>119</v>
      </c>
      <c r="D4997" s="64">
        <v>45.0</v>
      </c>
      <c r="E4997" s="62" t="s">
        <v>109</v>
      </c>
      <c r="F4997" s="62" t="s">
        <v>115</v>
      </c>
      <c r="G4997" s="64" t="s">
        <v>63</v>
      </c>
      <c r="H4997" s="3" t="s">
        <v>189</v>
      </c>
      <c r="I4997" s="65">
        <f>IFERROR(VLOOKUP(A4997,'3. Call duration'!$A:$C,3,0),"--")</f>
        <v>31.25876013</v>
      </c>
      <c r="J4997" s="65" t="str">
        <f t="array" ref="J4997">XLOOKUP(H4997,'2. Matching'!$A$2:$A$39,'2. Matching'!$B$2:$B$39,"--")</f>
        <v>SEO</v>
      </c>
      <c r="K4997" s="65" t="str">
        <f t="shared" si="1"/>
        <v>Out</v>
      </c>
    </row>
    <row r="4998">
      <c r="A4998" s="62" t="s">
        <v>5136</v>
      </c>
      <c r="B4998" s="63">
        <v>44259.0</v>
      </c>
      <c r="C4998" s="62" t="s">
        <v>119</v>
      </c>
      <c r="D4998" s="64">
        <v>45.0</v>
      </c>
      <c r="E4998" s="62" t="s">
        <v>109</v>
      </c>
      <c r="F4998" s="62" t="s">
        <v>115</v>
      </c>
      <c r="G4998" s="64" t="s">
        <v>64</v>
      </c>
      <c r="H4998" s="3" t="s">
        <v>164</v>
      </c>
      <c r="I4998" s="65">
        <f>IFERROR(VLOOKUP(A4998,'3. Call duration'!$A:$C,3,0),"--")</f>
        <v>31.84720293</v>
      </c>
      <c r="J4998" s="65" t="str">
        <f t="array" ref="J4998">XLOOKUP(H4998,'2. Matching'!$A$2:$A$39,'2. Matching'!$B$2:$B$39,"--")</f>
        <v>SEO</v>
      </c>
      <c r="K4998" s="65" t="str">
        <f t="shared" si="1"/>
        <v>In</v>
      </c>
    </row>
    <row r="4999">
      <c r="A4999" s="62" t="s">
        <v>5137</v>
      </c>
      <c r="B4999" s="63">
        <v>44309.0</v>
      </c>
      <c r="C4999" s="62" t="s">
        <v>119</v>
      </c>
      <c r="D4999" s="64">
        <v>90.0</v>
      </c>
      <c r="E4999" s="62" t="s">
        <v>114</v>
      </c>
      <c r="F4999" s="62" t="s">
        <v>110</v>
      </c>
      <c r="G4999" s="64" t="s">
        <v>64</v>
      </c>
      <c r="H4999" s="3" t="s">
        <v>185</v>
      </c>
      <c r="I4999" s="65" t="str">
        <f>IFERROR(VLOOKUP(A4999,'3. Call duration'!$A:$C,3,0),"--")</f>
        <v>--</v>
      </c>
      <c r="J4999" s="65" t="str">
        <f t="array" ref="J4999">XLOOKUP(H4999,'2. Matching'!$A$2:$A$39,'2. Matching'!$B$2:$B$39,"--")</f>
        <v>SEO</v>
      </c>
      <c r="K4999" s="65" t="str">
        <f t="shared" si="1"/>
        <v>In</v>
      </c>
    </row>
    <row r="5000">
      <c r="A5000" s="62" t="s">
        <v>5138</v>
      </c>
      <c r="B5000" s="63">
        <v>44279.0</v>
      </c>
      <c r="C5000" s="62" t="s">
        <v>119</v>
      </c>
      <c r="D5000" s="64">
        <v>90.0</v>
      </c>
      <c r="E5000" s="62" t="s">
        <v>114</v>
      </c>
      <c r="F5000" s="62" t="s">
        <v>115</v>
      </c>
      <c r="G5000" s="64" t="s">
        <v>64</v>
      </c>
      <c r="H5000" s="3" t="s">
        <v>185</v>
      </c>
      <c r="I5000" s="65">
        <f>IFERROR(VLOOKUP(A5000,'3. Call duration'!$A:$C,3,0),"--")</f>
        <v>27.5824933</v>
      </c>
      <c r="J5000" s="65" t="str">
        <f t="array" ref="J5000">XLOOKUP(H5000,'2. Matching'!$A$2:$A$39,'2. Matching'!$B$2:$B$39,"--")</f>
        <v>SEO</v>
      </c>
      <c r="K5000" s="65" t="str">
        <f t="shared" si="1"/>
        <v>In</v>
      </c>
    </row>
    <row r="5001">
      <c r="A5001" s="62" t="s">
        <v>5139</v>
      </c>
      <c r="B5001" s="63">
        <v>44260.0</v>
      </c>
      <c r="C5001" s="62" t="s">
        <v>119</v>
      </c>
      <c r="D5001" s="64">
        <v>90.0</v>
      </c>
      <c r="E5001" s="62" t="s">
        <v>114</v>
      </c>
      <c r="F5001" s="62" t="s">
        <v>115</v>
      </c>
      <c r="G5001" s="64" t="s">
        <v>64</v>
      </c>
      <c r="H5001" s="3" t="s">
        <v>185</v>
      </c>
      <c r="I5001" s="65">
        <f>IFERROR(VLOOKUP(A5001,'3. Call duration'!$A:$C,3,0),"--")</f>
        <v>21.65870419</v>
      </c>
      <c r="J5001" s="65" t="str">
        <f t="array" ref="J5001">XLOOKUP(H5001,'2. Matching'!$A$2:$A$39,'2. Matching'!$B$2:$B$39,"--")</f>
        <v>SEO</v>
      </c>
      <c r="K5001" s="65" t="str">
        <f t="shared" si="1"/>
        <v>In</v>
      </c>
    </row>
    <row r="5002">
      <c r="A5002" s="62" t="s">
        <v>5140</v>
      </c>
      <c r="B5002" s="63">
        <v>44279.0</v>
      </c>
      <c r="C5002" s="62" t="s">
        <v>119</v>
      </c>
      <c r="D5002" s="64">
        <v>90.0</v>
      </c>
      <c r="E5002" s="62" t="s">
        <v>114</v>
      </c>
      <c r="F5002" s="62" t="s">
        <v>110</v>
      </c>
      <c r="G5002" s="64" t="s">
        <v>64</v>
      </c>
      <c r="H5002" s="3" t="s">
        <v>175</v>
      </c>
      <c r="I5002" s="65">
        <f>IFERROR(VLOOKUP(A5002,'3. Call duration'!$A:$C,3,0),"--")</f>
        <v>26.96284476</v>
      </c>
      <c r="J5002" s="65" t="str">
        <f t="array" ref="J5002">XLOOKUP(H5002,'2. Matching'!$A$2:$A$39,'2. Matching'!$B$2:$B$39,"--")</f>
        <v>SEO</v>
      </c>
      <c r="K5002" s="65" t="str">
        <f t="shared" si="1"/>
        <v>In</v>
      </c>
    </row>
    <row r="5003">
      <c r="A5003" s="62" t="s">
        <v>5141</v>
      </c>
      <c r="B5003" s="63">
        <v>44312.0</v>
      </c>
      <c r="C5003" s="62" t="s">
        <v>119</v>
      </c>
      <c r="D5003" s="64">
        <v>90.0</v>
      </c>
      <c r="E5003" s="62" t="s">
        <v>114</v>
      </c>
      <c r="F5003" s="62" t="s">
        <v>115</v>
      </c>
      <c r="G5003" s="64" t="s">
        <v>64</v>
      </c>
      <c r="H5003" s="3" t="s">
        <v>116</v>
      </c>
      <c r="I5003" s="65">
        <f>IFERROR(VLOOKUP(A5003,'3. Call duration'!$A:$C,3,0),"--")</f>
        <v>27.90295616</v>
      </c>
      <c r="J5003" s="65" t="str">
        <f t="array" ref="J5003">XLOOKUP(H5003,'2. Matching'!$A$2:$A$39,'2. Matching'!$B$2:$B$39,"--")</f>
        <v>Acquisition</v>
      </c>
      <c r="K5003" s="65" t="str">
        <f t="shared" si="1"/>
        <v>In</v>
      </c>
    </row>
    <row r="5004">
      <c r="A5004" s="62" t="s">
        <v>5142</v>
      </c>
      <c r="B5004" s="63">
        <v>44300.0</v>
      </c>
      <c r="C5004" s="62" t="s">
        <v>119</v>
      </c>
      <c r="D5004" s="64">
        <v>90.0</v>
      </c>
      <c r="E5004" s="62" t="s">
        <v>114</v>
      </c>
      <c r="F5004" s="62" t="s">
        <v>110</v>
      </c>
      <c r="G5004" s="64" t="s">
        <v>64</v>
      </c>
      <c r="H5004" s="3" t="s">
        <v>297</v>
      </c>
      <c r="I5004" s="65">
        <f>IFERROR(VLOOKUP(A5004,'3. Call duration'!$A:$C,3,0),"--")</f>
        <v>28.85548248</v>
      </c>
      <c r="J5004" s="65" t="str">
        <f t="array" ref="J5004">XLOOKUP(H5004,'2. Matching'!$A$2:$A$39,'2. Matching'!$B$2:$B$39,"--")</f>
        <v>Farming</v>
      </c>
      <c r="K5004" s="65" t="str">
        <f t="shared" si="1"/>
        <v>In</v>
      </c>
    </row>
    <row r="5005">
      <c r="A5005" s="62" t="s">
        <v>5143</v>
      </c>
      <c r="B5005" s="63">
        <v>44278.0</v>
      </c>
      <c r="C5005" s="62" t="s">
        <v>119</v>
      </c>
      <c r="D5005" s="64">
        <v>90.0</v>
      </c>
      <c r="E5005" s="62" t="s">
        <v>114</v>
      </c>
      <c r="F5005" s="62" t="s">
        <v>115</v>
      </c>
      <c r="G5005" s="64" t="s">
        <v>64</v>
      </c>
      <c r="H5005" s="3" t="s">
        <v>221</v>
      </c>
      <c r="I5005" s="65">
        <f>IFERROR(VLOOKUP(A5005,'3. Call duration'!$A:$C,3,0),"--")</f>
        <v>41.4858182</v>
      </c>
      <c r="J5005" s="65" t="str">
        <f t="array" ref="J5005">XLOOKUP(H5005,'2. Matching'!$A$2:$A$39,'2. Matching'!$B$2:$B$39,"--")</f>
        <v>Farming</v>
      </c>
      <c r="K5005" s="65" t="str">
        <f t="shared" si="1"/>
        <v>In</v>
      </c>
    </row>
    <row r="5006">
      <c r="A5006" s="62" t="s">
        <v>5144</v>
      </c>
      <c r="B5006" s="63">
        <v>44294.0</v>
      </c>
      <c r="C5006" s="62" t="s">
        <v>119</v>
      </c>
      <c r="D5006" s="64">
        <v>90.0</v>
      </c>
      <c r="E5006" s="62" t="s">
        <v>114</v>
      </c>
      <c r="F5006" s="62" t="s">
        <v>110</v>
      </c>
      <c r="G5006" s="64" t="s">
        <v>64</v>
      </c>
      <c r="H5006" s="3" t="s">
        <v>297</v>
      </c>
      <c r="I5006" s="65">
        <f>IFERROR(VLOOKUP(A5006,'3. Call duration'!$A:$C,3,0),"--")</f>
        <v>28.53453282</v>
      </c>
      <c r="J5006" s="65" t="str">
        <f t="array" ref="J5006">XLOOKUP(H5006,'2. Matching'!$A$2:$A$39,'2. Matching'!$B$2:$B$39,"--")</f>
        <v>Farming</v>
      </c>
      <c r="K5006" s="65" t="str">
        <f t="shared" si="1"/>
        <v>In</v>
      </c>
    </row>
    <row r="5007">
      <c r="A5007" s="62" t="s">
        <v>5145</v>
      </c>
      <c r="B5007" s="63">
        <v>44305.0</v>
      </c>
      <c r="C5007" s="62" t="s">
        <v>119</v>
      </c>
      <c r="D5007" s="64">
        <v>90.0</v>
      </c>
      <c r="E5007" s="62" t="s">
        <v>114</v>
      </c>
      <c r="F5007" s="62" t="s">
        <v>110</v>
      </c>
      <c r="G5007" s="64" t="s">
        <v>64</v>
      </c>
      <c r="H5007" s="3" t="s">
        <v>52</v>
      </c>
      <c r="I5007" s="65">
        <f>IFERROR(VLOOKUP(A5007,'3. Call duration'!$A:$C,3,0),"--")</f>
        <v>21.5350092</v>
      </c>
      <c r="J5007" s="65" t="str">
        <f t="array" ref="J5007">XLOOKUP(H5007,'2. Matching'!$A$2:$A$39,'2. Matching'!$B$2:$B$39,"--")</f>
        <v>Partnerships</v>
      </c>
      <c r="K5007" s="65" t="str">
        <f t="shared" si="1"/>
        <v>In</v>
      </c>
    </row>
    <row r="5008">
      <c r="A5008" s="62" t="s">
        <v>5146</v>
      </c>
      <c r="B5008" s="63">
        <v>44307.0</v>
      </c>
      <c r="C5008" s="62" t="s">
        <v>119</v>
      </c>
      <c r="D5008" s="64">
        <v>90.0</v>
      </c>
      <c r="E5008" s="62" t="s">
        <v>114</v>
      </c>
      <c r="F5008" s="62" t="s">
        <v>110</v>
      </c>
      <c r="G5008" s="64" t="s">
        <v>64</v>
      </c>
      <c r="H5008" s="3" t="s">
        <v>52</v>
      </c>
      <c r="I5008" s="65">
        <f>IFERROR(VLOOKUP(A5008,'3. Call duration'!$A:$C,3,0),"--")</f>
        <v>9.224525538</v>
      </c>
      <c r="J5008" s="65" t="str">
        <f t="array" ref="J5008">XLOOKUP(H5008,'2. Matching'!$A$2:$A$39,'2. Matching'!$B$2:$B$39,"--")</f>
        <v>Partnerships</v>
      </c>
      <c r="K5008" s="65" t="str">
        <f t="shared" si="1"/>
        <v>In</v>
      </c>
    </row>
    <row r="5009">
      <c r="A5009" s="62" t="s">
        <v>5147</v>
      </c>
      <c r="B5009" s="63">
        <v>44274.0</v>
      </c>
      <c r="C5009" s="62" t="s">
        <v>119</v>
      </c>
      <c r="D5009" s="64">
        <v>90.0</v>
      </c>
      <c r="E5009" s="62" t="s">
        <v>114</v>
      </c>
      <c r="F5009" s="62" t="s">
        <v>110</v>
      </c>
      <c r="G5009" s="64" t="s">
        <v>64</v>
      </c>
      <c r="H5009" s="3" t="s">
        <v>169</v>
      </c>
      <c r="I5009" s="65">
        <f>IFERROR(VLOOKUP(A5009,'3. Call duration'!$A:$C,3,0),"--")</f>
        <v>33.31136943</v>
      </c>
      <c r="J5009" s="65" t="str">
        <f t="array" ref="J5009">XLOOKUP(H5009,'2. Matching'!$A$2:$A$39,'2. Matching'!$B$2:$B$39,"--")</f>
        <v>SEO</v>
      </c>
      <c r="K5009" s="65" t="str">
        <f t="shared" si="1"/>
        <v>In</v>
      </c>
    </row>
    <row r="5010">
      <c r="A5010" s="62" t="s">
        <v>5148</v>
      </c>
      <c r="B5010" s="63">
        <v>44312.0</v>
      </c>
      <c r="C5010" s="62" t="s">
        <v>119</v>
      </c>
      <c r="D5010" s="64">
        <v>90.0</v>
      </c>
      <c r="E5010" s="62" t="s">
        <v>114</v>
      </c>
      <c r="F5010" s="62" t="s">
        <v>110</v>
      </c>
      <c r="G5010" s="64" t="s">
        <v>64</v>
      </c>
      <c r="H5010" s="3" t="s">
        <v>175</v>
      </c>
      <c r="I5010" s="65">
        <f>IFERROR(VLOOKUP(A5010,'3. Call duration'!$A:$C,3,0),"--")</f>
        <v>25.65906746</v>
      </c>
      <c r="J5010" s="65" t="str">
        <f t="array" ref="J5010">XLOOKUP(H5010,'2. Matching'!$A$2:$A$39,'2. Matching'!$B$2:$B$39,"--")</f>
        <v>SEO</v>
      </c>
      <c r="K5010" s="65" t="str">
        <f t="shared" si="1"/>
        <v>In</v>
      </c>
    </row>
    <row r="5011">
      <c r="A5011" s="62" t="s">
        <v>5149</v>
      </c>
      <c r="B5011" s="63">
        <v>44256.0</v>
      </c>
      <c r="C5011" s="62" t="s">
        <v>119</v>
      </c>
      <c r="D5011" s="64">
        <v>90.0</v>
      </c>
      <c r="E5011" s="62" t="s">
        <v>114</v>
      </c>
      <c r="F5011" s="62" t="s">
        <v>115</v>
      </c>
      <c r="G5011" s="64" t="s">
        <v>64</v>
      </c>
      <c r="H5011" s="3" t="s">
        <v>221</v>
      </c>
      <c r="I5011" s="65">
        <f>IFERROR(VLOOKUP(A5011,'3. Call duration'!$A:$C,3,0),"--")</f>
        <v>21.53920399</v>
      </c>
      <c r="J5011" s="65" t="str">
        <f t="array" ref="J5011">XLOOKUP(H5011,'2. Matching'!$A$2:$A$39,'2. Matching'!$B$2:$B$39,"--")</f>
        <v>Farming</v>
      </c>
      <c r="K5011" s="65" t="str">
        <f t="shared" si="1"/>
        <v>In</v>
      </c>
    </row>
    <row r="5012">
      <c r="A5012" s="62" t="s">
        <v>5150</v>
      </c>
      <c r="B5012" s="63">
        <v>44315.0</v>
      </c>
      <c r="C5012" s="62" t="s">
        <v>119</v>
      </c>
      <c r="D5012" s="64">
        <v>90.0</v>
      </c>
      <c r="E5012" s="62" t="s">
        <v>114</v>
      </c>
      <c r="F5012" s="62" t="s">
        <v>110</v>
      </c>
      <c r="G5012" s="64" t="s">
        <v>64</v>
      </c>
      <c r="H5012" s="3" t="s">
        <v>52</v>
      </c>
      <c r="I5012" s="65">
        <f>IFERROR(VLOOKUP(A5012,'3. Call duration'!$A:$C,3,0),"--")</f>
        <v>21.35015254</v>
      </c>
      <c r="J5012" s="65" t="str">
        <f t="array" ref="J5012">XLOOKUP(H5012,'2. Matching'!$A$2:$A$39,'2. Matching'!$B$2:$B$39,"--")</f>
        <v>Partnerships</v>
      </c>
      <c r="K5012" s="65" t="str">
        <f t="shared" si="1"/>
        <v>In</v>
      </c>
    </row>
    <row r="5013">
      <c r="A5013" s="62" t="s">
        <v>5151</v>
      </c>
      <c r="B5013" s="63">
        <v>44298.0</v>
      </c>
      <c r="C5013" s="62" t="s">
        <v>119</v>
      </c>
      <c r="D5013" s="64">
        <v>90.0</v>
      </c>
      <c r="E5013" s="62" t="s">
        <v>114</v>
      </c>
      <c r="F5013" s="62" t="s">
        <v>115</v>
      </c>
      <c r="G5013" s="64" t="s">
        <v>64</v>
      </c>
      <c r="H5013" s="3" t="s">
        <v>297</v>
      </c>
      <c r="I5013" s="65">
        <f>IFERROR(VLOOKUP(A5013,'3. Call duration'!$A:$C,3,0),"--")</f>
        <v>21.49304861</v>
      </c>
      <c r="J5013" s="65" t="str">
        <f t="array" ref="J5013">XLOOKUP(H5013,'2. Matching'!$A$2:$A$39,'2. Matching'!$B$2:$B$39,"--")</f>
        <v>Farming</v>
      </c>
      <c r="K5013" s="65" t="str">
        <f t="shared" si="1"/>
        <v>In</v>
      </c>
    </row>
    <row r="5014">
      <c r="A5014" s="62" t="s">
        <v>5152</v>
      </c>
      <c r="B5014" s="63">
        <v>44309.0</v>
      </c>
      <c r="C5014" s="62" t="s">
        <v>119</v>
      </c>
      <c r="D5014" s="64">
        <v>90.0</v>
      </c>
      <c r="E5014" s="62" t="s">
        <v>114</v>
      </c>
      <c r="F5014" s="62" t="s">
        <v>110</v>
      </c>
      <c r="G5014" s="64" t="s">
        <v>64</v>
      </c>
      <c r="H5014" s="3" t="s">
        <v>141</v>
      </c>
      <c r="I5014" s="65">
        <f>IFERROR(VLOOKUP(A5014,'3. Call duration'!$A:$C,3,0),"--")</f>
        <v>31.70327604</v>
      </c>
      <c r="J5014" s="65" t="str">
        <f t="array" ref="J5014">XLOOKUP(H5014,'2. Matching'!$A$2:$A$39,'2. Matching'!$B$2:$B$39,"--")</f>
        <v>Acquisition</v>
      </c>
      <c r="K5014" s="65" t="str">
        <f t="shared" si="1"/>
        <v>In</v>
      </c>
    </row>
    <row r="5015">
      <c r="A5015" s="62" t="s">
        <v>5153</v>
      </c>
      <c r="B5015" s="63">
        <v>44286.0</v>
      </c>
      <c r="C5015" s="62" t="s">
        <v>119</v>
      </c>
      <c r="D5015" s="64">
        <v>90.0</v>
      </c>
      <c r="E5015" s="62" t="s">
        <v>114</v>
      </c>
      <c r="F5015" s="62" t="s">
        <v>110</v>
      </c>
      <c r="G5015" s="64" t="s">
        <v>63</v>
      </c>
      <c r="H5015" s="3" t="s">
        <v>128</v>
      </c>
      <c r="I5015" s="65">
        <f>IFERROR(VLOOKUP(A5015,'3. Call duration'!$A:$C,3,0),"--")</f>
        <v>24.48083587</v>
      </c>
      <c r="J5015" s="65" t="str">
        <f t="array" ref="J5015">XLOOKUP(H5015,'2. Matching'!$A$2:$A$39,'2. Matching'!$B$2:$B$39,"--")</f>
        <v>Acquisition</v>
      </c>
      <c r="K5015" s="65" t="str">
        <f t="shared" si="1"/>
        <v>In</v>
      </c>
    </row>
    <row r="5016">
      <c r="A5016" s="62" t="s">
        <v>5154</v>
      </c>
      <c r="B5016" s="63">
        <v>44308.0</v>
      </c>
      <c r="C5016" s="62" t="s">
        <v>119</v>
      </c>
      <c r="D5016" s="64">
        <v>90.0</v>
      </c>
      <c r="E5016" s="62" t="s">
        <v>114</v>
      </c>
      <c r="F5016" s="62" t="s">
        <v>110</v>
      </c>
      <c r="G5016" s="64" t="s">
        <v>64</v>
      </c>
      <c r="H5016" s="3" t="s">
        <v>221</v>
      </c>
      <c r="I5016" s="65">
        <f>IFERROR(VLOOKUP(A5016,'3. Call duration'!$A:$C,3,0),"--")</f>
        <v>22.60505629</v>
      </c>
      <c r="J5016" s="65" t="str">
        <f t="array" ref="J5016">XLOOKUP(H5016,'2. Matching'!$A$2:$A$39,'2. Matching'!$B$2:$B$39,"--")</f>
        <v>Farming</v>
      </c>
      <c r="K5016" s="65" t="str">
        <f t="shared" si="1"/>
        <v>In</v>
      </c>
    </row>
    <row r="5017">
      <c r="A5017" s="62" t="s">
        <v>5155</v>
      </c>
      <c r="B5017" s="63">
        <v>44312.0</v>
      </c>
      <c r="C5017" s="62" t="s">
        <v>119</v>
      </c>
      <c r="D5017" s="64">
        <v>90.0</v>
      </c>
      <c r="E5017" s="62" t="s">
        <v>114</v>
      </c>
      <c r="F5017" s="62" t="s">
        <v>110</v>
      </c>
      <c r="G5017" s="64" t="s">
        <v>64</v>
      </c>
      <c r="H5017" s="3" t="s">
        <v>297</v>
      </c>
      <c r="I5017" s="65">
        <f>IFERROR(VLOOKUP(A5017,'3. Call duration'!$A:$C,3,0),"--")</f>
        <v>22.55049092</v>
      </c>
      <c r="J5017" s="65" t="str">
        <f t="array" ref="J5017">XLOOKUP(H5017,'2. Matching'!$A$2:$A$39,'2. Matching'!$B$2:$B$39,"--")</f>
        <v>Farming</v>
      </c>
      <c r="K5017" s="65" t="str">
        <f t="shared" si="1"/>
        <v>In</v>
      </c>
    </row>
    <row r="5018">
      <c r="A5018" s="62" t="s">
        <v>5156</v>
      </c>
      <c r="B5018" s="63">
        <v>44270.0</v>
      </c>
      <c r="C5018" s="62" t="s">
        <v>119</v>
      </c>
      <c r="D5018" s="64">
        <v>90.0</v>
      </c>
      <c r="E5018" s="62" t="s">
        <v>114</v>
      </c>
      <c r="F5018" s="62" t="s">
        <v>115</v>
      </c>
      <c r="G5018" s="64" t="s">
        <v>64</v>
      </c>
      <c r="H5018" s="3" t="s">
        <v>185</v>
      </c>
      <c r="I5018" s="65">
        <f>IFERROR(VLOOKUP(A5018,'3. Call duration'!$A:$C,3,0),"--")</f>
        <v>33.07896909</v>
      </c>
      <c r="J5018" s="65" t="str">
        <f t="array" ref="J5018">XLOOKUP(H5018,'2. Matching'!$A$2:$A$39,'2. Matching'!$B$2:$B$39,"--")</f>
        <v>SEO</v>
      </c>
      <c r="K5018" s="65" t="str">
        <f t="shared" si="1"/>
        <v>In</v>
      </c>
    </row>
    <row r="5019">
      <c r="A5019" s="62" t="s">
        <v>5157</v>
      </c>
      <c r="B5019" s="63">
        <v>44286.0</v>
      </c>
      <c r="C5019" s="62" t="s">
        <v>119</v>
      </c>
      <c r="D5019" s="64">
        <v>90.0</v>
      </c>
      <c r="E5019" s="62" t="s">
        <v>114</v>
      </c>
      <c r="F5019" s="62" t="s">
        <v>110</v>
      </c>
      <c r="G5019" s="64" t="s">
        <v>64</v>
      </c>
      <c r="H5019" s="3" t="s">
        <v>49</v>
      </c>
      <c r="I5019" s="65">
        <f>IFERROR(VLOOKUP(A5019,'3. Call duration'!$A:$C,3,0),"--")</f>
        <v>18.3769579</v>
      </c>
      <c r="J5019" s="65" t="str">
        <f t="array" ref="J5019">XLOOKUP(H5019,'2. Matching'!$A$2:$A$39,'2. Matching'!$B$2:$B$39,"--")</f>
        <v>Partnerships</v>
      </c>
      <c r="K5019" s="65" t="str">
        <f t="shared" si="1"/>
        <v>In</v>
      </c>
    </row>
    <row r="5020">
      <c r="A5020" s="62" t="s">
        <v>5158</v>
      </c>
      <c r="B5020" s="63">
        <v>44308.0</v>
      </c>
      <c r="C5020" s="62" t="s">
        <v>119</v>
      </c>
      <c r="D5020" s="64">
        <v>90.0</v>
      </c>
      <c r="E5020" s="62" t="s">
        <v>114</v>
      </c>
      <c r="F5020" s="62" t="s">
        <v>115</v>
      </c>
      <c r="G5020" s="64" t="s">
        <v>64</v>
      </c>
      <c r="H5020" s="3" t="s">
        <v>185</v>
      </c>
      <c r="I5020" s="65">
        <f>IFERROR(VLOOKUP(A5020,'3. Call duration'!$A:$C,3,0),"--")</f>
        <v>33.249627</v>
      </c>
      <c r="J5020" s="65" t="str">
        <f t="array" ref="J5020">XLOOKUP(H5020,'2. Matching'!$A$2:$A$39,'2. Matching'!$B$2:$B$39,"--")</f>
        <v>SEO</v>
      </c>
      <c r="K5020" s="65" t="str">
        <f t="shared" si="1"/>
        <v>In</v>
      </c>
    </row>
    <row r="5021">
      <c r="A5021" s="62" t="s">
        <v>5159</v>
      </c>
      <c r="B5021" s="63">
        <v>44270.0</v>
      </c>
      <c r="C5021" s="62" t="s">
        <v>119</v>
      </c>
      <c r="D5021" s="64">
        <v>90.0</v>
      </c>
      <c r="E5021" s="62" t="s">
        <v>114</v>
      </c>
      <c r="F5021" s="62" t="s">
        <v>110</v>
      </c>
      <c r="G5021" s="64" t="s">
        <v>64</v>
      </c>
      <c r="H5021" s="3" t="s">
        <v>135</v>
      </c>
      <c r="I5021" s="65">
        <f>IFERROR(VLOOKUP(A5021,'3. Call duration'!$A:$C,3,0),"--")</f>
        <v>23.79803523</v>
      </c>
      <c r="J5021" s="65" t="str">
        <f t="array" ref="J5021">XLOOKUP(H5021,'2. Matching'!$A$2:$A$39,'2. Matching'!$B$2:$B$39,"--")</f>
        <v>Acquisition</v>
      </c>
      <c r="K5021" s="65" t="str">
        <f t="shared" si="1"/>
        <v>In</v>
      </c>
    </row>
    <row r="5022">
      <c r="A5022" s="62" t="s">
        <v>5160</v>
      </c>
      <c r="B5022" s="63">
        <v>44284.0</v>
      </c>
      <c r="C5022" s="62" t="s">
        <v>119</v>
      </c>
      <c r="D5022" s="64">
        <v>90.0</v>
      </c>
      <c r="E5022" s="62" t="s">
        <v>114</v>
      </c>
      <c r="F5022" s="62" t="s">
        <v>115</v>
      </c>
      <c r="G5022" s="64" t="s">
        <v>64</v>
      </c>
      <c r="H5022" s="3" t="s">
        <v>297</v>
      </c>
      <c r="I5022" s="65" t="str">
        <f>IFERROR(VLOOKUP(A5022,'3. Call duration'!$A:$C,3,0),"--")</f>
        <v>--</v>
      </c>
      <c r="J5022" s="65" t="str">
        <f t="array" ref="J5022">XLOOKUP(H5022,'2. Matching'!$A$2:$A$39,'2. Matching'!$B$2:$B$39,"--")</f>
        <v>Farming</v>
      </c>
      <c r="K5022" s="65" t="str">
        <f t="shared" si="1"/>
        <v>In</v>
      </c>
    </row>
    <row r="5023">
      <c r="A5023" s="62" t="s">
        <v>5161</v>
      </c>
      <c r="B5023" s="63">
        <v>44259.0</v>
      </c>
      <c r="C5023" s="62" t="s">
        <v>119</v>
      </c>
      <c r="D5023" s="64">
        <v>90.0</v>
      </c>
      <c r="E5023" s="62" t="s">
        <v>114</v>
      </c>
      <c r="F5023" s="62" t="s">
        <v>110</v>
      </c>
      <c r="G5023" s="64" t="s">
        <v>64</v>
      </c>
      <c r="H5023" s="3" t="s">
        <v>169</v>
      </c>
      <c r="I5023" s="65">
        <f>IFERROR(VLOOKUP(A5023,'3. Call duration'!$A:$C,3,0),"--")</f>
        <v>26.89981613</v>
      </c>
      <c r="J5023" s="65" t="str">
        <f t="array" ref="J5023">XLOOKUP(H5023,'2. Matching'!$A$2:$A$39,'2. Matching'!$B$2:$B$39,"--")</f>
        <v>SEO</v>
      </c>
      <c r="K5023" s="65" t="str">
        <f t="shared" si="1"/>
        <v>In</v>
      </c>
    </row>
    <row r="5024">
      <c r="A5024" s="62" t="s">
        <v>5162</v>
      </c>
      <c r="B5024" s="63">
        <v>44307.0</v>
      </c>
      <c r="C5024" s="62" t="s">
        <v>119</v>
      </c>
      <c r="D5024" s="64">
        <v>90.0</v>
      </c>
      <c r="E5024" s="62" t="s">
        <v>114</v>
      </c>
      <c r="F5024" s="62" t="s">
        <v>110</v>
      </c>
      <c r="G5024" s="64" t="s">
        <v>64</v>
      </c>
      <c r="H5024" s="3" t="s">
        <v>155</v>
      </c>
      <c r="I5024" s="65">
        <f>IFERROR(VLOOKUP(A5024,'3. Call duration'!$A:$C,3,0),"--")</f>
        <v>32.19697832</v>
      </c>
      <c r="J5024" s="65" t="str">
        <f t="array" ref="J5024">XLOOKUP(H5024,'2. Matching'!$A$2:$A$39,'2. Matching'!$B$2:$B$39,"--")</f>
        <v>SEO</v>
      </c>
      <c r="K5024" s="65" t="str">
        <f t="shared" si="1"/>
        <v>In</v>
      </c>
    </row>
    <row r="5025">
      <c r="A5025" s="62" t="s">
        <v>5163</v>
      </c>
      <c r="B5025" s="63">
        <v>44301.0</v>
      </c>
      <c r="C5025" s="62" t="s">
        <v>119</v>
      </c>
      <c r="D5025" s="64">
        <v>90.0</v>
      </c>
      <c r="E5025" s="62" t="s">
        <v>114</v>
      </c>
      <c r="F5025" s="62" t="s">
        <v>110</v>
      </c>
      <c r="G5025" s="64" t="s">
        <v>64</v>
      </c>
      <c r="H5025" s="3" t="s">
        <v>297</v>
      </c>
      <c r="I5025" s="65">
        <f>IFERROR(VLOOKUP(A5025,'3. Call duration'!$A:$C,3,0),"--")</f>
        <v>39.02759926</v>
      </c>
      <c r="J5025" s="65" t="str">
        <f t="array" ref="J5025">XLOOKUP(H5025,'2. Matching'!$A$2:$A$39,'2. Matching'!$B$2:$B$39,"--")</f>
        <v>Farming</v>
      </c>
      <c r="K5025" s="65" t="str">
        <f t="shared" si="1"/>
        <v>In</v>
      </c>
    </row>
    <row r="5026">
      <c r="A5026" s="62" t="s">
        <v>5164</v>
      </c>
      <c r="B5026" s="63">
        <v>44294.0</v>
      </c>
      <c r="C5026" s="62" t="s">
        <v>119</v>
      </c>
      <c r="D5026" s="64">
        <v>90.0</v>
      </c>
      <c r="E5026" s="62" t="s">
        <v>114</v>
      </c>
      <c r="F5026" s="62" t="s">
        <v>110</v>
      </c>
      <c r="G5026" s="64" t="s">
        <v>63</v>
      </c>
      <c r="H5026" s="3" t="s">
        <v>128</v>
      </c>
      <c r="I5026" s="65">
        <f>IFERROR(VLOOKUP(A5026,'3. Call duration'!$A:$C,3,0),"--")</f>
        <v>31.21237804</v>
      </c>
      <c r="J5026" s="65" t="str">
        <f t="array" ref="J5026">XLOOKUP(H5026,'2. Matching'!$A$2:$A$39,'2. Matching'!$B$2:$B$39,"--")</f>
        <v>Acquisition</v>
      </c>
      <c r="K5026" s="65" t="str">
        <f t="shared" si="1"/>
        <v>In</v>
      </c>
    </row>
    <row r="5027">
      <c r="A5027" s="62" t="s">
        <v>5165</v>
      </c>
      <c r="B5027" s="63">
        <v>44301.0</v>
      </c>
      <c r="C5027" s="62" t="s">
        <v>119</v>
      </c>
      <c r="D5027" s="64">
        <v>90.0</v>
      </c>
      <c r="E5027" s="62" t="s">
        <v>114</v>
      </c>
      <c r="F5027" s="62" t="s">
        <v>110</v>
      </c>
      <c r="G5027" s="64" t="s">
        <v>64</v>
      </c>
      <c r="H5027" s="3" t="s">
        <v>185</v>
      </c>
      <c r="I5027" s="65">
        <f>IFERROR(VLOOKUP(A5027,'3. Call duration'!$A:$C,3,0),"--")</f>
        <v>32.37246901</v>
      </c>
      <c r="J5027" s="65" t="str">
        <f t="array" ref="J5027">XLOOKUP(H5027,'2. Matching'!$A$2:$A$39,'2. Matching'!$B$2:$B$39,"--")</f>
        <v>SEO</v>
      </c>
      <c r="K5027" s="65" t="str">
        <f t="shared" si="1"/>
        <v>In</v>
      </c>
    </row>
    <row r="5028">
      <c r="A5028" s="62" t="s">
        <v>5166</v>
      </c>
      <c r="B5028" s="63">
        <v>44286.0</v>
      </c>
      <c r="C5028" s="62" t="s">
        <v>119</v>
      </c>
      <c r="D5028" s="64">
        <v>90.0</v>
      </c>
      <c r="E5028" s="62" t="s">
        <v>114</v>
      </c>
      <c r="F5028" s="62" t="s">
        <v>115</v>
      </c>
      <c r="G5028" s="64" t="s">
        <v>64</v>
      </c>
      <c r="H5028" s="3" t="s">
        <v>169</v>
      </c>
      <c r="I5028" s="65">
        <f>IFERROR(VLOOKUP(A5028,'3. Call duration'!$A:$C,3,0),"--")</f>
        <v>49.4388786</v>
      </c>
      <c r="J5028" s="65" t="str">
        <f t="array" ref="J5028">XLOOKUP(H5028,'2. Matching'!$A$2:$A$39,'2. Matching'!$B$2:$B$39,"--")</f>
        <v>SEO</v>
      </c>
      <c r="K5028" s="65" t="str">
        <f t="shared" si="1"/>
        <v>In</v>
      </c>
    </row>
    <row r="5029">
      <c r="A5029" s="62" t="s">
        <v>5167</v>
      </c>
      <c r="B5029" s="63">
        <v>44259.0</v>
      </c>
      <c r="C5029" s="62" t="s">
        <v>119</v>
      </c>
      <c r="D5029" s="64">
        <v>90.0</v>
      </c>
      <c r="E5029" s="62" t="s">
        <v>114</v>
      </c>
      <c r="F5029" s="62" t="s">
        <v>115</v>
      </c>
      <c r="G5029" s="64" t="s">
        <v>64</v>
      </c>
      <c r="H5029" s="3" t="s">
        <v>185</v>
      </c>
      <c r="I5029" s="65">
        <f>IFERROR(VLOOKUP(A5029,'3. Call duration'!$A:$C,3,0),"--")</f>
        <v>32.66047245</v>
      </c>
      <c r="J5029" s="65" t="str">
        <f t="array" ref="J5029">XLOOKUP(H5029,'2. Matching'!$A$2:$A$39,'2. Matching'!$B$2:$B$39,"--")</f>
        <v>SEO</v>
      </c>
      <c r="K5029" s="65" t="str">
        <f t="shared" si="1"/>
        <v>In</v>
      </c>
    </row>
    <row r="5030">
      <c r="A5030" s="62" t="s">
        <v>5168</v>
      </c>
      <c r="B5030" s="63">
        <v>44294.0</v>
      </c>
      <c r="C5030" s="62" t="s">
        <v>119</v>
      </c>
      <c r="D5030" s="64">
        <v>90.0</v>
      </c>
      <c r="E5030" s="62" t="s">
        <v>114</v>
      </c>
      <c r="F5030" s="62" t="s">
        <v>110</v>
      </c>
      <c r="G5030" s="64" t="s">
        <v>64</v>
      </c>
      <c r="H5030" s="3" t="s">
        <v>297</v>
      </c>
      <c r="I5030" s="65">
        <f>IFERROR(VLOOKUP(A5030,'3. Call duration'!$A:$C,3,0),"--")</f>
        <v>47.4864344</v>
      </c>
      <c r="J5030" s="65" t="str">
        <f t="array" ref="J5030">XLOOKUP(H5030,'2. Matching'!$A$2:$A$39,'2. Matching'!$B$2:$B$39,"--")</f>
        <v>Farming</v>
      </c>
      <c r="K5030" s="65" t="str">
        <f t="shared" si="1"/>
        <v>In</v>
      </c>
    </row>
    <row r="5031">
      <c r="A5031" s="62" t="s">
        <v>5169</v>
      </c>
      <c r="B5031" s="63">
        <v>44284.0</v>
      </c>
      <c r="C5031" s="62" t="s">
        <v>119</v>
      </c>
      <c r="D5031" s="64">
        <v>90.0</v>
      </c>
      <c r="E5031" s="62" t="s">
        <v>114</v>
      </c>
      <c r="F5031" s="62" t="s">
        <v>110</v>
      </c>
      <c r="G5031" s="64" t="s">
        <v>63</v>
      </c>
      <c r="H5031" s="3" t="s">
        <v>128</v>
      </c>
      <c r="I5031" s="65">
        <f>IFERROR(VLOOKUP(A5031,'3. Call duration'!$A:$C,3,0),"--")</f>
        <v>33.41418273</v>
      </c>
      <c r="J5031" s="65" t="str">
        <f t="array" ref="J5031">XLOOKUP(H5031,'2. Matching'!$A$2:$A$39,'2. Matching'!$B$2:$B$39,"--")</f>
        <v>Acquisition</v>
      </c>
      <c r="K5031" s="65" t="str">
        <f t="shared" si="1"/>
        <v>In</v>
      </c>
    </row>
    <row r="5032">
      <c r="A5032" s="62" t="s">
        <v>5170</v>
      </c>
      <c r="B5032" s="63">
        <v>44273.0</v>
      </c>
      <c r="C5032" s="62" t="s">
        <v>119</v>
      </c>
      <c r="D5032" s="64">
        <v>90.0</v>
      </c>
      <c r="E5032" s="62" t="s">
        <v>114</v>
      </c>
      <c r="F5032" s="62" t="s">
        <v>110</v>
      </c>
      <c r="G5032" s="64" t="s">
        <v>64</v>
      </c>
      <c r="H5032" s="3" t="s">
        <v>297</v>
      </c>
      <c r="I5032" s="65">
        <f>IFERROR(VLOOKUP(A5032,'3. Call duration'!$A:$C,3,0),"--")</f>
        <v>25.86269438</v>
      </c>
      <c r="J5032" s="65" t="str">
        <f t="array" ref="J5032">XLOOKUP(H5032,'2. Matching'!$A$2:$A$39,'2. Matching'!$B$2:$B$39,"--")</f>
        <v>Farming</v>
      </c>
      <c r="K5032" s="65" t="str">
        <f t="shared" si="1"/>
        <v>In</v>
      </c>
    </row>
    <row r="5033">
      <c r="A5033" s="62" t="s">
        <v>5171</v>
      </c>
      <c r="B5033" s="63">
        <v>44314.0</v>
      </c>
      <c r="C5033" s="62" t="s">
        <v>119</v>
      </c>
      <c r="D5033" s="64">
        <v>90.0</v>
      </c>
      <c r="E5033" s="62" t="s">
        <v>114</v>
      </c>
      <c r="F5033" s="62" t="s">
        <v>110</v>
      </c>
      <c r="G5033" s="64" t="s">
        <v>64</v>
      </c>
      <c r="H5033" s="3" t="s">
        <v>175</v>
      </c>
      <c r="I5033" s="65">
        <f>IFERROR(VLOOKUP(A5033,'3. Call duration'!$A:$C,3,0),"--")</f>
        <v>25.97287123</v>
      </c>
      <c r="J5033" s="65" t="str">
        <f t="array" ref="J5033">XLOOKUP(H5033,'2. Matching'!$A$2:$A$39,'2. Matching'!$B$2:$B$39,"--")</f>
        <v>SEO</v>
      </c>
      <c r="K5033" s="65" t="str">
        <f t="shared" si="1"/>
        <v>In</v>
      </c>
    </row>
    <row r="5034">
      <c r="A5034" s="62" t="s">
        <v>5172</v>
      </c>
      <c r="B5034" s="63">
        <v>44313.0</v>
      </c>
      <c r="C5034" s="62" t="s">
        <v>119</v>
      </c>
      <c r="D5034" s="64">
        <v>90.0</v>
      </c>
      <c r="E5034" s="62" t="s">
        <v>114</v>
      </c>
      <c r="F5034" s="62" t="s">
        <v>115</v>
      </c>
      <c r="G5034" s="64" t="s">
        <v>64</v>
      </c>
      <c r="H5034" s="3" t="s">
        <v>155</v>
      </c>
      <c r="I5034" s="65">
        <f>IFERROR(VLOOKUP(A5034,'3. Call duration'!$A:$C,3,0),"--")</f>
        <v>25.37439935</v>
      </c>
      <c r="J5034" s="65" t="str">
        <f t="array" ref="J5034">XLOOKUP(H5034,'2. Matching'!$A$2:$A$39,'2. Matching'!$B$2:$B$39,"--")</f>
        <v>SEO</v>
      </c>
      <c r="K5034" s="65" t="str">
        <f t="shared" si="1"/>
        <v>In</v>
      </c>
    </row>
    <row r="5035">
      <c r="A5035" s="62" t="s">
        <v>5173</v>
      </c>
      <c r="B5035" s="63">
        <v>44271.0</v>
      </c>
      <c r="C5035" s="62" t="s">
        <v>119</v>
      </c>
      <c r="D5035" s="64">
        <v>90.0</v>
      </c>
      <c r="E5035" s="62" t="s">
        <v>114</v>
      </c>
      <c r="F5035" s="62" t="s">
        <v>115</v>
      </c>
      <c r="G5035" s="64" t="s">
        <v>64</v>
      </c>
      <c r="H5035" s="3" t="s">
        <v>164</v>
      </c>
      <c r="I5035" s="65">
        <f>IFERROR(VLOOKUP(A5035,'3. Call duration'!$A:$C,3,0),"--")</f>
        <v>14.53735488</v>
      </c>
      <c r="J5035" s="65" t="str">
        <f t="array" ref="J5035">XLOOKUP(H5035,'2. Matching'!$A$2:$A$39,'2. Matching'!$B$2:$B$39,"--")</f>
        <v>SEO</v>
      </c>
      <c r="K5035" s="65" t="str">
        <f t="shared" si="1"/>
        <v>In</v>
      </c>
    </row>
    <row r="5036">
      <c r="A5036" s="62" t="s">
        <v>5174</v>
      </c>
      <c r="B5036" s="63">
        <v>44260.0</v>
      </c>
      <c r="C5036" s="62" t="s">
        <v>119</v>
      </c>
      <c r="D5036" s="64">
        <v>90.0</v>
      </c>
      <c r="E5036" s="62" t="s">
        <v>114</v>
      </c>
      <c r="F5036" s="62" t="s">
        <v>110</v>
      </c>
      <c r="G5036" s="64" t="s">
        <v>64</v>
      </c>
      <c r="H5036" s="3" t="s">
        <v>297</v>
      </c>
      <c r="I5036" s="65">
        <f>IFERROR(VLOOKUP(A5036,'3. Call duration'!$A:$C,3,0),"--")</f>
        <v>23.69434668</v>
      </c>
      <c r="J5036" s="65" t="str">
        <f t="array" ref="J5036">XLOOKUP(H5036,'2. Matching'!$A$2:$A$39,'2. Matching'!$B$2:$B$39,"--")</f>
        <v>Farming</v>
      </c>
      <c r="K5036" s="65" t="str">
        <f t="shared" si="1"/>
        <v>In</v>
      </c>
    </row>
    <row r="5037">
      <c r="A5037" s="62" t="s">
        <v>5175</v>
      </c>
      <c r="B5037" s="63">
        <v>44293.0</v>
      </c>
      <c r="C5037" s="62" t="s">
        <v>119</v>
      </c>
      <c r="D5037" s="64">
        <v>90.0</v>
      </c>
      <c r="E5037" s="62" t="s">
        <v>114</v>
      </c>
      <c r="F5037" s="62" t="s">
        <v>115</v>
      </c>
      <c r="G5037" s="64" t="s">
        <v>64</v>
      </c>
      <c r="H5037" s="3" t="s">
        <v>221</v>
      </c>
      <c r="I5037" s="65">
        <f>IFERROR(VLOOKUP(A5037,'3. Call duration'!$A:$C,3,0),"--")</f>
        <v>28.09087686</v>
      </c>
      <c r="J5037" s="65" t="str">
        <f t="array" ref="J5037">XLOOKUP(H5037,'2. Matching'!$A$2:$A$39,'2. Matching'!$B$2:$B$39,"--")</f>
        <v>Farming</v>
      </c>
      <c r="K5037" s="65" t="str">
        <f t="shared" si="1"/>
        <v>In</v>
      </c>
    </row>
    <row r="5038">
      <c r="A5038" s="62" t="s">
        <v>5176</v>
      </c>
      <c r="B5038" s="63">
        <v>44314.0</v>
      </c>
      <c r="C5038" s="62" t="s">
        <v>119</v>
      </c>
      <c r="D5038" s="64">
        <v>90.0</v>
      </c>
      <c r="E5038" s="62" t="s">
        <v>114</v>
      </c>
      <c r="F5038" s="62" t="s">
        <v>110</v>
      </c>
      <c r="G5038" s="64" t="s">
        <v>64</v>
      </c>
      <c r="H5038" s="3" t="s">
        <v>297</v>
      </c>
      <c r="I5038" s="65">
        <f>IFERROR(VLOOKUP(A5038,'3. Call duration'!$A:$C,3,0),"--")</f>
        <v>23.0202171</v>
      </c>
      <c r="J5038" s="65" t="str">
        <f t="array" ref="J5038">XLOOKUP(H5038,'2. Matching'!$A$2:$A$39,'2. Matching'!$B$2:$B$39,"--")</f>
        <v>Farming</v>
      </c>
      <c r="K5038" s="65" t="str">
        <f t="shared" si="1"/>
        <v>In</v>
      </c>
    </row>
    <row r="5039">
      <c r="A5039" s="62" t="s">
        <v>5177</v>
      </c>
      <c r="B5039" s="63">
        <v>44259.0</v>
      </c>
      <c r="C5039" s="62" t="s">
        <v>119</v>
      </c>
      <c r="D5039" s="64">
        <v>90.0</v>
      </c>
      <c r="E5039" s="62" t="s">
        <v>114</v>
      </c>
      <c r="F5039" s="62" t="s">
        <v>115</v>
      </c>
      <c r="G5039" s="64" t="s">
        <v>64</v>
      </c>
      <c r="H5039" s="3" t="s">
        <v>169</v>
      </c>
      <c r="I5039" s="65">
        <f>IFERROR(VLOOKUP(A5039,'3. Call duration'!$A:$C,3,0),"--")</f>
        <v>32.3445218</v>
      </c>
      <c r="J5039" s="65" t="str">
        <f t="array" ref="J5039">XLOOKUP(H5039,'2. Matching'!$A$2:$A$39,'2. Matching'!$B$2:$B$39,"--")</f>
        <v>SEO</v>
      </c>
      <c r="K5039" s="65" t="str">
        <f t="shared" si="1"/>
        <v>In</v>
      </c>
    </row>
    <row r="5040">
      <c r="A5040" s="62" t="s">
        <v>5178</v>
      </c>
      <c r="B5040" s="63">
        <v>44274.0</v>
      </c>
      <c r="C5040" s="62" t="s">
        <v>119</v>
      </c>
      <c r="D5040" s="64">
        <v>90.0</v>
      </c>
      <c r="E5040" s="62" t="s">
        <v>114</v>
      </c>
      <c r="F5040" s="62" t="s">
        <v>110</v>
      </c>
      <c r="G5040" s="64" t="s">
        <v>63</v>
      </c>
      <c r="H5040" s="3" t="s">
        <v>189</v>
      </c>
      <c r="I5040" s="65">
        <f>IFERROR(VLOOKUP(A5040,'3. Call duration'!$A:$C,3,0),"--")</f>
        <v>28.44565869</v>
      </c>
      <c r="J5040" s="65" t="str">
        <f t="array" ref="J5040">XLOOKUP(H5040,'2. Matching'!$A$2:$A$39,'2. Matching'!$B$2:$B$39,"--")</f>
        <v>SEO</v>
      </c>
      <c r="K5040" s="65" t="str">
        <f t="shared" si="1"/>
        <v>Out</v>
      </c>
    </row>
    <row r="5041">
      <c r="A5041" s="62" t="s">
        <v>5179</v>
      </c>
      <c r="B5041" s="63">
        <v>44266.0</v>
      </c>
      <c r="C5041" s="62" t="s">
        <v>119</v>
      </c>
      <c r="D5041" s="64">
        <v>90.0</v>
      </c>
      <c r="E5041" s="62" t="s">
        <v>114</v>
      </c>
      <c r="F5041" s="62" t="s">
        <v>115</v>
      </c>
      <c r="G5041" s="64" t="s">
        <v>64</v>
      </c>
      <c r="H5041" s="3" t="s">
        <v>155</v>
      </c>
      <c r="I5041" s="65">
        <f>IFERROR(VLOOKUP(A5041,'3. Call duration'!$A:$C,3,0),"--")</f>
        <v>30.11397396</v>
      </c>
      <c r="J5041" s="65" t="str">
        <f t="array" ref="J5041">XLOOKUP(H5041,'2. Matching'!$A$2:$A$39,'2. Matching'!$B$2:$B$39,"--")</f>
        <v>SEO</v>
      </c>
      <c r="K5041" s="65" t="str">
        <f t="shared" si="1"/>
        <v>In</v>
      </c>
    </row>
    <row r="5042">
      <c r="A5042" s="62" t="s">
        <v>5180</v>
      </c>
      <c r="B5042" s="63">
        <v>44295.0</v>
      </c>
      <c r="C5042" s="62" t="s">
        <v>119</v>
      </c>
      <c r="D5042" s="64">
        <v>90.0</v>
      </c>
      <c r="E5042" s="62" t="s">
        <v>114</v>
      </c>
      <c r="F5042" s="62" t="s">
        <v>115</v>
      </c>
      <c r="G5042" s="64" t="s">
        <v>64</v>
      </c>
      <c r="H5042" s="3" t="s">
        <v>164</v>
      </c>
      <c r="I5042" s="65">
        <f>IFERROR(VLOOKUP(A5042,'3. Call duration'!$A:$C,3,0),"--")</f>
        <v>20.79544999</v>
      </c>
      <c r="J5042" s="65" t="str">
        <f t="array" ref="J5042">XLOOKUP(H5042,'2. Matching'!$A$2:$A$39,'2. Matching'!$B$2:$B$39,"--")</f>
        <v>SEO</v>
      </c>
      <c r="K5042" s="65" t="str">
        <f t="shared" si="1"/>
        <v>In</v>
      </c>
    </row>
    <row r="5043">
      <c r="A5043" s="62" t="s">
        <v>5181</v>
      </c>
      <c r="B5043" s="63">
        <v>44292.0</v>
      </c>
      <c r="C5043" s="62" t="s">
        <v>119</v>
      </c>
      <c r="D5043" s="64">
        <v>90.0</v>
      </c>
      <c r="E5043" s="62" t="s">
        <v>114</v>
      </c>
      <c r="F5043" s="62" t="s">
        <v>110</v>
      </c>
      <c r="G5043" s="64" t="s">
        <v>64</v>
      </c>
      <c r="H5043" s="3" t="s">
        <v>297</v>
      </c>
      <c r="I5043" s="65">
        <f>IFERROR(VLOOKUP(A5043,'3. Call duration'!$A:$C,3,0),"--")</f>
        <v>28.2912136</v>
      </c>
      <c r="J5043" s="65" t="str">
        <f t="array" ref="J5043">XLOOKUP(H5043,'2. Matching'!$A$2:$A$39,'2. Matching'!$B$2:$B$39,"--")</f>
        <v>Farming</v>
      </c>
      <c r="K5043" s="65" t="str">
        <f t="shared" si="1"/>
        <v>In</v>
      </c>
    </row>
    <row r="5044">
      <c r="A5044" s="62" t="s">
        <v>5182</v>
      </c>
      <c r="B5044" s="63">
        <v>44299.0</v>
      </c>
      <c r="C5044" s="62" t="s">
        <v>119</v>
      </c>
      <c r="D5044" s="64">
        <v>90.0</v>
      </c>
      <c r="E5044" s="62" t="s">
        <v>114</v>
      </c>
      <c r="F5044" s="62" t="s">
        <v>115</v>
      </c>
      <c r="G5044" s="64" t="s">
        <v>64</v>
      </c>
      <c r="H5044" s="3" t="s">
        <v>169</v>
      </c>
      <c r="I5044" s="65">
        <f>IFERROR(VLOOKUP(A5044,'3. Call duration'!$A:$C,3,0),"--")</f>
        <v>49.47517871</v>
      </c>
      <c r="J5044" s="65" t="str">
        <f t="array" ref="J5044">XLOOKUP(H5044,'2. Matching'!$A$2:$A$39,'2. Matching'!$B$2:$B$39,"--")</f>
        <v>SEO</v>
      </c>
      <c r="K5044" s="65" t="str">
        <f t="shared" si="1"/>
        <v>In</v>
      </c>
    </row>
    <row r="5045">
      <c r="A5045" s="62" t="s">
        <v>5183</v>
      </c>
      <c r="B5045" s="63">
        <v>44272.0</v>
      </c>
      <c r="C5045" s="62" t="s">
        <v>119</v>
      </c>
      <c r="D5045" s="64">
        <v>90.0</v>
      </c>
      <c r="E5045" s="62" t="s">
        <v>114</v>
      </c>
      <c r="F5045" s="62" t="s">
        <v>115</v>
      </c>
      <c r="G5045" s="64" t="s">
        <v>64</v>
      </c>
      <c r="H5045" s="3" t="s">
        <v>221</v>
      </c>
      <c r="I5045" s="65">
        <f>IFERROR(VLOOKUP(A5045,'3. Call duration'!$A:$C,3,0),"--")</f>
        <v>29.78707872</v>
      </c>
      <c r="J5045" s="65" t="str">
        <f t="array" ref="J5045">XLOOKUP(H5045,'2. Matching'!$A$2:$A$39,'2. Matching'!$B$2:$B$39,"--")</f>
        <v>Farming</v>
      </c>
      <c r="K5045" s="65" t="str">
        <f t="shared" si="1"/>
        <v>In</v>
      </c>
    </row>
    <row r="5046">
      <c r="A5046" s="62" t="s">
        <v>5184</v>
      </c>
      <c r="B5046" s="63">
        <v>44260.0</v>
      </c>
      <c r="C5046" s="62" t="s">
        <v>119</v>
      </c>
      <c r="D5046" s="64">
        <v>90.0</v>
      </c>
      <c r="E5046" s="62" t="s">
        <v>114</v>
      </c>
      <c r="F5046" s="62" t="s">
        <v>110</v>
      </c>
      <c r="G5046" s="64" t="s">
        <v>64</v>
      </c>
      <c r="H5046" s="3" t="s">
        <v>221</v>
      </c>
      <c r="I5046" s="65">
        <f>IFERROR(VLOOKUP(A5046,'3. Call duration'!$A:$C,3,0),"--")</f>
        <v>21.53533718</v>
      </c>
      <c r="J5046" s="65" t="str">
        <f t="array" ref="J5046">XLOOKUP(H5046,'2. Matching'!$A$2:$A$39,'2. Matching'!$B$2:$B$39,"--")</f>
        <v>Farming</v>
      </c>
      <c r="K5046" s="65" t="str">
        <f t="shared" si="1"/>
        <v>In</v>
      </c>
    </row>
    <row r="5047">
      <c r="A5047" s="62" t="s">
        <v>5185</v>
      </c>
      <c r="B5047" s="63">
        <v>44313.0</v>
      </c>
      <c r="C5047" s="62" t="s">
        <v>119</v>
      </c>
      <c r="D5047" s="64">
        <v>90.0</v>
      </c>
      <c r="E5047" s="62" t="s">
        <v>114</v>
      </c>
      <c r="F5047" s="62" t="s">
        <v>110</v>
      </c>
      <c r="G5047" s="64" t="s">
        <v>64</v>
      </c>
      <c r="H5047" s="3" t="s">
        <v>185</v>
      </c>
      <c r="I5047" s="65">
        <f>IFERROR(VLOOKUP(A5047,'3. Call duration'!$A:$C,3,0),"--")</f>
        <v>23.10029349</v>
      </c>
      <c r="J5047" s="65" t="str">
        <f t="array" ref="J5047">XLOOKUP(H5047,'2. Matching'!$A$2:$A$39,'2. Matching'!$B$2:$B$39,"--")</f>
        <v>SEO</v>
      </c>
      <c r="K5047" s="65" t="str">
        <f t="shared" si="1"/>
        <v>In</v>
      </c>
    </row>
    <row r="5048">
      <c r="A5048" s="62" t="s">
        <v>5186</v>
      </c>
      <c r="B5048" s="63">
        <v>44286.0</v>
      </c>
      <c r="C5048" s="62" t="s">
        <v>119</v>
      </c>
      <c r="D5048" s="64">
        <v>90.0</v>
      </c>
      <c r="E5048" s="62" t="s">
        <v>114</v>
      </c>
      <c r="F5048" s="62" t="s">
        <v>115</v>
      </c>
      <c r="G5048" s="64" t="s">
        <v>64</v>
      </c>
      <c r="H5048" s="3" t="s">
        <v>141</v>
      </c>
      <c r="I5048" s="65">
        <f>IFERROR(VLOOKUP(A5048,'3. Call duration'!$A:$C,3,0),"--")</f>
        <v>32.00398661</v>
      </c>
      <c r="J5048" s="65" t="str">
        <f t="array" ref="J5048">XLOOKUP(H5048,'2. Matching'!$A$2:$A$39,'2. Matching'!$B$2:$B$39,"--")</f>
        <v>Acquisition</v>
      </c>
      <c r="K5048" s="65" t="str">
        <f t="shared" si="1"/>
        <v>In</v>
      </c>
    </row>
    <row r="5049">
      <c r="A5049" s="62" t="s">
        <v>5187</v>
      </c>
      <c r="B5049" s="63">
        <v>44312.0</v>
      </c>
      <c r="C5049" s="62" t="s">
        <v>119</v>
      </c>
      <c r="D5049" s="64">
        <v>90.0</v>
      </c>
      <c r="E5049" s="62" t="s">
        <v>114</v>
      </c>
      <c r="F5049" s="62" t="s">
        <v>110</v>
      </c>
      <c r="G5049" s="64" t="s">
        <v>64</v>
      </c>
      <c r="H5049" s="3" t="s">
        <v>185</v>
      </c>
      <c r="I5049" s="65">
        <f>IFERROR(VLOOKUP(A5049,'3. Call duration'!$A:$C,3,0),"--")</f>
        <v>30.9436135</v>
      </c>
      <c r="J5049" s="65" t="str">
        <f t="array" ref="J5049">XLOOKUP(H5049,'2. Matching'!$A$2:$A$39,'2. Matching'!$B$2:$B$39,"--")</f>
        <v>SEO</v>
      </c>
      <c r="K5049" s="65" t="str">
        <f t="shared" si="1"/>
        <v>In</v>
      </c>
    </row>
    <row r="5050">
      <c r="A5050" s="62" t="s">
        <v>5188</v>
      </c>
      <c r="B5050" s="63">
        <v>44284.0</v>
      </c>
      <c r="C5050" s="62" t="s">
        <v>119</v>
      </c>
      <c r="D5050" s="64">
        <v>90.0</v>
      </c>
      <c r="E5050" s="62" t="s">
        <v>114</v>
      </c>
      <c r="F5050" s="62" t="s">
        <v>115</v>
      </c>
      <c r="G5050" s="64" t="s">
        <v>64</v>
      </c>
      <c r="H5050" s="3" t="s">
        <v>185</v>
      </c>
      <c r="I5050" s="65">
        <f>IFERROR(VLOOKUP(A5050,'3. Call duration'!$A:$C,3,0),"--")</f>
        <v>16.2147075</v>
      </c>
      <c r="J5050" s="65" t="str">
        <f t="array" ref="J5050">XLOOKUP(H5050,'2. Matching'!$A$2:$A$39,'2. Matching'!$B$2:$B$39,"--")</f>
        <v>SEO</v>
      </c>
      <c r="K5050" s="65" t="str">
        <f t="shared" si="1"/>
        <v>In</v>
      </c>
    </row>
    <row r="5051">
      <c r="A5051" s="62" t="s">
        <v>5189</v>
      </c>
      <c r="B5051" s="63">
        <v>44292.0</v>
      </c>
      <c r="C5051" s="62" t="s">
        <v>119</v>
      </c>
      <c r="D5051" s="64">
        <v>90.0</v>
      </c>
      <c r="E5051" s="62" t="s">
        <v>114</v>
      </c>
      <c r="F5051" s="62" t="s">
        <v>115</v>
      </c>
      <c r="G5051" s="64" t="s">
        <v>64</v>
      </c>
      <c r="H5051" s="3" t="s">
        <v>131</v>
      </c>
      <c r="I5051" s="65">
        <f>IFERROR(VLOOKUP(A5051,'3. Call duration'!$A:$C,3,0),"--")</f>
        <v>30.39715766</v>
      </c>
      <c r="J5051" s="65" t="str">
        <f t="array" ref="J5051">XLOOKUP(H5051,'2. Matching'!$A$2:$A$39,'2. Matching'!$B$2:$B$39,"--")</f>
        <v>Acquisition</v>
      </c>
      <c r="K5051" s="65" t="str">
        <f t="shared" si="1"/>
        <v>In</v>
      </c>
    </row>
    <row r="5052">
      <c r="A5052" s="62" t="s">
        <v>5190</v>
      </c>
      <c r="B5052" s="63">
        <v>44274.0</v>
      </c>
      <c r="C5052" s="62" t="s">
        <v>119</v>
      </c>
      <c r="D5052" s="64">
        <v>90.0</v>
      </c>
      <c r="E5052" s="62" t="s">
        <v>114</v>
      </c>
      <c r="F5052" s="62" t="s">
        <v>115</v>
      </c>
      <c r="G5052" s="64" t="s">
        <v>64</v>
      </c>
      <c r="H5052" s="3" t="s">
        <v>169</v>
      </c>
      <c r="I5052" s="65">
        <f>IFERROR(VLOOKUP(A5052,'3. Call duration'!$A:$C,3,0),"--")</f>
        <v>26.28721279</v>
      </c>
      <c r="J5052" s="65" t="str">
        <f t="array" ref="J5052">XLOOKUP(H5052,'2. Matching'!$A$2:$A$39,'2. Matching'!$B$2:$B$39,"--")</f>
        <v>SEO</v>
      </c>
      <c r="K5052" s="65" t="str">
        <f t="shared" si="1"/>
        <v>In</v>
      </c>
    </row>
    <row r="5053">
      <c r="A5053" s="62" t="s">
        <v>5191</v>
      </c>
      <c r="B5053" s="63">
        <v>44267.0</v>
      </c>
      <c r="C5053" s="62" t="s">
        <v>119</v>
      </c>
      <c r="D5053" s="64">
        <v>90.0</v>
      </c>
      <c r="E5053" s="62" t="s">
        <v>114</v>
      </c>
      <c r="F5053" s="62" t="s">
        <v>115</v>
      </c>
      <c r="G5053" s="64" t="s">
        <v>64</v>
      </c>
      <c r="H5053" s="3" t="s">
        <v>221</v>
      </c>
      <c r="I5053" s="65">
        <f>IFERROR(VLOOKUP(A5053,'3. Call duration'!$A:$C,3,0),"--")</f>
        <v>30.28791099</v>
      </c>
      <c r="J5053" s="65" t="str">
        <f t="array" ref="J5053">XLOOKUP(H5053,'2. Matching'!$A$2:$A$39,'2. Matching'!$B$2:$B$39,"--")</f>
        <v>Farming</v>
      </c>
      <c r="K5053" s="65" t="str">
        <f t="shared" si="1"/>
        <v>In</v>
      </c>
    </row>
    <row r="5054">
      <c r="A5054" s="62" t="s">
        <v>5192</v>
      </c>
      <c r="B5054" s="63">
        <v>44312.0</v>
      </c>
      <c r="C5054" s="62" t="s">
        <v>119</v>
      </c>
      <c r="D5054" s="64">
        <v>90.0</v>
      </c>
      <c r="E5054" s="62" t="s">
        <v>114</v>
      </c>
      <c r="F5054" s="62" t="s">
        <v>115</v>
      </c>
      <c r="G5054" s="64" t="s">
        <v>64</v>
      </c>
      <c r="H5054" s="3" t="s">
        <v>169</v>
      </c>
      <c r="I5054" s="65">
        <f>IFERROR(VLOOKUP(A5054,'3. Call duration'!$A:$C,3,0),"--")</f>
        <v>27.27108692</v>
      </c>
      <c r="J5054" s="65" t="str">
        <f t="array" ref="J5054">XLOOKUP(H5054,'2. Matching'!$A$2:$A$39,'2. Matching'!$B$2:$B$39,"--")</f>
        <v>SEO</v>
      </c>
      <c r="K5054" s="65" t="str">
        <f t="shared" si="1"/>
        <v>In</v>
      </c>
    </row>
    <row r="5055">
      <c r="A5055" s="62" t="s">
        <v>5193</v>
      </c>
      <c r="B5055" s="63">
        <v>44299.0</v>
      </c>
      <c r="C5055" s="62" t="s">
        <v>119</v>
      </c>
      <c r="D5055" s="64">
        <v>90.0</v>
      </c>
      <c r="E5055" s="62" t="s">
        <v>114</v>
      </c>
      <c r="F5055" s="62" t="s">
        <v>115</v>
      </c>
      <c r="G5055" s="64" t="s">
        <v>64</v>
      </c>
      <c r="H5055" s="3" t="s">
        <v>155</v>
      </c>
      <c r="I5055" s="65">
        <f>IFERROR(VLOOKUP(A5055,'3. Call duration'!$A:$C,3,0),"--")</f>
        <v>24.57835605</v>
      </c>
      <c r="J5055" s="65" t="str">
        <f t="array" ref="J5055">XLOOKUP(H5055,'2. Matching'!$A$2:$A$39,'2. Matching'!$B$2:$B$39,"--")</f>
        <v>SEO</v>
      </c>
      <c r="K5055" s="65" t="str">
        <f t="shared" si="1"/>
        <v>In</v>
      </c>
    </row>
    <row r="5056">
      <c r="A5056" s="62" t="s">
        <v>5194</v>
      </c>
      <c r="B5056" s="63">
        <v>44278.0</v>
      </c>
      <c r="C5056" s="62" t="s">
        <v>119</v>
      </c>
      <c r="D5056" s="64">
        <v>90.0</v>
      </c>
      <c r="E5056" s="62" t="s">
        <v>114</v>
      </c>
      <c r="F5056" s="62" t="s">
        <v>110</v>
      </c>
      <c r="G5056" s="64" t="s">
        <v>63</v>
      </c>
      <c r="H5056" s="3" t="s">
        <v>128</v>
      </c>
      <c r="I5056" s="65">
        <f>IFERROR(VLOOKUP(A5056,'3. Call duration'!$A:$C,3,0),"--")</f>
        <v>14.0797586</v>
      </c>
      <c r="J5056" s="65" t="str">
        <f t="array" ref="J5056">XLOOKUP(H5056,'2. Matching'!$A$2:$A$39,'2. Matching'!$B$2:$B$39,"--")</f>
        <v>Acquisition</v>
      </c>
      <c r="K5056" s="65" t="str">
        <f t="shared" si="1"/>
        <v>In</v>
      </c>
    </row>
    <row r="5057">
      <c r="A5057" s="62" t="s">
        <v>5195</v>
      </c>
      <c r="B5057" s="63">
        <v>44286.0</v>
      </c>
      <c r="C5057" s="62" t="s">
        <v>119</v>
      </c>
      <c r="D5057" s="64">
        <v>90.0</v>
      </c>
      <c r="E5057" s="62" t="s">
        <v>114</v>
      </c>
      <c r="F5057" s="62" t="s">
        <v>115</v>
      </c>
      <c r="G5057" s="64" t="s">
        <v>64</v>
      </c>
      <c r="H5057" s="3" t="s">
        <v>116</v>
      </c>
      <c r="I5057" s="65">
        <f>IFERROR(VLOOKUP(A5057,'3. Call duration'!$A:$C,3,0),"--")</f>
        <v>16.67833536</v>
      </c>
      <c r="J5057" s="65" t="str">
        <f t="array" ref="J5057">XLOOKUP(H5057,'2. Matching'!$A$2:$A$39,'2. Matching'!$B$2:$B$39,"--")</f>
        <v>Acquisition</v>
      </c>
      <c r="K5057" s="65" t="str">
        <f t="shared" si="1"/>
        <v>In</v>
      </c>
    </row>
    <row r="5058">
      <c r="A5058" s="62" t="s">
        <v>5196</v>
      </c>
      <c r="B5058" s="63">
        <v>44312.0</v>
      </c>
      <c r="C5058" s="62" t="s">
        <v>119</v>
      </c>
      <c r="D5058" s="64">
        <v>90.0</v>
      </c>
      <c r="E5058" s="62" t="s">
        <v>114</v>
      </c>
      <c r="F5058" s="62" t="s">
        <v>110</v>
      </c>
      <c r="G5058" s="64" t="s">
        <v>64</v>
      </c>
      <c r="H5058" s="3" t="s">
        <v>175</v>
      </c>
      <c r="I5058" s="65">
        <f>IFERROR(VLOOKUP(A5058,'3. Call duration'!$A:$C,3,0),"--")</f>
        <v>20.85723407</v>
      </c>
      <c r="J5058" s="65" t="str">
        <f t="array" ref="J5058">XLOOKUP(H5058,'2. Matching'!$A$2:$A$39,'2. Matching'!$B$2:$B$39,"--")</f>
        <v>SEO</v>
      </c>
      <c r="K5058" s="65" t="str">
        <f t="shared" si="1"/>
        <v>In</v>
      </c>
    </row>
    <row r="5059">
      <c r="A5059" s="62" t="s">
        <v>5197</v>
      </c>
      <c r="B5059" s="63">
        <v>44286.0</v>
      </c>
      <c r="C5059" s="62" t="s">
        <v>119</v>
      </c>
      <c r="D5059" s="64">
        <v>90.0</v>
      </c>
      <c r="E5059" s="62" t="s">
        <v>114</v>
      </c>
      <c r="F5059" s="62" t="s">
        <v>115</v>
      </c>
      <c r="G5059" s="64" t="s">
        <v>64</v>
      </c>
      <c r="H5059" s="3" t="s">
        <v>141</v>
      </c>
      <c r="I5059" s="65">
        <f>IFERROR(VLOOKUP(A5059,'3. Call duration'!$A:$C,3,0),"--")</f>
        <v>10.23969843</v>
      </c>
      <c r="J5059" s="65" t="str">
        <f t="array" ref="J5059">XLOOKUP(H5059,'2. Matching'!$A$2:$A$39,'2. Matching'!$B$2:$B$39,"--")</f>
        <v>Acquisition</v>
      </c>
      <c r="K5059" s="65" t="str">
        <f t="shared" si="1"/>
        <v>In</v>
      </c>
    </row>
    <row r="5060">
      <c r="A5060" s="62" t="s">
        <v>5198</v>
      </c>
      <c r="B5060" s="63">
        <v>44271.0</v>
      </c>
      <c r="C5060" s="62" t="s">
        <v>119</v>
      </c>
      <c r="D5060" s="64">
        <v>90.0</v>
      </c>
      <c r="E5060" s="62" t="s">
        <v>114</v>
      </c>
      <c r="F5060" s="62" t="s">
        <v>115</v>
      </c>
      <c r="G5060" s="64" t="s">
        <v>64</v>
      </c>
      <c r="H5060" s="3" t="s">
        <v>141</v>
      </c>
      <c r="I5060" s="65">
        <f>IFERROR(VLOOKUP(A5060,'3. Call duration'!$A:$C,3,0),"--")</f>
        <v>25.80957934</v>
      </c>
      <c r="J5060" s="65" t="str">
        <f t="array" ref="J5060">XLOOKUP(H5060,'2. Matching'!$A$2:$A$39,'2. Matching'!$B$2:$B$39,"--")</f>
        <v>Acquisition</v>
      </c>
      <c r="K5060" s="65" t="str">
        <f t="shared" si="1"/>
        <v>In</v>
      </c>
    </row>
    <row r="5061">
      <c r="A5061" s="62" t="s">
        <v>5199</v>
      </c>
      <c r="B5061" s="63">
        <v>44273.0</v>
      </c>
      <c r="C5061" s="62" t="s">
        <v>119</v>
      </c>
      <c r="D5061" s="64">
        <v>90.0</v>
      </c>
      <c r="E5061" s="62" t="s">
        <v>114</v>
      </c>
      <c r="F5061" s="62" t="s">
        <v>115</v>
      </c>
      <c r="G5061" s="64" t="s">
        <v>64</v>
      </c>
      <c r="H5061" s="3" t="s">
        <v>185</v>
      </c>
      <c r="I5061" s="65">
        <f>IFERROR(VLOOKUP(A5061,'3. Call duration'!$A:$C,3,0),"--")</f>
        <v>20.74783879</v>
      </c>
      <c r="J5061" s="65" t="str">
        <f t="array" ref="J5061">XLOOKUP(H5061,'2. Matching'!$A$2:$A$39,'2. Matching'!$B$2:$B$39,"--")</f>
        <v>SEO</v>
      </c>
      <c r="K5061" s="65" t="str">
        <f t="shared" si="1"/>
        <v>In</v>
      </c>
    </row>
    <row r="5062">
      <c r="A5062" s="62" t="s">
        <v>5200</v>
      </c>
      <c r="B5062" s="63">
        <v>44284.0</v>
      </c>
      <c r="C5062" s="62" t="s">
        <v>119</v>
      </c>
      <c r="D5062" s="64">
        <v>90.0</v>
      </c>
      <c r="E5062" s="62" t="s">
        <v>114</v>
      </c>
      <c r="F5062" s="62" t="s">
        <v>110</v>
      </c>
      <c r="G5062" s="64" t="s">
        <v>64</v>
      </c>
      <c r="H5062" s="3" t="s">
        <v>175</v>
      </c>
      <c r="I5062" s="65">
        <f>IFERROR(VLOOKUP(A5062,'3. Call duration'!$A:$C,3,0),"--")</f>
        <v>14.53755356</v>
      </c>
      <c r="J5062" s="65" t="str">
        <f t="array" ref="J5062">XLOOKUP(H5062,'2. Matching'!$A$2:$A$39,'2. Matching'!$B$2:$B$39,"--")</f>
        <v>SEO</v>
      </c>
      <c r="K5062" s="65" t="str">
        <f t="shared" si="1"/>
        <v>In</v>
      </c>
    </row>
    <row r="5063">
      <c r="A5063" s="62" t="s">
        <v>5201</v>
      </c>
      <c r="B5063" s="63">
        <v>44257.0</v>
      </c>
      <c r="C5063" s="62" t="s">
        <v>119</v>
      </c>
      <c r="D5063" s="64">
        <v>90.0</v>
      </c>
      <c r="E5063" s="62" t="s">
        <v>114</v>
      </c>
      <c r="F5063" s="62" t="s">
        <v>115</v>
      </c>
      <c r="G5063" s="64" t="s">
        <v>64</v>
      </c>
      <c r="H5063" s="3" t="s">
        <v>139</v>
      </c>
      <c r="I5063" s="65">
        <f>IFERROR(VLOOKUP(A5063,'3. Call duration'!$A:$C,3,0),"--")</f>
        <v>16.08037169</v>
      </c>
      <c r="J5063" s="65" t="str">
        <f t="array" ref="J5063">XLOOKUP(H5063,'2. Matching'!$A$2:$A$39,'2. Matching'!$B$2:$B$39,"--")</f>
        <v>Acquisition</v>
      </c>
      <c r="K5063" s="65" t="str">
        <f t="shared" si="1"/>
        <v>In</v>
      </c>
    </row>
    <row r="5064">
      <c r="A5064" s="62" t="s">
        <v>5202</v>
      </c>
      <c r="B5064" s="63">
        <v>44305.0</v>
      </c>
      <c r="C5064" s="62" t="s">
        <v>119</v>
      </c>
      <c r="D5064" s="64">
        <v>90.0</v>
      </c>
      <c r="E5064" s="62" t="s">
        <v>114</v>
      </c>
      <c r="F5064" s="62" t="s">
        <v>110</v>
      </c>
      <c r="G5064" s="64" t="s">
        <v>64</v>
      </c>
      <c r="H5064" s="3" t="s">
        <v>52</v>
      </c>
      <c r="I5064" s="65">
        <f>IFERROR(VLOOKUP(A5064,'3. Call duration'!$A:$C,3,0),"--")</f>
        <v>15.40655453</v>
      </c>
      <c r="J5064" s="65" t="str">
        <f t="array" ref="J5064">XLOOKUP(H5064,'2. Matching'!$A$2:$A$39,'2. Matching'!$B$2:$B$39,"--")</f>
        <v>Partnerships</v>
      </c>
      <c r="K5064" s="65" t="str">
        <f t="shared" si="1"/>
        <v>In</v>
      </c>
    </row>
    <row r="5065">
      <c r="A5065" s="62" t="s">
        <v>5203</v>
      </c>
      <c r="B5065" s="63">
        <v>44313.0</v>
      </c>
      <c r="C5065" s="62" t="s">
        <v>119</v>
      </c>
      <c r="D5065" s="64">
        <v>90.0</v>
      </c>
      <c r="E5065" s="62" t="s">
        <v>114</v>
      </c>
      <c r="F5065" s="62" t="s">
        <v>115</v>
      </c>
      <c r="G5065" s="64" t="s">
        <v>64</v>
      </c>
      <c r="H5065" s="3" t="s">
        <v>131</v>
      </c>
      <c r="I5065" s="65">
        <f>IFERROR(VLOOKUP(A5065,'3. Call duration'!$A:$C,3,0),"--")</f>
        <v>23.00398593</v>
      </c>
      <c r="J5065" s="65" t="str">
        <f t="array" ref="J5065">XLOOKUP(H5065,'2. Matching'!$A$2:$A$39,'2. Matching'!$B$2:$B$39,"--")</f>
        <v>Acquisition</v>
      </c>
      <c r="K5065" s="65" t="str">
        <f t="shared" si="1"/>
        <v>In</v>
      </c>
    </row>
    <row r="5066">
      <c r="A5066" s="62" t="s">
        <v>5204</v>
      </c>
      <c r="B5066" s="63">
        <v>44263.0</v>
      </c>
      <c r="C5066" s="62" t="s">
        <v>119</v>
      </c>
      <c r="D5066" s="64">
        <v>90.0</v>
      </c>
      <c r="E5066" s="62" t="s">
        <v>114</v>
      </c>
      <c r="F5066" s="62" t="s">
        <v>110</v>
      </c>
      <c r="G5066" s="64" t="s">
        <v>64</v>
      </c>
      <c r="H5066" s="3" t="s">
        <v>139</v>
      </c>
      <c r="I5066" s="65">
        <f>IFERROR(VLOOKUP(A5066,'3. Call duration'!$A:$C,3,0),"--")</f>
        <v>30.04259046</v>
      </c>
      <c r="J5066" s="65" t="str">
        <f t="array" ref="J5066">XLOOKUP(H5066,'2. Matching'!$A$2:$A$39,'2. Matching'!$B$2:$B$39,"--")</f>
        <v>Acquisition</v>
      </c>
      <c r="K5066" s="65" t="str">
        <f t="shared" si="1"/>
        <v>In</v>
      </c>
    </row>
    <row r="5067">
      <c r="A5067" s="62" t="s">
        <v>5205</v>
      </c>
      <c r="B5067" s="63">
        <v>44309.0</v>
      </c>
      <c r="C5067" s="62" t="s">
        <v>119</v>
      </c>
      <c r="D5067" s="64">
        <v>90.0</v>
      </c>
      <c r="E5067" s="62" t="s">
        <v>114</v>
      </c>
      <c r="F5067" s="62" t="s">
        <v>110</v>
      </c>
      <c r="G5067" s="64" t="s">
        <v>64</v>
      </c>
      <c r="H5067" s="3" t="s">
        <v>52</v>
      </c>
      <c r="I5067" s="65">
        <f>IFERROR(VLOOKUP(A5067,'3. Call duration'!$A:$C,3,0),"--")</f>
        <v>14.41975975</v>
      </c>
      <c r="J5067" s="65" t="str">
        <f t="array" ref="J5067">XLOOKUP(H5067,'2. Matching'!$A$2:$A$39,'2. Matching'!$B$2:$B$39,"--")</f>
        <v>Partnerships</v>
      </c>
      <c r="K5067" s="65" t="str">
        <f t="shared" si="1"/>
        <v>In</v>
      </c>
    </row>
    <row r="5068">
      <c r="A5068" s="62" t="s">
        <v>5206</v>
      </c>
      <c r="B5068" s="63">
        <v>44305.0</v>
      </c>
      <c r="C5068" s="62" t="s">
        <v>119</v>
      </c>
      <c r="D5068" s="64">
        <v>90.0</v>
      </c>
      <c r="E5068" s="62" t="s">
        <v>114</v>
      </c>
      <c r="F5068" s="62" t="s">
        <v>115</v>
      </c>
      <c r="G5068" s="64" t="s">
        <v>64</v>
      </c>
      <c r="H5068" s="3" t="s">
        <v>55</v>
      </c>
      <c r="I5068" s="65">
        <f>IFERROR(VLOOKUP(A5068,'3. Call duration'!$A:$C,3,0),"--")</f>
        <v>16.00190537</v>
      </c>
      <c r="J5068" s="65" t="str">
        <f t="array" ref="J5068">XLOOKUP(H5068,'2. Matching'!$A$2:$A$39,'2. Matching'!$B$2:$B$39,"--")</f>
        <v>Partnerships</v>
      </c>
      <c r="K5068" s="65" t="str">
        <f t="shared" si="1"/>
        <v>In</v>
      </c>
    </row>
    <row r="5069">
      <c r="A5069" s="62" t="s">
        <v>5207</v>
      </c>
      <c r="B5069" s="63">
        <v>44305.0</v>
      </c>
      <c r="C5069" s="62" t="s">
        <v>119</v>
      </c>
      <c r="D5069" s="64">
        <v>90.0</v>
      </c>
      <c r="E5069" s="62" t="s">
        <v>114</v>
      </c>
      <c r="F5069" s="62" t="s">
        <v>110</v>
      </c>
      <c r="G5069" s="64" t="s">
        <v>64</v>
      </c>
      <c r="H5069" s="3" t="s">
        <v>52</v>
      </c>
      <c r="I5069" s="65">
        <f>IFERROR(VLOOKUP(A5069,'3. Call duration'!$A:$C,3,0),"--")</f>
        <v>22.18367772</v>
      </c>
      <c r="J5069" s="65" t="str">
        <f t="array" ref="J5069">XLOOKUP(H5069,'2. Matching'!$A$2:$A$39,'2. Matching'!$B$2:$B$39,"--")</f>
        <v>Partnerships</v>
      </c>
      <c r="K5069" s="65" t="str">
        <f t="shared" si="1"/>
        <v>In</v>
      </c>
    </row>
    <row r="5070">
      <c r="A5070" s="62" t="s">
        <v>5208</v>
      </c>
      <c r="B5070" s="63">
        <v>44315.0</v>
      </c>
      <c r="C5070" s="62" t="s">
        <v>119</v>
      </c>
      <c r="D5070" s="64">
        <v>90.0</v>
      </c>
      <c r="E5070" s="62" t="s">
        <v>114</v>
      </c>
      <c r="F5070" s="62" t="s">
        <v>110</v>
      </c>
      <c r="G5070" s="64" t="s">
        <v>64</v>
      </c>
      <c r="H5070" s="3" t="s">
        <v>54</v>
      </c>
      <c r="I5070" s="65">
        <f>IFERROR(VLOOKUP(A5070,'3. Call duration'!$A:$C,3,0),"--")</f>
        <v>19.65039089</v>
      </c>
      <c r="J5070" s="65" t="str">
        <f t="array" ref="J5070">XLOOKUP(H5070,'2. Matching'!$A$2:$A$39,'2. Matching'!$B$2:$B$39,"--")</f>
        <v>Partnerships</v>
      </c>
      <c r="K5070" s="65" t="str">
        <f t="shared" si="1"/>
        <v>In</v>
      </c>
    </row>
    <row r="5071">
      <c r="A5071" s="62" t="s">
        <v>5209</v>
      </c>
      <c r="B5071" s="63">
        <v>44278.0</v>
      </c>
      <c r="C5071" s="62" t="s">
        <v>119</v>
      </c>
      <c r="D5071" s="64">
        <v>90.0</v>
      </c>
      <c r="E5071" s="62" t="s">
        <v>114</v>
      </c>
      <c r="F5071" s="62" t="s">
        <v>110</v>
      </c>
      <c r="G5071" s="64" t="s">
        <v>64</v>
      </c>
      <c r="H5071" s="3" t="s">
        <v>297</v>
      </c>
      <c r="I5071" s="65">
        <f>IFERROR(VLOOKUP(A5071,'3. Call duration'!$A:$C,3,0),"--")</f>
        <v>27.16796765</v>
      </c>
      <c r="J5071" s="65" t="str">
        <f t="array" ref="J5071">XLOOKUP(H5071,'2. Matching'!$A$2:$A$39,'2. Matching'!$B$2:$B$39,"--")</f>
        <v>Farming</v>
      </c>
      <c r="K5071" s="65" t="str">
        <f t="shared" si="1"/>
        <v>In</v>
      </c>
    </row>
    <row r="5072">
      <c r="A5072" s="62" t="s">
        <v>5210</v>
      </c>
      <c r="B5072" s="63">
        <v>44288.0</v>
      </c>
      <c r="C5072" s="62" t="s">
        <v>119</v>
      </c>
      <c r="D5072" s="64">
        <v>90.0</v>
      </c>
      <c r="E5072" s="62" t="s">
        <v>114</v>
      </c>
      <c r="F5072" s="62" t="s">
        <v>110</v>
      </c>
      <c r="G5072" s="64" t="s">
        <v>64</v>
      </c>
      <c r="H5072" s="3" t="s">
        <v>135</v>
      </c>
      <c r="I5072" s="65">
        <f>IFERROR(VLOOKUP(A5072,'3. Call duration'!$A:$C,3,0),"--")</f>
        <v>25.25497886</v>
      </c>
      <c r="J5072" s="65" t="str">
        <f t="array" ref="J5072">XLOOKUP(H5072,'2. Matching'!$A$2:$A$39,'2. Matching'!$B$2:$B$39,"--")</f>
        <v>Acquisition</v>
      </c>
      <c r="K5072" s="65" t="str">
        <f t="shared" si="1"/>
        <v>In</v>
      </c>
    </row>
    <row r="5073">
      <c r="A5073" s="62" t="s">
        <v>5211</v>
      </c>
      <c r="B5073" s="63">
        <v>44280.0</v>
      </c>
      <c r="C5073" s="62" t="s">
        <v>119</v>
      </c>
      <c r="D5073" s="64">
        <v>90.0</v>
      </c>
      <c r="E5073" s="62" t="s">
        <v>114</v>
      </c>
      <c r="F5073" s="62" t="s">
        <v>110</v>
      </c>
      <c r="G5073" s="64" t="s">
        <v>64</v>
      </c>
      <c r="H5073" s="3" t="s">
        <v>297</v>
      </c>
      <c r="I5073" s="65">
        <f>IFERROR(VLOOKUP(A5073,'3. Call duration'!$A:$C,3,0),"--")</f>
        <v>31.27974459</v>
      </c>
      <c r="J5073" s="65" t="str">
        <f t="array" ref="J5073">XLOOKUP(H5073,'2. Matching'!$A$2:$A$39,'2. Matching'!$B$2:$B$39,"--")</f>
        <v>Farming</v>
      </c>
      <c r="K5073" s="65" t="str">
        <f t="shared" si="1"/>
        <v>In</v>
      </c>
    </row>
    <row r="5074">
      <c r="A5074" s="62" t="s">
        <v>5212</v>
      </c>
      <c r="B5074" s="63">
        <v>44312.0</v>
      </c>
      <c r="C5074" s="62" t="s">
        <v>119</v>
      </c>
      <c r="D5074" s="64">
        <v>90.0</v>
      </c>
      <c r="E5074" s="62" t="s">
        <v>114</v>
      </c>
      <c r="F5074" s="62" t="s">
        <v>110</v>
      </c>
      <c r="G5074" s="64" t="s">
        <v>64</v>
      </c>
      <c r="H5074" s="3" t="s">
        <v>52</v>
      </c>
      <c r="I5074" s="65">
        <f>IFERROR(VLOOKUP(A5074,'3. Call duration'!$A:$C,3,0),"--")</f>
        <v>11.71024836</v>
      </c>
      <c r="J5074" s="65" t="str">
        <f t="array" ref="J5074">XLOOKUP(H5074,'2. Matching'!$A$2:$A$39,'2. Matching'!$B$2:$B$39,"--")</f>
        <v>Partnerships</v>
      </c>
      <c r="K5074" s="65" t="str">
        <f t="shared" si="1"/>
        <v>In</v>
      </c>
    </row>
    <row r="5075">
      <c r="A5075" s="62" t="s">
        <v>5213</v>
      </c>
      <c r="B5075" s="63">
        <v>44284.0</v>
      </c>
      <c r="C5075" s="62" t="s">
        <v>119</v>
      </c>
      <c r="D5075" s="64">
        <v>90.0</v>
      </c>
      <c r="E5075" s="62" t="s">
        <v>114</v>
      </c>
      <c r="F5075" s="62" t="s">
        <v>115</v>
      </c>
      <c r="G5075" s="64" t="s">
        <v>64</v>
      </c>
      <c r="H5075" s="3" t="s">
        <v>131</v>
      </c>
      <c r="I5075" s="65">
        <f>IFERROR(VLOOKUP(A5075,'3. Call duration'!$A:$C,3,0),"--")</f>
        <v>27.21683108</v>
      </c>
      <c r="J5075" s="65" t="str">
        <f t="array" ref="J5075">XLOOKUP(H5075,'2. Matching'!$A$2:$A$39,'2. Matching'!$B$2:$B$39,"--")</f>
        <v>Acquisition</v>
      </c>
      <c r="K5075" s="65" t="str">
        <f t="shared" si="1"/>
        <v>In</v>
      </c>
    </row>
    <row r="5076">
      <c r="A5076" s="62" t="s">
        <v>5214</v>
      </c>
      <c r="B5076" s="63">
        <v>44271.0</v>
      </c>
      <c r="C5076" s="62" t="s">
        <v>119</v>
      </c>
      <c r="D5076" s="64">
        <v>90.0</v>
      </c>
      <c r="E5076" s="62" t="s">
        <v>114</v>
      </c>
      <c r="F5076" s="62" t="s">
        <v>115</v>
      </c>
      <c r="G5076" s="64" t="s">
        <v>64</v>
      </c>
      <c r="H5076" s="3" t="s">
        <v>171</v>
      </c>
      <c r="I5076" s="65">
        <f>IFERROR(VLOOKUP(A5076,'3. Call duration'!$A:$C,3,0),"--")</f>
        <v>29.06854818</v>
      </c>
      <c r="J5076" s="65" t="str">
        <f t="array" ref="J5076">XLOOKUP(H5076,'2. Matching'!$A$2:$A$39,'2. Matching'!$B$2:$B$39,"--")</f>
        <v>SEO</v>
      </c>
      <c r="K5076" s="65" t="str">
        <f t="shared" si="1"/>
        <v>In</v>
      </c>
    </row>
    <row r="5077">
      <c r="A5077" s="62" t="s">
        <v>5215</v>
      </c>
      <c r="B5077" s="63">
        <v>44279.0</v>
      </c>
      <c r="C5077" s="62" t="s">
        <v>119</v>
      </c>
      <c r="D5077" s="64">
        <v>90.0</v>
      </c>
      <c r="E5077" s="62" t="s">
        <v>114</v>
      </c>
      <c r="F5077" s="62" t="s">
        <v>110</v>
      </c>
      <c r="G5077" s="64" t="s">
        <v>63</v>
      </c>
      <c r="H5077" s="3" t="s">
        <v>128</v>
      </c>
      <c r="I5077" s="65">
        <f>IFERROR(VLOOKUP(A5077,'3. Call duration'!$A:$C,3,0),"--")</f>
        <v>30.99468376</v>
      </c>
      <c r="J5077" s="65" t="str">
        <f t="array" ref="J5077">XLOOKUP(H5077,'2. Matching'!$A$2:$A$39,'2. Matching'!$B$2:$B$39,"--")</f>
        <v>Acquisition</v>
      </c>
      <c r="K5077" s="65" t="str">
        <f t="shared" si="1"/>
        <v>In</v>
      </c>
    </row>
    <row r="5078">
      <c r="A5078" s="62" t="s">
        <v>5216</v>
      </c>
      <c r="B5078" s="63">
        <v>44278.0</v>
      </c>
      <c r="C5078" s="62" t="s">
        <v>119</v>
      </c>
      <c r="D5078" s="64">
        <v>90.0</v>
      </c>
      <c r="E5078" s="62" t="s">
        <v>114</v>
      </c>
      <c r="F5078" s="62" t="s">
        <v>110</v>
      </c>
      <c r="G5078" s="64" t="s">
        <v>64</v>
      </c>
      <c r="H5078" s="3" t="s">
        <v>297</v>
      </c>
      <c r="I5078" s="65">
        <f>IFERROR(VLOOKUP(A5078,'3. Call duration'!$A:$C,3,0),"--")</f>
        <v>13.99404647</v>
      </c>
      <c r="J5078" s="65" t="str">
        <f t="array" ref="J5078">XLOOKUP(H5078,'2. Matching'!$A$2:$A$39,'2. Matching'!$B$2:$B$39,"--")</f>
        <v>Farming</v>
      </c>
      <c r="K5078" s="65" t="str">
        <f t="shared" si="1"/>
        <v>In</v>
      </c>
    </row>
    <row r="5079">
      <c r="A5079" s="62" t="s">
        <v>5217</v>
      </c>
      <c r="B5079" s="63">
        <v>44287.0</v>
      </c>
      <c r="C5079" s="62" t="s">
        <v>119</v>
      </c>
      <c r="D5079" s="64">
        <v>90.0</v>
      </c>
      <c r="E5079" s="62" t="s">
        <v>114</v>
      </c>
      <c r="F5079" s="62" t="s">
        <v>110</v>
      </c>
      <c r="G5079" s="64" t="s">
        <v>64</v>
      </c>
      <c r="H5079" s="3" t="s">
        <v>175</v>
      </c>
      <c r="I5079" s="65">
        <f>IFERROR(VLOOKUP(A5079,'3. Call duration'!$A:$C,3,0),"--")</f>
        <v>27.12601875</v>
      </c>
      <c r="J5079" s="65" t="str">
        <f t="array" ref="J5079">XLOOKUP(H5079,'2. Matching'!$A$2:$A$39,'2. Matching'!$B$2:$B$39,"--")</f>
        <v>SEO</v>
      </c>
      <c r="K5079" s="65" t="str">
        <f t="shared" si="1"/>
        <v>In</v>
      </c>
    </row>
    <row r="5080">
      <c r="A5080" s="62" t="s">
        <v>5218</v>
      </c>
      <c r="B5080" s="63">
        <v>44299.0</v>
      </c>
      <c r="C5080" s="62" t="s">
        <v>119</v>
      </c>
      <c r="D5080" s="64">
        <v>90.0</v>
      </c>
      <c r="E5080" s="62" t="s">
        <v>114</v>
      </c>
      <c r="F5080" s="62" t="s">
        <v>110</v>
      </c>
      <c r="G5080" s="64" t="s">
        <v>64</v>
      </c>
      <c r="H5080" s="3" t="s">
        <v>297</v>
      </c>
      <c r="I5080" s="65">
        <f>IFERROR(VLOOKUP(A5080,'3. Call duration'!$A:$C,3,0),"--")</f>
        <v>15.92582417</v>
      </c>
      <c r="J5080" s="65" t="str">
        <f t="array" ref="J5080">XLOOKUP(H5080,'2. Matching'!$A$2:$A$39,'2. Matching'!$B$2:$B$39,"--")</f>
        <v>Farming</v>
      </c>
      <c r="K5080" s="65" t="str">
        <f t="shared" si="1"/>
        <v>In</v>
      </c>
    </row>
    <row r="5081">
      <c r="A5081" s="62" t="s">
        <v>5219</v>
      </c>
      <c r="B5081" s="63">
        <v>44262.0</v>
      </c>
      <c r="C5081" s="62" t="s">
        <v>119</v>
      </c>
      <c r="D5081" s="64">
        <v>90.0</v>
      </c>
      <c r="E5081" s="62" t="s">
        <v>114</v>
      </c>
      <c r="F5081" s="62" t="s">
        <v>115</v>
      </c>
      <c r="G5081" s="64" t="s">
        <v>64</v>
      </c>
      <c r="H5081" s="3" t="s">
        <v>139</v>
      </c>
      <c r="I5081" s="65">
        <f>IFERROR(VLOOKUP(A5081,'3. Call duration'!$A:$C,3,0),"--")</f>
        <v>26.28115672</v>
      </c>
      <c r="J5081" s="65" t="str">
        <f t="array" ref="J5081">XLOOKUP(H5081,'2. Matching'!$A$2:$A$39,'2. Matching'!$B$2:$B$39,"--")</f>
        <v>Acquisition</v>
      </c>
      <c r="K5081" s="65" t="str">
        <f t="shared" si="1"/>
        <v>In</v>
      </c>
    </row>
    <row r="5082">
      <c r="A5082" s="62" t="s">
        <v>5220</v>
      </c>
      <c r="B5082" s="63">
        <v>44285.0</v>
      </c>
      <c r="C5082" s="62" t="s">
        <v>119</v>
      </c>
      <c r="D5082" s="64">
        <v>90.0</v>
      </c>
      <c r="E5082" s="62" t="s">
        <v>114</v>
      </c>
      <c r="F5082" s="62" t="s">
        <v>110</v>
      </c>
      <c r="G5082" s="64" t="s">
        <v>64</v>
      </c>
      <c r="H5082" s="3" t="s">
        <v>297</v>
      </c>
      <c r="I5082" s="65">
        <f>IFERROR(VLOOKUP(A5082,'3. Call duration'!$A:$C,3,0),"--")</f>
        <v>21.8617884</v>
      </c>
      <c r="J5082" s="65" t="str">
        <f t="array" ref="J5082">XLOOKUP(H5082,'2. Matching'!$A$2:$A$39,'2. Matching'!$B$2:$B$39,"--")</f>
        <v>Farming</v>
      </c>
      <c r="K5082" s="65" t="str">
        <f t="shared" si="1"/>
        <v>In</v>
      </c>
    </row>
    <row r="5083">
      <c r="A5083" s="62" t="s">
        <v>5221</v>
      </c>
      <c r="B5083" s="63">
        <v>44313.0</v>
      </c>
      <c r="C5083" s="62" t="s">
        <v>119</v>
      </c>
      <c r="D5083" s="64">
        <v>90.0</v>
      </c>
      <c r="E5083" s="62" t="s">
        <v>114</v>
      </c>
      <c r="F5083" s="62" t="s">
        <v>110</v>
      </c>
      <c r="G5083" s="64" t="s">
        <v>64</v>
      </c>
      <c r="H5083" s="3" t="s">
        <v>52</v>
      </c>
      <c r="I5083" s="65">
        <f>IFERROR(VLOOKUP(A5083,'3. Call duration'!$A:$C,3,0),"--")</f>
        <v>28.41031794</v>
      </c>
      <c r="J5083" s="65" t="str">
        <f t="array" ref="J5083">XLOOKUP(H5083,'2. Matching'!$A$2:$A$39,'2. Matching'!$B$2:$B$39,"--")</f>
        <v>Partnerships</v>
      </c>
      <c r="K5083" s="65" t="str">
        <f t="shared" si="1"/>
        <v>In</v>
      </c>
    </row>
    <row r="5084">
      <c r="A5084" s="62" t="s">
        <v>5222</v>
      </c>
      <c r="B5084" s="63">
        <v>44287.0</v>
      </c>
      <c r="C5084" s="62" t="s">
        <v>119</v>
      </c>
      <c r="D5084" s="64">
        <v>90.0</v>
      </c>
      <c r="E5084" s="62" t="s">
        <v>114</v>
      </c>
      <c r="F5084" s="62" t="s">
        <v>110</v>
      </c>
      <c r="G5084" s="64" t="s">
        <v>64</v>
      </c>
      <c r="H5084" s="3" t="s">
        <v>164</v>
      </c>
      <c r="I5084" s="65">
        <f>IFERROR(VLOOKUP(A5084,'3. Call duration'!$A:$C,3,0),"--")</f>
        <v>30.87966638</v>
      </c>
      <c r="J5084" s="65" t="str">
        <f t="array" ref="J5084">XLOOKUP(H5084,'2. Matching'!$A$2:$A$39,'2. Matching'!$B$2:$B$39,"--")</f>
        <v>SEO</v>
      </c>
      <c r="K5084" s="65" t="str">
        <f t="shared" si="1"/>
        <v>In</v>
      </c>
    </row>
    <row r="5085">
      <c r="A5085" s="62" t="s">
        <v>5223</v>
      </c>
      <c r="B5085" s="63">
        <v>44314.0</v>
      </c>
      <c r="C5085" s="62" t="s">
        <v>119</v>
      </c>
      <c r="D5085" s="64">
        <v>90.0</v>
      </c>
      <c r="E5085" s="62" t="s">
        <v>114</v>
      </c>
      <c r="F5085" s="62" t="s">
        <v>115</v>
      </c>
      <c r="G5085" s="64" t="s">
        <v>64</v>
      </c>
      <c r="H5085" s="3" t="s">
        <v>221</v>
      </c>
      <c r="I5085" s="65">
        <f>IFERROR(VLOOKUP(A5085,'3. Call duration'!$A:$C,3,0),"--")</f>
        <v>23.95581514</v>
      </c>
      <c r="J5085" s="65" t="str">
        <f t="array" ref="J5085">XLOOKUP(H5085,'2. Matching'!$A$2:$A$39,'2. Matching'!$B$2:$B$39,"--")</f>
        <v>Farming</v>
      </c>
      <c r="K5085" s="65" t="str">
        <f t="shared" si="1"/>
        <v>In</v>
      </c>
    </row>
    <row r="5086">
      <c r="A5086" s="62" t="s">
        <v>5224</v>
      </c>
      <c r="B5086" s="63">
        <v>44263.0</v>
      </c>
      <c r="C5086" s="62" t="s">
        <v>119</v>
      </c>
      <c r="D5086" s="64">
        <v>90.0</v>
      </c>
      <c r="E5086" s="62" t="s">
        <v>114</v>
      </c>
      <c r="F5086" s="62" t="s">
        <v>115</v>
      </c>
      <c r="G5086" s="64" t="s">
        <v>64</v>
      </c>
      <c r="H5086" s="3" t="s">
        <v>169</v>
      </c>
      <c r="I5086" s="65" t="str">
        <f>IFERROR(VLOOKUP(A5086,'3. Call duration'!$A:$C,3,0),"--")</f>
        <v>--</v>
      </c>
      <c r="J5086" s="65" t="str">
        <f t="array" ref="J5086">XLOOKUP(H5086,'2. Matching'!$A$2:$A$39,'2. Matching'!$B$2:$B$39,"--")</f>
        <v>SEO</v>
      </c>
      <c r="K5086" s="65" t="str">
        <f t="shared" si="1"/>
        <v>In</v>
      </c>
    </row>
    <row r="5087">
      <c r="A5087" s="62" t="s">
        <v>5225</v>
      </c>
      <c r="B5087" s="63">
        <v>44309.0</v>
      </c>
      <c r="C5087" s="62" t="s">
        <v>119</v>
      </c>
      <c r="D5087" s="64">
        <v>90.0</v>
      </c>
      <c r="E5087" s="62" t="s">
        <v>114</v>
      </c>
      <c r="F5087" s="62" t="s">
        <v>110</v>
      </c>
      <c r="G5087" s="64" t="s">
        <v>64</v>
      </c>
      <c r="H5087" s="3" t="s">
        <v>185</v>
      </c>
      <c r="I5087" s="65">
        <f>IFERROR(VLOOKUP(A5087,'3. Call duration'!$A:$C,3,0),"--")</f>
        <v>25.59485754</v>
      </c>
      <c r="J5087" s="65" t="str">
        <f t="array" ref="J5087">XLOOKUP(H5087,'2. Matching'!$A$2:$A$39,'2. Matching'!$B$2:$B$39,"--")</f>
        <v>SEO</v>
      </c>
      <c r="K5087" s="65" t="str">
        <f t="shared" si="1"/>
        <v>In</v>
      </c>
    </row>
    <row r="5088">
      <c r="A5088" s="62" t="s">
        <v>5226</v>
      </c>
      <c r="B5088" s="63">
        <v>44267.0</v>
      </c>
      <c r="C5088" s="62" t="s">
        <v>119</v>
      </c>
      <c r="D5088" s="64">
        <v>90.0</v>
      </c>
      <c r="E5088" s="62" t="s">
        <v>114</v>
      </c>
      <c r="F5088" s="62" t="s">
        <v>115</v>
      </c>
      <c r="G5088" s="64" t="s">
        <v>64</v>
      </c>
      <c r="H5088" s="3" t="s">
        <v>139</v>
      </c>
      <c r="I5088" s="65">
        <f>IFERROR(VLOOKUP(A5088,'3. Call duration'!$A:$C,3,0),"--")</f>
        <v>30.96137378</v>
      </c>
      <c r="J5088" s="65" t="str">
        <f t="array" ref="J5088">XLOOKUP(H5088,'2. Matching'!$A$2:$A$39,'2. Matching'!$B$2:$B$39,"--")</f>
        <v>Acquisition</v>
      </c>
      <c r="K5088" s="65" t="str">
        <f t="shared" si="1"/>
        <v>In</v>
      </c>
    </row>
    <row r="5089">
      <c r="A5089" s="62" t="s">
        <v>5227</v>
      </c>
      <c r="B5089" s="63">
        <v>44289.0</v>
      </c>
      <c r="C5089" s="62" t="s">
        <v>119</v>
      </c>
      <c r="D5089" s="64">
        <v>90.0</v>
      </c>
      <c r="E5089" s="62" t="s">
        <v>114</v>
      </c>
      <c r="F5089" s="62" t="s">
        <v>110</v>
      </c>
      <c r="G5089" s="64" t="s">
        <v>64</v>
      </c>
      <c r="H5089" s="3" t="s">
        <v>297</v>
      </c>
      <c r="I5089" s="65">
        <f>IFERROR(VLOOKUP(A5089,'3. Call duration'!$A:$C,3,0),"--")</f>
        <v>33.46364047</v>
      </c>
      <c r="J5089" s="65" t="str">
        <f t="array" ref="J5089">XLOOKUP(H5089,'2. Matching'!$A$2:$A$39,'2. Matching'!$B$2:$B$39,"--")</f>
        <v>Farming</v>
      </c>
      <c r="K5089" s="65" t="str">
        <f t="shared" si="1"/>
        <v>In</v>
      </c>
    </row>
    <row r="5090">
      <c r="A5090" s="62" t="s">
        <v>5228</v>
      </c>
      <c r="B5090" s="63">
        <v>44298.0</v>
      </c>
      <c r="C5090" s="62" t="s">
        <v>119</v>
      </c>
      <c r="D5090" s="64">
        <v>90.0</v>
      </c>
      <c r="E5090" s="62" t="s">
        <v>114</v>
      </c>
      <c r="F5090" s="62" t="s">
        <v>110</v>
      </c>
      <c r="G5090" s="64" t="s">
        <v>64</v>
      </c>
      <c r="H5090" s="3" t="s">
        <v>297</v>
      </c>
      <c r="I5090" s="65">
        <f>IFERROR(VLOOKUP(A5090,'3. Call duration'!$A:$C,3,0),"--")</f>
        <v>28.46795375</v>
      </c>
      <c r="J5090" s="65" t="str">
        <f t="array" ref="J5090">XLOOKUP(H5090,'2. Matching'!$A$2:$A$39,'2. Matching'!$B$2:$B$39,"--")</f>
        <v>Farming</v>
      </c>
      <c r="K5090" s="65" t="str">
        <f t="shared" si="1"/>
        <v>In</v>
      </c>
    </row>
    <row r="5091">
      <c r="A5091" s="62" t="s">
        <v>5229</v>
      </c>
      <c r="B5091" s="63">
        <v>44284.0</v>
      </c>
      <c r="C5091" s="62" t="s">
        <v>119</v>
      </c>
      <c r="D5091" s="64">
        <v>90.0</v>
      </c>
      <c r="E5091" s="62" t="s">
        <v>114</v>
      </c>
      <c r="F5091" s="62" t="s">
        <v>115</v>
      </c>
      <c r="G5091" s="64" t="s">
        <v>64</v>
      </c>
      <c r="H5091" s="3" t="s">
        <v>131</v>
      </c>
      <c r="I5091" s="65">
        <f>IFERROR(VLOOKUP(A5091,'3. Call duration'!$A:$C,3,0),"--")</f>
        <v>20.06500731</v>
      </c>
      <c r="J5091" s="65" t="str">
        <f t="array" ref="J5091">XLOOKUP(H5091,'2. Matching'!$A$2:$A$39,'2. Matching'!$B$2:$B$39,"--")</f>
        <v>Acquisition</v>
      </c>
      <c r="K5091" s="65" t="str">
        <f t="shared" si="1"/>
        <v>In</v>
      </c>
    </row>
    <row r="5092">
      <c r="A5092" s="62" t="s">
        <v>5230</v>
      </c>
      <c r="B5092" s="63">
        <v>44298.0</v>
      </c>
      <c r="C5092" s="62" t="s">
        <v>119</v>
      </c>
      <c r="D5092" s="64">
        <v>90.0</v>
      </c>
      <c r="E5092" s="62" t="s">
        <v>114</v>
      </c>
      <c r="F5092" s="62" t="s">
        <v>110</v>
      </c>
      <c r="G5092" s="64" t="s">
        <v>64</v>
      </c>
      <c r="H5092" s="3" t="s">
        <v>164</v>
      </c>
      <c r="I5092" s="65">
        <f>IFERROR(VLOOKUP(A5092,'3. Call duration'!$A:$C,3,0),"--")</f>
        <v>31.86771046</v>
      </c>
      <c r="J5092" s="65" t="str">
        <f t="array" ref="J5092">XLOOKUP(H5092,'2. Matching'!$A$2:$A$39,'2. Matching'!$B$2:$B$39,"--")</f>
        <v>SEO</v>
      </c>
      <c r="K5092" s="65" t="str">
        <f t="shared" si="1"/>
        <v>In</v>
      </c>
    </row>
    <row r="5093">
      <c r="A5093" s="62" t="s">
        <v>5231</v>
      </c>
      <c r="B5093" s="63">
        <v>44258.0</v>
      </c>
      <c r="C5093" s="62" t="s">
        <v>119</v>
      </c>
      <c r="D5093" s="64">
        <v>90.0</v>
      </c>
      <c r="E5093" s="62" t="s">
        <v>114</v>
      </c>
      <c r="F5093" s="62" t="s">
        <v>115</v>
      </c>
      <c r="G5093" s="64" t="s">
        <v>64</v>
      </c>
      <c r="H5093" s="3" t="s">
        <v>141</v>
      </c>
      <c r="I5093" s="65">
        <f>IFERROR(VLOOKUP(A5093,'3. Call duration'!$A:$C,3,0),"--")</f>
        <v>26.39029191</v>
      </c>
      <c r="J5093" s="65" t="str">
        <f t="array" ref="J5093">XLOOKUP(H5093,'2. Matching'!$A$2:$A$39,'2. Matching'!$B$2:$B$39,"--")</f>
        <v>Acquisition</v>
      </c>
      <c r="K5093" s="65" t="str">
        <f t="shared" si="1"/>
        <v>In</v>
      </c>
    </row>
    <row r="5094">
      <c r="A5094" s="62" t="s">
        <v>5232</v>
      </c>
      <c r="B5094" s="63">
        <v>44288.0</v>
      </c>
      <c r="C5094" s="62" t="s">
        <v>119</v>
      </c>
      <c r="D5094" s="64">
        <v>90.0</v>
      </c>
      <c r="E5094" s="62" t="s">
        <v>114</v>
      </c>
      <c r="F5094" s="62" t="s">
        <v>115</v>
      </c>
      <c r="G5094" s="64" t="s">
        <v>64</v>
      </c>
      <c r="H5094" s="3" t="s">
        <v>155</v>
      </c>
      <c r="I5094" s="65">
        <f>IFERROR(VLOOKUP(A5094,'3. Call duration'!$A:$C,3,0),"--")</f>
        <v>25.73590997</v>
      </c>
      <c r="J5094" s="65" t="str">
        <f t="array" ref="J5094">XLOOKUP(H5094,'2. Matching'!$A$2:$A$39,'2. Matching'!$B$2:$B$39,"--")</f>
        <v>SEO</v>
      </c>
      <c r="K5094" s="65" t="str">
        <f t="shared" si="1"/>
        <v>In</v>
      </c>
    </row>
    <row r="5095">
      <c r="A5095" s="62" t="s">
        <v>5233</v>
      </c>
      <c r="B5095" s="63">
        <v>44279.0</v>
      </c>
      <c r="C5095" s="62" t="s">
        <v>119</v>
      </c>
      <c r="D5095" s="64">
        <v>90.0</v>
      </c>
      <c r="E5095" s="62" t="s">
        <v>114</v>
      </c>
      <c r="F5095" s="62" t="s">
        <v>115</v>
      </c>
      <c r="G5095" s="64" t="s">
        <v>64</v>
      </c>
      <c r="H5095" s="3" t="s">
        <v>155</v>
      </c>
      <c r="I5095" s="65">
        <f>IFERROR(VLOOKUP(A5095,'3. Call duration'!$A:$C,3,0),"--")</f>
        <v>22.09014489</v>
      </c>
      <c r="J5095" s="65" t="str">
        <f t="array" ref="J5095">XLOOKUP(H5095,'2. Matching'!$A$2:$A$39,'2. Matching'!$B$2:$B$39,"--")</f>
        <v>SEO</v>
      </c>
      <c r="K5095" s="65" t="str">
        <f t="shared" si="1"/>
        <v>In</v>
      </c>
    </row>
    <row r="5096">
      <c r="A5096" s="62" t="s">
        <v>5234</v>
      </c>
      <c r="B5096" s="63">
        <v>44260.0</v>
      </c>
      <c r="C5096" s="62" t="s">
        <v>119</v>
      </c>
      <c r="D5096" s="64">
        <v>90.0</v>
      </c>
      <c r="E5096" s="62" t="s">
        <v>114</v>
      </c>
      <c r="F5096" s="62" t="s">
        <v>115</v>
      </c>
      <c r="G5096" s="64" t="s">
        <v>64</v>
      </c>
      <c r="H5096" s="3" t="s">
        <v>155</v>
      </c>
      <c r="I5096" s="65">
        <f>IFERROR(VLOOKUP(A5096,'3. Call duration'!$A:$C,3,0),"--")</f>
        <v>28.13581201</v>
      </c>
      <c r="J5096" s="65" t="str">
        <f t="array" ref="J5096">XLOOKUP(H5096,'2. Matching'!$A$2:$A$39,'2. Matching'!$B$2:$B$39,"--")</f>
        <v>SEO</v>
      </c>
      <c r="K5096" s="65" t="str">
        <f t="shared" si="1"/>
        <v>In</v>
      </c>
    </row>
    <row r="5097">
      <c r="A5097" s="62" t="s">
        <v>5235</v>
      </c>
      <c r="B5097" s="63">
        <v>44281.0</v>
      </c>
      <c r="C5097" s="62" t="s">
        <v>119</v>
      </c>
      <c r="D5097" s="64">
        <v>90.0</v>
      </c>
      <c r="E5097" s="62" t="s">
        <v>114</v>
      </c>
      <c r="F5097" s="62" t="s">
        <v>115</v>
      </c>
      <c r="G5097" s="64" t="s">
        <v>64</v>
      </c>
      <c r="H5097" s="3" t="s">
        <v>169</v>
      </c>
      <c r="I5097" s="65">
        <f>IFERROR(VLOOKUP(A5097,'3. Call duration'!$A:$C,3,0),"--")</f>
        <v>27.76345422</v>
      </c>
      <c r="J5097" s="65" t="str">
        <f t="array" ref="J5097">XLOOKUP(H5097,'2. Matching'!$A$2:$A$39,'2. Matching'!$B$2:$B$39,"--")</f>
        <v>SEO</v>
      </c>
      <c r="K5097" s="65" t="str">
        <f t="shared" si="1"/>
        <v>In</v>
      </c>
    </row>
    <row r="5098">
      <c r="A5098" s="62" t="s">
        <v>5236</v>
      </c>
      <c r="B5098" s="63">
        <v>44315.0</v>
      </c>
      <c r="C5098" s="62" t="s">
        <v>119</v>
      </c>
      <c r="D5098" s="64">
        <v>90.0</v>
      </c>
      <c r="E5098" s="62" t="s">
        <v>114</v>
      </c>
      <c r="F5098" s="62" t="s">
        <v>115</v>
      </c>
      <c r="G5098" s="64" t="s">
        <v>64</v>
      </c>
      <c r="H5098" s="3" t="s">
        <v>116</v>
      </c>
      <c r="I5098" s="65">
        <f>IFERROR(VLOOKUP(A5098,'3. Call duration'!$A:$C,3,0),"--")</f>
        <v>24.39964011</v>
      </c>
      <c r="J5098" s="65" t="str">
        <f t="array" ref="J5098">XLOOKUP(H5098,'2. Matching'!$A$2:$A$39,'2. Matching'!$B$2:$B$39,"--")</f>
        <v>Acquisition</v>
      </c>
      <c r="K5098" s="65" t="str">
        <f t="shared" si="1"/>
        <v>In</v>
      </c>
    </row>
    <row r="5099">
      <c r="A5099" s="62" t="s">
        <v>5237</v>
      </c>
      <c r="B5099" s="63">
        <v>44293.0</v>
      </c>
      <c r="C5099" s="62" t="s">
        <v>119</v>
      </c>
      <c r="D5099" s="64">
        <v>90.0</v>
      </c>
      <c r="E5099" s="62" t="s">
        <v>114</v>
      </c>
      <c r="F5099" s="62" t="s">
        <v>110</v>
      </c>
      <c r="G5099" s="64" t="s">
        <v>64</v>
      </c>
      <c r="H5099" s="3" t="s">
        <v>52</v>
      </c>
      <c r="I5099" s="65">
        <f>IFERROR(VLOOKUP(A5099,'3. Call duration'!$A:$C,3,0),"--")</f>
        <v>21.77348538</v>
      </c>
      <c r="J5099" s="65" t="str">
        <f t="array" ref="J5099">XLOOKUP(H5099,'2. Matching'!$A$2:$A$39,'2. Matching'!$B$2:$B$39,"--")</f>
        <v>Partnerships</v>
      </c>
      <c r="K5099" s="65" t="str">
        <f t="shared" si="1"/>
        <v>In</v>
      </c>
    </row>
    <row r="5100">
      <c r="A5100" s="62" t="s">
        <v>5238</v>
      </c>
      <c r="B5100" s="63">
        <v>44285.0</v>
      </c>
      <c r="C5100" s="62" t="s">
        <v>119</v>
      </c>
      <c r="D5100" s="64">
        <v>90.0</v>
      </c>
      <c r="E5100" s="62" t="s">
        <v>114</v>
      </c>
      <c r="F5100" s="62" t="s">
        <v>115</v>
      </c>
      <c r="G5100" s="64" t="s">
        <v>64</v>
      </c>
      <c r="H5100" s="3" t="s">
        <v>185</v>
      </c>
      <c r="I5100" s="65">
        <f>IFERROR(VLOOKUP(A5100,'3. Call duration'!$A:$C,3,0),"--")</f>
        <v>32.8812688</v>
      </c>
      <c r="J5100" s="65" t="str">
        <f t="array" ref="J5100">XLOOKUP(H5100,'2. Matching'!$A$2:$A$39,'2. Matching'!$B$2:$B$39,"--")</f>
        <v>SEO</v>
      </c>
      <c r="K5100" s="65" t="str">
        <f t="shared" si="1"/>
        <v>In</v>
      </c>
    </row>
    <row r="5101">
      <c r="A5101" s="62" t="s">
        <v>5239</v>
      </c>
      <c r="B5101" s="63">
        <v>44280.0</v>
      </c>
      <c r="C5101" s="62" t="s">
        <v>119</v>
      </c>
      <c r="D5101" s="64">
        <v>90.0</v>
      </c>
      <c r="E5101" s="62" t="s">
        <v>114</v>
      </c>
      <c r="F5101" s="62" t="s">
        <v>110</v>
      </c>
      <c r="G5101" s="64" t="s">
        <v>64</v>
      </c>
      <c r="H5101" s="3" t="s">
        <v>297</v>
      </c>
      <c r="I5101" s="65">
        <f>IFERROR(VLOOKUP(A5101,'3. Call duration'!$A:$C,3,0),"--")</f>
        <v>29.52644915</v>
      </c>
      <c r="J5101" s="65" t="str">
        <f t="array" ref="J5101">XLOOKUP(H5101,'2. Matching'!$A$2:$A$39,'2. Matching'!$B$2:$B$39,"--")</f>
        <v>Farming</v>
      </c>
      <c r="K5101" s="65" t="str">
        <f t="shared" si="1"/>
        <v>In</v>
      </c>
    </row>
    <row r="5102">
      <c r="A5102" s="62" t="s">
        <v>5240</v>
      </c>
      <c r="B5102" s="63">
        <v>44281.0</v>
      </c>
      <c r="C5102" s="62" t="s">
        <v>119</v>
      </c>
      <c r="D5102" s="64">
        <v>90.0</v>
      </c>
      <c r="E5102" s="62" t="s">
        <v>114</v>
      </c>
      <c r="F5102" s="62" t="s">
        <v>115</v>
      </c>
      <c r="G5102" s="64" t="s">
        <v>64</v>
      </c>
      <c r="H5102" s="3" t="s">
        <v>49</v>
      </c>
      <c r="I5102" s="65">
        <f>IFERROR(VLOOKUP(A5102,'3. Call duration'!$A:$C,3,0),"--")</f>
        <v>21.22368288</v>
      </c>
      <c r="J5102" s="65" t="str">
        <f t="array" ref="J5102">XLOOKUP(H5102,'2. Matching'!$A$2:$A$39,'2. Matching'!$B$2:$B$39,"--")</f>
        <v>Partnerships</v>
      </c>
      <c r="K5102" s="65" t="str">
        <f t="shared" si="1"/>
        <v>In</v>
      </c>
    </row>
    <row r="5103">
      <c r="A5103" s="62" t="s">
        <v>5241</v>
      </c>
      <c r="B5103" s="63">
        <v>44270.0</v>
      </c>
      <c r="C5103" s="62" t="s">
        <v>119</v>
      </c>
      <c r="D5103" s="64">
        <v>90.0</v>
      </c>
      <c r="E5103" s="62" t="s">
        <v>114</v>
      </c>
      <c r="F5103" s="62" t="s">
        <v>115</v>
      </c>
      <c r="G5103" s="64" t="s">
        <v>64</v>
      </c>
      <c r="H5103" s="3" t="s">
        <v>139</v>
      </c>
      <c r="I5103" s="65">
        <f>IFERROR(VLOOKUP(A5103,'3. Call duration'!$A:$C,3,0),"--")</f>
        <v>21.23197624</v>
      </c>
      <c r="J5103" s="65" t="str">
        <f t="array" ref="J5103">XLOOKUP(H5103,'2. Matching'!$A$2:$A$39,'2. Matching'!$B$2:$B$39,"--")</f>
        <v>Acquisition</v>
      </c>
      <c r="K5103" s="65" t="str">
        <f t="shared" si="1"/>
        <v>In</v>
      </c>
    </row>
    <row r="5104">
      <c r="A5104" s="62" t="s">
        <v>5242</v>
      </c>
      <c r="B5104" s="63">
        <v>44273.0</v>
      </c>
      <c r="C5104" s="62" t="s">
        <v>119</v>
      </c>
      <c r="D5104" s="64">
        <v>90.0</v>
      </c>
      <c r="E5104" s="62" t="s">
        <v>114</v>
      </c>
      <c r="F5104" s="62" t="s">
        <v>110</v>
      </c>
      <c r="G5104" s="64" t="s">
        <v>64</v>
      </c>
      <c r="H5104" s="3" t="s">
        <v>155</v>
      </c>
      <c r="I5104" s="65">
        <f>IFERROR(VLOOKUP(A5104,'3. Call duration'!$A:$C,3,0),"--")</f>
        <v>14.60893728</v>
      </c>
      <c r="J5104" s="65" t="str">
        <f t="array" ref="J5104">XLOOKUP(H5104,'2. Matching'!$A$2:$A$39,'2. Matching'!$B$2:$B$39,"--")</f>
        <v>SEO</v>
      </c>
      <c r="K5104" s="65" t="str">
        <f t="shared" si="1"/>
        <v>In</v>
      </c>
    </row>
    <row r="5105">
      <c r="A5105" s="62" t="s">
        <v>5243</v>
      </c>
      <c r="B5105" s="63">
        <v>44278.0</v>
      </c>
      <c r="C5105" s="62" t="s">
        <v>119</v>
      </c>
      <c r="D5105" s="64">
        <v>90.0</v>
      </c>
      <c r="E5105" s="62" t="s">
        <v>114</v>
      </c>
      <c r="F5105" s="62" t="s">
        <v>110</v>
      </c>
      <c r="G5105" s="64" t="s">
        <v>64</v>
      </c>
      <c r="H5105" s="3" t="s">
        <v>54</v>
      </c>
      <c r="I5105" s="65">
        <f>IFERROR(VLOOKUP(A5105,'3. Call duration'!$A:$C,3,0),"--")</f>
        <v>21.62881751</v>
      </c>
      <c r="J5105" s="65" t="str">
        <f t="array" ref="J5105">XLOOKUP(H5105,'2. Matching'!$A$2:$A$39,'2. Matching'!$B$2:$B$39,"--")</f>
        <v>Partnerships</v>
      </c>
      <c r="K5105" s="65" t="str">
        <f t="shared" si="1"/>
        <v>In</v>
      </c>
    </row>
    <row r="5106">
      <c r="A5106" s="62" t="s">
        <v>5244</v>
      </c>
      <c r="B5106" s="63">
        <v>44299.0</v>
      </c>
      <c r="C5106" s="62" t="s">
        <v>119</v>
      </c>
      <c r="D5106" s="64">
        <v>90.0</v>
      </c>
      <c r="E5106" s="62" t="s">
        <v>114</v>
      </c>
      <c r="F5106" s="62" t="s">
        <v>115</v>
      </c>
      <c r="G5106" s="64" t="s">
        <v>64</v>
      </c>
      <c r="H5106" s="3" t="s">
        <v>164</v>
      </c>
      <c r="I5106" s="65">
        <f>IFERROR(VLOOKUP(A5106,'3. Call duration'!$A:$C,3,0),"--")</f>
        <v>23.9684062</v>
      </c>
      <c r="J5106" s="65" t="str">
        <f t="array" ref="J5106">XLOOKUP(H5106,'2. Matching'!$A$2:$A$39,'2. Matching'!$B$2:$B$39,"--")</f>
        <v>SEO</v>
      </c>
      <c r="K5106" s="65" t="str">
        <f t="shared" si="1"/>
        <v>In</v>
      </c>
    </row>
    <row r="5107">
      <c r="A5107" s="62" t="s">
        <v>5245</v>
      </c>
      <c r="B5107" s="63">
        <v>44284.0</v>
      </c>
      <c r="C5107" s="62" t="s">
        <v>119</v>
      </c>
      <c r="D5107" s="64">
        <v>90.0</v>
      </c>
      <c r="E5107" s="62" t="s">
        <v>114</v>
      </c>
      <c r="F5107" s="62" t="s">
        <v>115</v>
      </c>
      <c r="G5107" s="64" t="s">
        <v>64</v>
      </c>
      <c r="H5107" s="3" t="s">
        <v>155</v>
      </c>
      <c r="I5107" s="65">
        <f>IFERROR(VLOOKUP(A5107,'3. Call duration'!$A:$C,3,0),"--")</f>
        <v>26.64488912</v>
      </c>
      <c r="J5107" s="65" t="str">
        <f t="array" ref="J5107">XLOOKUP(H5107,'2. Matching'!$A$2:$A$39,'2. Matching'!$B$2:$B$39,"--")</f>
        <v>SEO</v>
      </c>
      <c r="K5107" s="65" t="str">
        <f t="shared" si="1"/>
        <v>In</v>
      </c>
    </row>
    <row r="5108">
      <c r="A5108" s="62" t="s">
        <v>5246</v>
      </c>
      <c r="B5108" s="63">
        <v>44281.0</v>
      </c>
      <c r="C5108" s="62" t="s">
        <v>119</v>
      </c>
      <c r="D5108" s="64">
        <v>90.0</v>
      </c>
      <c r="E5108" s="62" t="s">
        <v>114</v>
      </c>
      <c r="F5108" s="62" t="s">
        <v>110</v>
      </c>
      <c r="G5108" s="64" t="s">
        <v>64</v>
      </c>
      <c r="H5108" s="3" t="s">
        <v>297</v>
      </c>
      <c r="I5108" s="65">
        <f>IFERROR(VLOOKUP(A5108,'3. Call duration'!$A:$C,3,0),"--")</f>
        <v>32.6891628</v>
      </c>
      <c r="J5108" s="65" t="str">
        <f t="array" ref="J5108">XLOOKUP(H5108,'2. Matching'!$A$2:$A$39,'2. Matching'!$B$2:$B$39,"--")</f>
        <v>Farming</v>
      </c>
      <c r="K5108" s="65" t="str">
        <f t="shared" si="1"/>
        <v>In</v>
      </c>
    </row>
    <row r="5109">
      <c r="A5109" s="62" t="s">
        <v>5247</v>
      </c>
      <c r="B5109" s="63">
        <v>44309.0</v>
      </c>
      <c r="C5109" s="62" t="s">
        <v>119</v>
      </c>
      <c r="D5109" s="64">
        <v>90.0</v>
      </c>
      <c r="E5109" s="62" t="s">
        <v>114</v>
      </c>
      <c r="F5109" s="62" t="s">
        <v>115</v>
      </c>
      <c r="G5109" s="64" t="s">
        <v>64</v>
      </c>
      <c r="H5109" s="3" t="s">
        <v>141</v>
      </c>
      <c r="I5109" s="65">
        <f>IFERROR(VLOOKUP(A5109,'3. Call duration'!$A:$C,3,0),"--")</f>
        <v>35.02170938</v>
      </c>
      <c r="J5109" s="65" t="str">
        <f t="array" ref="J5109">XLOOKUP(H5109,'2. Matching'!$A$2:$A$39,'2. Matching'!$B$2:$B$39,"--")</f>
        <v>Acquisition</v>
      </c>
      <c r="K5109" s="65" t="str">
        <f t="shared" si="1"/>
        <v>In</v>
      </c>
    </row>
    <row r="5110">
      <c r="A5110" s="62" t="s">
        <v>5248</v>
      </c>
      <c r="B5110" s="63">
        <v>44257.0</v>
      </c>
      <c r="C5110" s="62" t="s">
        <v>119</v>
      </c>
      <c r="D5110" s="64">
        <v>90.0</v>
      </c>
      <c r="E5110" s="62" t="s">
        <v>114</v>
      </c>
      <c r="F5110" s="62" t="s">
        <v>110</v>
      </c>
      <c r="G5110" s="64" t="s">
        <v>63</v>
      </c>
      <c r="H5110" s="3" t="s">
        <v>128</v>
      </c>
      <c r="I5110" s="65">
        <f>IFERROR(VLOOKUP(A5110,'3. Call duration'!$A:$C,3,0),"--")</f>
        <v>16.75314327</v>
      </c>
      <c r="J5110" s="65" t="str">
        <f t="array" ref="J5110">XLOOKUP(H5110,'2. Matching'!$A$2:$A$39,'2. Matching'!$B$2:$B$39,"--")</f>
        <v>Acquisition</v>
      </c>
      <c r="K5110" s="65" t="str">
        <f t="shared" si="1"/>
        <v>In</v>
      </c>
    </row>
    <row r="5111">
      <c r="A5111" s="62" t="s">
        <v>5249</v>
      </c>
      <c r="B5111" s="63">
        <v>44314.0</v>
      </c>
      <c r="C5111" s="62" t="s">
        <v>119</v>
      </c>
      <c r="D5111" s="64">
        <v>90.0</v>
      </c>
      <c r="E5111" s="62" t="s">
        <v>114</v>
      </c>
      <c r="F5111" s="62" t="s">
        <v>115</v>
      </c>
      <c r="G5111" s="64" t="s">
        <v>64</v>
      </c>
      <c r="H5111" s="3" t="s">
        <v>131</v>
      </c>
      <c r="I5111" s="65">
        <f>IFERROR(VLOOKUP(A5111,'3. Call duration'!$A:$C,3,0),"--")</f>
        <v>21.52243895</v>
      </c>
      <c r="J5111" s="65" t="str">
        <f t="array" ref="J5111">XLOOKUP(H5111,'2. Matching'!$A$2:$A$39,'2. Matching'!$B$2:$B$39,"--")</f>
        <v>Acquisition</v>
      </c>
      <c r="K5111" s="65" t="str">
        <f t="shared" si="1"/>
        <v>In</v>
      </c>
    </row>
    <row r="5112">
      <c r="A5112" s="62" t="s">
        <v>5250</v>
      </c>
      <c r="B5112" s="63">
        <v>44280.0</v>
      </c>
      <c r="C5112" s="62" t="s">
        <v>119</v>
      </c>
      <c r="D5112" s="64">
        <v>90.0</v>
      </c>
      <c r="E5112" s="62" t="s">
        <v>114</v>
      </c>
      <c r="F5112" s="62" t="s">
        <v>110</v>
      </c>
      <c r="G5112" s="64" t="s">
        <v>63</v>
      </c>
      <c r="H5112" s="3" t="s">
        <v>128</v>
      </c>
      <c r="I5112" s="65" t="str">
        <f>IFERROR(VLOOKUP(A5112,'3. Call duration'!$A:$C,3,0),"--")</f>
        <v>--</v>
      </c>
      <c r="J5112" s="65" t="str">
        <f t="array" ref="J5112">XLOOKUP(H5112,'2. Matching'!$A$2:$A$39,'2. Matching'!$B$2:$B$39,"--")</f>
        <v>Acquisition</v>
      </c>
      <c r="K5112" s="65" t="str">
        <f t="shared" si="1"/>
        <v>In</v>
      </c>
    </row>
    <row r="5113">
      <c r="A5113" s="62" t="s">
        <v>5251</v>
      </c>
      <c r="B5113" s="63">
        <v>44312.0</v>
      </c>
      <c r="C5113" s="62" t="s">
        <v>119</v>
      </c>
      <c r="D5113" s="64">
        <v>90.0</v>
      </c>
      <c r="E5113" s="62" t="s">
        <v>114</v>
      </c>
      <c r="F5113" s="62" t="s">
        <v>115</v>
      </c>
      <c r="G5113" s="64" t="s">
        <v>64</v>
      </c>
      <c r="H5113" s="3" t="s">
        <v>175</v>
      </c>
      <c r="I5113" s="65" t="str">
        <f>IFERROR(VLOOKUP(A5113,'3. Call duration'!$A:$C,3,0),"--")</f>
        <v>--</v>
      </c>
      <c r="J5113" s="65" t="str">
        <f t="array" ref="J5113">XLOOKUP(H5113,'2. Matching'!$A$2:$A$39,'2. Matching'!$B$2:$B$39,"--")</f>
        <v>SEO</v>
      </c>
      <c r="K5113" s="65" t="str">
        <f t="shared" si="1"/>
        <v>In</v>
      </c>
    </row>
    <row r="5114">
      <c r="A5114" s="62" t="s">
        <v>5252</v>
      </c>
      <c r="B5114" s="63">
        <v>44273.0</v>
      </c>
      <c r="C5114" s="62" t="s">
        <v>119</v>
      </c>
      <c r="D5114" s="64">
        <v>90.0</v>
      </c>
      <c r="E5114" s="62" t="s">
        <v>114</v>
      </c>
      <c r="F5114" s="62" t="s">
        <v>110</v>
      </c>
      <c r="G5114" s="64" t="s">
        <v>64</v>
      </c>
      <c r="H5114" s="3" t="s">
        <v>297</v>
      </c>
      <c r="I5114" s="65">
        <f>IFERROR(VLOOKUP(A5114,'3. Call duration'!$A:$C,3,0),"--")</f>
        <v>33.35675639</v>
      </c>
      <c r="J5114" s="65" t="str">
        <f t="array" ref="J5114">XLOOKUP(H5114,'2. Matching'!$A$2:$A$39,'2. Matching'!$B$2:$B$39,"--")</f>
        <v>Farming</v>
      </c>
      <c r="K5114" s="65" t="str">
        <f t="shared" si="1"/>
        <v>In</v>
      </c>
    </row>
    <row r="5115">
      <c r="A5115" s="62" t="s">
        <v>5253</v>
      </c>
      <c r="B5115" s="63">
        <v>44285.0</v>
      </c>
      <c r="C5115" s="62" t="s">
        <v>119</v>
      </c>
      <c r="D5115" s="64">
        <v>90.0</v>
      </c>
      <c r="E5115" s="62" t="s">
        <v>114</v>
      </c>
      <c r="F5115" s="62" t="s">
        <v>110</v>
      </c>
      <c r="G5115" s="64" t="s">
        <v>64</v>
      </c>
      <c r="H5115" s="3" t="s">
        <v>297</v>
      </c>
      <c r="I5115" s="65">
        <f>IFERROR(VLOOKUP(A5115,'3. Call duration'!$A:$C,3,0),"--")</f>
        <v>23.33442367</v>
      </c>
      <c r="J5115" s="65" t="str">
        <f t="array" ref="J5115">XLOOKUP(H5115,'2. Matching'!$A$2:$A$39,'2. Matching'!$B$2:$B$39,"--")</f>
        <v>Farming</v>
      </c>
      <c r="K5115" s="65" t="str">
        <f t="shared" si="1"/>
        <v>In</v>
      </c>
    </row>
    <row r="5116">
      <c r="A5116" s="62" t="s">
        <v>5254</v>
      </c>
      <c r="B5116" s="63">
        <v>44258.0</v>
      </c>
      <c r="C5116" s="62" t="s">
        <v>119</v>
      </c>
      <c r="D5116" s="64">
        <v>90.0</v>
      </c>
      <c r="E5116" s="62" t="s">
        <v>114</v>
      </c>
      <c r="F5116" s="62" t="s">
        <v>115</v>
      </c>
      <c r="G5116" s="64" t="s">
        <v>64</v>
      </c>
      <c r="H5116" s="3" t="s">
        <v>139</v>
      </c>
      <c r="I5116" s="65">
        <f>IFERROR(VLOOKUP(A5116,'3. Call duration'!$A:$C,3,0),"--")</f>
        <v>23.58612228</v>
      </c>
      <c r="J5116" s="65" t="str">
        <f t="array" ref="J5116">XLOOKUP(H5116,'2. Matching'!$A$2:$A$39,'2. Matching'!$B$2:$B$39,"--")</f>
        <v>Acquisition</v>
      </c>
      <c r="K5116" s="65" t="str">
        <f t="shared" si="1"/>
        <v>In</v>
      </c>
    </row>
    <row r="5117">
      <c r="A5117" s="62" t="s">
        <v>5255</v>
      </c>
      <c r="B5117" s="63">
        <v>44285.0</v>
      </c>
      <c r="C5117" s="62" t="s">
        <v>119</v>
      </c>
      <c r="D5117" s="64">
        <v>90.0</v>
      </c>
      <c r="E5117" s="62" t="s">
        <v>114</v>
      </c>
      <c r="F5117" s="62" t="s">
        <v>115</v>
      </c>
      <c r="G5117" s="64" t="s">
        <v>62</v>
      </c>
      <c r="H5117" s="3" t="s">
        <v>286</v>
      </c>
      <c r="I5117" s="65">
        <f>IFERROR(VLOOKUP(A5117,'3. Call duration'!$A:$C,3,0),"--")</f>
        <v>31.13768054</v>
      </c>
      <c r="J5117" s="65" t="str">
        <f t="array" ref="J5117">XLOOKUP(H5117,'2. Matching'!$A$2:$A$39,'2. Matching'!$B$2:$B$39,"--")</f>
        <v>Farming</v>
      </c>
      <c r="K5117" s="65" t="str">
        <f t="shared" si="1"/>
        <v>In</v>
      </c>
    </row>
    <row r="5118">
      <c r="A5118" s="62" t="s">
        <v>5256</v>
      </c>
      <c r="B5118" s="63">
        <v>44307.0</v>
      </c>
      <c r="C5118" s="62" t="s">
        <v>119</v>
      </c>
      <c r="D5118" s="64">
        <v>90.0</v>
      </c>
      <c r="E5118" s="62" t="s">
        <v>114</v>
      </c>
      <c r="F5118" s="62" t="s">
        <v>110</v>
      </c>
      <c r="G5118" s="64" t="s">
        <v>64</v>
      </c>
      <c r="H5118" s="3" t="s">
        <v>52</v>
      </c>
      <c r="I5118" s="65">
        <f>IFERROR(VLOOKUP(A5118,'3. Call duration'!$A:$C,3,0),"--")</f>
        <v>17.10372695</v>
      </c>
      <c r="J5118" s="65" t="str">
        <f t="array" ref="J5118">XLOOKUP(H5118,'2. Matching'!$A$2:$A$39,'2. Matching'!$B$2:$B$39,"--")</f>
        <v>Partnerships</v>
      </c>
      <c r="K5118" s="65" t="str">
        <f t="shared" si="1"/>
        <v>In</v>
      </c>
    </row>
    <row r="5119">
      <c r="A5119" s="62" t="s">
        <v>5257</v>
      </c>
      <c r="B5119" s="63">
        <v>44268.0</v>
      </c>
      <c r="C5119" s="62" t="s">
        <v>119</v>
      </c>
      <c r="D5119" s="64">
        <v>90.0</v>
      </c>
      <c r="E5119" s="62" t="s">
        <v>114</v>
      </c>
      <c r="F5119" s="62" t="s">
        <v>110</v>
      </c>
      <c r="G5119" s="64" t="s">
        <v>64</v>
      </c>
      <c r="H5119" s="3" t="s">
        <v>52</v>
      </c>
      <c r="I5119" s="65">
        <f>IFERROR(VLOOKUP(A5119,'3. Call duration'!$A:$C,3,0),"--")</f>
        <v>19.99111178</v>
      </c>
      <c r="J5119" s="65" t="str">
        <f t="array" ref="J5119">XLOOKUP(H5119,'2. Matching'!$A$2:$A$39,'2. Matching'!$B$2:$B$39,"--")</f>
        <v>Partnerships</v>
      </c>
      <c r="K5119" s="65" t="str">
        <f t="shared" si="1"/>
        <v>In</v>
      </c>
    </row>
    <row r="5120">
      <c r="A5120" s="62" t="s">
        <v>5258</v>
      </c>
      <c r="B5120" s="63">
        <v>44267.0</v>
      </c>
      <c r="C5120" s="62" t="s">
        <v>119</v>
      </c>
      <c r="D5120" s="64">
        <v>90.0</v>
      </c>
      <c r="E5120" s="62" t="s">
        <v>114</v>
      </c>
      <c r="F5120" s="62" t="s">
        <v>110</v>
      </c>
      <c r="G5120" s="64" t="s">
        <v>62</v>
      </c>
      <c r="H5120" s="3" t="s">
        <v>286</v>
      </c>
      <c r="I5120" s="65">
        <f>IFERROR(VLOOKUP(A5120,'3. Call duration'!$A:$C,3,0),"--")</f>
        <v>21.17767011</v>
      </c>
      <c r="J5120" s="65" t="str">
        <f t="array" ref="J5120">XLOOKUP(H5120,'2. Matching'!$A$2:$A$39,'2. Matching'!$B$2:$B$39,"--")</f>
        <v>Farming</v>
      </c>
      <c r="K5120" s="65" t="str">
        <f t="shared" si="1"/>
        <v>In</v>
      </c>
    </row>
    <row r="5121">
      <c r="A5121" s="62" t="s">
        <v>5259</v>
      </c>
      <c r="B5121" s="63">
        <v>44300.0</v>
      </c>
      <c r="C5121" s="62" t="s">
        <v>119</v>
      </c>
      <c r="D5121" s="64">
        <v>90.0</v>
      </c>
      <c r="E5121" s="62" t="s">
        <v>114</v>
      </c>
      <c r="F5121" s="62" t="s">
        <v>115</v>
      </c>
      <c r="G5121" s="64" t="s">
        <v>64</v>
      </c>
      <c r="H5121" s="3" t="s">
        <v>164</v>
      </c>
      <c r="I5121" s="65">
        <f>IFERROR(VLOOKUP(A5121,'3. Call duration'!$A:$C,3,0),"--")</f>
        <v>21.13601965</v>
      </c>
      <c r="J5121" s="65" t="str">
        <f t="array" ref="J5121">XLOOKUP(H5121,'2. Matching'!$A$2:$A$39,'2. Matching'!$B$2:$B$39,"--")</f>
        <v>SEO</v>
      </c>
      <c r="K5121" s="65" t="str">
        <f t="shared" si="1"/>
        <v>In</v>
      </c>
    </row>
    <row r="5122">
      <c r="A5122" s="62" t="s">
        <v>5260</v>
      </c>
      <c r="B5122" s="63">
        <v>44287.0</v>
      </c>
      <c r="C5122" s="62" t="s">
        <v>119</v>
      </c>
      <c r="D5122" s="64">
        <v>90.0</v>
      </c>
      <c r="E5122" s="62" t="s">
        <v>114</v>
      </c>
      <c r="F5122" s="62" t="s">
        <v>115</v>
      </c>
      <c r="G5122" s="64" t="s">
        <v>64</v>
      </c>
      <c r="H5122" s="3" t="s">
        <v>185</v>
      </c>
      <c r="I5122" s="65">
        <f>IFERROR(VLOOKUP(A5122,'3. Call duration'!$A:$C,3,0),"--")</f>
        <v>20.09626984</v>
      </c>
      <c r="J5122" s="65" t="str">
        <f t="array" ref="J5122">XLOOKUP(H5122,'2. Matching'!$A$2:$A$39,'2. Matching'!$B$2:$B$39,"--")</f>
        <v>SEO</v>
      </c>
      <c r="K5122" s="65" t="str">
        <f t="shared" si="1"/>
        <v>In</v>
      </c>
    </row>
    <row r="5123">
      <c r="A5123" s="62" t="s">
        <v>5261</v>
      </c>
      <c r="B5123" s="63">
        <v>44273.0</v>
      </c>
      <c r="C5123" s="62" t="s">
        <v>119</v>
      </c>
      <c r="D5123" s="64">
        <v>90.0</v>
      </c>
      <c r="E5123" s="62" t="s">
        <v>114</v>
      </c>
      <c r="F5123" s="62" t="s">
        <v>115</v>
      </c>
      <c r="G5123" s="64" t="s">
        <v>64</v>
      </c>
      <c r="H5123" s="3" t="s">
        <v>116</v>
      </c>
      <c r="I5123" s="65">
        <f>IFERROR(VLOOKUP(A5123,'3. Call duration'!$A:$C,3,0),"--")</f>
        <v>23.19787303</v>
      </c>
      <c r="J5123" s="65" t="str">
        <f t="array" ref="J5123">XLOOKUP(H5123,'2. Matching'!$A$2:$A$39,'2. Matching'!$B$2:$B$39,"--")</f>
        <v>Acquisition</v>
      </c>
      <c r="K5123" s="65" t="str">
        <f t="shared" si="1"/>
        <v>In</v>
      </c>
    </row>
    <row r="5124">
      <c r="A5124" s="62" t="s">
        <v>5262</v>
      </c>
      <c r="B5124" s="63">
        <v>44270.0</v>
      </c>
      <c r="C5124" s="62" t="s">
        <v>119</v>
      </c>
      <c r="D5124" s="64">
        <v>90.0</v>
      </c>
      <c r="E5124" s="62" t="s">
        <v>114</v>
      </c>
      <c r="F5124" s="62" t="s">
        <v>115</v>
      </c>
      <c r="G5124" s="64" t="s">
        <v>64</v>
      </c>
      <c r="H5124" s="3" t="s">
        <v>141</v>
      </c>
      <c r="I5124" s="65">
        <f>IFERROR(VLOOKUP(A5124,'3. Call duration'!$A:$C,3,0),"--")</f>
        <v>24.15715685</v>
      </c>
      <c r="J5124" s="65" t="str">
        <f t="array" ref="J5124">XLOOKUP(H5124,'2. Matching'!$A$2:$A$39,'2. Matching'!$B$2:$B$39,"--")</f>
        <v>Acquisition</v>
      </c>
      <c r="K5124" s="65" t="str">
        <f t="shared" si="1"/>
        <v>In</v>
      </c>
    </row>
    <row r="5125">
      <c r="A5125" s="62" t="s">
        <v>5263</v>
      </c>
      <c r="B5125" s="63">
        <v>44313.0</v>
      </c>
      <c r="C5125" s="62" t="s">
        <v>119</v>
      </c>
      <c r="D5125" s="64">
        <v>90.0</v>
      </c>
      <c r="E5125" s="62" t="s">
        <v>114</v>
      </c>
      <c r="F5125" s="62" t="s">
        <v>110</v>
      </c>
      <c r="G5125" s="64" t="s">
        <v>64</v>
      </c>
      <c r="H5125" s="3" t="s">
        <v>175</v>
      </c>
      <c r="I5125" s="65">
        <f>IFERROR(VLOOKUP(A5125,'3. Call duration'!$A:$C,3,0),"--")</f>
        <v>30.42069762</v>
      </c>
      <c r="J5125" s="65" t="str">
        <f t="array" ref="J5125">XLOOKUP(H5125,'2. Matching'!$A$2:$A$39,'2. Matching'!$B$2:$B$39,"--")</f>
        <v>SEO</v>
      </c>
      <c r="K5125" s="65" t="str">
        <f t="shared" si="1"/>
        <v>In</v>
      </c>
    </row>
    <row r="5126">
      <c r="A5126" s="62" t="s">
        <v>5264</v>
      </c>
      <c r="B5126" s="63">
        <v>44257.0</v>
      </c>
      <c r="C5126" s="62" t="s">
        <v>119</v>
      </c>
      <c r="D5126" s="64">
        <v>90.0</v>
      </c>
      <c r="E5126" s="62" t="s">
        <v>114</v>
      </c>
      <c r="F5126" s="62" t="s">
        <v>110</v>
      </c>
      <c r="G5126" s="64" t="s">
        <v>64</v>
      </c>
      <c r="H5126" s="3" t="s">
        <v>297</v>
      </c>
      <c r="I5126" s="65">
        <f>IFERROR(VLOOKUP(A5126,'3. Call duration'!$A:$C,3,0),"--")</f>
        <v>20.63208693</v>
      </c>
      <c r="J5126" s="65" t="str">
        <f t="array" ref="J5126">XLOOKUP(H5126,'2. Matching'!$A$2:$A$39,'2. Matching'!$B$2:$B$39,"--")</f>
        <v>Farming</v>
      </c>
      <c r="K5126" s="65" t="str">
        <f t="shared" si="1"/>
        <v>In</v>
      </c>
    </row>
    <row r="5127">
      <c r="A5127" s="62" t="s">
        <v>5265</v>
      </c>
      <c r="B5127" s="63">
        <v>44307.0</v>
      </c>
      <c r="C5127" s="62" t="s">
        <v>119</v>
      </c>
      <c r="D5127" s="64">
        <v>90.0</v>
      </c>
      <c r="E5127" s="62" t="s">
        <v>114</v>
      </c>
      <c r="F5127" s="62" t="s">
        <v>110</v>
      </c>
      <c r="G5127" s="64" t="s">
        <v>64</v>
      </c>
      <c r="H5127" s="3" t="s">
        <v>52</v>
      </c>
      <c r="I5127" s="65">
        <f>IFERROR(VLOOKUP(A5127,'3. Call duration'!$A:$C,3,0),"--")</f>
        <v>16.20304981</v>
      </c>
      <c r="J5127" s="65" t="str">
        <f t="array" ref="J5127">XLOOKUP(H5127,'2. Matching'!$A$2:$A$39,'2. Matching'!$B$2:$B$39,"--")</f>
        <v>Partnerships</v>
      </c>
      <c r="K5127" s="65" t="str">
        <f t="shared" si="1"/>
        <v>In</v>
      </c>
    </row>
    <row r="5128">
      <c r="A5128" s="62" t="s">
        <v>5266</v>
      </c>
      <c r="B5128" s="63">
        <v>44259.0</v>
      </c>
      <c r="C5128" s="62" t="s">
        <v>119</v>
      </c>
      <c r="D5128" s="64">
        <v>90.0</v>
      </c>
      <c r="E5128" s="62" t="s">
        <v>114</v>
      </c>
      <c r="F5128" s="62" t="s">
        <v>115</v>
      </c>
      <c r="G5128" s="64" t="s">
        <v>64</v>
      </c>
      <c r="H5128" s="3" t="s">
        <v>54</v>
      </c>
      <c r="I5128" s="65">
        <f>IFERROR(VLOOKUP(A5128,'3. Call duration'!$A:$C,3,0),"--")</f>
        <v>8.770305073</v>
      </c>
      <c r="J5128" s="65" t="str">
        <f t="array" ref="J5128">XLOOKUP(H5128,'2. Matching'!$A$2:$A$39,'2. Matching'!$B$2:$B$39,"--")</f>
        <v>Partnerships</v>
      </c>
      <c r="K5128" s="65" t="str">
        <f t="shared" si="1"/>
        <v>In</v>
      </c>
    </row>
    <row r="5129">
      <c r="A5129" s="62" t="s">
        <v>5267</v>
      </c>
      <c r="B5129" s="63">
        <v>44258.0</v>
      </c>
      <c r="C5129" s="62" t="s">
        <v>119</v>
      </c>
      <c r="D5129" s="64">
        <v>90.0</v>
      </c>
      <c r="E5129" s="62" t="s">
        <v>114</v>
      </c>
      <c r="F5129" s="62" t="s">
        <v>110</v>
      </c>
      <c r="G5129" s="64" t="s">
        <v>64</v>
      </c>
      <c r="H5129" s="3" t="s">
        <v>297</v>
      </c>
      <c r="I5129" s="65">
        <f>IFERROR(VLOOKUP(A5129,'3. Call duration'!$A:$C,3,0),"--")</f>
        <v>23.7775071</v>
      </c>
      <c r="J5129" s="65" t="str">
        <f t="array" ref="J5129">XLOOKUP(H5129,'2. Matching'!$A$2:$A$39,'2. Matching'!$B$2:$B$39,"--")</f>
        <v>Farming</v>
      </c>
      <c r="K5129" s="65" t="str">
        <f t="shared" si="1"/>
        <v>In</v>
      </c>
    </row>
    <row r="5130">
      <c r="A5130" s="62" t="s">
        <v>5268</v>
      </c>
      <c r="B5130" s="63">
        <v>44293.0</v>
      </c>
      <c r="C5130" s="62" t="s">
        <v>119</v>
      </c>
      <c r="D5130" s="64">
        <v>90.0</v>
      </c>
      <c r="E5130" s="62" t="s">
        <v>114</v>
      </c>
      <c r="F5130" s="62" t="s">
        <v>110</v>
      </c>
      <c r="G5130" s="64" t="s">
        <v>64</v>
      </c>
      <c r="H5130" s="3" t="s">
        <v>297</v>
      </c>
      <c r="I5130" s="65">
        <f>IFERROR(VLOOKUP(A5130,'3. Call duration'!$A:$C,3,0),"--")</f>
        <v>31.78415329</v>
      </c>
      <c r="J5130" s="65" t="str">
        <f t="array" ref="J5130">XLOOKUP(H5130,'2. Matching'!$A$2:$A$39,'2. Matching'!$B$2:$B$39,"--")</f>
        <v>Farming</v>
      </c>
      <c r="K5130" s="65" t="str">
        <f t="shared" si="1"/>
        <v>In</v>
      </c>
    </row>
    <row r="5131">
      <c r="A5131" s="62" t="s">
        <v>5269</v>
      </c>
      <c r="B5131" s="63">
        <v>44292.0</v>
      </c>
      <c r="C5131" s="62" t="s">
        <v>119</v>
      </c>
      <c r="D5131" s="64">
        <v>90.0</v>
      </c>
      <c r="E5131" s="62" t="s">
        <v>114</v>
      </c>
      <c r="F5131" s="62" t="s">
        <v>110</v>
      </c>
      <c r="G5131" s="64" t="s">
        <v>64</v>
      </c>
      <c r="H5131" s="3" t="s">
        <v>49</v>
      </c>
      <c r="I5131" s="65">
        <f>IFERROR(VLOOKUP(A5131,'3. Call duration'!$A:$C,3,0),"--")</f>
        <v>31.0035283</v>
      </c>
      <c r="J5131" s="65" t="str">
        <f t="array" ref="J5131">XLOOKUP(H5131,'2. Matching'!$A$2:$A$39,'2. Matching'!$B$2:$B$39,"--")</f>
        <v>Partnerships</v>
      </c>
      <c r="K5131" s="65" t="str">
        <f t="shared" si="1"/>
        <v>In</v>
      </c>
    </row>
    <row r="5132">
      <c r="A5132" s="62" t="s">
        <v>5270</v>
      </c>
      <c r="B5132" s="63">
        <v>44303.0</v>
      </c>
      <c r="C5132" s="62" t="s">
        <v>119</v>
      </c>
      <c r="D5132" s="64">
        <v>90.0</v>
      </c>
      <c r="E5132" s="62" t="s">
        <v>114</v>
      </c>
      <c r="F5132" s="62" t="s">
        <v>115</v>
      </c>
      <c r="G5132" s="64" t="s">
        <v>64</v>
      </c>
      <c r="H5132" s="3" t="s">
        <v>169</v>
      </c>
      <c r="I5132" s="65">
        <f>IFERROR(VLOOKUP(A5132,'3. Call duration'!$A:$C,3,0),"--")</f>
        <v>37.26046148</v>
      </c>
      <c r="J5132" s="65" t="str">
        <f t="array" ref="J5132">XLOOKUP(H5132,'2. Matching'!$A$2:$A$39,'2. Matching'!$B$2:$B$39,"--")</f>
        <v>SEO</v>
      </c>
      <c r="K5132" s="65" t="str">
        <f t="shared" si="1"/>
        <v>In</v>
      </c>
    </row>
    <row r="5133">
      <c r="A5133" s="62" t="s">
        <v>5271</v>
      </c>
      <c r="B5133" s="63">
        <v>44312.0</v>
      </c>
      <c r="C5133" s="62" t="s">
        <v>119</v>
      </c>
      <c r="D5133" s="64">
        <v>90.0</v>
      </c>
      <c r="E5133" s="62" t="s">
        <v>114</v>
      </c>
      <c r="F5133" s="62" t="s">
        <v>115</v>
      </c>
      <c r="G5133" s="64" t="s">
        <v>64</v>
      </c>
      <c r="H5133" s="3" t="s">
        <v>116</v>
      </c>
      <c r="I5133" s="65">
        <f>IFERROR(VLOOKUP(A5133,'3. Call duration'!$A:$C,3,0),"--")</f>
        <v>32.74146112</v>
      </c>
      <c r="J5133" s="65" t="str">
        <f t="array" ref="J5133">XLOOKUP(H5133,'2. Matching'!$A$2:$A$39,'2. Matching'!$B$2:$B$39,"--")</f>
        <v>Acquisition</v>
      </c>
      <c r="K5133" s="65" t="str">
        <f t="shared" si="1"/>
        <v>In</v>
      </c>
    </row>
    <row r="5134">
      <c r="A5134" s="62" t="s">
        <v>5272</v>
      </c>
      <c r="B5134" s="63">
        <v>44287.0</v>
      </c>
      <c r="C5134" s="62" t="s">
        <v>119</v>
      </c>
      <c r="D5134" s="64">
        <v>90.0</v>
      </c>
      <c r="E5134" s="62" t="s">
        <v>114</v>
      </c>
      <c r="F5134" s="62" t="s">
        <v>115</v>
      </c>
      <c r="G5134" s="64" t="s">
        <v>64</v>
      </c>
      <c r="H5134" s="3" t="s">
        <v>185</v>
      </c>
      <c r="I5134" s="65">
        <f>IFERROR(VLOOKUP(A5134,'3. Call duration'!$A:$C,3,0),"--")</f>
        <v>28.81502408</v>
      </c>
      <c r="J5134" s="65" t="str">
        <f t="array" ref="J5134">XLOOKUP(H5134,'2. Matching'!$A$2:$A$39,'2. Matching'!$B$2:$B$39,"--")</f>
        <v>SEO</v>
      </c>
      <c r="K5134" s="65" t="str">
        <f t="shared" si="1"/>
        <v>In</v>
      </c>
    </row>
    <row r="5135">
      <c r="A5135" s="62" t="s">
        <v>5273</v>
      </c>
      <c r="B5135" s="63">
        <v>44274.0</v>
      </c>
      <c r="C5135" s="62" t="s">
        <v>119</v>
      </c>
      <c r="D5135" s="64">
        <v>90.0</v>
      </c>
      <c r="E5135" s="62" t="s">
        <v>114</v>
      </c>
      <c r="F5135" s="62" t="s">
        <v>115</v>
      </c>
      <c r="G5135" s="64" t="s">
        <v>64</v>
      </c>
      <c r="H5135" s="3" t="s">
        <v>55</v>
      </c>
      <c r="I5135" s="65">
        <f>IFERROR(VLOOKUP(A5135,'3. Call duration'!$A:$C,3,0),"--")</f>
        <v>19.58182355</v>
      </c>
      <c r="J5135" s="65" t="str">
        <f t="array" ref="J5135">XLOOKUP(H5135,'2. Matching'!$A$2:$A$39,'2. Matching'!$B$2:$B$39,"--")</f>
        <v>Partnerships</v>
      </c>
      <c r="K5135" s="65" t="str">
        <f t="shared" si="1"/>
        <v>In</v>
      </c>
    </row>
    <row r="5136">
      <c r="A5136" s="62" t="s">
        <v>5274</v>
      </c>
      <c r="B5136" s="63">
        <v>44299.0</v>
      </c>
      <c r="C5136" s="62" t="s">
        <v>119</v>
      </c>
      <c r="D5136" s="64">
        <v>90.0</v>
      </c>
      <c r="E5136" s="62" t="s">
        <v>114</v>
      </c>
      <c r="F5136" s="62" t="s">
        <v>110</v>
      </c>
      <c r="G5136" s="64" t="s">
        <v>63</v>
      </c>
      <c r="H5136" s="3" t="s">
        <v>183</v>
      </c>
      <c r="I5136" s="65">
        <f>IFERROR(VLOOKUP(A5136,'3. Call duration'!$A:$C,3,0),"--")</f>
        <v>32.85385683</v>
      </c>
      <c r="J5136" s="65" t="str">
        <f t="array" ref="J5136">XLOOKUP(H5136,'2. Matching'!$A$2:$A$39,'2. Matching'!$B$2:$B$39,"--")</f>
        <v>SEO</v>
      </c>
      <c r="K5136" s="65" t="str">
        <f t="shared" si="1"/>
        <v>In</v>
      </c>
    </row>
    <row r="5137">
      <c r="A5137" s="62" t="s">
        <v>5275</v>
      </c>
      <c r="B5137" s="63">
        <v>44260.0</v>
      </c>
      <c r="C5137" s="62" t="s">
        <v>119</v>
      </c>
      <c r="D5137" s="64">
        <v>90.0</v>
      </c>
      <c r="E5137" s="62" t="s">
        <v>114</v>
      </c>
      <c r="F5137" s="62" t="s">
        <v>115</v>
      </c>
      <c r="G5137" s="64" t="s">
        <v>64</v>
      </c>
      <c r="H5137" s="3" t="s">
        <v>145</v>
      </c>
      <c r="I5137" s="65">
        <f>IFERROR(VLOOKUP(A5137,'3. Call duration'!$A:$C,3,0),"--")</f>
        <v>25.25625443</v>
      </c>
      <c r="J5137" s="65" t="str">
        <f t="array" ref="J5137">XLOOKUP(H5137,'2. Matching'!$A$2:$A$39,'2. Matching'!$B$2:$B$39,"--")</f>
        <v>SEO</v>
      </c>
      <c r="K5137" s="65" t="str">
        <f t="shared" si="1"/>
        <v>In</v>
      </c>
    </row>
    <row r="5138">
      <c r="A5138" s="62" t="s">
        <v>5276</v>
      </c>
      <c r="B5138" s="63">
        <v>44305.0</v>
      </c>
      <c r="C5138" s="62" t="s">
        <v>119</v>
      </c>
      <c r="D5138" s="64">
        <v>90.0</v>
      </c>
      <c r="E5138" s="62" t="s">
        <v>114</v>
      </c>
      <c r="F5138" s="62" t="s">
        <v>110</v>
      </c>
      <c r="G5138" s="64" t="s">
        <v>64</v>
      </c>
      <c r="H5138" s="3" t="s">
        <v>52</v>
      </c>
      <c r="I5138" s="65">
        <f>IFERROR(VLOOKUP(A5138,'3. Call duration'!$A:$C,3,0),"--")</f>
        <v>26.57349449</v>
      </c>
      <c r="J5138" s="65" t="str">
        <f t="array" ref="J5138">XLOOKUP(H5138,'2. Matching'!$A$2:$A$39,'2. Matching'!$B$2:$B$39,"--")</f>
        <v>Partnerships</v>
      </c>
      <c r="K5138" s="65" t="str">
        <f t="shared" si="1"/>
        <v>In</v>
      </c>
    </row>
    <row r="5139">
      <c r="A5139" s="62" t="s">
        <v>5277</v>
      </c>
      <c r="B5139" s="63">
        <v>44273.0</v>
      </c>
      <c r="C5139" s="62" t="s">
        <v>119</v>
      </c>
      <c r="D5139" s="64">
        <v>90.0</v>
      </c>
      <c r="E5139" s="62" t="s">
        <v>114</v>
      </c>
      <c r="F5139" s="62" t="s">
        <v>110</v>
      </c>
      <c r="G5139" s="64" t="s">
        <v>64</v>
      </c>
      <c r="H5139" s="3" t="s">
        <v>131</v>
      </c>
      <c r="I5139" s="65">
        <f>IFERROR(VLOOKUP(A5139,'3. Call duration'!$A:$C,3,0),"--")</f>
        <v>12.49916158</v>
      </c>
      <c r="J5139" s="65" t="str">
        <f t="array" ref="J5139">XLOOKUP(H5139,'2. Matching'!$A$2:$A$39,'2. Matching'!$B$2:$B$39,"--")</f>
        <v>Acquisition</v>
      </c>
      <c r="K5139" s="65" t="str">
        <f t="shared" si="1"/>
        <v>In</v>
      </c>
    </row>
    <row r="5140">
      <c r="A5140" s="62" t="s">
        <v>5278</v>
      </c>
      <c r="B5140" s="63">
        <v>44312.0</v>
      </c>
      <c r="C5140" s="62" t="s">
        <v>119</v>
      </c>
      <c r="D5140" s="64">
        <v>90.0</v>
      </c>
      <c r="E5140" s="62" t="s">
        <v>114</v>
      </c>
      <c r="F5140" s="62" t="s">
        <v>110</v>
      </c>
      <c r="G5140" s="64" t="s">
        <v>64</v>
      </c>
      <c r="H5140" s="3" t="s">
        <v>52</v>
      </c>
      <c r="I5140" s="65">
        <f>IFERROR(VLOOKUP(A5140,'3. Call duration'!$A:$C,3,0),"--")</f>
        <v>29.16905607</v>
      </c>
      <c r="J5140" s="65" t="str">
        <f t="array" ref="J5140">XLOOKUP(H5140,'2. Matching'!$A$2:$A$39,'2. Matching'!$B$2:$B$39,"--")</f>
        <v>Partnerships</v>
      </c>
      <c r="K5140" s="65" t="str">
        <f t="shared" si="1"/>
        <v>In</v>
      </c>
    </row>
    <row r="5141">
      <c r="A5141" s="62" t="s">
        <v>5279</v>
      </c>
      <c r="B5141" s="63">
        <v>44256.0</v>
      </c>
      <c r="C5141" s="62" t="s">
        <v>119</v>
      </c>
      <c r="D5141" s="64">
        <v>90.0</v>
      </c>
      <c r="E5141" s="62" t="s">
        <v>114</v>
      </c>
      <c r="F5141" s="62" t="s">
        <v>110</v>
      </c>
      <c r="G5141" s="64" t="s">
        <v>64</v>
      </c>
      <c r="H5141" s="3" t="s">
        <v>297</v>
      </c>
      <c r="I5141" s="65">
        <f>IFERROR(VLOOKUP(A5141,'3. Call duration'!$A:$C,3,0),"--")</f>
        <v>24.5352778</v>
      </c>
      <c r="J5141" s="65" t="str">
        <f t="array" ref="J5141">XLOOKUP(H5141,'2. Matching'!$A$2:$A$39,'2. Matching'!$B$2:$B$39,"--")</f>
        <v>Farming</v>
      </c>
      <c r="K5141" s="65" t="str">
        <f t="shared" si="1"/>
        <v>In</v>
      </c>
    </row>
    <row r="5142">
      <c r="A5142" s="62" t="s">
        <v>5280</v>
      </c>
      <c r="B5142" s="63">
        <v>44335.0</v>
      </c>
      <c r="C5142" s="62" t="s">
        <v>119</v>
      </c>
      <c r="D5142" s="64">
        <v>47.5</v>
      </c>
      <c r="E5142" s="62" t="s">
        <v>109</v>
      </c>
      <c r="F5142" s="62" t="s">
        <v>110</v>
      </c>
      <c r="G5142" s="64" t="s">
        <v>59</v>
      </c>
      <c r="H5142" s="3" t="s">
        <v>68</v>
      </c>
      <c r="I5142" s="65">
        <f>IFERROR(VLOOKUP(A5142,'3. Call duration'!$A:$C,3,0),"--")</f>
        <v>24.91380525</v>
      </c>
      <c r="J5142" s="65" t="str">
        <f t="array" ref="J5142">XLOOKUP(H5142,'2. Matching'!$A$2:$A$39,'2. Matching'!$B$2:$B$39,"--")</f>
        <v>Acquisition</v>
      </c>
      <c r="K5142" s="65" t="str">
        <f t="shared" si="1"/>
        <v>In</v>
      </c>
    </row>
    <row r="5143">
      <c r="A5143" s="62" t="s">
        <v>5281</v>
      </c>
      <c r="B5143" s="63">
        <v>44374.0</v>
      </c>
      <c r="C5143" s="62" t="s">
        <v>119</v>
      </c>
      <c r="D5143" s="64">
        <v>47.5</v>
      </c>
      <c r="E5143" s="62" t="s">
        <v>109</v>
      </c>
      <c r="F5143" s="62" t="s">
        <v>115</v>
      </c>
      <c r="G5143" s="64" t="s">
        <v>64</v>
      </c>
      <c r="H5143" s="3" t="s">
        <v>139</v>
      </c>
      <c r="I5143" s="65">
        <f>IFERROR(VLOOKUP(A5143,'3. Call duration'!$A:$C,3,0),"--")</f>
        <v>48.57154029</v>
      </c>
      <c r="J5143" s="65" t="str">
        <f t="array" ref="J5143">XLOOKUP(H5143,'2. Matching'!$A$2:$A$39,'2. Matching'!$B$2:$B$39,"--")</f>
        <v>Acquisition</v>
      </c>
      <c r="K5143" s="65" t="str">
        <f t="shared" si="1"/>
        <v>In</v>
      </c>
    </row>
    <row r="5144">
      <c r="A5144" s="62" t="s">
        <v>5282</v>
      </c>
      <c r="B5144" s="63">
        <v>44369.0</v>
      </c>
      <c r="C5144" s="62" t="s">
        <v>119</v>
      </c>
      <c r="D5144" s="64">
        <v>47.5</v>
      </c>
      <c r="E5144" s="62" t="s">
        <v>109</v>
      </c>
      <c r="F5144" s="62" t="s">
        <v>115</v>
      </c>
      <c r="G5144" s="64" t="s">
        <v>64</v>
      </c>
      <c r="H5144" s="3" t="s">
        <v>55</v>
      </c>
      <c r="I5144" s="65">
        <f>IFERROR(VLOOKUP(A5144,'3. Call duration'!$A:$C,3,0),"--")</f>
        <v>22.38594108</v>
      </c>
      <c r="J5144" s="65" t="str">
        <f t="array" ref="J5144">XLOOKUP(H5144,'2. Matching'!$A$2:$A$39,'2. Matching'!$B$2:$B$39,"--")</f>
        <v>Partnerships</v>
      </c>
      <c r="K5144" s="65" t="str">
        <f t="shared" si="1"/>
        <v>In</v>
      </c>
    </row>
    <row r="5145">
      <c r="A5145" s="62" t="s">
        <v>5283</v>
      </c>
      <c r="B5145" s="63">
        <v>44376.0</v>
      </c>
      <c r="C5145" s="62" t="s">
        <v>119</v>
      </c>
      <c r="D5145" s="64">
        <v>47.5</v>
      </c>
      <c r="E5145" s="62" t="s">
        <v>109</v>
      </c>
      <c r="F5145" s="62" t="s">
        <v>110</v>
      </c>
      <c r="G5145" s="64" t="s">
        <v>60</v>
      </c>
      <c r="H5145" s="3" t="s">
        <v>67</v>
      </c>
      <c r="I5145" s="65">
        <f>IFERROR(VLOOKUP(A5145,'3. Call duration'!$A:$C,3,0),"--")</f>
        <v>16.81484871</v>
      </c>
      <c r="J5145" s="65" t="str">
        <f t="array" ref="J5145">XLOOKUP(H5145,'2. Matching'!$A$2:$A$39,'2. Matching'!$B$2:$B$39,"--")</f>
        <v>Acquisition</v>
      </c>
      <c r="K5145" s="65" t="str">
        <f t="shared" si="1"/>
        <v>In</v>
      </c>
    </row>
    <row r="5146">
      <c r="A5146" s="62" t="s">
        <v>5284</v>
      </c>
      <c r="B5146" s="63">
        <v>44320.0</v>
      </c>
      <c r="C5146" s="62" t="s">
        <v>119</v>
      </c>
      <c r="D5146" s="64">
        <v>47.5</v>
      </c>
      <c r="E5146" s="62" t="s">
        <v>109</v>
      </c>
      <c r="F5146" s="62" t="s">
        <v>110</v>
      </c>
      <c r="G5146" s="64" t="s">
        <v>63</v>
      </c>
      <c r="H5146" s="3" t="s">
        <v>189</v>
      </c>
      <c r="I5146" s="65">
        <f>IFERROR(VLOOKUP(A5146,'3. Call duration'!$A:$C,3,0),"--")</f>
        <v>24.96016342</v>
      </c>
      <c r="J5146" s="65" t="str">
        <f t="array" ref="J5146">XLOOKUP(H5146,'2. Matching'!$A$2:$A$39,'2. Matching'!$B$2:$B$39,"--")</f>
        <v>SEO</v>
      </c>
      <c r="K5146" s="65" t="str">
        <f t="shared" si="1"/>
        <v>Out</v>
      </c>
    </row>
    <row r="5147">
      <c r="A5147" s="62" t="s">
        <v>5285</v>
      </c>
      <c r="B5147" s="63">
        <v>44342.0</v>
      </c>
      <c r="C5147" s="62" t="s">
        <v>119</v>
      </c>
      <c r="D5147" s="64">
        <v>47.5</v>
      </c>
      <c r="E5147" s="62" t="s">
        <v>109</v>
      </c>
      <c r="F5147" s="62" t="s">
        <v>110</v>
      </c>
      <c r="G5147" s="64" t="s">
        <v>63</v>
      </c>
      <c r="H5147" s="3" t="s">
        <v>183</v>
      </c>
      <c r="I5147" s="65">
        <f>IFERROR(VLOOKUP(A5147,'3. Call duration'!$A:$C,3,0),"--")</f>
        <v>24.97417224</v>
      </c>
      <c r="J5147" s="65" t="str">
        <f t="array" ref="J5147">XLOOKUP(H5147,'2. Matching'!$A$2:$A$39,'2. Matching'!$B$2:$B$39,"--")</f>
        <v>SEO</v>
      </c>
      <c r="K5147" s="65" t="str">
        <f t="shared" si="1"/>
        <v>In</v>
      </c>
    </row>
    <row r="5148">
      <c r="A5148" s="62" t="s">
        <v>5286</v>
      </c>
      <c r="B5148" s="63">
        <v>44329.0</v>
      </c>
      <c r="C5148" s="62" t="s">
        <v>119</v>
      </c>
      <c r="D5148" s="64">
        <v>95.0</v>
      </c>
      <c r="E5148" s="62" t="s">
        <v>114</v>
      </c>
      <c r="F5148" s="62" t="s">
        <v>115</v>
      </c>
      <c r="G5148" s="64" t="s">
        <v>64</v>
      </c>
      <c r="H5148" s="3" t="s">
        <v>139</v>
      </c>
      <c r="I5148" s="65">
        <f>IFERROR(VLOOKUP(A5148,'3. Call duration'!$A:$C,3,0),"--")</f>
        <v>24.97592763</v>
      </c>
      <c r="J5148" s="65" t="str">
        <f t="array" ref="J5148">XLOOKUP(H5148,'2. Matching'!$A$2:$A$39,'2. Matching'!$B$2:$B$39,"--")</f>
        <v>Acquisition</v>
      </c>
      <c r="K5148" s="65" t="str">
        <f t="shared" si="1"/>
        <v>In</v>
      </c>
    </row>
    <row r="5149">
      <c r="A5149" s="62" t="s">
        <v>5287</v>
      </c>
      <c r="B5149" s="63">
        <v>44334.0</v>
      </c>
      <c r="C5149" s="62" t="s">
        <v>119</v>
      </c>
      <c r="D5149" s="64">
        <v>47.5</v>
      </c>
      <c r="E5149" s="62" t="s">
        <v>109</v>
      </c>
      <c r="F5149" s="62" t="s">
        <v>115</v>
      </c>
      <c r="G5149" s="64" t="s">
        <v>64</v>
      </c>
      <c r="H5149" s="3" t="s">
        <v>185</v>
      </c>
      <c r="I5149" s="65">
        <f>IFERROR(VLOOKUP(A5149,'3. Call duration'!$A:$C,3,0),"--")</f>
        <v>24.98017254</v>
      </c>
      <c r="J5149" s="65" t="str">
        <f t="array" ref="J5149">XLOOKUP(H5149,'2. Matching'!$A$2:$A$39,'2. Matching'!$B$2:$B$39,"--")</f>
        <v>SEO</v>
      </c>
      <c r="K5149" s="65" t="str">
        <f t="shared" si="1"/>
        <v>In</v>
      </c>
    </row>
    <row r="5150">
      <c r="A5150" s="62" t="s">
        <v>5288</v>
      </c>
      <c r="B5150" s="63">
        <v>44334.0</v>
      </c>
      <c r="C5150" s="62" t="s">
        <v>119</v>
      </c>
      <c r="D5150" s="64">
        <v>47.5</v>
      </c>
      <c r="E5150" s="62" t="s">
        <v>109</v>
      </c>
      <c r="F5150" s="62" t="s">
        <v>110</v>
      </c>
      <c r="G5150" s="64" t="s">
        <v>64</v>
      </c>
      <c r="H5150" s="3" t="s">
        <v>145</v>
      </c>
      <c r="I5150" s="65">
        <f>IFERROR(VLOOKUP(A5150,'3. Call duration'!$A:$C,3,0),"--")</f>
        <v>24.99766174</v>
      </c>
      <c r="J5150" s="65" t="str">
        <f t="array" ref="J5150">XLOOKUP(H5150,'2. Matching'!$A$2:$A$39,'2. Matching'!$B$2:$B$39,"--")</f>
        <v>SEO</v>
      </c>
      <c r="K5150" s="65" t="str">
        <f t="shared" si="1"/>
        <v>In</v>
      </c>
    </row>
    <row r="5151">
      <c r="A5151" s="62" t="s">
        <v>5289</v>
      </c>
      <c r="B5151" s="63">
        <v>44330.0</v>
      </c>
      <c r="C5151" s="62" t="s">
        <v>119</v>
      </c>
      <c r="D5151" s="64">
        <v>47.5</v>
      </c>
      <c r="E5151" s="62" t="s">
        <v>109</v>
      </c>
      <c r="F5151" s="62" t="s">
        <v>110</v>
      </c>
      <c r="G5151" s="64" t="s">
        <v>64</v>
      </c>
      <c r="H5151" s="3" t="s">
        <v>116</v>
      </c>
      <c r="I5151" s="65">
        <f>IFERROR(VLOOKUP(A5151,'3. Call duration'!$A:$C,3,0),"--")</f>
        <v>25.00518054</v>
      </c>
      <c r="J5151" s="65" t="str">
        <f t="array" ref="J5151">XLOOKUP(H5151,'2. Matching'!$A$2:$A$39,'2. Matching'!$B$2:$B$39,"--")</f>
        <v>Acquisition</v>
      </c>
      <c r="K5151" s="65" t="str">
        <f t="shared" si="1"/>
        <v>In</v>
      </c>
    </row>
    <row r="5152">
      <c r="A5152" s="62" t="s">
        <v>5290</v>
      </c>
      <c r="B5152" s="63">
        <v>44365.0</v>
      </c>
      <c r="C5152" s="62" t="s">
        <v>119</v>
      </c>
      <c r="D5152" s="64">
        <v>47.5</v>
      </c>
      <c r="E5152" s="62" t="s">
        <v>109</v>
      </c>
      <c r="F5152" s="62" t="s">
        <v>115</v>
      </c>
      <c r="G5152" s="64" t="s">
        <v>63</v>
      </c>
      <c r="H5152" s="3" t="s">
        <v>124</v>
      </c>
      <c r="I5152" s="65">
        <f>IFERROR(VLOOKUP(A5152,'3. Call duration'!$A:$C,3,0),"--")</f>
        <v>26.39270971</v>
      </c>
      <c r="J5152" s="65" t="str">
        <f t="array" ref="J5152">XLOOKUP(H5152,'2. Matching'!$A$2:$A$39,'2. Matching'!$B$2:$B$39,"--")</f>
        <v>Acquisition</v>
      </c>
      <c r="K5152" s="65" t="str">
        <f t="shared" si="1"/>
        <v>In</v>
      </c>
    </row>
    <row r="5153">
      <c r="A5153" s="62" t="s">
        <v>5291</v>
      </c>
      <c r="B5153" s="63">
        <v>44331.0</v>
      </c>
      <c r="C5153" s="62" t="s">
        <v>119</v>
      </c>
      <c r="D5153" s="64">
        <v>95.0</v>
      </c>
      <c r="E5153" s="62" t="s">
        <v>114</v>
      </c>
      <c r="F5153" s="62" t="s">
        <v>110</v>
      </c>
      <c r="G5153" s="64" t="s">
        <v>64</v>
      </c>
      <c r="H5153" s="3" t="s">
        <v>297</v>
      </c>
      <c r="I5153" s="65">
        <f>IFERROR(VLOOKUP(A5153,'3. Call duration'!$A:$C,3,0),"--")</f>
        <v>25.03460756</v>
      </c>
      <c r="J5153" s="65" t="str">
        <f t="array" ref="J5153">XLOOKUP(H5153,'2. Matching'!$A$2:$A$39,'2. Matching'!$B$2:$B$39,"--")</f>
        <v>Farming</v>
      </c>
      <c r="K5153" s="65" t="str">
        <f t="shared" si="1"/>
        <v>In</v>
      </c>
    </row>
    <row r="5154">
      <c r="A5154" s="62" t="s">
        <v>5292</v>
      </c>
      <c r="B5154" s="63">
        <v>44364.0</v>
      </c>
      <c r="C5154" s="62" t="s">
        <v>119</v>
      </c>
      <c r="D5154" s="64">
        <v>47.5</v>
      </c>
      <c r="E5154" s="62" t="s">
        <v>109</v>
      </c>
      <c r="F5154" s="62" t="s">
        <v>115</v>
      </c>
      <c r="G5154" s="64" t="s">
        <v>64</v>
      </c>
      <c r="H5154" s="3" t="s">
        <v>155</v>
      </c>
      <c r="I5154" s="65">
        <f>IFERROR(VLOOKUP(A5154,'3. Call duration'!$A:$C,3,0),"--")</f>
        <v>23.98527937</v>
      </c>
      <c r="J5154" s="65" t="str">
        <f t="array" ref="J5154">XLOOKUP(H5154,'2. Matching'!$A$2:$A$39,'2. Matching'!$B$2:$B$39,"--")</f>
        <v>SEO</v>
      </c>
      <c r="K5154" s="65" t="str">
        <f t="shared" si="1"/>
        <v>In</v>
      </c>
    </row>
    <row r="5155">
      <c r="A5155" s="62" t="s">
        <v>5293</v>
      </c>
      <c r="B5155" s="63">
        <v>44368.0</v>
      </c>
      <c r="C5155" s="62" t="s">
        <v>119</v>
      </c>
      <c r="D5155" s="64">
        <v>47.5</v>
      </c>
      <c r="E5155" s="62" t="s">
        <v>109</v>
      </c>
      <c r="F5155" s="62" t="s">
        <v>110</v>
      </c>
      <c r="G5155" s="64" t="s">
        <v>60</v>
      </c>
      <c r="H5155" s="3" t="s">
        <v>67</v>
      </c>
      <c r="I5155" s="65">
        <f>IFERROR(VLOOKUP(A5155,'3. Call duration'!$A:$C,3,0),"--")</f>
        <v>14.20970532</v>
      </c>
      <c r="J5155" s="65" t="str">
        <f t="array" ref="J5155">XLOOKUP(H5155,'2. Matching'!$A$2:$A$39,'2. Matching'!$B$2:$B$39,"--")</f>
        <v>Acquisition</v>
      </c>
      <c r="K5155" s="65" t="str">
        <f t="shared" si="1"/>
        <v>In</v>
      </c>
    </row>
    <row r="5156">
      <c r="A5156" s="62" t="s">
        <v>5294</v>
      </c>
      <c r="B5156" s="63">
        <v>44358.0</v>
      </c>
      <c r="C5156" s="62" t="s">
        <v>119</v>
      </c>
      <c r="D5156" s="64">
        <v>47.5</v>
      </c>
      <c r="E5156" s="62" t="s">
        <v>109</v>
      </c>
      <c r="F5156" s="62" t="s">
        <v>115</v>
      </c>
      <c r="G5156" s="64" t="s">
        <v>59</v>
      </c>
      <c r="H5156" s="3" t="s">
        <v>68</v>
      </c>
      <c r="I5156" s="65">
        <f>IFERROR(VLOOKUP(A5156,'3. Call duration'!$A:$C,3,0),"--")</f>
        <v>22.18776041</v>
      </c>
      <c r="J5156" s="65" t="str">
        <f t="array" ref="J5156">XLOOKUP(H5156,'2. Matching'!$A$2:$A$39,'2. Matching'!$B$2:$B$39,"--")</f>
        <v>Acquisition</v>
      </c>
      <c r="K5156" s="65" t="str">
        <f t="shared" si="1"/>
        <v>In</v>
      </c>
    </row>
    <row r="5157">
      <c r="A5157" s="62" t="s">
        <v>5295</v>
      </c>
      <c r="B5157" s="63">
        <v>44376.0</v>
      </c>
      <c r="C5157" s="62" t="s">
        <v>119</v>
      </c>
      <c r="D5157" s="64">
        <v>47.5</v>
      </c>
      <c r="E5157" s="62" t="s">
        <v>109</v>
      </c>
      <c r="F5157" s="62" t="s">
        <v>110</v>
      </c>
      <c r="G5157" s="64" t="s">
        <v>60</v>
      </c>
      <c r="H5157" s="3" t="s">
        <v>68</v>
      </c>
      <c r="I5157" s="65">
        <f>IFERROR(VLOOKUP(A5157,'3. Call duration'!$A:$C,3,0),"--")</f>
        <v>31.73492413</v>
      </c>
      <c r="J5157" s="65" t="str">
        <f t="array" ref="J5157">XLOOKUP(H5157,'2. Matching'!$A$2:$A$39,'2. Matching'!$B$2:$B$39,"--")</f>
        <v>Acquisition</v>
      </c>
      <c r="K5157" s="65" t="str">
        <f t="shared" si="1"/>
        <v>In</v>
      </c>
    </row>
    <row r="5158">
      <c r="A5158" s="62" t="s">
        <v>5296</v>
      </c>
      <c r="B5158" s="63">
        <v>44375.0</v>
      </c>
      <c r="C5158" s="62" t="s">
        <v>119</v>
      </c>
      <c r="D5158" s="64">
        <v>47.5</v>
      </c>
      <c r="E5158" s="62" t="s">
        <v>109</v>
      </c>
      <c r="F5158" s="62" t="s">
        <v>115</v>
      </c>
      <c r="G5158" s="64" t="s">
        <v>64</v>
      </c>
      <c r="H5158" s="3" t="s">
        <v>175</v>
      </c>
      <c r="I5158" s="65">
        <f>IFERROR(VLOOKUP(A5158,'3. Call duration'!$A:$C,3,0),"--")</f>
        <v>23.89199939</v>
      </c>
      <c r="J5158" s="65" t="str">
        <f t="array" ref="J5158">XLOOKUP(H5158,'2. Matching'!$A$2:$A$39,'2. Matching'!$B$2:$B$39,"--")</f>
        <v>SEO</v>
      </c>
      <c r="K5158" s="65" t="str">
        <f t="shared" si="1"/>
        <v>In</v>
      </c>
    </row>
    <row r="5159">
      <c r="A5159" s="62" t="s">
        <v>5297</v>
      </c>
      <c r="B5159" s="63">
        <v>44375.0</v>
      </c>
      <c r="C5159" s="62" t="s">
        <v>119</v>
      </c>
      <c r="D5159" s="64">
        <v>47.5</v>
      </c>
      <c r="E5159" s="62" t="s">
        <v>109</v>
      </c>
      <c r="F5159" s="62" t="s">
        <v>110</v>
      </c>
      <c r="G5159" s="64" t="s">
        <v>59</v>
      </c>
      <c r="H5159" s="3" t="s">
        <v>68</v>
      </c>
      <c r="I5159" s="65">
        <f>IFERROR(VLOOKUP(A5159,'3. Call duration'!$A:$C,3,0),"--")</f>
        <v>22.02397589</v>
      </c>
      <c r="J5159" s="65" t="str">
        <f t="array" ref="J5159">XLOOKUP(H5159,'2. Matching'!$A$2:$A$39,'2. Matching'!$B$2:$B$39,"--")</f>
        <v>Acquisition</v>
      </c>
      <c r="K5159" s="65" t="str">
        <f t="shared" si="1"/>
        <v>In</v>
      </c>
    </row>
    <row r="5160">
      <c r="A5160" s="62" t="s">
        <v>5298</v>
      </c>
      <c r="B5160" s="63">
        <v>44376.0</v>
      </c>
      <c r="C5160" s="62" t="s">
        <v>119</v>
      </c>
      <c r="D5160" s="64">
        <v>47.5</v>
      </c>
      <c r="E5160" s="62" t="s">
        <v>109</v>
      </c>
      <c r="F5160" s="62" t="s">
        <v>110</v>
      </c>
      <c r="G5160" s="64" t="s">
        <v>64</v>
      </c>
      <c r="H5160" s="3" t="s">
        <v>297</v>
      </c>
      <c r="I5160" s="65">
        <f>IFERROR(VLOOKUP(A5160,'3. Call duration'!$A:$C,3,0),"--")</f>
        <v>27.92874722</v>
      </c>
      <c r="J5160" s="65" t="str">
        <f t="array" ref="J5160">XLOOKUP(H5160,'2. Matching'!$A$2:$A$39,'2. Matching'!$B$2:$B$39,"--")</f>
        <v>Farming</v>
      </c>
      <c r="K5160" s="65" t="str">
        <f t="shared" si="1"/>
        <v>In</v>
      </c>
    </row>
    <row r="5161">
      <c r="A5161" s="62" t="s">
        <v>5299</v>
      </c>
      <c r="B5161" s="63">
        <v>44323.0</v>
      </c>
      <c r="C5161" s="62" t="s">
        <v>119</v>
      </c>
      <c r="D5161" s="64">
        <v>47.5</v>
      </c>
      <c r="E5161" s="62" t="s">
        <v>109</v>
      </c>
      <c r="F5161" s="62" t="s">
        <v>115</v>
      </c>
      <c r="G5161" s="64" t="s">
        <v>64</v>
      </c>
      <c r="H5161" s="3" t="s">
        <v>145</v>
      </c>
      <c r="I5161" s="65">
        <f>IFERROR(VLOOKUP(A5161,'3. Call duration'!$A:$C,3,0),"--")</f>
        <v>25.03567063</v>
      </c>
      <c r="J5161" s="65" t="str">
        <f t="array" ref="J5161">XLOOKUP(H5161,'2. Matching'!$A$2:$A$39,'2. Matching'!$B$2:$B$39,"--")</f>
        <v>SEO</v>
      </c>
      <c r="K5161" s="65" t="str">
        <f t="shared" si="1"/>
        <v>In</v>
      </c>
    </row>
    <row r="5162">
      <c r="A5162" s="62" t="s">
        <v>5300</v>
      </c>
      <c r="B5162" s="63">
        <v>44356.0</v>
      </c>
      <c r="C5162" s="62" t="s">
        <v>119</v>
      </c>
      <c r="D5162" s="64">
        <v>47.5</v>
      </c>
      <c r="E5162" s="62" t="s">
        <v>109</v>
      </c>
      <c r="F5162" s="62" t="s">
        <v>110</v>
      </c>
      <c r="G5162" s="64" t="s">
        <v>64</v>
      </c>
      <c r="H5162" s="3" t="s">
        <v>297</v>
      </c>
      <c r="I5162" s="65">
        <f>IFERROR(VLOOKUP(A5162,'3. Call duration'!$A:$C,3,0),"--")</f>
        <v>49.07173393</v>
      </c>
      <c r="J5162" s="65" t="str">
        <f t="array" ref="J5162">XLOOKUP(H5162,'2. Matching'!$A$2:$A$39,'2. Matching'!$B$2:$B$39,"--")</f>
        <v>Farming</v>
      </c>
      <c r="K5162" s="65" t="str">
        <f t="shared" si="1"/>
        <v>In</v>
      </c>
    </row>
    <row r="5163">
      <c r="A5163" s="62" t="s">
        <v>5301</v>
      </c>
      <c r="B5163" s="63">
        <v>44342.0</v>
      </c>
      <c r="C5163" s="62" t="s">
        <v>119</v>
      </c>
      <c r="D5163" s="64">
        <v>47.5</v>
      </c>
      <c r="E5163" s="62" t="s">
        <v>109</v>
      </c>
      <c r="F5163" s="62" t="s">
        <v>110</v>
      </c>
      <c r="G5163" s="64" t="s">
        <v>63</v>
      </c>
      <c r="H5163" s="3" t="s">
        <v>128</v>
      </c>
      <c r="I5163" s="65">
        <f>IFERROR(VLOOKUP(A5163,'3. Call duration'!$A:$C,3,0),"--")</f>
        <v>25.0633074</v>
      </c>
      <c r="J5163" s="65" t="str">
        <f t="array" ref="J5163">XLOOKUP(H5163,'2. Matching'!$A$2:$A$39,'2. Matching'!$B$2:$B$39,"--")</f>
        <v>Acquisition</v>
      </c>
      <c r="K5163" s="65" t="str">
        <f t="shared" si="1"/>
        <v>In</v>
      </c>
    </row>
    <row r="5164">
      <c r="A5164" s="62" t="s">
        <v>5302</v>
      </c>
      <c r="B5164" s="63">
        <v>44364.0</v>
      </c>
      <c r="C5164" s="62" t="s">
        <v>119</v>
      </c>
      <c r="D5164" s="64">
        <v>47.5</v>
      </c>
      <c r="E5164" s="62" t="s">
        <v>109</v>
      </c>
      <c r="F5164" s="62" t="s">
        <v>115</v>
      </c>
      <c r="G5164" s="64" t="s">
        <v>64</v>
      </c>
      <c r="H5164" s="3" t="s">
        <v>297</v>
      </c>
      <c r="I5164" s="65">
        <f>IFERROR(VLOOKUP(A5164,'3. Call duration'!$A:$C,3,0),"--")</f>
        <v>28.46786568</v>
      </c>
      <c r="J5164" s="65" t="str">
        <f t="array" ref="J5164">XLOOKUP(H5164,'2. Matching'!$A$2:$A$39,'2. Matching'!$B$2:$B$39,"--")</f>
        <v>Farming</v>
      </c>
      <c r="K5164" s="65" t="str">
        <f t="shared" si="1"/>
        <v>In</v>
      </c>
    </row>
    <row r="5165">
      <c r="A5165" s="62" t="s">
        <v>5303</v>
      </c>
      <c r="B5165" s="63">
        <v>44349.0</v>
      </c>
      <c r="C5165" s="62" t="s">
        <v>119</v>
      </c>
      <c r="D5165" s="64">
        <v>47.5</v>
      </c>
      <c r="E5165" s="62" t="s">
        <v>109</v>
      </c>
      <c r="F5165" s="62" t="s">
        <v>115</v>
      </c>
      <c r="G5165" s="64" t="s">
        <v>64</v>
      </c>
      <c r="H5165" s="3" t="s">
        <v>139</v>
      </c>
      <c r="I5165" s="65">
        <f>IFERROR(VLOOKUP(A5165,'3. Call duration'!$A:$C,3,0),"--")</f>
        <v>29.48266727</v>
      </c>
      <c r="J5165" s="65" t="str">
        <f t="array" ref="J5165">XLOOKUP(H5165,'2. Matching'!$A$2:$A$39,'2. Matching'!$B$2:$B$39,"--")</f>
        <v>Acquisition</v>
      </c>
      <c r="K5165" s="65" t="str">
        <f t="shared" si="1"/>
        <v>In</v>
      </c>
    </row>
    <row r="5166">
      <c r="A5166" s="62" t="s">
        <v>5304</v>
      </c>
      <c r="B5166" s="63">
        <v>44375.0</v>
      </c>
      <c r="C5166" s="62" t="s">
        <v>119</v>
      </c>
      <c r="D5166" s="64">
        <v>47.5</v>
      </c>
      <c r="E5166" s="62" t="s">
        <v>109</v>
      </c>
      <c r="F5166" s="62" t="s">
        <v>110</v>
      </c>
      <c r="G5166" s="64" t="s">
        <v>64</v>
      </c>
      <c r="H5166" s="3" t="s">
        <v>297</v>
      </c>
      <c r="I5166" s="65">
        <f>IFERROR(VLOOKUP(A5166,'3. Call duration'!$A:$C,3,0),"--")</f>
        <v>32.8982245</v>
      </c>
      <c r="J5166" s="65" t="str">
        <f t="array" ref="J5166">XLOOKUP(H5166,'2. Matching'!$A$2:$A$39,'2. Matching'!$B$2:$B$39,"--")</f>
        <v>Farming</v>
      </c>
      <c r="K5166" s="65" t="str">
        <f t="shared" si="1"/>
        <v>In</v>
      </c>
    </row>
    <row r="5167">
      <c r="A5167" s="62" t="s">
        <v>5305</v>
      </c>
      <c r="B5167" s="63">
        <v>44320.0</v>
      </c>
      <c r="C5167" s="62" t="s">
        <v>119</v>
      </c>
      <c r="D5167" s="64">
        <v>47.5</v>
      </c>
      <c r="E5167" s="62" t="s">
        <v>109</v>
      </c>
      <c r="F5167" s="62" t="s">
        <v>110</v>
      </c>
      <c r="G5167" s="64" t="s">
        <v>64</v>
      </c>
      <c r="H5167" s="3" t="s">
        <v>175</v>
      </c>
      <c r="I5167" s="65">
        <f>IFERROR(VLOOKUP(A5167,'3. Call duration'!$A:$C,3,0),"--")</f>
        <v>25.07813884</v>
      </c>
      <c r="J5167" s="65" t="str">
        <f t="array" ref="J5167">XLOOKUP(H5167,'2. Matching'!$A$2:$A$39,'2. Matching'!$B$2:$B$39,"--")</f>
        <v>SEO</v>
      </c>
      <c r="K5167" s="65" t="str">
        <f t="shared" si="1"/>
        <v>In</v>
      </c>
    </row>
    <row r="5168">
      <c r="A5168" s="62" t="s">
        <v>5306</v>
      </c>
      <c r="B5168" s="63">
        <v>44329.0</v>
      </c>
      <c r="C5168" s="62" t="s">
        <v>119</v>
      </c>
      <c r="D5168" s="64">
        <v>47.5</v>
      </c>
      <c r="E5168" s="62" t="s">
        <v>109</v>
      </c>
      <c r="F5168" s="62" t="s">
        <v>115</v>
      </c>
      <c r="G5168" s="64" t="s">
        <v>64</v>
      </c>
      <c r="H5168" s="3" t="s">
        <v>139</v>
      </c>
      <c r="I5168" s="65">
        <f>IFERROR(VLOOKUP(A5168,'3. Call duration'!$A:$C,3,0),"--")</f>
        <v>25.11139594</v>
      </c>
      <c r="J5168" s="65" t="str">
        <f t="array" ref="J5168">XLOOKUP(H5168,'2. Matching'!$A$2:$A$39,'2. Matching'!$B$2:$B$39,"--")</f>
        <v>Acquisition</v>
      </c>
      <c r="K5168" s="65" t="str">
        <f t="shared" si="1"/>
        <v>In</v>
      </c>
    </row>
    <row r="5169">
      <c r="A5169" s="62" t="s">
        <v>5307</v>
      </c>
      <c r="B5169" s="63">
        <v>44343.0</v>
      </c>
      <c r="C5169" s="62" t="s">
        <v>119</v>
      </c>
      <c r="D5169" s="64">
        <v>47.5</v>
      </c>
      <c r="E5169" s="62" t="s">
        <v>109</v>
      </c>
      <c r="F5169" s="62" t="s">
        <v>110</v>
      </c>
      <c r="G5169" s="64" t="s">
        <v>64</v>
      </c>
      <c r="H5169" s="3" t="s">
        <v>175</v>
      </c>
      <c r="I5169" s="65">
        <f>IFERROR(VLOOKUP(A5169,'3. Call duration'!$A:$C,3,0),"--")</f>
        <v>25.12388071</v>
      </c>
      <c r="J5169" s="65" t="str">
        <f t="array" ref="J5169">XLOOKUP(H5169,'2. Matching'!$A$2:$A$39,'2. Matching'!$B$2:$B$39,"--")</f>
        <v>SEO</v>
      </c>
      <c r="K5169" s="65" t="str">
        <f t="shared" si="1"/>
        <v>In</v>
      </c>
    </row>
    <row r="5170">
      <c r="A5170" s="62" t="s">
        <v>5308</v>
      </c>
      <c r="B5170" s="63">
        <v>44375.0</v>
      </c>
      <c r="C5170" s="62" t="s">
        <v>119</v>
      </c>
      <c r="D5170" s="64">
        <v>47.5</v>
      </c>
      <c r="E5170" s="62" t="s">
        <v>109</v>
      </c>
      <c r="F5170" s="62" t="s">
        <v>110</v>
      </c>
      <c r="G5170" s="64" t="s">
        <v>63</v>
      </c>
      <c r="H5170" s="3" t="s">
        <v>228</v>
      </c>
      <c r="I5170" s="65">
        <f>IFERROR(VLOOKUP(A5170,'3. Call duration'!$A:$C,3,0),"--")</f>
        <v>27.40949333</v>
      </c>
      <c r="J5170" s="65" t="str">
        <f t="array" ref="J5170">XLOOKUP(H5170,'2. Matching'!$A$2:$A$39,'2. Matching'!$B$2:$B$39,"--")</f>
        <v>Farming</v>
      </c>
      <c r="K5170" s="65" t="str">
        <f t="shared" si="1"/>
        <v>In</v>
      </c>
    </row>
    <row r="5171">
      <c r="A5171" s="62" t="s">
        <v>5309</v>
      </c>
      <c r="B5171" s="63">
        <v>44337.0</v>
      </c>
      <c r="C5171" s="62" t="s">
        <v>119</v>
      </c>
      <c r="D5171" s="64">
        <v>47.5</v>
      </c>
      <c r="E5171" s="62" t="s">
        <v>109</v>
      </c>
      <c r="F5171" s="62" t="s">
        <v>115</v>
      </c>
      <c r="G5171" s="64" t="s">
        <v>64</v>
      </c>
      <c r="H5171" s="3" t="s">
        <v>164</v>
      </c>
      <c r="I5171" s="65">
        <f>IFERROR(VLOOKUP(A5171,'3. Call duration'!$A:$C,3,0),"--")</f>
        <v>25.12443906</v>
      </c>
      <c r="J5171" s="65" t="str">
        <f t="array" ref="J5171">XLOOKUP(H5171,'2. Matching'!$A$2:$A$39,'2. Matching'!$B$2:$B$39,"--")</f>
        <v>SEO</v>
      </c>
      <c r="K5171" s="65" t="str">
        <f t="shared" si="1"/>
        <v>In</v>
      </c>
    </row>
    <row r="5172">
      <c r="A5172" s="62" t="s">
        <v>5310</v>
      </c>
      <c r="B5172" s="63">
        <v>44368.0</v>
      </c>
      <c r="C5172" s="62" t="s">
        <v>119</v>
      </c>
      <c r="D5172" s="64">
        <v>47.5</v>
      </c>
      <c r="E5172" s="62" t="s">
        <v>109</v>
      </c>
      <c r="F5172" s="62" t="s">
        <v>115</v>
      </c>
      <c r="G5172" s="64" t="s">
        <v>64</v>
      </c>
      <c r="H5172" s="3" t="s">
        <v>175</v>
      </c>
      <c r="I5172" s="65">
        <f>IFERROR(VLOOKUP(A5172,'3. Call duration'!$A:$C,3,0),"--")</f>
        <v>32.78578565</v>
      </c>
      <c r="J5172" s="65" t="str">
        <f t="array" ref="J5172">XLOOKUP(H5172,'2. Matching'!$A$2:$A$39,'2. Matching'!$B$2:$B$39,"--")</f>
        <v>SEO</v>
      </c>
      <c r="K5172" s="65" t="str">
        <f t="shared" si="1"/>
        <v>In</v>
      </c>
    </row>
    <row r="5173">
      <c r="A5173" s="62" t="s">
        <v>5311</v>
      </c>
      <c r="B5173" s="63">
        <v>44326.0</v>
      </c>
      <c r="C5173" s="62" t="s">
        <v>119</v>
      </c>
      <c r="D5173" s="64">
        <v>47.5</v>
      </c>
      <c r="E5173" s="62" t="s">
        <v>109</v>
      </c>
      <c r="F5173" s="62" t="s">
        <v>115</v>
      </c>
      <c r="G5173" s="64" t="s">
        <v>64</v>
      </c>
      <c r="H5173" s="3" t="s">
        <v>185</v>
      </c>
      <c r="I5173" s="65">
        <f>IFERROR(VLOOKUP(A5173,'3. Call duration'!$A:$C,3,0),"--")</f>
        <v>25.18528507</v>
      </c>
      <c r="J5173" s="65" t="str">
        <f t="array" ref="J5173">XLOOKUP(H5173,'2. Matching'!$A$2:$A$39,'2. Matching'!$B$2:$B$39,"--")</f>
        <v>SEO</v>
      </c>
      <c r="K5173" s="65" t="str">
        <f t="shared" si="1"/>
        <v>In</v>
      </c>
    </row>
    <row r="5174">
      <c r="A5174" s="62" t="s">
        <v>5312</v>
      </c>
      <c r="B5174" s="63">
        <v>44354.0</v>
      </c>
      <c r="C5174" s="62" t="s">
        <v>119</v>
      </c>
      <c r="D5174" s="64">
        <v>47.5</v>
      </c>
      <c r="E5174" s="62" t="s">
        <v>109</v>
      </c>
      <c r="F5174" s="62" t="s">
        <v>110</v>
      </c>
      <c r="G5174" s="64" t="s">
        <v>64</v>
      </c>
      <c r="H5174" s="3" t="s">
        <v>175</v>
      </c>
      <c r="I5174" s="65">
        <f>IFERROR(VLOOKUP(A5174,'3. Call duration'!$A:$C,3,0),"--")</f>
        <v>27.40758981</v>
      </c>
      <c r="J5174" s="65" t="str">
        <f t="array" ref="J5174">XLOOKUP(H5174,'2. Matching'!$A$2:$A$39,'2. Matching'!$B$2:$B$39,"--")</f>
        <v>SEO</v>
      </c>
      <c r="K5174" s="65" t="str">
        <f t="shared" si="1"/>
        <v>In</v>
      </c>
    </row>
    <row r="5175">
      <c r="A5175" s="62" t="s">
        <v>5313</v>
      </c>
      <c r="B5175" s="63">
        <v>44366.0</v>
      </c>
      <c r="C5175" s="62" t="s">
        <v>119</v>
      </c>
      <c r="D5175" s="64">
        <v>47.5</v>
      </c>
      <c r="E5175" s="62" t="s">
        <v>109</v>
      </c>
      <c r="F5175" s="62" t="s">
        <v>110</v>
      </c>
      <c r="G5175" s="64" t="s">
        <v>59</v>
      </c>
      <c r="H5175" s="3" t="s">
        <v>68</v>
      </c>
      <c r="I5175" s="65">
        <f>IFERROR(VLOOKUP(A5175,'3. Call duration'!$A:$C,3,0),"--")</f>
        <v>16.68862365</v>
      </c>
      <c r="J5175" s="65" t="str">
        <f t="array" ref="J5175">XLOOKUP(H5175,'2. Matching'!$A$2:$A$39,'2. Matching'!$B$2:$B$39,"--")</f>
        <v>Acquisition</v>
      </c>
      <c r="K5175" s="65" t="str">
        <f t="shared" si="1"/>
        <v>In</v>
      </c>
    </row>
    <row r="5176">
      <c r="A5176" s="62" t="s">
        <v>5314</v>
      </c>
      <c r="B5176" s="63">
        <v>44334.0</v>
      </c>
      <c r="C5176" s="62" t="s">
        <v>119</v>
      </c>
      <c r="D5176" s="64">
        <v>95.0</v>
      </c>
      <c r="E5176" s="62" t="s">
        <v>114</v>
      </c>
      <c r="F5176" s="62" t="s">
        <v>115</v>
      </c>
      <c r="G5176" s="64" t="s">
        <v>64</v>
      </c>
      <c r="H5176" s="3" t="s">
        <v>297</v>
      </c>
      <c r="I5176" s="65">
        <f>IFERROR(VLOOKUP(A5176,'3. Call duration'!$A:$C,3,0),"--")</f>
        <v>25.19661452</v>
      </c>
      <c r="J5176" s="65" t="str">
        <f t="array" ref="J5176">XLOOKUP(H5176,'2. Matching'!$A$2:$A$39,'2. Matching'!$B$2:$B$39,"--")</f>
        <v>Farming</v>
      </c>
      <c r="K5176" s="65" t="str">
        <f t="shared" si="1"/>
        <v>In</v>
      </c>
    </row>
    <row r="5177">
      <c r="A5177" s="62" t="s">
        <v>5315</v>
      </c>
      <c r="B5177" s="63">
        <v>44341.0</v>
      </c>
      <c r="C5177" s="62" t="s">
        <v>119</v>
      </c>
      <c r="D5177" s="64">
        <v>47.5</v>
      </c>
      <c r="E5177" s="62" t="s">
        <v>109</v>
      </c>
      <c r="F5177" s="62" t="s">
        <v>110</v>
      </c>
      <c r="G5177" s="64" t="s">
        <v>64</v>
      </c>
      <c r="H5177" s="3" t="s">
        <v>145</v>
      </c>
      <c r="I5177" s="65">
        <f>IFERROR(VLOOKUP(A5177,'3. Call duration'!$A:$C,3,0),"--")</f>
        <v>25.20051098</v>
      </c>
      <c r="J5177" s="65" t="str">
        <f t="array" ref="J5177">XLOOKUP(H5177,'2. Matching'!$A$2:$A$39,'2. Matching'!$B$2:$B$39,"--")</f>
        <v>SEO</v>
      </c>
      <c r="K5177" s="65" t="str">
        <f t="shared" si="1"/>
        <v>In</v>
      </c>
    </row>
    <row r="5178">
      <c r="A5178" s="62" t="s">
        <v>5316</v>
      </c>
      <c r="B5178" s="63">
        <v>44358.0</v>
      </c>
      <c r="C5178" s="62" t="s">
        <v>119</v>
      </c>
      <c r="D5178" s="64">
        <v>47.5</v>
      </c>
      <c r="E5178" s="62" t="s">
        <v>109</v>
      </c>
      <c r="F5178" s="62" t="s">
        <v>110</v>
      </c>
      <c r="G5178" s="64" t="s">
        <v>64</v>
      </c>
      <c r="H5178" s="3" t="s">
        <v>297</v>
      </c>
      <c r="I5178" s="65">
        <f>IFERROR(VLOOKUP(A5178,'3. Call duration'!$A:$C,3,0),"--")</f>
        <v>44.63157318</v>
      </c>
      <c r="J5178" s="65" t="str">
        <f t="array" ref="J5178">XLOOKUP(H5178,'2. Matching'!$A$2:$A$39,'2. Matching'!$B$2:$B$39,"--")</f>
        <v>Farming</v>
      </c>
      <c r="K5178" s="65" t="str">
        <f t="shared" si="1"/>
        <v>In</v>
      </c>
    </row>
    <row r="5179">
      <c r="A5179" s="62" t="s">
        <v>5317</v>
      </c>
      <c r="B5179" s="63">
        <v>44337.0</v>
      </c>
      <c r="C5179" s="62" t="s">
        <v>119</v>
      </c>
      <c r="D5179" s="64">
        <v>47.5</v>
      </c>
      <c r="E5179" s="62" t="s">
        <v>109</v>
      </c>
      <c r="F5179" s="62" t="s">
        <v>115</v>
      </c>
      <c r="G5179" s="64" t="s">
        <v>59</v>
      </c>
      <c r="H5179" s="3" t="s">
        <v>68</v>
      </c>
      <c r="I5179" s="65">
        <f>IFERROR(VLOOKUP(A5179,'3. Call duration'!$A:$C,3,0),"--")</f>
        <v>25.20539496</v>
      </c>
      <c r="J5179" s="65" t="str">
        <f t="array" ref="J5179">XLOOKUP(H5179,'2. Matching'!$A$2:$A$39,'2. Matching'!$B$2:$B$39,"--")</f>
        <v>Acquisition</v>
      </c>
      <c r="K5179" s="65" t="str">
        <f t="shared" si="1"/>
        <v>In</v>
      </c>
    </row>
    <row r="5180">
      <c r="A5180" s="62" t="s">
        <v>5318</v>
      </c>
      <c r="B5180" s="63">
        <v>44343.0</v>
      </c>
      <c r="C5180" s="62" t="s">
        <v>119</v>
      </c>
      <c r="D5180" s="64">
        <v>47.5</v>
      </c>
      <c r="E5180" s="62" t="s">
        <v>109</v>
      </c>
      <c r="F5180" s="62" t="s">
        <v>110</v>
      </c>
      <c r="G5180" s="64" t="s">
        <v>60</v>
      </c>
      <c r="H5180" s="3" t="s">
        <v>67</v>
      </c>
      <c r="I5180" s="65">
        <f>IFERROR(VLOOKUP(A5180,'3. Call duration'!$A:$C,3,0),"--")</f>
        <v>25.22390632</v>
      </c>
      <c r="J5180" s="65" t="str">
        <f t="array" ref="J5180">XLOOKUP(H5180,'2. Matching'!$A$2:$A$39,'2. Matching'!$B$2:$B$39,"--")</f>
        <v>Acquisition</v>
      </c>
      <c r="K5180" s="65" t="str">
        <f t="shared" si="1"/>
        <v>In</v>
      </c>
    </row>
    <row r="5181">
      <c r="A5181" s="62" t="s">
        <v>5319</v>
      </c>
      <c r="B5181" s="63">
        <v>44327.0</v>
      </c>
      <c r="C5181" s="62" t="s">
        <v>119</v>
      </c>
      <c r="D5181" s="64">
        <v>47.5</v>
      </c>
      <c r="E5181" s="62" t="s">
        <v>109</v>
      </c>
      <c r="F5181" s="62" t="s">
        <v>115</v>
      </c>
      <c r="G5181" s="64" t="s">
        <v>59</v>
      </c>
      <c r="H5181" s="3" t="s">
        <v>68</v>
      </c>
      <c r="I5181" s="65">
        <f>IFERROR(VLOOKUP(A5181,'3. Call duration'!$A:$C,3,0),"--")</f>
        <v>25.24683143</v>
      </c>
      <c r="J5181" s="65" t="str">
        <f t="array" ref="J5181">XLOOKUP(H5181,'2. Matching'!$A$2:$A$39,'2. Matching'!$B$2:$B$39,"--")</f>
        <v>Acquisition</v>
      </c>
      <c r="K5181" s="65" t="str">
        <f t="shared" si="1"/>
        <v>In</v>
      </c>
    </row>
    <row r="5182">
      <c r="A5182" s="62" t="s">
        <v>5320</v>
      </c>
      <c r="B5182" s="63">
        <v>44347.0</v>
      </c>
      <c r="C5182" s="62" t="s">
        <v>108</v>
      </c>
      <c r="D5182" s="64">
        <v>0.0</v>
      </c>
      <c r="E5182" s="62" t="s">
        <v>109</v>
      </c>
      <c r="F5182" s="62" t="s">
        <v>115</v>
      </c>
      <c r="G5182" s="64" t="s">
        <v>63</v>
      </c>
      <c r="H5182" s="3" t="s">
        <v>228</v>
      </c>
      <c r="I5182" s="65">
        <f>IFERROR(VLOOKUP(A5182,'3. Call duration'!$A:$C,3,0),"--")</f>
        <v>25.262426</v>
      </c>
      <c r="J5182" s="65" t="str">
        <f t="array" ref="J5182">XLOOKUP(H5182,'2. Matching'!$A$2:$A$39,'2. Matching'!$B$2:$B$39,"--")</f>
        <v>Farming</v>
      </c>
      <c r="K5182" s="65" t="str">
        <f t="shared" si="1"/>
        <v>In</v>
      </c>
    </row>
    <row r="5183">
      <c r="A5183" s="62" t="s">
        <v>5321</v>
      </c>
      <c r="B5183" s="63">
        <v>44336.0</v>
      </c>
      <c r="C5183" s="62" t="s">
        <v>119</v>
      </c>
      <c r="D5183" s="64">
        <v>47.5</v>
      </c>
      <c r="E5183" s="62" t="s">
        <v>109</v>
      </c>
      <c r="F5183" s="62" t="s">
        <v>115</v>
      </c>
      <c r="G5183" s="64" t="s">
        <v>59</v>
      </c>
      <c r="H5183" s="3" t="s">
        <v>68</v>
      </c>
      <c r="I5183" s="65">
        <f>IFERROR(VLOOKUP(A5183,'3. Call duration'!$A:$C,3,0),"--")</f>
        <v>25.30501636</v>
      </c>
      <c r="J5183" s="65" t="str">
        <f t="array" ref="J5183">XLOOKUP(H5183,'2. Matching'!$A$2:$A$39,'2. Matching'!$B$2:$B$39,"--")</f>
        <v>Acquisition</v>
      </c>
      <c r="K5183" s="65" t="str">
        <f t="shared" si="1"/>
        <v>In</v>
      </c>
    </row>
    <row r="5184">
      <c r="A5184" s="62" t="s">
        <v>5322</v>
      </c>
      <c r="B5184" s="63">
        <v>44350.0</v>
      </c>
      <c r="C5184" s="62" t="s">
        <v>119</v>
      </c>
      <c r="D5184" s="64">
        <v>47.5</v>
      </c>
      <c r="E5184" s="62" t="s">
        <v>109</v>
      </c>
      <c r="F5184" s="62" t="s">
        <v>115</v>
      </c>
      <c r="G5184" s="64" t="s">
        <v>63</v>
      </c>
      <c r="H5184" s="3" t="s">
        <v>189</v>
      </c>
      <c r="I5184" s="65">
        <f>IFERROR(VLOOKUP(A5184,'3. Call duration'!$A:$C,3,0),"--")</f>
        <v>12.60519942</v>
      </c>
      <c r="J5184" s="65" t="str">
        <f t="array" ref="J5184">XLOOKUP(H5184,'2. Matching'!$A$2:$A$39,'2. Matching'!$B$2:$B$39,"--")</f>
        <v>SEO</v>
      </c>
      <c r="K5184" s="65" t="str">
        <f t="shared" si="1"/>
        <v>Out</v>
      </c>
    </row>
    <row r="5185">
      <c r="A5185" s="62" t="s">
        <v>5323</v>
      </c>
      <c r="B5185" s="63">
        <v>44333.0</v>
      </c>
      <c r="C5185" s="62" t="s">
        <v>119</v>
      </c>
      <c r="D5185" s="64">
        <v>47.5</v>
      </c>
      <c r="E5185" s="62" t="s">
        <v>109</v>
      </c>
      <c r="F5185" s="62" t="s">
        <v>115</v>
      </c>
      <c r="G5185" s="64" t="s">
        <v>64</v>
      </c>
      <c r="H5185" s="3" t="s">
        <v>116</v>
      </c>
      <c r="I5185" s="65">
        <f>IFERROR(VLOOKUP(A5185,'3. Call duration'!$A:$C,3,0),"--")</f>
        <v>25.44727221</v>
      </c>
      <c r="J5185" s="65" t="str">
        <f t="array" ref="J5185">XLOOKUP(H5185,'2. Matching'!$A$2:$A$39,'2. Matching'!$B$2:$B$39,"--")</f>
        <v>Acquisition</v>
      </c>
      <c r="K5185" s="65" t="str">
        <f t="shared" si="1"/>
        <v>In</v>
      </c>
    </row>
    <row r="5186">
      <c r="A5186" s="62" t="s">
        <v>5324</v>
      </c>
      <c r="B5186" s="63">
        <v>44365.0</v>
      </c>
      <c r="C5186" s="62" t="s">
        <v>119</v>
      </c>
      <c r="D5186" s="64">
        <v>47.5</v>
      </c>
      <c r="E5186" s="62" t="s">
        <v>109</v>
      </c>
      <c r="F5186" s="62" t="s">
        <v>115</v>
      </c>
      <c r="G5186" s="64" t="s">
        <v>60</v>
      </c>
      <c r="H5186" s="3" t="s">
        <v>68</v>
      </c>
      <c r="I5186" s="65">
        <f>IFERROR(VLOOKUP(A5186,'3. Call duration'!$A:$C,3,0),"--")</f>
        <v>28.75943362</v>
      </c>
      <c r="J5186" s="65" t="str">
        <f t="array" ref="J5186">XLOOKUP(H5186,'2. Matching'!$A$2:$A$39,'2. Matching'!$B$2:$B$39,"--")</f>
        <v>Acquisition</v>
      </c>
      <c r="K5186" s="65" t="str">
        <f t="shared" si="1"/>
        <v>In</v>
      </c>
    </row>
    <row r="5187">
      <c r="A5187" s="62" t="s">
        <v>5325</v>
      </c>
      <c r="B5187" s="63">
        <v>44334.0</v>
      </c>
      <c r="C5187" s="62" t="s">
        <v>119</v>
      </c>
      <c r="D5187" s="64">
        <v>47.5</v>
      </c>
      <c r="E5187" s="62" t="s">
        <v>109</v>
      </c>
      <c r="F5187" s="62" t="s">
        <v>110</v>
      </c>
      <c r="G5187" s="64" t="s">
        <v>64</v>
      </c>
      <c r="H5187" s="3" t="s">
        <v>116</v>
      </c>
      <c r="I5187" s="65">
        <f>IFERROR(VLOOKUP(A5187,'3. Call duration'!$A:$C,3,0),"--")</f>
        <v>25.48681626</v>
      </c>
      <c r="J5187" s="65" t="str">
        <f t="array" ref="J5187">XLOOKUP(H5187,'2. Matching'!$A$2:$A$39,'2. Matching'!$B$2:$B$39,"--")</f>
        <v>Acquisition</v>
      </c>
      <c r="K5187" s="65" t="str">
        <f t="shared" si="1"/>
        <v>In</v>
      </c>
    </row>
    <row r="5188">
      <c r="A5188" s="62" t="s">
        <v>5326</v>
      </c>
      <c r="B5188" s="63">
        <v>44375.0</v>
      </c>
      <c r="C5188" s="62" t="s">
        <v>119</v>
      </c>
      <c r="D5188" s="64">
        <v>47.5</v>
      </c>
      <c r="E5188" s="62" t="s">
        <v>109</v>
      </c>
      <c r="F5188" s="62" t="s">
        <v>115</v>
      </c>
      <c r="G5188" s="64" t="s">
        <v>62</v>
      </c>
      <c r="H5188" s="3" t="s">
        <v>286</v>
      </c>
      <c r="I5188" s="65">
        <f>IFERROR(VLOOKUP(A5188,'3. Call duration'!$A:$C,3,0),"--")</f>
        <v>12.99747205</v>
      </c>
      <c r="J5188" s="65" t="str">
        <f t="array" ref="J5188">XLOOKUP(H5188,'2. Matching'!$A$2:$A$39,'2. Matching'!$B$2:$B$39,"--")</f>
        <v>Farming</v>
      </c>
      <c r="K5188" s="65" t="str">
        <f t="shared" si="1"/>
        <v>In</v>
      </c>
    </row>
    <row r="5189">
      <c r="A5189" s="62" t="s">
        <v>5327</v>
      </c>
      <c r="B5189" s="63">
        <v>44377.0</v>
      </c>
      <c r="C5189" s="62" t="s">
        <v>119</v>
      </c>
      <c r="D5189" s="64">
        <v>47.5</v>
      </c>
      <c r="E5189" s="62" t="s">
        <v>109</v>
      </c>
      <c r="F5189" s="62" t="s">
        <v>115</v>
      </c>
      <c r="G5189" s="64" t="s">
        <v>60</v>
      </c>
      <c r="H5189" s="3" t="s">
        <v>68</v>
      </c>
      <c r="I5189" s="65">
        <f>IFERROR(VLOOKUP(A5189,'3. Call duration'!$A:$C,3,0),"--")</f>
        <v>30.42249629</v>
      </c>
      <c r="J5189" s="65" t="str">
        <f t="array" ref="J5189">XLOOKUP(H5189,'2. Matching'!$A$2:$A$39,'2. Matching'!$B$2:$B$39,"--")</f>
        <v>Acquisition</v>
      </c>
      <c r="K5189" s="65" t="str">
        <f t="shared" si="1"/>
        <v>In</v>
      </c>
    </row>
    <row r="5190">
      <c r="A5190" s="62" t="s">
        <v>5328</v>
      </c>
      <c r="B5190" s="63">
        <v>44319.0</v>
      </c>
      <c r="C5190" s="62" t="s">
        <v>119</v>
      </c>
      <c r="D5190" s="64">
        <v>47.5</v>
      </c>
      <c r="E5190" s="62" t="s">
        <v>109</v>
      </c>
      <c r="F5190" s="62" t="s">
        <v>115</v>
      </c>
      <c r="G5190" s="64" t="s">
        <v>64</v>
      </c>
      <c r="H5190" s="3" t="s">
        <v>185</v>
      </c>
      <c r="I5190" s="65">
        <f>IFERROR(VLOOKUP(A5190,'3. Call duration'!$A:$C,3,0),"--")</f>
        <v>25.55295507</v>
      </c>
      <c r="J5190" s="65" t="str">
        <f t="array" ref="J5190">XLOOKUP(H5190,'2. Matching'!$A$2:$A$39,'2. Matching'!$B$2:$B$39,"--")</f>
        <v>SEO</v>
      </c>
      <c r="K5190" s="65" t="str">
        <f t="shared" si="1"/>
        <v>In</v>
      </c>
    </row>
    <row r="5191">
      <c r="A5191" s="62" t="s">
        <v>5329</v>
      </c>
      <c r="B5191" s="63">
        <v>44338.0</v>
      </c>
      <c r="C5191" s="62" t="s">
        <v>119</v>
      </c>
      <c r="D5191" s="64">
        <v>47.5</v>
      </c>
      <c r="E5191" s="62" t="s">
        <v>109</v>
      </c>
      <c r="F5191" s="62" t="s">
        <v>115</v>
      </c>
      <c r="G5191" s="64" t="s">
        <v>59</v>
      </c>
      <c r="H5191" s="3" t="s">
        <v>68</v>
      </c>
      <c r="I5191" s="65">
        <f>IFERROR(VLOOKUP(A5191,'3. Call duration'!$A:$C,3,0),"--")</f>
        <v>25.57058948</v>
      </c>
      <c r="J5191" s="65" t="str">
        <f t="array" ref="J5191">XLOOKUP(H5191,'2. Matching'!$A$2:$A$39,'2. Matching'!$B$2:$B$39,"--")</f>
        <v>Acquisition</v>
      </c>
      <c r="K5191" s="65" t="str">
        <f t="shared" si="1"/>
        <v>In</v>
      </c>
    </row>
    <row r="5192">
      <c r="A5192" s="62" t="s">
        <v>5330</v>
      </c>
      <c r="B5192" s="63">
        <v>44368.0</v>
      </c>
      <c r="C5192" s="62" t="s">
        <v>119</v>
      </c>
      <c r="D5192" s="64">
        <v>47.5</v>
      </c>
      <c r="E5192" s="62" t="s">
        <v>109</v>
      </c>
      <c r="F5192" s="62" t="s">
        <v>110</v>
      </c>
      <c r="G5192" s="64" t="s">
        <v>64</v>
      </c>
      <c r="H5192" s="3" t="s">
        <v>54</v>
      </c>
      <c r="I5192" s="65">
        <f>IFERROR(VLOOKUP(A5192,'3. Call duration'!$A:$C,3,0),"--")</f>
        <v>14.89869907</v>
      </c>
      <c r="J5192" s="65" t="str">
        <f t="array" ref="J5192">XLOOKUP(H5192,'2. Matching'!$A$2:$A$39,'2. Matching'!$B$2:$B$39,"--")</f>
        <v>Partnerships</v>
      </c>
      <c r="K5192" s="65" t="str">
        <f t="shared" si="1"/>
        <v>In</v>
      </c>
    </row>
    <row r="5193">
      <c r="A5193" s="62" t="s">
        <v>5331</v>
      </c>
      <c r="B5193" s="63">
        <v>44323.0</v>
      </c>
      <c r="C5193" s="62" t="s">
        <v>119</v>
      </c>
      <c r="D5193" s="64">
        <v>95.0</v>
      </c>
      <c r="E5193" s="62" t="s">
        <v>114</v>
      </c>
      <c r="F5193" s="62" t="s">
        <v>115</v>
      </c>
      <c r="G5193" s="64" t="s">
        <v>64</v>
      </c>
      <c r="H5193" s="3" t="s">
        <v>155</v>
      </c>
      <c r="I5193" s="65">
        <f>IFERROR(VLOOKUP(A5193,'3. Call duration'!$A:$C,3,0),"--")</f>
        <v>25.60944201</v>
      </c>
      <c r="J5193" s="65" t="str">
        <f t="array" ref="J5193">XLOOKUP(H5193,'2. Matching'!$A$2:$A$39,'2. Matching'!$B$2:$B$39,"--")</f>
        <v>SEO</v>
      </c>
      <c r="K5193" s="65" t="str">
        <f t="shared" si="1"/>
        <v>In</v>
      </c>
    </row>
    <row r="5194">
      <c r="A5194" s="62" t="s">
        <v>5332</v>
      </c>
      <c r="B5194" s="63">
        <v>44322.0</v>
      </c>
      <c r="C5194" s="62" t="s">
        <v>119</v>
      </c>
      <c r="D5194" s="64">
        <v>47.5</v>
      </c>
      <c r="E5194" s="62" t="s">
        <v>109</v>
      </c>
      <c r="F5194" s="62" t="s">
        <v>110</v>
      </c>
      <c r="G5194" s="64" t="s">
        <v>64</v>
      </c>
      <c r="H5194" s="3" t="s">
        <v>116</v>
      </c>
      <c r="I5194" s="65">
        <f>IFERROR(VLOOKUP(A5194,'3. Call duration'!$A:$C,3,0),"--")</f>
        <v>25.62541858</v>
      </c>
      <c r="J5194" s="65" t="str">
        <f t="array" ref="J5194">XLOOKUP(H5194,'2. Matching'!$A$2:$A$39,'2. Matching'!$B$2:$B$39,"--")</f>
        <v>Acquisition</v>
      </c>
      <c r="K5194" s="65" t="str">
        <f t="shared" si="1"/>
        <v>In</v>
      </c>
    </row>
    <row r="5195">
      <c r="A5195" s="62" t="s">
        <v>5333</v>
      </c>
      <c r="B5195" s="63">
        <v>44375.0</v>
      </c>
      <c r="C5195" s="62" t="s">
        <v>119</v>
      </c>
      <c r="D5195" s="64">
        <v>47.5</v>
      </c>
      <c r="E5195" s="62" t="s">
        <v>109</v>
      </c>
      <c r="F5195" s="62" t="s">
        <v>110</v>
      </c>
      <c r="G5195" s="64" t="s">
        <v>60</v>
      </c>
      <c r="H5195" s="3" t="s">
        <v>67</v>
      </c>
      <c r="I5195" s="65">
        <f>IFERROR(VLOOKUP(A5195,'3. Call duration'!$A:$C,3,0),"--")</f>
        <v>26.49789939</v>
      </c>
      <c r="J5195" s="65" t="str">
        <f t="array" ref="J5195">XLOOKUP(H5195,'2. Matching'!$A$2:$A$39,'2. Matching'!$B$2:$B$39,"--")</f>
        <v>Acquisition</v>
      </c>
      <c r="K5195" s="65" t="str">
        <f t="shared" si="1"/>
        <v>In</v>
      </c>
    </row>
    <row r="5196">
      <c r="A5196" s="62" t="s">
        <v>5334</v>
      </c>
      <c r="B5196" s="63">
        <v>44368.0</v>
      </c>
      <c r="C5196" s="62" t="s">
        <v>119</v>
      </c>
      <c r="D5196" s="64">
        <v>47.5</v>
      </c>
      <c r="E5196" s="62" t="s">
        <v>109</v>
      </c>
      <c r="F5196" s="62" t="s">
        <v>115</v>
      </c>
      <c r="G5196" s="64" t="s">
        <v>64</v>
      </c>
      <c r="H5196" s="3" t="s">
        <v>221</v>
      </c>
      <c r="I5196" s="65">
        <f>IFERROR(VLOOKUP(A5196,'3. Call duration'!$A:$C,3,0),"--")</f>
        <v>42.58840441</v>
      </c>
      <c r="J5196" s="65" t="str">
        <f t="array" ref="J5196">XLOOKUP(H5196,'2. Matching'!$A$2:$A$39,'2. Matching'!$B$2:$B$39,"--")</f>
        <v>Farming</v>
      </c>
      <c r="K5196" s="65" t="str">
        <f t="shared" si="1"/>
        <v>In</v>
      </c>
    </row>
    <row r="5197">
      <c r="A5197" s="62" t="s">
        <v>5335</v>
      </c>
      <c r="B5197" s="63">
        <v>44356.0</v>
      </c>
      <c r="C5197" s="62" t="s">
        <v>119</v>
      </c>
      <c r="D5197" s="64">
        <v>47.5</v>
      </c>
      <c r="E5197" s="62" t="s">
        <v>109</v>
      </c>
      <c r="F5197" s="62" t="s">
        <v>110</v>
      </c>
      <c r="G5197" s="64" t="s">
        <v>64</v>
      </c>
      <c r="H5197" s="3" t="s">
        <v>175</v>
      </c>
      <c r="I5197" s="65">
        <f>IFERROR(VLOOKUP(A5197,'3. Call duration'!$A:$C,3,0),"--")</f>
        <v>44.2054505</v>
      </c>
      <c r="J5197" s="65" t="str">
        <f t="array" ref="J5197">XLOOKUP(H5197,'2. Matching'!$A$2:$A$39,'2. Matching'!$B$2:$B$39,"--")</f>
        <v>SEO</v>
      </c>
      <c r="K5197" s="65" t="str">
        <f t="shared" si="1"/>
        <v>In</v>
      </c>
    </row>
    <row r="5198">
      <c r="A5198" s="62" t="s">
        <v>5336</v>
      </c>
      <c r="B5198" s="63">
        <v>44343.0</v>
      </c>
      <c r="C5198" s="62" t="s">
        <v>119</v>
      </c>
      <c r="D5198" s="64">
        <v>95.0</v>
      </c>
      <c r="E5198" s="62" t="s">
        <v>114</v>
      </c>
      <c r="F5198" s="62" t="s">
        <v>115</v>
      </c>
      <c r="G5198" s="64" t="s">
        <v>64</v>
      </c>
      <c r="H5198" s="3" t="s">
        <v>185</v>
      </c>
      <c r="I5198" s="65">
        <f>IFERROR(VLOOKUP(A5198,'3. Call duration'!$A:$C,3,0),"--")</f>
        <v>25.63774511</v>
      </c>
      <c r="J5198" s="65" t="str">
        <f t="array" ref="J5198">XLOOKUP(H5198,'2. Matching'!$A$2:$A$39,'2. Matching'!$B$2:$B$39,"--")</f>
        <v>SEO</v>
      </c>
      <c r="K5198" s="65" t="str">
        <f t="shared" si="1"/>
        <v>In</v>
      </c>
    </row>
    <row r="5199">
      <c r="A5199" s="62" t="s">
        <v>5337</v>
      </c>
      <c r="B5199" s="63">
        <v>44326.0</v>
      </c>
      <c r="C5199" s="62" t="s">
        <v>119</v>
      </c>
      <c r="D5199" s="64">
        <v>95.0</v>
      </c>
      <c r="E5199" s="62" t="s">
        <v>114</v>
      </c>
      <c r="F5199" s="62" t="s">
        <v>110</v>
      </c>
      <c r="G5199" s="64" t="s">
        <v>59</v>
      </c>
      <c r="H5199" s="3" t="s">
        <v>68</v>
      </c>
      <c r="I5199" s="65">
        <f>IFERROR(VLOOKUP(A5199,'3. Call duration'!$A:$C,3,0),"--")</f>
        <v>25.64713701</v>
      </c>
      <c r="J5199" s="65" t="str">
        <f t="array" ref="J5199">XLOOKUP(H5199,'2. Matching'!$A$2:$A$39,'2. Matching'!$B$2:$B$39,"--")</f>
        <v>Acquisition</v>
      </c>
      <c r="K5199" s="65" t="str">
        <f t="shared" si="1"/>
        <v>In</v>
      </c>
    </row>
    <row r="5200">
      <c r="A5200" s="62" t="s">
        <v>5338</v>
      </c>
      <c r="B5200" s="63">
        <v>44370.0</v>
      </c>
      <c r="C5200" s="62" t="s">
        <v>119</v>
      </c>
      <c r="D5200" s="64">
        <v>47.5</v>
      </c>
      <c r="E5200" s="62" t="s">
        <v>109</v>
      </c>
      <c r="F5200" s="62" t="s">
        <v>115</v>
      </c>
      <c r="G5200" s="64" t="s">
        <v>64</v>
      </c>
      <c r="H5200" s="3" t="s">
        <v>55</v>
      </c>
      <c r="I5200" s="65">
        <f>IFERROR(VLOOKUP(A5200,'3. Call duration'!$A:$C,3,0),"--")</f>
        <v>18.1620309</v>
      </c>
      <c r="J5200" s="65" t="str">
        <f t="array" ref="J5200">XLOOKUP(H5200,'2. Matching'!$A$2:$A$39,'2. Matching'!$B$2:$B$39,"--")</f>
        <v>Partnerships</v>
      </c>
      <c r="K5200" s="65" t="str">
        <f t="shared" si="1"/>
        <v>In</v>
      </c>
    </row>
    <row r="5201">
      <c r="A5201" s="62" t="s">
        <v>5339</v>
      </c>
      <c r="B5201" s="63">
        <v>44375.0</v>
      </c>
      <c r="C5201" s="62" t="s">
        <v>119</v>
      </c>
      <c r="D5201" s="64">
        <v>47.5</v>
      </c>
      <c r="E5201" s="62" t="s">
        <v>109</v>
      </c>
      <c r="F5201" s="62" t="s">
        <v>115</v>
      </c>
      <c r="G5201" s="64" t="s">
        <v>59</v>
      </c>
      <c r="H5201" s="3" t="s">
        <v>68</v>
      </c>
      <c r="I5201" s="65">
        <f>IFERROR(VLOOKUP(A5201,'3. Call duration'!$A:$C,3,0),"--")</f>
        <v>33.79911255</v>
      </c>
      <c r="J5201" s="65" t="str">
        <f t="array" ref="J5201">XLOOKUP(H5201,'2. Matching'!$A$2:$A$39,'2. Matching'!$B$2:$B$39,"--")</f>
        <v>Acquisition</v>
      </c>
      <c r="K5201" s="65" t="str">
        <f t="shared" si="1"/>
        <v>In</v>
      </c>
    </row>
    <row r="5202">
      <c r="A5202" s="62" t="s">
        <v>5340</v>
      </c>
      <c r="B5202" s="63">
        <v>44363.0</v>
      </c>
      <c r="C5202" s="62" t="s">
        <v>119</v>
      </c>
      <c r="D5202" s="64">
        <v>47.5</v>
      </c>
      <c r="E5202" s="62" t="s">
        <v>109</v>
      </c>
      <c r="F5202" s="62" t="s">
        <v>115</v>
      </c>
      <c r="G5202" s="64" t="s">
        <v>59</v>
      </c>
      <c r="H5202" s="3" t="s">
        <v>68</v>
      </c>
      <c r="I5202" s="65">
        <f>IFERROR(VLOOKUP(A5202,'3. Call duration'!$A:$C,3,0),"--")</f>
        <v>37.58999636</v>
      </c>
      <c r="J5202" s="65" t="str">
        <f t="array" ref="J5202">XLOOKUP(H5202,'2. Matching'!$A$2:$A$39,'2. Matching'!$B$2:$B$39,"--")</f>
        <v>Acquisition</v>
      </c>
      <c r="K5202" s="65" t="str">
        <f t="shared" si="1"/>
        <v>In</v>
      </c>
    </row>
    <row r="5203">
      <c r="A5203" s="62" t="s">
        <v>5341</v>
      </c>
      <c r="B5203" s="63">
        <v>44331.0</v>
      </c>
      <c r="C5203" s="62" t="s">
        <v>119</v>
      </c>
      <c r="D5203" s="64">
        <v>47.5</v>
      </c>
      <c r="E5203" s="62" t="s">
        <v>109</v>
      </c>
      <c r="F5203" s="62" t="s">
        <v>110</v>
      </c>
      <c r="G5203" s="64" t="s">
        <v>64</v>
      </c>
      <c r="H5203" s="3" t="s">
        <v>297</v>
      </c>
      <c r="I5203" s="65">
        <f>IFERROR(VLOOKUP(A5203,'3. Call duration'!$A:$C,3,0),"--")</f>
        <v>25.65369678</v>
      </c>
      <c r="J5203" s="65" t="str">
        <f t="array" ref="J5203">XLOOKUP(H5203,'2. Matching'!$A$2:$A$39,'2. Matching'!$B$2:$B$39,"--")</f>
        <v>Farming</v>
      </c>
      <c r="K5203" s="65" t="str">
        <f t="shared" si="1"/>
        <v>In</v>
      </c>
    </row>
    <row r="5204">
      <c r="A5204" s="62" t="s">
        <v>5342</v>
      </c>
      <c r="B5204" s="63">
        <v>44359.0</v>
      </c>
      <c r="C5204" s="62" t="s">
        <v>119</v>
      </c>
      <c r="D5204" s="64">
        <v>47.5</v>
      </c>
      <c r="E5204" s="62" t="s">
        <v>109</v>
      </c>
      <c r="F5204" s="62" t="s">
        <v>110</v>
      </c>
      <c r="G5204" s="64" t="s">
        <v>64</v>
      </c>
      <c r="H5204" s="3" t="s">
        <v>116</v>
      </c>
      <c r="I5204" s="65">
        <f>IFERROR(VLOOKUP(A5204,'3. Call duration'!$A:$C,3,0),"--")</f>
        <v>20.66042195</v>
      </c>
      <c r="J5204" s="65" t="str">
        <f t="array" ref="J5204">XLOOKUP(H5204,'2. Matching'!$A$2:$A$39,'2. Matching'!$B$2:$B$39,"--")</f>
        <v>Acquisition</v>
      </c>
      <c r="K5204" s="65" t="str">
        <f t="shared" si="1"/>
        <v>In</v>
      </c>
    </row>
    <row r="5205">
      <c r="A5205" s="62" t="s">
        <v>5343</v>
      </c>
      <c r="B5205" s="63">
        <v>44328.0</v>
      </c>
      <c r="C5205" s="62" t="s">
        <v>119</v>
      </c>
      <c r="D5205" s="64">
        <v>47.5</v>
      </c>
      <c r="E5205" s="62" t="s">
        <v>109</v>
      </c>
      <c r="F5205" s="62" t="s">
        <v>110</v>
      </c>
      <c r="G5205" s="64" t="s">
        <v>59</v>
      </c>
      <c r="H5205" s="3" t="s">
        <v>68</v>
      </c>
      <c r="I5205" s="65">
        <f>IFERROR(VLOOKUP(A5205,'3. Call duration'!$A:$C,3,0),"--")</f>
        <v>25.72483139</v>
      </c>
      <c r="J5205" s="65" t="str">
        <f t="array" ref="J5205">XLOOKUP(H5205,'2. Matching'!$A$2:$A$39,'2. Matching'!$B$2:$B$39,"--")</f>
        <v>Acquisition</v>
      </c>
      <c r="K5205" s="65" t="str">
        <f t="shared" si="1"/>
        <v>In</v>
      </c>
    </row>
    <row r="5206">
      <c r="A5206" s="62" t="s">
        <v>5344</v>
      </c>
      <c r="B5206" s="63">
        <v>44334.0</v>
      </c>
      <c r="C5206" s="62" t="s">
        <v>119</v>
      </c>
      <c r="D5206" s="64">
        <v>95.0</v>
      </c>
      <c r="E5206" s="62" t="s">
        <v>114</v>
      </c>
      <c r="F5206" s="62" t="s">
        <v>115</v>
      </c>
      <c r="G5206" s="64" t="s">
        <v>64</v>
      </c>
      <c r="H5206" s="3" t="s">
        <v>139</v>
      </c>
      <c r="I5206" s="65">
        <f>IFERROR(VLOOKUP(A5206,'3. Call duration'!$A:$C,3,0),"--")</f>
        <v>25.94837354</v>
      </c>
      <c r="J5206" s="65" t="str">
        <f t="array" ref="J5206">XLOOKUP(H5206,'2. Matching'!$A$2:$A$39,'2. Matching'!$B$2:$B$39,"--")</f>
        <v>Acquisition</v>
      </c>
      <c r="K5206" s="65" t="str">
        <f t="shared" si="1"/>
        <v>In</v>
      </c>
    </row>
    <row r="5207">
      <c r="A5207" s="62" t="s">
        <v>5345</v>
      </c>
      <c r="B5207" s="63">
        <v>44357.0</v>
      </c>
      <c r="C5207" s="62" t="s">
        <v>119</v>
      </c>
      <c r="D5207" s="64">
        <v>47.5</v>
      </c>
      <c r="E5207" s="62" t="s">
        <v>109</v>
      </c>
      <c r="F5207" s="62" t="s">
        <v>110</v>
      </c>
      <c r="G5207" s="64" t="s">
        <v>60</v>
      </c>
      <c r="H5207" s="3" t="s">
        <v>67</v>
      </c>
      <c r="I5207" s="65">
        <f>IFERROR(VLOOKUP(A5207,'3. Call duration'!$A:$C,3,0),"--")</f>
        <v>31.52856269</v>
      </c>
      <c r="J5207" s="65" t="str">
        <f t="array" ref="J5207">XLOOKUP(H5207,'2. Matching'!$A$2:$A$39,'2. Matching'!$B$2:$B$39,"--")</f>
        <v>Acquisition</v>
      </c>
      <c r="K5207" s="65" t="str">
        <f t="shared" si="1"/>
        <v>In</v>
      </c>
    </row>
    <row r="5208">
      <c r="A5208" s="62" t="s">
        <v>5346</v>
      </c>
      <c r="B5208" s="63">
        <v>44348.0</v>
      </c>
      <c r="C5208" s="62" t="s">
        <v>119</v>
      </c>
      <c r="D5208" s="64">
        <v>47.5</v>
      </c>
      <c r="E5208" s="62" t="s">
        <v>109</v>
      </c>
      <c r="F5208" s="62" t="s">
        <v>115</v>
      </c>
      <c r="G5208" s="64" t="s">
        <v>64</v>
      </c>
      <c r="H5208" s="3" t="s">
        <v>54</v>
      </c>
      <c r="I5208" s="65">
        <f>IFERROR(VLOOKUP(A5208,'3. Call duration'!$A:$C,3,0),"--")</f>
        <v>8.597152112</v>
      </c>
      <c r="J5208" s="65" t="str">
        <f t="array" ref="J5208">XLOOKUP(H5208,'2. Matching'!$A$2:$A$39,'2. Matching'!$B$2:$B$39,"--")</f>
        <v>Partnerships</v>
      </c>
      <c r="K5208" s="65" t="str">
        <f t="shared" si="1"/>
        <v>In</v>
      </c>
    </row>
    <row r="5209">
      <c r="A5209" s="62" t="s">
        <v>5347</v>
      </c>
      <c r="B5209" s="63">
        <v>44349.0</v>
      </c>
      <c r="C5209" s="62" t="s">
        <v>119</v>
      </c>
      <c r="D5209" s="64">
        <v>47.5</v>
      </c>
      <c r="E5209" s="62" t="s">
        <v>109</v>
      </c>
      <c r="F5209" s="62" t="s">
        <v>110</v>
      </c>
      <c r="G5209" s="64" t="s">
        <v>62</v>
      </c>
      <c r="H5209" s="3" t="s">
        <v>286</v>
      </c>
      <c r="I5209" s="65">
        <f>IFERROR(VLOOKUP(A5209,'3. Call duration'!$A:$C,3,0),"--")</f>
        <v>27.1601514</v>
      </c>
      <c r="J5209" s="65" t="str">
        <f t="array" ref="J5209">XLOOKUP(H5209,'2. Matching'!$A$2:$A$39,'2. Matching'!$B$2:$B$39,"--")</f>
        <v>Farming</v>
      </c>
      <c r="K5209" s="65" t="str">
        <f t="shared" si="1"/>
        <v>In</v>
      </c>
    </row>
    <row r="5210">
      <c r="A5210" s="62" t="s">
        <v>5348</v>
      </c>
      <c r="B5210" s="63">
        <v>44341.0</v>
      </c>
      <c r="C5210" s="62" t="s">
        <v>119</v>
      </c>
      <c r="D5210" s="64">
        <v>95.0</v>
      </c>
      <c r="E5210" s="62" t="s">
        <v>114</v>
      </c>
      <c r="F5210" s="62" t="s">
        <v>115</v>
      </c>
      <c r="G5210" s="64" t="s">
        <v>64</v>
      </c>
      <c r="H5210" s="3" t="s">
        <v>131</v>
      </c>
      <c r="I5210" s="65">
        <f>IFERROR(VLOOKUP(A5210,'3. Call duration'!$A:$C,3,0),"--")</f>
        <v>25.95360086</v>
      </c>
      <c r="J5210" s="65" t="str">
        <f t="array" ref="J5210">XLOOKUP(H5210,'2. Matching'!$A$2:$A$39,'2. Matching'!$B$2:$B$39,"--")</f>
        <v>Acquisition</v>
      </c>
      <c r="K5210" s="65" t="str">
        <f t="shared" si="1"/>
        <v>In</v>
      </c>
    </row>
    <row r="5211">
      <c r="A5211" s="62" t="s">
        <v>5349</v>
      </c>
      <c r="B5211" s="63">
        <v>44320.0</v>
      </c>
      <c r="C5211" s="62" t="s">
        <v>119</v>
      </c>
      <c r="D5211" s="64">
        <v>47.5</v>
      </c>
      <c r="E5211" s="62" t="s">
        <v>109</v>
      </c>
      <c r="F5211" s="62" t="s">
        <v>115</v>
      </c>
      <c r="G5211" s="64" t="s">
        <v>64</v>
      </c>
      <c r="H5211" s="3" t="s">
        <v>131</v>
      </c>
      <c r="I5211" s="65">
        <f>IFERROR(VLOOKUP(A5211,'3. Call duration'!$A:$C,3,0),"--")</f>
        <v>25.95672816</v>
      </c>
      <c r="J5211" s="65" t="str">
        <f t="array" ref="J5211">XLOOKUP(H5211,'2. Matching'!$A$2:$A$39,'2. Matching'!$B$2:$B$39,"--")</f>
        <v>Acquisition</v>
      </c>
      <c r="K5211" s="65" t="str">
        <f t="shared" si="1"/>
        <v>In</v>
      </c>
    </row>
    <row r="5212">
      <c r="A5212" s="62" t="s">
        <v>5350</v>
      </c>
      <c r="B5212" s="63">
        <v>44376.0</v>
      </c>
      <c r="C5212" s="62" t="s">
        <v>119</v>
      </c>
      <c r="D5212" s="64">
        <v>47.5</v>
      </c>
      <c r="E5212" s="62" t="s">
        <v>109</v>
      </c>
      <c r="F5212" s="62" t="s">
        <v>110</v>
      </c>
      <c r="G5212" s="64" t="s">
        <v>59</v>
      </c>
      <c r="H5212" s="3" t="s">
        <v>68</v>
      </c>
      <c r="I5212" s="65">
        <f>IFERROR(VLOOKUP(A5212,'3. Call duration'!$A:$C,3,0),"--")</f>
        <v>11.95041325</v>
      </c>
      <c r="J5212" s="65" t="str">
        <f t="array" ref="J5212">XLOOKUP(H5212,'2. Matching'!$A$2:$A$39,'2. Matching'!$B$2:$B$39,"--")</f>
        <v>Acquisition</v>
      </c>
      <c r="K5212" s="65" t="str">
        <f t="shared" si="1"/>
        <v>In</v>
      </c>
    </row>
    <row r="5213">
      <c r="A5213" s="62" t="s">
        <v>5351</v>
      </c>
      <c r="B5213" s="63">
        <v>44353.0</v>
      </c>
      <c r="C5213" s="62" t="s">
        <v>119</v>
      </c>
      <c r="D5213" s="64">
        <v>47.5</v>
      </c>
      <c r="E5213" s="62" t="s">
        <v>109</v>
      </c>
      <c r="F5213" s="62" t="s">
        <v>115</v>
      </c>
      <c r="G5213" s="64" t="s">
        <v>64</v>
      </c>
      <c r="H5213" s="3" t="s">
        <v>139</v>
      </c>
      <c r="I5213" s="65">
        <f>IFERROR(VLOOKUP(A5213,'3. Call duration'!$A:$C,3,0),"--")</f>
        <v>48.72523666</v>
      </c>
      <c r="J5213" s="65" t="str">
        <f t="array" ref="J5213">XLOOKUP(H5213,'2. Matching'!$A$2:$A$39,'2. Matching'!$B$2:$B$39,"--")</f>
        <v>Acquisition</v>
      </c>
      <c r="K5213" s="65" t="str">
        <f t="shared" si="1"/>
        <v>In</v>
      </c>
    </row>
    <row r="5214">
      <c r="A5214" s="62" t="s">
        <v>5352</v>
      </c>
      <c r="B5214" s="63">
        <v>44376.0</v>
      </c>
      <c r="C5214" s="62" t="s">
        <v>119</v>
      </c>
      <c r="D5214" s="64">
        <v>47.5</v>
      </c>
      <c r="E5214" s="62" t="s">
        <v>109</v>
      </c>
      <c r="F5214" s="62" t="s">
        <v>110</v>
      </c>
      <c r="G5214" s="64" t="s">
        <v>61</v>
      </c>
      <c r="H5214" s="3" t="s">
        <v>67</v>
      </c>
      <c r="I5214" s="65">
        <f>IFERROR(VLOOKUP(A5214,'3. Call duration'!$A:$C,3,0),"--")</f>
        <v>32.93767689</v>
      </c>
      <c r="J5214" s="65" t="str">
        <f t="array" ref="J5214">XLOOKUP(H5214,'2. Matching'!$A$2:$A$39,'2. Matching'!$B$2:$B$39,"--")</f>
        <v>Acquisition</v>
      </c>
      <c r="K5214" s="65" t="str">
        <f t="shared" si="1"/>
        <v>In</v>
      </c>
    </row>
    <row r="5215">
      <c r="A5215" s="62" t="s">
        <v>5353</v>
      </c>
      <c r="B5215" s="63">
        <v>44370.0</v>
      </c>
      <c r="C5215" s="62" t="s">
        <v>119</v>
      </c>
      <c r="D5215" s="64">
        <v>47.5</v>
      </c>
      <c r="E5215" s="62" t="s">
        <v>109</v>
      </c>
      <c r="F5215" s="62" t="s">
        <v>115</v>
      </c>
      <c r="G5215" s="64" t="s">
        <v>64</v>
      </c>
      <c r="H5215" s="3" t="s">
        <v>139</v>
      </c>
      <c r="I5215" s="65">
        <f>IFERROR(VLOOKUP(A5215,'3. Call duration'!$A:$C,3,0),"--")</f>
        <v>45.20094274</v>
      </c>
      <c r="J5215" s="65" t="str">
        <f t="array" ref="J5215">XLOOKUP(H5215,'2. Matching'!$A$2:$A$39,'2. Matching'!$B$2:$B$39,"--")</f>
        <v>Acquisition</v>
      </c>
      <c r="K5215" s="65" t="str">
        <f t="shared" si="1"/>
        <v>In</v>
      </c>
    </row>
    <row r="5216">
      <c r="A5216" s="62" t="s">
        <v>5354</v>
      </c>
      <c r="B5216" s="63">
        <v>44354.0</v>
      </c>
      <c r="C5216" s="62" t="s">
        <v>119</v>
      </c>
      <c r="D5216" s="64">
        <v>47.5</v>
      </c>
      <c r="E5216" s="62" t="s">
        <v>109</v>
      </c>
      <c r="F5216" s="62" t="s">
        <v>115</v>
      </c>
      <c r="G5216" s="64" t="s">
        <v>64</v>
      </c>
      <c r="H5216" s="3" t="s">
        <v>169</v>
      </c>
      <c r="I5216" s="65">
        <f>IFERROR(VLOOKUP(A5216,'3. Call duration'!$A:$C,3,0),"--")</f>
        <v>29.24472792</v>
      </c>
      <c r="J5216" s="65" t="str">
        <f t="array" ref="J5216">XLOOKUP(H5216,'2. Matching'!$A$2:$A$39,'2. Matching'!$B$2:$B$39,"--")</f>
        <v>SEO</v>
      </c>
      <c r="K5216" s="65" t="str">
        <f t="shared" si="1"/>
        <v>In</v>
      </c>
    </row>
    <row r="5217">
      <c r="A5217" s="62" t="s">
        <v>5355</v>
      </c>
      <c r="B5217" s="63">
        <v>44320.0</v>
      </c>
      <c r="C5217" s="62" t="s">
        <v>119</v>
      </c>
      <c r="D5217" s="64">
        <v>47.5</v>
      </c>
      <c r="E5217" s="62" t="s">
        <v>109</v>
      </c>
      <c r="F5217" s="62" t="s">
        <v>115</v>
      </c>
      <c r="G5217" s="64" t="s">
        <v>64</v>
      </c>
      <c r="H5217" s="3" t="s">
        <v>171</v>
      </c>
      <c r="I5217" s="65">
        <f>IFERROR(VLOOKUP(A5217,'3. Call duration'!$A:$C,3,0),"--")</f>
        <v>25.97440921</v>
      </c>
      <c r="J5217" s="65" t="str">
        <f t="array" ref="J5217">XLOOKUP(H5217,'2. Matching'!$A$2:$A$39,'2. Matching'!$B$2:$B$39,"--")</f>
        <v>SEO</v>
      </c>
      <c r="K5217" s="65" t="str">
        <f t="shared" si="1"/>
        <v>In</v>
      </c>
    </row>
    <row r="5218">
      <c r="A5218" s="62" t="s">
        <v>5356</v>
      </c>
      <c r="B5218" s="63">
        <v>44335.0</v>
      </c>
      <c r="C5218" s="62" t="s">
        <v>119</v>
      </c>
      <c r="D5218" s="64">
        <v>47.5</v>
      </c>
      <c r="E5218" s="62" t="s">
        <v>109</v>
      </c>
      <c r="F5218" s="62" t="s">
        <v>115</v>
      </c>
      <c r="G5218" s="64" t="s">
        <v>63</v>
      </c>
      <c r="H5218" s="3" t="s">
        <v>189</v>
      </c>
      <c r="I5218" s="65">
        <f>IFERROR(VLOOKUP(A5218,'3. Call duration'!$A:$C,3,0),"--")</f>
        <v>26.02176519</v>
      </c>
      <c r="J5218" s="65" t="str">
        <f t="array" ref="J5218">XLOOKUP(H5218,'2. Matching'!$A$2:$A$39,'2. Matching'!$B$2:$B$39,"--")</f>
        <v>SEO</v>
      </c>
      <c r="K5218" s="65" t="str">
        <f t="shared" si="1"/>
        <v>Out</v>
      </c>
    </row>
    <row r="5219">
      <c r="A5219" s="62" t="s">
        <v>5357</v>
      </c>
      <c r="B5219" s="63">
        <v>44337.0</v>
      </c>
      <c r="C5219" s="62" t="s">
        <v>119</v>
      </c>
      <c r="D5219" s="64">
        <v>47.5</v>
      </c>
      <c r="E5219" s="62" t="s">
        <v>109</v>
      </c>
      <c r="F5219" s="62" t="s">
        <v>115</v>
      </c>
      <c r="G5219" s="64" t="s">
        <v>64</v>
      </c>
      <c r="H5219" s="3" t="s">
        <v>139</v>
      </c>
      <c r="I5219" s="65">
        <f>IFERROR(VLOOKUP(A5219,'3. Call duration'!$A:$C,3,0),"--")</f>
        <v>26.07797886</v>
      </c>
      <c r="J5219" s="65" t="str">
        <f t="array" ref="J5219">XLOOKUP(H5219,'2. Matching'!$A$2:$A$39,'2. Matching'!$B$2:$B$39,"--")</f>
        <v>Acquisition</v>
      </c>
      <c r="K5219" s="65" t="str">
        <f t="shared" si="1"/>
        <v>In</v>
      </c>
    </row>
    <row r="5220">
      <c r="A5220" s="62" t="s">
        <v>5358</v>
      </c>
      <c r="B5220" s="63">
        <v>44328.0</v>
      </c>
      <c r="C5220" s="62" t="s">
        <v>108</v>
      </c>
      <c r="D5220" s="64">
        <v>0.0</v>
      </c>
      <c r="E5220" s="62" t="s">
        <v>109</v>
      </c>
      <c r="F5220" s="62" t="s">
        <v>115</v>
      </c>
      <c r="G5220" s="64" t="s">
        <v>64</v>
      </c>
      <c r="H5220" s="3" t="s">
        <v>135</v>
      </c>
      <c r="I5220" s="65">
        <f>IFERROR(VLOOKUP(A5220,'3. Call duration'!$A:$C,3,0),"--")</f>
        <v>26.08646677</v>
      </c>
      <c r="J5220" s="65" t="str">
        <f t="array" ref="J5220">XLOOKUP(H5220,'2. Matching'!$A$2:$A$39,'2. Matching'!$B$2:$B$39,"--")</f>
        <v>Acquisition</v>
      </c>
      <c r="K5220" s="65" t="str">
        <f t="shared" si="1"/>
        <v>In</v>
      </c>
    </row>
    <row r="5221">
      <c r="A5221" s="62" t="s">
        <v>5359</v>
      </c>
      <c r="B5221" s="63">
        <v>44343.0</v>
      </c>
      <c r="C5221" s="62" t="s">
        <v>108</v>
      </c>
      <c r="D5221" s="64">
        <v>0.0</v>
      </c>
      <c r="E5221" s="62" t="s">
        <v>109</v>
      </c>
      <c r="F5221" s="62" t="s">
        <v>115</v>
      </c>
      <c r="G5221" s="64" t="s">
        <v>59</v>
      </c>
      <c r="H5221" s="3" t="s">
        <v>68</v>
      </c>
      <c r="I5221" s="65">
        <f>IFERROR(VLOOKUP(A5221,'3. Call duration'!$A:$C,3,0),"--")</f>
        <v>26.08763059</v>
      </c>
      <c r="J5221" s="65" t="str">
        <f t="array" ref="J5221">XLOOKUP(H5221,'2. Matching'!$A$2:$A$39,'2. Matching'!$B$2:$B$39,"--")</f>
        <v>Acquisition</v>
      </c>
      <c r="K5221" s="65" t="str">
        <f t="shared" si="1"/>
        <v>In</v>
      </c>
    </row>
    <row r="5222">
      <c r="A5222" s="62" t="s">
        <v>5360</v>
      </c>
      <c r="B5222" s="63">
        <v>44330.0</v>
      </c>
      <c r="C5222" s="62" t="s">
        <v>119</v>
      </c>
      <c r="D5222" s="64">
        <v>95.0</v>
      </c>
      <c r="E5222" s="62" t="s">
        <v>114</v>
      </c>
      <c r="F5222" s="62" t="s">
        <v>115</v>
      </c>
      <c r="G5222" s="64" t="s">
        <v>64</v>
      </c>
      <c r="H5222" s="3" t="s">
        <v>139</v>
      </c>
      <c r="I5222" s="65">
        <f>IFERROR(VLOOKUP(A5222,'3. Call duration'!$A:$C,3,0),"--")</f>
        <v>26.08929868</v>
      </c>
      <c r="J5222" s="65" t="str">
        <f t="array" ref="J5222">XLOOKUP(H5222,'2. Matching'!$A$2:$A$39,'2. Matching'!$B$2:$B$39,"--")</f>
        <v>Acquisition</v>
      </c>
      <c r="K5222" s="65" t="str">
        <f t="shared" si="1"/>
        <v>In</v>
      </c>
    </row>
    <row r="5223">
      <c r="A5223" s="62" t="s">
        <v>5361</v>
      </c>
      <c r="B5223" s="63">
        <v>44323.0</v>
      </c>
      <c r="C5223" s="62" t="s">
        <v>119</v>
      </c>
      <c r="D5223" s="64">
        <v>47.5</v>
      </c>
      <c r="E5223" s="62" t="s">
        <v>109</v>
      </c>
      <c r="F5223" s="62" t="s">
        <v>115</v>
      </c>
      <c r="G5223" s="64" t="s">
        <v>64</v>
      </c>
      <c r="H5223" s="3" t="s">
        <v>185</v>
      </c>
      <c r="I5223" s="65">
        <f>IFERROR(VLOOKUP(A5223,'3. Call duration'!$A:$C,3,0),"--")</f>
        <v>26.09722</v>
      </c>
      <c r="J5223" s="65" t="str">
        <f t="array" ref="J5223">XLOOKUP(H5223,'2. Matching'!$A$2:$A$39,'2. Matching'!$B$2:$B$39,"--")</f>
        <v>SEO</v>
      </c>
      <c r="K5223" s="65" t="str">
        <f t="shared" si="1"/>
        <v>In</v>
      </c>
    </row>
    <row r="5224">
      <c r="A5224" s="62" t="s">
        <v>5362</v>
      </c>
      <c r="B5224" s="63">
        <v>44365.0</v>
      </c>
      <c r="C5224" s="62" t="s">
        <v>119</v>
      </c>
      <c r="D5224" s="64">
        <v>47.5</v>
      </c>
      <c r="E5224" s="62" t="s">
        <v>109</v>
      </c>
      <c r="F5224" s="62" t="s">
        <v>110</v>
      </c>
      <c r="G5224" s="64" t="s">
        <v>60</v>
      </c>
      <c r="H5224" s="3" t="s">
        <v>68</v>
      </c>
      <c r="I5224" s="65">
        <f>IFERROR(VLOOKUP(A5224,'3. Call duration'!$A:$C,3,0),"--")</f>
        <v>31.07756035</v>
      </c>
      <c r="J5224" s="65" t="str">
        <f t="array" ref="J5224">XLOOKUP(H5224,'2. Matching'!$A$2:$A$39,'2. Matching'!$B$2:$B$39,"--")</f>
        <v>Acquisition</v>
      </c>
      <c r="K5224" s="65" t="str">
        <f t="shared" si="1"/>
        <v>In</v>
      </c>
    </row>
    <row r="5225">
      <c r="A5225" s="62" t="s">
        <v>5363</v>
      </c>
      <c r="B5225" s="63">
        <v>44340.0</v>
      </c>
      <c r="C5225" s="62" t="s">
        <v>119</v>
      </c>
      <c r="D5225" s="64">
        <v>47.5</v>
      </c>
      <c r="E5225" s="62" t="s">
        <v>109</v>
      </c>
      <c r="F5225" s="62" t="s">
        <v>115</v>
      </c>
      <c r="G5225" s="64" t="s">
        <v>63</v>
      </c>
      <c r="H5225" s="3" t="s">
        <v>183</v>
      </c>
      <c r="I5225" s="65">
        <f>IFERROR(VLOOKUP(A5225,'3. Call duration'!$A:$C,3,0),"--")</f>
        <v>26.10928813</v>
      </c>
      <c r="J5225" s="65" t="str">
        <f t="array" ref="J5225">XLOOKUP(H5225,'2. Matching'!$A$2:$A$39,'2. Matching'!$B$2:$B$39,"--")</f>
        <v>SEO</v>
      </c>
      <c r="K5225" s="65" t="str">
        <f t="shared" si="1"/>
        <v>In</v>
      </c>
    </row>
    <row r="5226">
      <c r="A5226" s="62" t="s">
        <v>5364</v>
      </c>
      <c r="B5226" s="63">
        <v>44334.0</v>
      </c>
      <c r="C5226" s="62" t="s">
        <v>119</v>
      </c>
      <c r="D5226" s="64">
        <v>47.5</v>
      </c>
      <c r="E5226" s="62" t="s">
        <v>109</v>
      </c>
      <c r="F5226" s="62" t="s">
        <v>115</v>
      </c>
      <c r="G5226" s="64" t="s">
        <v>64</v>
      </c>
      <c r="H5226" s="3" t="s">
        <v>141</v>
      </c>
      <c r="I5226" s="65">
        <f>IFERROR(VLOOKUP(A5226,'3. Call duration'!$A:$C,3,0),"--")</f>
        <v>26.17243518</v>
      </c>
      <c r="J5226" s="65" t="str">
        <f t="array" ref="J5226">XLOOKUP(H5226,'2. Matching'!$A$2:$A$39,'2. Matching'!$B$2:$B$39,"--")</f>
        <v>Acquisition</v>
      </c>
      <c r="K5226" s="65" t="str">
        <f t="shared" si="1"/>
        <v>In</v>
      </c>
    </row>
    <row r="5227">
      <c r="A5227" s="62" t="s">
        <v>5365</v>
      </c>
      <c r="B5227" s="63">
        <v>44371.0</v>
      </c>
      <c r="C5227" s="62" t="s">
        <v>119</v>
      </c>
      <c r="D5227" s="64">
        <v>47.5</v>
      </c>
      <c r="E5227" s="62" t="s">
        <v>109</v>
      </c>
      <c r="F5227" s="62" t="s">
        <v>110</v>
      </c>
      <c r="G5227" s="64" t="s">
        <v>64</v>
      </c>
      <c r="H5227" s="3" t="s">
        <v>116</v>
      </c>
      <c r="I5227" s="65">
        <f>IFERROR(VLOOKUP(A5227,'3. Call duration'!$A:$C,3,0),"--")</f>
        <v>39.27967396</v>
      </c>
      <c r="J5227" s="65" t="str">
        <f t="array" ref="J5227">XLOOKUP(H5227,'2. Matching'!$A$2:$A$39,'2. Matching'!$B$2:$B$39,"--")</f>
        <v>Acquisition</v>
      </c>
      <c r="K5227" s="65" t="str">
        <f t="shared" si="1"/>
        <v>In</v>
      </c>
    </row>
    <row r="5228">
      <c r="A5228" s="62" t="s">
        <v>5366</v>
      </c>
      <c r="B5228" s="63">
        <v>44371.0</v>
      </c>
      <c r="C5228" s="62" t="s">
        <v>119</v>
      </c>
      <c r="D5228" s="64">
        <v>47.5</v>
      </c>
      <c r="E5228" s="62" t="s">
        <v>109</v>
      </c>
      <c r="F5228" s="62" t="s">
        <v>115</v>
      </c>
      <c r="G5228" s="64" t="s">
        <v>63</v>
      </c>
      <c r="H5228" s="3" t="s">
        <v>124</v>
      </c>
      <c r="I5228" s="65">
        <f>IFERROR(VLOOKUP(A5228,'3. Call duration'!$A:$C,3,0),"--")</f>
        <v>25.54420199</v>
      </c>
      <c r="J5228" s="65" t="str">
        <f t="array" ref="J5228">XLOOKUP(H5228,'2. Matching'!$A$2:$A$39,'2. Matching'!$B$2:$B$39,"--")</f>
        <v>Acquisition</v>
      </c>
      <c r="K5228" s="65" t="str">
        <f t="shared" si="1"/>
        <v>In</v>
      </c>
    </row>
    <row r="5229">
      <c r="A5229" s="62" t="s">
        <v>5367</v>
      </c>
      <c r="B5229" s="63">
        <v>44341.0</v>
      </c>
      <c r="C5229" s="62" t="s">
        <v>119</v>
      </c>
      <c r="D5229" s="64">
        <v>47.5</v>
      </c>
      <c r="E5229" s="62" t="s">
        <v>109</v>
      </c>
      <c r="F5229" s="62" t="s">
        <v>115</v>
      </c>
      <c r="G5229" s="64" t="s">
        <v>64</v>
      </c>
      <c r="H5229" s="3" t="s">
        <v>145</v>
      </c>
      <c r="I5229" s="65">
        <f>IFERROR(VLOOKUP(A5229,'3. Call duration'!$A:$C,3,0),"--")</f>
        <v>26.18133357</v>
      </c>
      <c r="J5229" s="65" t="str">
        <f t="array" ref="J5229">XLOOKUP(H5229,'2. Matching'!$A$2:$A$39,'2. Matching'!$B$2:$B$39,"--")</f>
        <v>SEO</v>
      </c>
      <c r="K5229" s="65" t="str">
        <f t="shared" si="1"/>
        <v>In</v>
      </c>
    </row>
    <row r="5230">
      <c r="A5230" s="62" t="s">
        <v>5368</v>
      </c>
      <c r="B5230" s="63">
        <v>44330.0</v>
      </c>
      <c r="C5230" s="62" t="s">
        <v>119</v>
      </c>
      <c r="D5230" s="64">
        <v>47.5</v>
      </c>
      <c r="E5230" s="62" t="s">
        <v>109</v>
      </c>
      <c r="F5230" s="62" t="s">
        <v>115</v>
      </c>
      <c r="G5230" s="64" t="s">
        <v>64</v>
      </c>
      <c r="H5230" s="3" t="s">
        <v>141</v>
      </c>
      <c r="I5230" s="65">
        <f>IFERROR(VLOOKUP(A5230,'3. Call duration'!$A:$C,3,0),"--")</f>
        <v>26.18192551</v>
      </c>
      <c r="J5230" s="65" t="str">
        <f t="array" ref="J5230">XLOOKUP(H5230,'2. Matching'!$A$2:$A$39,'2. Matching'!$B$2:$B$39,"--")</f>
        <v>Acquisition</v>
      </c>
      <c r="K5230" s="65" t="str">
        <f t="shared" si="1"/>
        <v>In</v>
      </c>
    </row>
    <row r="5231">
      <c r="A5231" s="62" t="s">
        <v>5369</v>
      </c>
      <c r="B5231" s="63">
        <v>44348.0</v>
      </c>
      <c r="C5231" s="62" t="s">
        <v>119</v>
      </c>
      <c r="D5231" s="64">
        <v>47.5</v>
      </c>
      <c r="E5231" s="62" t="s">
        <v>109</v>
      </c>
      <c r="F5231" s="62" t="s">
        <v>115</v>
      </c>
      <c r="G5231" s="64" t="s">
        <v>59</v>
      </c>
      <c r="H5231" s="3" t="s">
        <v>68</v>
      </c>
      <c r="I5231" s="65">
        <f>IFERROR(VLOOKUP(A5231,'3. Call duration'!$A:$C,3,0),"--")</f>
        <v>25.50624636</v>
      </c>
      <c r="J5231" s="65" t="str">
        <f t="array" ref="J5231">XLOOKUP(H5231,'2. Matching'!$A$2:$A$39,'2. Matching'!$B$2:$B$39,"--")</f>
        <v>Acquisition</v>
      </c>
      <c r="K5231" s="65" t="str">
        <f t="shared" si="1"/>
        <v>In</v>
      </c>
    </row>
    <row r="5232">
      <c r="A5232" s="62" t="s">
        <v>5370</v>
      </c>
      <c r="B5232" s="63">
        <v>44335.0</v>
      </c>
      <c r="C5232" s="62" t="s">
        <v>119</v>
      </c>
      <c r="D5232" s="64">
        <v>47.5</v>
      </c>
      <c r="E5232" s="62" t="s">
        <v>109</v>
      </c>
      <c r="F5232" s="62" t="s">
        <v>115</v>
      </c>
      <c r="G5232" s="64" t="s">
        <v>64</v>
      </c>
      <c r="H5232" s="3" t="s">
        <v>116</v>
      </c>
      <c r="I5232" s="65">
        <f>IFERROR(VLOOKUP(A5232,'3. Call duration'!$A:$C,3,0),"--")</f>
        <v>26.1825193</v>
      </c>
      <c r="J5232" s="65" t="str">
        <f t="array" ref="J5232">XLOOKUP(H5232,'2. Matching'!$A$2:$A$39,'2. Matching'!$B$2:$B$39,"--")</f>
        <v>Acquisition</v>
      </c>
      <c r="K5232" s="65" t="str">
        <f t="shared" si="1"/>
        <v>In</v>
      </c>
    </row>
    <row r="5233">
      <c r="A5233" s="62" t="s">
        <v>5371</v>
      </c>
      <c r="B5233" s="63">
        <v>44340.0</v>
      </c>
      <c r="C5233" s="62" t="s">
        <v>119</v>
      </c>
      <c r="D5233" s="64">
        <v>47.5</v>
      </c>
      <c r="E5233" s="62" t="s">
        <v>109</v>
      </c>
      <c r="F5233" s="62" t="s">
        <v>115</v>
      </c>
      <c r="G5233" s="64" t="s">
        <v>64</v>
      </c>
      <c r="H5233" s="3" t="s">
        <v>155</v>
      </c>
      <c r="I5233" s="65">
        <f>IFERROR(VLOOKUP(A5233,'3. Call duration'!$A:$C,3,0),"--")</f>
        <v>26.19109247</v>
      </c>
      <c r="J5233" s="65" t="str">
        <f t="array" ref="J5233">XLOOKUP(H5233,'2. Matching'!$A$2:$A$39,'2. Matching'!$B$2:$B$39,"--")</f>
        <v>SEO</v>
      </c>
      <c r="K5233" s="65" t="str">
        <f t="shared" si="1"/>
        <v>In</v>
      </c>
    </row>
    <row r="5234">
      <c r="A5234" s="62" t="s">
        <v>5372</v>
      </c>
      <c r="B5234" s="63">
        <v>44340.0</v>
      </c>
      <c r="C5234" s="62" t="s">
        <v>119</v>
      </c>
      <c r="D5234" s="64">
        <v>47.5</v>
      </c>
      <c r="E5234" s="62" t="s">
        <v>109</v>
      </c>
      <c r="F5234" s="62" t="s">
        <v>115</v>
      </c>
      <c r="G5234" s="64" t="s">
        <v>64</v>
      </c>
      <c r="H5234" s="3" t="s">
        <v>155</v>
      </c>
      <c r="I5234" s="65">
        <f>IFERROR(VLOOKUP(A5234,'3. Call duration'!$A:$C,3,0),"--")</f>
        <v>26.20803582</v>
      </c>
      <c r="J5234" s="65" t="str">
        <f t="array" ref="J5234">XLOOKUP(H5234,'2. Matching'!$A$2:$A$39,'2. Matching'!$B$2:$B$39,"--")</f>
        <v>SEO</v>
      </c>
      <c r="K5234" s="65" t="str">
        <f t="shared" si="1"/>
        <v>In</v>
      </c>
    </row>
    <row r="5235">
      <c r="A5235" s="62" t="s">
        <v>5373</v>
      </c>
      <c r="B5235" s="63">
        <v>44354.0</v>
      </c>
      <c r="C5235" s="62" t="s">
        <v>119</v>
      </c>
      <c r="D5235" s="64">
        <v>47.5</v>
      </c>
      <c r="E5235" s="62" t="s">
        <v>109</v>
      </c>
      <c r="F5235" s="62" t="s">
        <v>115</v>
      </c>
      <c r="G5235" s="64" t="s">
        <v>64</v>
      </c>
      <c r="H5235" s="3" t="s">
        <v>169</v>
      </c>
      <c r="I5235" s="65">
        <f>IFERROR(VLOOKUP(A5235,'3. Call duration'!$A:$C,3,0),"--")</f>
        <v>28.25631272</v>
      </c>
      <c r="J5235" s="65" t="str">
        <f t="array" ref="J5235">XLOOKUP(H5235,'2. Matching'!$A$2:$A$39,'2. Matching'!$B$2:$B$39,"--")</f>
        <v>SEO</v>
      </c>
      <c r="K5235" s="65" t="str">
        <f t="shared" si="1"/>
        <v>In</v>
      </c>
    </row>
    <row r="5236">
      <c r="A5236" s="62" t="s">
        <v>5374</v>
      </c>
      <c r="B5236" s="63">
        <v>44326.0</v>
      </c>
      <c r="C5236" s="62" t="s">
        <v>119</v>
      </c>
      <c r="D5236" s="64">
        <v>47.5</v>
      </c>
      <c r="E5236" s="62" t="s">
        <v>109</v>
      </c>
      <c r="F5236" s="62" t="s">
        <v>110</v>
      </c>
      <c r="G5236" s="64" t="s">
        <v>59</v>
      </c>
      <c r="H5236" s="3" t="s">
        <v>68</v>
      </c>
      <c r="I5236" s="65">
        <f>IFERROR(VLOOKUP(A5236,'3. Call duration'!$A:$C,3,0),"--")</f>
        <v>26.28462378</v>
      </c>
      <c r="J5236" s="65" t="str">
        <f t="array" ref="J5236">XLOOKUP(H5236,'2. Matching'!$A$2:$A$39,'2. Matching'!$B$2:$B$39,"--")</f>
        <v>Acquisition</v>
      </c>
      <c r="K5236" s="65" t="str">
        <f t="shared" si="1"/>
        <v>In</v>
      </c>
    </row>
    <row r="5237">
      <c r="A5237" s="62" t="s">
        <v>5375</v>
      </c>
      <c r="B5237" s="63">
        <v>44342.0</v>
      </c>
      <c r="C5237" s="62" t="s">
        <v>119</v>
      </c>
      <c r="D5237" s="64">
        <v>47.5</v>
      </c>
      <c r="E5237" s="62" t="s">
        <v>109</v>
      </c>
      <c r="F5237" s="62" t="s">
        <v>110</v>
      </c>
      <c r="G5237" s="64" t="s">
        <v>63</v>
      </c>
      <c r="H5237" s="3" t="s">
        <v>183</v>
      </c>
      <c r="I5237" s="65">
        <f>IFERROR(VLOOKUP(A5237,'3. Call duration'!$A:$C,3,0),"--")</f>
        <v>26.30694011</v>
      </c>
      <c r="J5237" s="65" t="str">
        <f t="array" ref="J5237">XLOOKUP(H5237,'2. Matching'!$A$2:$A$39,'2. Matching'!$B$2:$B$39,"--")</f>
        <v>SEO</v>
      </c>
      <c r="K5237" s="65" t="str">
        <f t="shared" si="1"/>
        <v>In</v>
      </c>
    </row>
    <row r="5238">
      <c r="A5238" s="62" t="s">
        <v>5376</v>
      </c>
      <c r="B5238" s="63">
        <v>44336.0</v>
      </c>
      <c r="C5238" s="62" t="s">
        <v>119</v>
      </c>
      <c r="D5238" s="64">
        <v>47.5</v>
      </c>
      <c r="E5238" s="62" t="s">
        <v>109</v>
      </c>
      <c r="F5238" s="62" t="s">
        <v>110</v>
      </c>
      <c r="G5238" s="64" t="s">
        <v>63</v>
      </c>
      <c r="H5238" s="3" t="s">
        <v>128</v>
      </c>
      <c r="I5238" s="65">
        <f>IFERROR(VLOOKUP(A5238,'3. Call duration'!$A:$C,3,0),"--")</f>
        <v>26.3280737</v>
      </c>
      <c r="J5238" s="65" t="str">
        <f t="array" ref="J5238">XLOOKUP(H5238,'2. Matching'!$A$2:$A$39,'2. Matching'!$B$2:$B$39,"--")</f>
        <v>Acquisition</v>
      </c>
      <c r="K5238" s="65" t="str">
        <f t="shared" si="1"/>
        <v>In</v>
      </c>
    </row>
    <row r="5239">
      <c r="A5239" s="62" t="s">
        <v>5377</v>
      </c>
      <c r="B5239" s="63">
        <v>44371.0</v>
      </c>
      <c r="C5239" s="62" t="s">
        <v>119</v>
      </c>
      <c r="D5239" s="64">
        <v>47.5</v>
      </c>
      <c r="E5239" s="62" t="s">
        <v>109</v>
      </c>
      <c r="F5239" s="62" t="s">
        <v>110</v>
      </c>
      <c r="G5239" s="64" t="s">
        <v>60</v>
      </c>
      <c r="H5239" s="3" t="s">
        <v>67</v>
      </c>
      <c r="I5239" s="65">
        <f>IFERROR(VLOOKUP(A5239,'3. Call duration'!$A:$C,3,0),"--")</f>
        <v>22.28190171</v>
      </c>
      <c r="J5239" s="65" t="str">
        <f t="array" ref="J5239">XLOOKUP(H5239,'2. Matching'!$A$2:$A$39,'2. Matching'!$B$2:$B$39,"--")</f>
        <v>Acquisition</v>
      </c>
      <c r="K5239" s="65" t="str">
        <f t="shared" si="1"/>
        <v>In</v>
      </c>
    </row>
    <row r="5240">
      <c r="A5240" s="62" t="s">
        <v>5378</v>
      </c>
      <c r="B5240" s="63">
        <v>44340.0</v>
      </c>
      <c r="C5240" s="62" t="s">
        <v>119</v>
      </c>
      <c r="D5240" s="64">
        <v>47.5</v>
      </c>
      <c r="E5240" s="62" t="s">
        <v>109</v>
      </c>
      <c r="F5240" s="62" t="s">
        <v>115</v>
      </c>
      <c r="G5240" s="64" t="s">
        <v>64</v>
      </c>
      <c r="H5240" s="3" t="s">
        <v>139</v>
      </c>
      <c r="I5240" s="65">
        <f>IFERROR(VLOOKUP(A5240,'3. Call duration'!$A:$C,3,0),"--")</f>
        <v>26.33431481</v>
      </c>
      <c r="J5240" s="65" t="str">
        <f t="array" ref="J5240">XLOOKUP(H5240,'2. Matching'!$A$2:$A$39,'2. Matching'!$B$2:$B$39,"--")</f>
        <v>Acquisition</v>
      </c>
      <c r="K5240" s="65" t="str">
        <f t="shared" si="1"/>
        <v>In</v>
      </c>
    </row>
    <row r="5241">
      <c r="A5241" s="62" t="s">
        <v>5379</v>
      </c>
      <c r="B5241" s="63">
        <v>44335.0</v>
      </c>
      <c r="C5241" s="62" t="s">
        <v>119</v>
      </c>
      <c r="D5241" s="64">
        <v>47.5</v>
      </c>
      <c r="E5241" s="62" t="s">
        <v>109</v>
      </c>
      <c r="F5241" s="62" t="s">
        <v>110</v>
      </c>
      <c r="G5241" s="64" t="s">
        <v>64</v>
      </c>
      <c r="H5241" s="3" t="s">
        <v>55</v>
      </c>
      <c r="I5241" s="65">
        <f>IFERROR(VLOOKUP(A5241,'3. Call duration'!$A:$C,3,0),"--")</f>
        <v>26.34640709</v>
      </c>
      <c r="J5241" s="65" t="str">
        <f t="array" ref="J5241">XLOOKUP(H5241,'2. Matching'!$A$2:$A$39,'2. Matching'!$B$2:$B$39,"--")</f>
        <v>Partnerships</v>
      </c>
      <c r="K5241" s="65" t="str">
        <f t="shared" si="1"/>
        <v>In</v>
      </c>
    </row>
    <row r="5242">
      <c r="A5242" s="62" t="s">
        <v>5380</v>
      </c>
      <c r="B5242" s="63">
        <v>44376.0</v>
      </c>
      <c r="C5242" s="62" t="s">
        <v>119</v>
      </c>
      <c r="D5242" s="64">
        <v>47.5</v>
      </c>
      <c r="E5242" s="62" t="s">
        <v>109</v>
      </c>
      <c r="F5242" s="62" t="s">
        <v>110</v>
      </c>
      <c r="G5242" s="64" t="s">
        <v>60</v>
      </c>
      <c r="H5242" s="3" t="s">
        <v>67</v>
      </c>
      <c r="I5242" s="65">
        <f>IFERROR(VLOOKUP(A5242,'3. Call duration'!$A:$C,3,0),"--")</f>
        <v>27.13546873</v>
      </c>
      <c r="J5242" s="65" t="str">
        <f t="array" ref="J5242">XLOOKUP(H5242,'2. Matching'!$A$2:$A$39,'2. Matching'!$B$2:$B$39,"--")</f>
        <v>Acquisition</v>
      </c>
      <c r="K5242" s="65" t="str">
        <f t="shared" si="1"/>
        <v>In</v>
      </c>
    </row>
    <row r="5243">
      <c r="A5243" s="62" t="s">
        <v>5381</v>
      </c>
      <c r="B5243" s="63">
        <v>44340.0</v>
      </c>
      <c r="C5243" s="62" t="s">
        <v>119</v>
      </c>
      <c r="D5243" s="64">
        <v>47.5</v>
      </c>
      <c r="E5243" s="62" t="s">
        <v>109</v>
      </c>
      <c r="F5243" s="62" t="s">
        <v>115</v>
      </c>
      <c r="G5243" s="64" t="s">
        <v>64</v>
      </c>
      <c r="H5243" s="3" t="s">
        <v>175</v>
      </c>
      <c r="I5243" s="65">
        <f>IFERROR(VLOOKUP(A5243,'3. Call duration'!$A:$C,3,0),"--")</f>
        <v>26.35964195</v>
      </c>
      <c r="J5243" s="65" t="str">
        <f t="array" ref="J5243">XLOOKUP(H5243,'2. Matching'!$A$2:$A$39,'2. Matching'!$B$2:$B$39,"--")</f>
        <v>SEO</v>
      </c>
      <c r="K5243" s="65" t="str">
        <f t="shared" si="1"/>
        <v>In</v>
      </c>
    </row>
    <row r="5244">
      <c r="A5244" s="62" t="s">
        <v>5382</v>
      </c>
      <c r="B5244" s="63">
        <v>44363.0</v>
      </c>
      <c r="C5244" s="62" t="s">
        <v>119</v>
      </c>
      <c r="D5244" s="64">
        <v>47.5</v>
      </c>
      <c r="E5244" s="62" t="s">
        <v>109</v>
      </c>
      <c r="F5244" s="62" t="s">
        <v>115</v>
      </c>
      <c r="G5244" s="64" t="s">
        <v>64</v>
      </c>
      <c r="H5244" s="3" t="s">
        <v>169</v>
      </c>
      <c r="I5244" s="65">
        <f>IFERROR(VLOOKUP(A5244,'3. Call duration'!$A:$C,3,0),"--")</f>
        <v>22.99842944</v>
      </c>
      <c r="J5244" s="65" t="str">
        <f t="array" ref="J5244">XLOOKUP(H5244,'2. Matching'!$A$2:$A$39,'2. Matching'!$B$2:$B$39,"--")</f>
        <v>SEO</v>
      </c>
      <c r="K5244" s="65" t="str">
        <f t="shared" si="1"/>
        <v>In</v>
      </c>
    </row>
    <row r="5245">
      <c r="A5245" s="62" t="s">
        <v>5383</v>
      </c>
      <c r="B5245" s="63">
        <v>44333.0</v>
      </c>
      <c r="C5245" s="62" t="s">
        <v>108</v>
      </c>
      <c r="D5245" s="64">
        <v>0.0</v>
      </c>
      <c r="E5245" s="62" t="s">
        <v>109</v>
      </c>
      <c r="F5245" s="62" t="s">
        <v>110</v>
      </c>
      <c r="G5245" s="64" t="s">
        <v>59</v>
      </c>
      <c r="H5245" s="3" t="s">
        <v>68</v>
      </c>
      <c r="I5245" s="65">
        <f>IFERROR(VLOOKUP(A5245,'3. Call duration'!$A:$C,3,0),"--")</f>
        <v>26.36441435</v>
      </c>
      <c r="J5245" s="65" t="str">
        <f t="array" ref="J5245">XLOOKUP(H5245,'2. Matching'!$A$2:$A$39,'2. Matching'!$B$2:$B$39,"--")</f>
        <v>Acquisition</v>
      </c>
      <c r="K5245" s="65" t="str">
        <f t="shared" si="1"/>
        <v>In</v>
      </c>
    </row>
    <row r="5246">
      <c r="A5246" s="62" t="s">
        <v>5384</v>
      </c>
      <c r="B5246" s="63">
        <v>44355.0</v>
      </c>
      <c r="C5246" s="62" t="s">
        <v>119</v>
      </c>
      <c r="D5246" s="64">
        <v>47.5</v>
      </c>
      <c r="E5246" s="62" t="s">
        <v>109</v>
      </c>
      <c r="F5246" s="62" t="s">
        <v>110</v>
      </c>
      <c r="G5246" s="64" t="s">
        <v>64</v>
      </c>
      <c r="H5246" s="3" t="s">
        <v>145</v>
      </c>
      <c r="I5246" s="65">
        <f>IFERROR(VLOOKUP(A5246,'3. Call duration'!$A:$C,3,0),"--")</f>
        <v>15.24560168</v>
      </c>
      <c r="J5246" s="65" t="str">
        <f t="array" ref="J5246">XLOOKUP(H5246,'2. Matching'!$A$2:$A$39,'2. Matching'!$B$2:$B$39,"--")</f>
        <v>SEO</v>
      </c>
      <c r="K5246" s="65" t="str">
        <f t="shared" si="1"/>
        <v>In</v>
      </c>
    </row>
    <row r="5247">
      <c r="A5247" s="62" t="s">
        <v>5385</v>
      </c>
      <c r="B5247" s="63">
        <v>44341.0</v>
      </c>
      <c r="C5247" s="62" t="s">
        <v>119</v>
      </c>
      <c r="D5247" s="64">
        <v>47.5</v>
      </c>
      <c r="E5247" s="62" t="s">
        <v>109</v>
      </c>
      <c r="F5247" s="62" t="s">
        <v>110</v>
      </c>
      <c r="G5247" s="64" t="s">
        <v>64</v>
      </c>
      <c r="H5247" s="3" t="s">
        <v>131</v>
      </c>
      <c r="I5247" s="65">
        <f>IFERROR(VLOOKUP(A5247,'3. Call duration'!$A:$C,3,0),"--")</f>
        <v>26.42095542</v>
      </c>
      <c r="J5247" s="65" t="str">
        <f t="array" ref="J5247">XLOOKUP(H5247,'2. Matching'!$A$2:$A$39,'2. Matching'!$B$2:$B$39,"--")</f>
        <v>Acquisition</v>
      </c>
      <c r="K5247" s="65" t="str">
        <f t="shared" si="1"/>
        <v>In</v>
      </c>
    </row>
    <row r="5248">
      <c r="A5248" s="62" t="s">
        <v>5386</v>
      </c>
      <c r="B5248" s="63">
        <v>44372.0</v>
      </c>
      <c r="C5248" s="62" t="s">
        <v>119</v>
      </c>
      <c r="D5248" s="64">
        <v>47.5</v>
      </c>
      <c r="E5248" s="62" t="s">
        <v>109</v>
      </c>
      <c r="F5248" s="62" t="s">
        <v>115</v>
      </c>
      <c r="G5248" s="64" t="s">
        <v>64</v>
      </c>
      <c r="H5248" s="3" t="s">
        <v>49</v>
      </c>
      <c r="I5248" s="65">
        <f>IFERROR(VLOOKUP(A5248,'3. Call duration'!$A:$C,3,0),"--")</f>
        <v>22.13291939</v>
      </c>
      <c r="J5248" s="65" t="str">
        <f t="array" ref="J5248">XLOOKUP(H5248,'2. Matching'!$A$2:$A$39,'2. Matching'!$B$2:$B$39,"--")</f>
        <v>Partnerships</v>
      </c>
      <c r="K5248" s="65" t="str">
        <f t="shared" si="1"/>
        <v>In</v>
      </c>
    </row>
    <row r="5249">
      <c r="A5249" s="62" t="s">
        <v>5387</v>
      </c>
      <c r="B5249" s="63">
        <v>44329.0</v>
      </c>
      <c r="C5249" s="62" t="s">
        <v>119</v>
      </c>
      <c r="D5249" s="64">
        <v>47.5</v>
      </c>
      <c r="E5249" s="62" t="s">
        <v>109</v>
      </c>
      <c r="F5249" s="62" t="s">
        <v>115</v>
      </c>
      <c r="G5249" s="64" t="s">
        <v>59</v>
      </c>
      <c r="H5249" s="3" t="s">
        <v>68</v>
      </c>
      <c r="I5249" s="65">
        <f>IFERROR(VLOOKUP(A5249,'3. Call duration'!$A:$C,3,0),"--")</f>
        <v>26.42906717</v>
      </c>
      <c r="J5249" s="65" t="str">
        <f t="array" ref="J5249">XLOOKUP(H5249,'2. Matching'!$A$2:$A$39,'2. Matching'!$B$2:$B$39,"--")</f>
        <v>Acquisition</v>
      </c>
      <c r="K5249" s="65" t="str">
        <f t="shared" si="1"/>
        <v>In</v>
      </c>
    </row>
    <row r="5250">
      <c r="A5250" s="62" t="s">
        <v>5388</v>
      </c>
      <c r="B5250" s="63">
        <v>44369.0</v>
      </c>
      <c r="C5250" s="62" t="s">
        <v>119</v>
      </c>
      <c r="D5250" s="64">
        <v>47.5</v>
      </c>
      <c r="E5250" s="62" t="s">
        <v>109</v>
      </c>
      <c r="F5250" s="62" t="s">
        <v>115</v>
      </c>
      <c r="G5250" s="64" t="s">
        <v>64</v>
      </c>
      <c r="H5250" s="3" t="s">
        <v>185</v>
      </c>
      <c r="I5250" s="65">
        <f>IFERROR(VLOOKUP(A5250,'3. Call duration'!$A:$C,3,0),"--")</f>
        <v>28.59321744</v>
      </c>
      <c r="J5250" s="65" t="str">
        <f t="array" ref="J5250">XLOOKUP(H5250,'2. Matching'!$A$2:$A$39,'2. Matching'!$B$2:$B$39,"--")</f>
        <v>SEO</v>
      </c>
      <c r="K5250" s="65" t="str">
        <f t="shared" si="1"/>
        <v>In</v>
      </c>
    </row>
    <row r="5251">
      <c r="A5251" s="62" t="s">
        <v>5389</v>
      </c>
      <c r="B5251" s="63">
        <v>44375.0</v>
      </c>
      <c r="C5251" s="62" t="s">
        <v>119</v>
      </c>
      <c r="D5251" s="64">
        <v>47.5</v>
      </c>
      <c r="E5251" s="62" t="s">
        <v>109</v>
      </c>
      <c r="F5251" s="62" t="s">
        <v>110</v>
      </c>
      <c r="G5251" s="64" t="s">
        <v>61</v>
      </c>
      <c r="H5251" s="3" t="s">
        <v>67</v>
      </c>
      <c r="I5251" s="65">
        <f>IFERROR(VLOOKUP(A5251,'3. Call duration'!$A:$C,3,0),"--")</f>
        <v>20.27492997</v>
      </c>
      <c r="J5251" s="65" t="str">
        <f t="array" ref="J5251">XLOOKUP(H5251,'2. Matching'!$A$2:$A$39,'2. Matching'!$B$2:$B$39,"--")</f>
        <v>Acquisition</v>
      </c>
      <c r="K5251" s="65" t="str">
        <f t="shared" si="1"/>
        <v>In</v>
      </c>
    </row>
    <row r="5252">
      <c r="A5252" s="62" t="s">
        <v>5390</v>
      </c>
      <c r="B5252" s="63">
        <v>44332.0</v>
      </c>
      <c r="C5252" s="62" t="s">
        <v>119</v>
      </c>
      <c r="D5252" s="64">
        <v>47.5</v>
      </c>
      <c r="E5252" s="62" t="s">
        <v>109</v>
      </c>
      <c r="F5252" s="62" t="s">
        <v>115</v>
      </c>
      <c r="G5252" s="64" t="s">
        <v>64</v>
      </c>
      <c r="H5252" s="3" t="s">
        <v>139</v>
      </c>
      <c r="I5252" s="65">
        <f>IFERROR(VLOOKUP(A5252,'3. Call duration'!$A:$C,3,0),"--")</f>
        <v>26.48398724</v>
      </c>
      <c r="J5252" s="65" t="str">
        <f t="array" ref="J5252">XLOOKUP(H5252,'2. Matching'!$A$2:$A$39,'2. Matching'!$B$2:$B$39,"--")</f>
        <v>Acquisition</v>
      </c>
      <c r="K5252" s="65" t="str">
        <f t="shared" si="1"/>
        <v>In</v>
      </c>
    </row>
    <row r="5253">
      <c r="A5253" s="62" t="s">
        <v>5391</v>
      </c>
      <c r="B5253" s="63">
        <v>44319.0</v>
      </c>
      <c r="C5253" s="62" t="s">
        <v>108</v>
      </c>
      <c r="D5253" s="64">
        <v>0.0</v>
      </c>
      <c r="E5253" s="62" t="s">
        <v>109</v>
      </c>
      <c r="F5253" s="62" t="s">
        <v>115</v>
      </c>
      <c r="G5253" s="64" t="s">
        <v>64</v>
      </c>
      <c r="H5253" s="3" t="s">
        <v>221</v>
      </c>
      <c r="I5253" s="65">
        <f>IFERROR(VLOOKUP(A5253,'3. Call duration'!$A:$C,3,0),"--")</f>
        <v>26.53102061</v>
      </c>
      <c r="J5253" s="65" t="str">
        <f t="array" ref="J5253">XLOOKUP(H5253,'2. Matching'!$A$2:$A$39,'2. Matching'!$B$2:$B$39,"--")</f>
        <v>Farming</v>
      </c>
      <c r="K5253" s="65" t="str">
        <f t="shared" si="1"/>
        <v>In</v>
      </c>
    </row>
    <row r="5254">
      <c r="A5254" s="62" t="s">
        <v>5392</v>
      </c>
      <c r="B5254" s="63">
        <v>44368.0</v>
      </c>
      <c r="C5254" s="62" t="s">
        <v>119</v>
      </c>
      <c r="D5254" s="64">
        <v>47.5</v>
      </c>
      <c r="E5254" s="62" t="s">
        <v>109</v>
      </c>
      <c r="F5254" s="62" t="s">
        <v>110</v>
      </c>
      <c r="G5254" s="64" t="s">
        <v>59</v>
      </c>
      <c r="H5254" s="3" t="s">
        <v>68</v>
      </c>
      <c r="I5254" s="65">
        <f>IFERROR(VLOOKUP(A5254,'3. Call duration'!$A:$C,3,0),"--")</f>
        <v>20.0980359</v>
      </c>
      <c r="J5254" s="65" t="str">
        <f t="array" ref="J5254">XLOOKUP(H5254,'2. Matching'!$A$2:$A$39,'2. Matching'!$B$2:$B$39,"--")</f>
        <v>Acquisition</v>
      </c>
      <c r="K5254" s="65" t="str">
        <f t="shared" si="1"/>
        <v>In</v>
      </c>
    </row>
    <row r="5255">
      <c r="A5255" s="62" t="s">
        <v>5393</v>
      </c>
      <c r="B5255" s="63">
        <v>44348.0</v>
      </c>
      <c r="C5255" s="62" t="s">
        <v>119</v>
      </c>
      <c r="D5255" s="64">
        <v>47.5</v>
      </c>
      <c r="E5255" s="62" t="s">
        <v>109</v>
      </c>
      <c r="F5255" s="62" t="s">
        <v>115</v>
      </c>
      <c r="G5255" s="64" t="s">
        <v>64</v>
      </c>
      <c r="H5255" s="3" t="s">
        <v>116</v>
      </c>
      <c r="I5255" s="65">
        <f>IFERROR(VLOOKUP(A5255,'3. Call duration'!$A:$C,3,0),"--")</f>
        <v>14.78375577</v>
      </c>
      <c r="J5255" s="65" t="str">
        <f t="array" ref="J5255">XLOOKUP(H5255,'2. Matching'!$A$2:$A$39,'2. Matching'!$B$2:$B$39,"--")</f>
        <v>Acquisition</v>
      </c>
      <c r="K5255" s="65" t="str">
        <f t="shared" si="1"/>
        <v>In</v>
      </c>
    </row>
    <row r="5256">
      <c r="A5256" s="62" t="s">
        <v>5394</v>
      </c>
      <c r="B5256" s="63">
        <v>44326.0</v>
      </c>
      <c r="C5256" s="62" t="s">
        <v>108</v>
      </c>
      <c r="D5256" s="64">
        <v>0.0</v>
      </c>
      <c r="E5256" s="62" t="s">
        <v>109</v>
      </c>
      <c r="F5256" s="62" t="s">
        <v>110</v>
      </c>
      <c r="G5256" s="64" t="s">
        <v>64</v>
      </c>
      <c r="H5256" s="3" t="s">
        <v>175</v>
      </c>
      <c r="I5256" s="65">
        <f>IFERROR(VLOOKUP(A5256,'3. Call duration'!$A:$C,3,0),"--")</f>
        <v>26.56373968</v>
      </c>
      <c r="J5256" s="65" t="str">
        <f t="array" ref="J5256">XLOOKUP(H5256,'2. Matching'!$A$2:$A$39,'2. Matching'!$B$2:$B$39,"--")</f>
        <v>SEO</v>
      </c>
      <c r="K5256" s="65" t="str">
        <f t="shared" si="1"/>
        <v>In</v>
      </c>
    </row>
    <row r="5257">
      <c r="A5257" s="62" t="s">
        <v>5395</v>
      </c>
      <c r="B5257" s="63">
        <v>44341.0</v>
      </c>
      <c r="C5257" s="62" t="s">
        <v>119</v>
      </c>
      <c r="D5257" s="64">
        <v>47.5</v>
      </c>
      <c r="E5257" s="62" t="s">
        <v>109</v>
      </c>
      <c r="F5257" s="62" t="s">
        <v>115</v>
      </c>
      <c r="G5257" s="64" t="s">
        <v>64</v>
      </c>
      <c r="H5257" s="3" t="s">
        <v>54</v>
      </c>
      <c r="I5257" s="65">
        <f>IFERROR(VLOOKUP(A5257,'3. Call duration'!$A:$C,3,0),"--")</f>
        <v>26.57270653</v>
      </c>
      <c r="J5257" s="65" t="str">
        <f t="array" ref="J5257">XLOOKUP(H5257,'2. Matching'!$A$2:$A$39,'2. Matching'!$B$2:$B$39,"--")</f>
        <v>Partnerships</v>
      </c>
      <c r="K5257" s="65" t="str">
        <f t="shared" si="1"/>
        <v>In</v>
      </c>
    </row>
    <row r="5258">
      <c r="A5258" s="62" t="s">
        <v>5396</v>
      </c>
      <c r="B5258" s="63">
        <v>44349.0</v>
      </c>
      <c r="C5258" s="62" t="s">
        <v>119</v>
      </c>
      <c r="D5258" s="64">
        <v>47.5</v>
      </c>
      <c r="E5258" s="62" t="s">
        <v>109</v>
      </c>
      <c r="F5258" s="62" t="s">
        <v>110</v>
      </c>
      <c r="G5258" s="64" t="s">
        <v>60</v>
      </c>
      <c r="H5258" s="3" t="s">
        <v>68</v>
      </c>
      <c r="I5258" s="65">
        <f>IFERROR(VLOOKUP(A5258,'3. Call duration'!$A:$C,3,0),"--")</f>
        <v>48.36873664</v>
      </c>
      <c r="J5258" s="65" t="str">
        <f t="array" ref="J5258">XLOOKUP(H5258,'2. Matching'!$A$2:$A$39,'2. Matching'!$B$2:$B$39,"--")</f>
        <v>Acquisition</v>
      </c>
      <c r="K5258" s="65" t="str">
        <f t="shared" si="1"/>
        <v>In</v>
      </c>
    </row>
    <row r="5259">
      <c r="A5259" s="62" t="s">
        <v>5397</v>
      </c>
      <c r="B5259" s="63">
        <v>44350.0</v>
      </c>
      <c r="C5259" s="62" t="s">
        <v>119</v>
      </c>
      <c r="D5259" s="64">
        <v>47.5</v>
      </c>
      <c r="E5259" s="62" t="s">
        <v>109</v>
      </c>
      <c r="F5259" s="62" t="s">
        <v>110</v>
      </c>
      <c r="G5259" s="64" t="s">
        <v>60</v>
      </c>
      <c r="H5259" s="3" t="s">
        <v>67</v>
      </c>
      <c r="I5259" s="65">
        <f>IFERROR(VLOOKUP(A5259,'3. Call duration'!$A:$C,3,0),"--")</f>
        <v>30.40265737</v>
      </c>
      <c r="J5259" s="65" t="str">
        <f t="array" ref="J5259">XLOOKUP(H5259,'2. Matching'!$A$2:$A$39,'2. Matching'!$B$2:$B$39,"--")</f>
        <v>Acquisition</v>
      </c>
      <c r="K5259" s="65" t="str">
        <f t="shared" si="1"/>
        <v>In</v>
      </c>
    </row>
    <row r="5260">
      <c r="A5260" s="62" t="s">
        <v>5398</v>
      </c>
      <c r="B5260" s="63">
        <v>44354.0</v>
      </c>
      <c r="C5260" s="62" t="s">
        <v>119</v>
      </c>
      <c r="D5260" s="64">
        <v>47.5</v>
      </c>
      <c r="E5260" s="62" t="s">
        <v>109</v>
      </c>
      <c r="F5260" s="62" t="s">
        <v>115</v>
      </c>
      <c r="G5260" s="64" t="s">
        <v>64</v>
      </c>
      <c r="H5260" s="3" t="s">
        <v>185</v>
      </c>
      <c r="I5260" s="65">
        <f>IFERROR(VLOOKUP(A5260,'3. Call duration'!$A:$C,3,0),"--")</f>
        <v>33.55412789</v>
      </c>
      <c r="J5260" s="65" t="str">
        <f t="array" ref="J5260">XLOOKUP(H5260,'2. Matching'!$A$2:$A$39,'2. Matching'!$B$2:$B$39,"--")</f>
        <v>SEO</v>
      </c>
      <c r="K5260" s="65" t="str">
        <f t="shared" si="1"/>
        <v>In</v>
      </c>
    </row>
    <row r="5261">
      <c r="A5261" s="62" t="s">
        <v>5399</v>
      </c>
      <c r="B5261" s="63">
        <v>44342.0</v>
      </c>
      <c r="C5261" s="62" t="s">
        <v>108</v>
      </c>
      <c r="D5261" s="64">
        <v>0.0</v>
      </c>
      <c r="E5261" s="62" t="s">
        <v>109</v>
      </c>
      <c r="F5261" s="62" t="s">
        <v>115</v>
      </c>
      <c r="G5261" s="64" t="s">
        <v>64</v>
      </c>
      <c r="H5261" s="3" t="s">
        <v>116</v>
      </c>
      <c r="I5261" s="65">
        <f>IFERROR(VLOOKUP(A5261,'3. Call duration'!$A:$C,3,0),"--")</f>
        <v>26.60264545</v>
      </c>
      <c r="J5261" s="65" t="str">
        <f t="array" ref="J5261">XLOOKUP(H5261,'2. Matching'!$A$2:$A$39,'2. Matching'!$B$2:$B$39,"--")</f>
        <v>Acquisition</v>
      </c>
      <c r="K5261" s="65" t="str">
        <f t="shared" si="1"/>
        <v>In</v>
      </c>
    </row>
    <row r="5262">
      <c r="A5262" s="62" t="s">
        <v>5400</v>
      </c>
      <c r="B5262" s="63">
        <v>44328.0</v>
      </c>
      <c r="C5262" s="62" t="s">
        <v>119</v>
      </c>
      <c r="D5262" s="64">
        <v>47.5</v>
      </c>
      <c r="E5262" s="62" t="s">
        <v>109</v>
      </c>
      <c r="F5262" s="62" t="s">
        <v>115</v>
      </c>
      <c r="G5262" s="64" t="s">
        <v>64</v>
      </c>
      <c r="H5262" s="3" t="s">
        <v>164</v>
      </c>
      <c r="I5262" s="65">
        <f>IFERROR(VLOOKUP(A5262,'3. Call duration'!$A:$C,3,0),"--")</f>
        <v>26.61570137</v>
      </c>
      <c r="J5262" s="65" t="str">
        <f t="array" ref="J5262">XLOOKUP(H5262,'2. Matching'!$A$2:$A$39,'2. Matching'!$B$2:$B$39,"--")</f>
        <v>SEO</v>
      </c>
      <c r="K5262" s="65" t="str">
        <f t="shared" si="1"/>
        <v>In</v>
      </c>
    </row>
    <row r="5263">
      <c r="A5263" s="62" t="s">
        <v>5401</v>
      </c>
      <c r="B5263" s="63">
        <v>44370.0</v>
      </c>
      <c r="C5263" s="62" t="s">
        <v>119</v>
      </c>
      <c r="D5263" s="64">
        <v>47.5</v>
      </c>
      <c r="E5263" s="62" t="s">
        <v>109</v>
      </c>
      <c r="F5263" s="62" t="s">
        <v>110</v>
      </c>
      <c r="G5263" s="64" t="s">
        <v>63</v>
      </c>
      <c r="H5263" s="3" t="s">
        <v>228</v>
      </c>
      <c r="I5263" s="65">
        <f>IFERROR(VLOOKUP(A5263,'3. Call duration'!$A:$C,3,0),"--")</f>
        <v>29.07801159</v>
      </c>
      <c r="J5263" s="65" t="str">
        <f t="array" ref="J5263">XLOOKUP(H5263,'2. Matching'!$A$2:$A$39,'2. Matching'!$B$2:$B$39,"--")</f>
        <v>Farming</v>
      </c>
      <c r="K5263" s="65" t="str">
        <f t="shared" si="1"/>
        <v>In</v>
      </c>
    </row>
    <row r="5264">
      <c r="A5264" s="62" t="s">
        <v>5402</v>
      </c>
      <c r="B5264" s="63">
        <v>44375.0</v>
      </c>
      <c r="C5264" s="62" t="s">
        <v>119</v>
      </c>
      <c r="D5264" s="64">
        <v>47.5</v>
      </c>
      <c r="E5264" s="62" t="s">
        <v>109</v>
      </c>
      <c r="F5264" s="62" t="s">
        <v>110</v>
      </c>
      <c r="G5264" s="64" t="s">
        <v>64</v>
      </c>
      <c r="H5264" s="3" t="s">
        <v>56</v>
      </c>
      <c r="I5264" s="65">
        <f>IFERROR(VLOOKUP(A5264,'3. Call duration'!$A:$C,3,0),"--")</f>
        <v>18.27428154</v>
      </c>
      <c r="J5264" s="65" t="str">
        <f t="array" ref="J5264">XLOOKUP(H5264,'2. Matching'!$A$2:$A$39,'2. Matching'!$B$2:$B$39,"--")</f>
        <v>Partnerships</v>
      </c>
      <c r="K5264" s="65" t="str">
        <f t="shared" si="1"/>
        <v>In</v>
      </c>
    </row>
    <row r="5265">
      <c r="A5265" s="62" t="s">
        <v>5403</v>
      </c>
      <c r="B5265" s="63">
        <v>44334.0</v>
      </c>
      <c r="C5265" s="62" t="s">
        <v>119</v>
      </c>
      <c r="D5265" s="64">
        <v>47.5</v>
      </c>
      <c r="E5265" s="62" t="s">
        <v>109</v>
      </c>
      <c r="F5265" s="62" t="s">
        <v>115</v>
      </c>
      <c r="G5265" s="64" t="s">
        <v>64</v>
      </c>
      <c r="H5265" s="3" t="s">
        <v>135</v>
      </c>
      <c r="I5265" s="65">
        <f>IFERROR(VLOOKUP(A5265,'3. Call duration'!$A:$C,3,0),"--")</f>
        <v>26.63123989</v>
      </c>
      <c r="J5265" s="65" t="str">
        <f t="array" ref="J5265">XLOOKUP(H5265,'2. Matching'!$A$2:$A$39,'2. Matching'!$B$2:$B$39,"--")</f>
        <v>Acquisition</v>
      </c>
      <c r="K5265" s="65" t="str">
        <f t="shared" si="1"/>
        <v>In</v>
      </c>
    </row>
    <row r="5266">
      <c r="A5266" s="62" t="s">
        <v>5404</v>
      </c>
      <c r="B5266" s="63">
        <v>44357.0</v>
      </c>
      <c r="C5266" s="62" t="s">
        <v>119</v>
      </c>
      <c r="D5266" s="64">
        <v>47.5</v>
      </c>
      <c r="E5266" s="62" t="s">
        <v>109</v>
      </c>
      <c r="F5266" s="62" t="s">
        <v>110</v>
      </c>
      <c r="G5266" s="64" t="s">
        <v>59</v>
      </c>
      <c r="H5266" s="3" t="s">
        <v>68</v>
      </c>
      <c r="I5266" s="65">
        <f>IFERROR(VLOOKUP(A5266,'3. Call duration'!$A:$C,3,0),"--")</f>
        <v>23.85055347</v>
      </c>
      <c r="J5266" s="65" t="str">
        <f t="array" ref="J5266">XLOOKUP(H5266,'2. Matching'!$A$2:$A$39,'2. Matching'!$B$2:$B$39,"--")</f>
        <v>Acquisition</v>
      </c>
      <c r="K5266" s="65" t="str">
        <f t="shared" si="1"/>
        <v>In</v>
      </c>
    </row>
    <row r="5267">
      <c r="A5267" s="62" t="s">
        <v>5405</v>
      </c>
      <c r="B5267" s="63">
        <v>44358.0</v>
      </c>
      <c r="C5267" s="62" t="s">
        <v>119</v>
      </c>
      <c r="D5267" s="64">
        <v>47.5</v>
      </c>
      <c r="E5267" s="62" t="s">
        <v>109</v>
      </c>
      <c r="F5267" s="62" t="s">
        <v>115</v>
      </c>
      <c r="G5267" s="64" t="s">
        <v>64</v>
      </c>
      <c r="H5267" s="3" t="s">
        <v>54</v>
      </c>
      <c r="I5267" s="65">
        <f>IFERROR(VLOOKUP(A5267,'3. Call duration'!$A:$C,3,0),"--")</f>
        <v>16.12212366</v>
      </c>
      <c r="J5267" s="65" t="str">
        <f t="array" ref="J5267">XLOOKUP(H5267,'2. Matching'!$A$2:$A$39,'2. Matching'!$B$2:$B$39,"--")</f>
        <v>Partnerships</v>
      </c>
      <c r="K5267" s="65" t="str">
        <f t="shared" si="1"/>
        <v>In</v>
      </c>
    </row>
    <row r="5268">
      <c r="A5268" s="62" t="s">
        <v>5406</v>
      </c>
      <c r="B5268" s="63">
        <v>44323.0</v>
      </c>
      <c r="C5268" s="62" t="s">
        <v>119</v>
      </c>
      <c r="D5268" s="64">
        <v>47.5</v>
      </c>
      <c r="E5268" s="62" t="s">
        <v>109</v>
      </c>
      <c r="F5268" s="62" t="s">
        <v>115</v>
      </c>
      <c r="G5268" s="64" t="s">
        <v>62</v>
      </c>
      <c r="H5268" s="3" t="s">
        <v>286</v>
      </c>
      <c r="I5268" s="65">
        <f>IFERROR(VLOOKUP(A5268,'3. Call duration'!$A:$C,3,0),"--")</f>
        <v>26.64814842</v>
      </c>
      <c r="J5268" s="65" t="str">
        <f t="array" ref="J5268">XLOOKUP(H5268,'2. Matching'!$A$2:$A$39,'2. Matching'!$B$2:$B$39,"--")</f>
        <v>Farming</v>
      </c>
      <c r="K5268" s="65" t="str">
        <f t="shared" si="1"/>
        <v>In</v>
      </c>
    </row>
    <row r="5269">
      <c r="A5269" s="62" t="s">
        <v>5407</v>
      </c>
      <c r="B5269" s="63">
        <v>44327.0</v>
      </c>
      <c r="C5269" s="62" t="s">
        <v>119</v>
      </c>
      <c r="D5269" s="64">
        <v>47.5</v>
      </c>
      <c r="E5269" s="62" t="s">
        <v>109</v>
      </c>
      <c r="F5269" s="62" t="s">
        <v>110</v>
      </c>
      <c r="G5269" s="64" t="s">
        <v>64</v>
      </c>
      <c r="H5269" s="3" t="s">
        <v>145</v>
      </c>
      <c r="I5269" s="65">
        <f>IFERROR(VLOOKUP(A5269,'3. Call duration'!$A:$C,3,0),"--")</f>
        <v>26.65985494</v>
      </c>
      <c r="J5269" s="65" t="str">
        <f t="array" ref="J5269">XLOOKUP(H5269,'2. Matching'!$A$2:$A$39,'2. Matching'!$B$2:$B$39,"--")</f>
        <v>SEO</v>
      </c>
      <c r="K5269" s="65" t="str">
        <f t="shared" si="1"/>
        <v>In</v>
      </c>
    </row>
    <row r="5270">
      <c r="A5270" s="62" t="s">
        <v>5408</v>
      </c>
      <c r="B5270" s="63">
        <v>44337.0</v>
      </c>
      <c r="C5270" s="62" t="s">
        <v>119</v>
      </c>
      <c r="D5270" s="64">
        <v>47.5</v>
      </c>
      <c r="E5270" s="62" t="s">
        <v>109</v>
      </c>
      <c r="F5270" s="62" t="s">
        <v>110</v>
      </c>
      <c r="G5270" s="64" t="s">
        <v>63</v>
      </c>
      <c r="H5270" s="3" t="s">
        <v>183</v>
      </c>
      <c r="I5270" s="65">
        <f>IFERROR(VLOOKUP(A5270,'3. Call duration'!$A:$C,3,0),"--")</f>
        <v>26.6606596</v>
      </c>
      <c r="J5270" s="65" t="str">
        <f t="array" ref="J5270">XLOOKUP(H5270,'2. Matching'!$A$2:$A$39,'2. Matching'!$B$2:$B$39,"--")</f>
        <v>SEO</v>
      </c>
      <c r="K5270" s="65" t="str">
        <f t="shared" si="1"/>
        <v>In</v>
      </c>
    </row>
    <row r="5271">
      <c r="A5271" s="62" t="s">
        <v>5409</v>
      </c>
      <c r="B5271" s="63">
        <v>44328.0</v>
      </c>
      <c r="C5271" s="62" t="s">
        <v>119</v>
      </c>
      <c r="D5271" s="64">
        <v>47.5</v>
      </c>
      <c r="E5271" s="62" t="s">
        <v>109</v>
      </c>
      <c r="F5271" s="62" t="s">
        <v>115</v>
      </c>
      <c r="G5271" s="64" t="s">
        <v>64</v>
      </c>
      <c r="H5271" s="3" t="s">
        <v>141</v>
      </c>
      <c r="I5271" s="65">
        <f>IFERROR(VLOOKUP(A5271,'3. Call duration'!$A:$C,3,0),"--")</f>
        <v>26.66679728</v>
      </c>
      <c r="J5271" s="65" t="str">
        <f t="array" ref="J5271">XLOOKUP(H5271,'2. Matching'!$A$2:$A$39,'2. Matching'!$B$2:$B$39,"--")</f>
        <v>Acquisition</v>
      </c>
      <c r="K5271" s="65" t="str">
        <f t="shared" si="1"/>
        <v>In</v>
      </c>
    </row>
    <row r="5272">
      <c r="A5272" s="62" t="s">
        <v>5410</v>
      </c>
      <c r="B5272" s="63">
        <v>44352.0</v>
      </c>
      <c r="C5272" s="62" t="s">
        <v>119</v>
      </c>
      <c r="D5272" s="64">
        <v>47.5</v>
      </c>
      <c r="E5272" s="62" t="s">
        <v>109</v>
      </c>
      <c r="F5272" s="62" t="s">
        <v>110</v>
      </c>
      <c r="G5272" s="64" t="s">
        <v>60</v>
      </c>
      <c r="H5272" s="3" t="s">
        <v>67</v>
      </c>
      <c r="I5272" s="65">
        <f>IFERROR(VLOOKUP(A5272,'3. Call duration'!$A:$C,3,0),"--")</f>
        <v>28.90119142</v>
      </c>
      <c r="J5272" s="65" t="str">
        <f t="array" ref="J5272">XLOOKUP(H5272,'2. Matching'!$A$2:$A$39,'2. Matching'!$B$2:$B$39,"--")</f>
        <v>Acquisition</v>
      </c>
      <c r="K5272" s="65" t="str">
        <f t="shared" si="1"/>
        <v>In</v>
      </c>
    </row>
    <row r="5273">
      <c r="A5273" s="62" t="s">
        <v>5411</v>
      </c>
      <c r="B5273" s="63">
        <v>44370.0</v>
      </c>
      <c r="C5273" s="62" t="s">
        <v>119</v>
      </c>
      <c r="D5273" s="64">
        <v>47.5</v>
      </c>
      <c r="E5273" s="62" t="s">
        <v>109</v>
      </c>
      <c r="F5273" s="62" t="s">
        <v>115</v>
      </c>
      <c r="G5273" s="64" t="s">
        <v>64</v>
      </c>
      <c r="H5273" s="3" t="s">
        <v>116</v>
      </c>
      <c r="I5273" s="65">
        <f>IFERROR(VLOOKUP(A5273,'3. Call duration'!$A:$C,3,0),"--")</f>
        <v>22.77997531</v>
      </c>
      <c r="J5273" s="65" t="str">
        <f t="array" ref="J5273">XLOOKUP(H5273,'2. Matching'!$A$2:$A$39,'2. Matching'!$B$2:$B$39,"--")</f>
        <v>Acquisition</v>
      </c>
      <c r="K5273" s="65" t="str">
        <f t="shared" si="1"/>
        <v>In</v>
      </c>
    </row>
    <row r="5274">
      <c r="A5274" s="62" t="s">
        <v>5412</v>
      </c>
      <c r="B5274" s="63">
        <v>44331.0</v>
      </c>
      <c r="C5274" s="62" t="s">
        <v>119</v>
      </c>
      <c r="D5274" s="64">
        <v>95.0</v>
      </c>
      <c r="E5274" s="62" t="s">
        <v>114</v>
      </c>
      <c r="F5274" s="62" t="s">
        <v>110</v>
      </c>
      <c r="G5274" s="64" t="s">
        <v>64</v>
      </c>
      <c r="H5274" s="3" t="s">
        <v>52</v>
      </c>
      <c r="I5274" s="65">
        <f>IFERROR(VLOOKUP(A5274,'3. Call duration'!$A:$C,3,0),"--")</f>
        <v>26.6685942</v>
      </c>
      <c r="J5274" s="65" t="str">
        <f t="array" ref="J5274">XLOOKUP(H5274,'2. Matching'!$A$2:$A$39,'2. Matching'!$B$2:$B$39,"--")</f>
        <v>Partnerships</v>
      </c>
      <c r="K5274" s="65" t="str">
        <f t="shared" si="1"/>
        <v>In</v>
      </c>
    </row>
    <row r="5275">
      <c r="A5275" s="62" t="s">
        <v>5413</v>
      </c>
      <c r="B5275" s="63">
        <v>44369.0</v>
      </c>
      <c r="C5275" s="62" t="s">
        <v>119</v>
      </c>
      <c r="D5275" s="64">
        <v>47.5</v>
      </c>
      <c r="E5275" s="62" t="s">
        <v>109</v>
      </c>
      <c r="F5275" s="62" t="s">
        <v>115</v>
      </c>
      <c r="G5275" s="64" t="s">
        <v>64</v>
      </c>
      <c r="H5275" s="3" t="s">
        <v>164</v>
      </c>
      <c r="I5275" s="65">
        <f>IFERROR(VLOOKUP(A5275,'3. Call duration'!$A:$C,3,0),"--")</f>
        <v>29.43578833</v>
      </c>
      <c r="J5275" s="65" t="str">
        <f t="array" ref="J5275">XLOOKUP(H5275,'2. Matching'!$A$2:$A$39,'2. Matching'!$B$2:$B$39,"--")</f>
        <v>SEO</v>
      </c>
      <c r="K5275" s="65" t="str">
        <f t="shared" si="1"/>
        <v>In</v>
      </c>
    </row>
    <row r="5276">
      <c r="A5276" s="62" t="s">
        <v>5414</v>
      </c>
      <c r="B5276" s="63">
        <v>44333.0</v>
      </c>
      <c r="C5276" s="62" t="s">
        <v>119</v>
      </c>
      <c r="D5276" s="64">
        <v>47.5</v>
      </c>
      <c r="E5276" s="62" t="s">
        <v>109</v>
      </c>
      <c r="F5276" s="62" t="s">
        <v>110</v>
      </c>
      <c r="G5276" s="64" t="s">
        <v>64</v>
      </c>
      <c r="H5276" s="3" t="s">
        <v>52</v>
      </c>
      <c r="I5276" s="65">
        <f>IFERROR(VLOOKUP(A5276,'3. Call duration'!$A:$C,3,0),"--")</f>
        <v>26.71335009</v>
      </c>
      <c r="J5276" s="65" t="str">
        <f t="array" ref="J5276">XLOOKUP(H5276,'2. Matching'!$A$2:$A$39,'2. Matching'!$B$2:$B$39,"--")</f>
        <v>Partnerships</v>
      </c>
      <c r="K5276" s="65" t="str">
        <f t="shared" si="1"/>
        <v>In</v>
      </c>
    </row>
    <row r="5277">
      <c r="A5277" s="62" t="s">
        <v>5415</v>
      </c>
      <c r="B5277" s="63">
        <v>44320.0</v>
      </c>
      <c r="C5277" s="62" t="s">
        <v>119</v>
      </c>
      <c r="D5277" s="64">
        <v>47.5</v>
      </c>
      <c r="E5277" s="62" t="s">
        <v>109</v>
      </c>
      <c r="F5277" s="62" t="s">
        <v>115</v>
      </c>
      <c r="G5277" s="64" t="s">
        <v>64</v>
      </c>
      <c r="H5277" s="3" t="s">
        <v>185</v>
      </c>
      <c r="I5277" s="65">
        <f>IFERROR(VLOOKUP(A5277,'3. Call duration'!$A:$C,3,0),"--")</f>
        <v>26.79925018</v>
      </c>
      <c r="J5277" s="65" t="str">
        <f t="array" ref="J5277">XLOOKUP(H5277,'2. Matching'!$A$2:$A$39,'2. Matching'!$B$2:$B$39,"--")</f>
        <v>SEO</v>
      </c>
      <c r="K5277" s="65" t="str">
        <f t="shared" si="1"/>
        <v>In</v>
      </c>
    </row>
    <row r="5278">
      <c r="A5278" s="62" t="s">
        <v>5416</v>
      </c>
      <c r="B5278" s="63">
        <v>44345.0</v>
      </c>
      <c r="C5278" s="62" t="s">
        <v>108</v>
      </c>
      <c r="D5278" s="64">
        <v>0.0</v>
      </c>
      <c r="E5278" s="62" t="s">
        <v>109</v>
      </c>
      <c r="F5278" s="62" t="s">
        <v>115</v>
      </c>
      <c r="G5278" s="64" t="s">
        <v>64</v>
      </c>
      <c r="H5278" s="3" t="s">
        <v>139</v>
      </c>
      <c r="I5278" s="65">
        <f>IFERROR(VLOOKUP(A5278,'3. Call duration'!$A:$C,3,0),"--")</f>
        <v>26.81809199</v>
      </c>
      <c r="J5278" s="65" t="str">
        <f t="array" ref="J5278">XLOOKUP(H5278,'2. Matching'!$A$2:$A$39,'2. Matching'!$B$2:$B$39,"--")</f>
        <v>Acquisition</v>
      </c>
      <c r="K5278" s="65" t="str">
        <f t="shared" si="1"/>
        <v>In</v>
      </c>
    </row>
    <row r="5279">
      <c r="A5279" s="62" t="s">
        <v>5417</v>
      </c>
      <c r="B5279" s="63">
        <v>44336.0</v>
      </c>
      <c r="C5279" s="62" t="s">
        <v>119</v>
      </c>
      <c r="D5279" s="64">
        <v>47.5</v>
      </c>
      <c r="E5279" s="62" t="s">
        <v>109</v>
      </c>
      <c r="F5279" s="62" t="s">
        <v>110</v>
      </c>
      <c r="G5279" s="64" t="s">
        <v>64</v>
      </c>
      <c r="H5279" s="3" t="s">
        <v>297</v>
      </c>
      <c r="I5279" s="65">
        <f>IFERROR(VLOOKUP(A5279,'3. Call duration'!$A:$C,3,0),"--")</f>
        <v>26.83567236</v>
      </c>
      <c r="J5279" s="65" t="str">
        <f t="array" ref="J5279">XLOOKUP(H5279,'2. Matching'!$A$2:$A$39,'2. Matching'!$B$2:$B$39,"--")</f>
        <v>Farming</v>
      </c>
      <c r="K5279" s="65" t="str">
        <f t="shared" si="1"/>
        <v>In</v>
      </c>
    </row>
    <row r="5280">
      <c r="A5280" s="62" t="s">
        <v>5418</v>
      </c>
      <c r="B5280" s="63">
        <v>44326.0</v>
      </c>
      <c r="C5280" s="62" t="s">
        <v>119</v>
      </c>
      <c r="D5280" s="64">
        <v>47.5</v>
      </c>
      <c r="E5280" s="62" t="s">
        <v>109</v>
      </c>
      <c r="F5280" s="62" t="s">
        <v>115</v>
      </c>
      <c r="G5280" s="64" t="s">
        <v>59</v>
      </c>
      <c r="H5280" s="3" t="s">
        <v>68</v>
      </c>
      <c r="I5280" s="65">
        <f>IFERROR(VLOOKUP(A5280,'3. Call duration'!$A:$C,3,0),"--")</f>
        <v>26.83630233</v>
      </c>
      <c r="J5280" s="65" t="str">
        <f t="array" ref="J5280">XLOOKUP(H5280,'2. Matching'!$A$2:$A$39,'2. Matching'!$B$2:$B$39,"--")</f>
        <v>Acquisition</v>
      </c>
      <c r="K5280" s="65" t="str">
        <f t="shared" si="1"/>
        <v>In</v>
      </c>
    </row>
    <row r="5281">
      <c r="A5281" s="62" t="s">
        <v>5419</v>
      </c>
      <c r="B5281" s="63">
        <v>44363.0</v>
      </c>
      <c r="C5281" s="62" t="s">
        <v>119</v>
      </c>
      <c r="D5281" s="64">
        <v>47.5</v>
      </c>
      <c r="E5281" s="62" t="s">
        <v>109</v>
      </c>
      <c r="F5281" s="62" t="s">
        <v>110</v>
      </c>
      <c r="G5281" s="64" t="s">
        <v>64</v>
      </c>
      <c r="H5281" s="3" t="s">
        <v>297</v>
      </c>
      <c r="I5281" s="65">
        <f>IFERROR(VLOOKUP(A5281,'3. Call duration'!$A:$C,3,0),"--")</f>
        <v>25.83733831</v>
      </c>
      <c r="J5281" s="65" t="str">
        <f t="array" ref="J5281">XLOOKUP(H5281,'2. Matching'!$A$2:$A$39,'2. Matching'!$B$2:$B$39,"--")</f>
        <v>Farming</v>
      </c>
      <c r="K5281" s="65" t="str">
        <f t="shared" si="1"/>
        <v>In</v>
      </c>
    </row>
    <row r="5282">
      <c r="A5282" s="62" t="s">
        <v>5420</v>
      </c>
      <c r="B5282" s="63">
        <v>44375.0</v>
      </c>
      <c r="C5282" s="62" t="s">
        <v>119</v>
      </c>
      <c r="D5282" s="64">
        <v>47.5</v>
      </c>
      <c r="E5282" s="62" t="s">
        <v>109</v>
      </c>
      <c r="F5282" s="62" t="s">
        <v>115</v>
      </c>
      <c r="G5282" s="64" t="s">
        <v>60</v>
      </c>
      <c r="H5282" s="3" t="s">
        <v>67</v>
      </c>
      <c r="I5282" s="65">
        <f>IFERROR(VLOOKUP(A5282,'3. Call duration'!$A:$C,3,0),"--")</f>
        <v>28.22655792</v>
      </c>
      <c r="J5282" s="65" t="str">
        <f t="array" ref="J5282">XLOOKUP(H5282,'2. Matching'!$A$2:$A$39,'2. Matching'!$B$2:$B$39,"--")</f>
        <v>Acquisition</v>
      </c>
      <c r="K5282" s="65" t="str">
        <f t="shared" si="1"/>
        <v>In</v>
      </c>
    </row>
    <row r="5283">
      <c r="A5283" s="62" t="s">
        <v>5421</v>
      </c>
      <c r="B5283" s="63">
        <v>44341.0</v>
      </c>
      <c r="C5283" s="62" t="s">
        <v>119</v>
      </c>
      <c r="D5283" s="64">
        <v>47.5</v>
      </c>
      <c r="E5283" s="62" t="s">
        <v>109</v>
      </c>
      <c r="F5283" s="62" t="s">
        <v>115</v>
      </c>
      <c r="G5283" s="64" t="s">
        <v>64</v>
      </c>
      <c r="H5283" s="3" t="s">
        <v>164</v>
      </c>
      <c r="I5283" s="65">
        <f>IFERROR(VLOOKUP(A5283,'3. Call duration'!$A:$C,3,0),"--")</f>
        <v>26.83724018</v>
      </c>
      <c r="J5283" s="65" t="str">
        <f t="array" ref="J5283">XLOOKUP(H5283,'2. Matching'!$A$2:$A$39,'2. Matching'!$B$2:$B$39,"--")</f>
        <v>SEO</v>
      </c>
      <c r="K5283" s="65" t="str">
        <f t="shared" si="1"/>
        <v>In</v>
      </c>
    </row>
    <row r="5284">
      <c r="A5284" s="62" t="s">
        <v>5422</v>
      </c>
      <c r="B5284" s="63">
        <v>44319.0</v>
      </c>
      <c r="C5284" s="62" t="s">
        <v>119</v>
      </c>
      <c r="D5284" s="64">
        <v>47.5</v>
      </c>
      <c r="E5284" s="62" t="s">
        <v>109</v>
      </c>
      <c r="F5284" s="62" t="s">
        <v>115</v>
      </c>
      <c r="G5284" s="64" t="s">
        <v>63</v>
      </c>
      <c r="H5284" s="3" t="s">
        <v>183</v>
      </c>
      <c r="I5284" s="65">
        <f>IFERROR(VLOOKUP(A5284,'3. Call duration'!$A:$C,3,0),"--")</f>
        <v>26.8534021</v>
      </c>
      <c r="J5284" s="65" t="str">
        <f t="array" ref="J5284">XLOOKUP(H5284,'2. Matching'!$A$2:$A$39,'2. Matching'!$B$2:$B$39,"--")</f>
        <v>SEO</v>
      </c>
      <c r="K5284" s="65" t="str">
        <f t="shared" si="1"/>
        <v>In</v>
      </c>
    </row>
    <row r="5285">
      <c r="A5285" s="62" t="s">
        <v>5423</v>
      </c>
      <c r="B5285" s="63">
        <v>44377.0</v>
      </c>
      <c r="C5285" s="62" t="s">
        <v>119</v>
      </c>
      <c r="D5285" s="64">
        <v>47.5</v>
      </c>
      <c r="E5285" s="62" t="s">
        <v>109</v>
      </c>
      <c r="F5285" s="62" t="s">
        <v>115</v>
      </c>
      <c r="G5285" s="64" t="s">
        <v>64</v>
      </c>
      <c r="H5285" s="3" t="s">
        <v>171</v>
      </c>
      <c r="I5285" s="65">
        <f>IFERROR(VLOOKUP(A5285,'3. Call duration'!$A:$C,3,0),"--")</f>
        <v>21.43190009</v>
      </c>
      <c r="J5285" s="65" t="str">
        <f t="array" ref="J5285">XLOOKUP(H5285,'2. Matching'!$A$2:$A$39,'2. Matching'!$B$2:$B$39,"--")</f>
        <v>SEO</v>
      </c>
      <c r="K5285" s="65" t="str">
        <f t="shared" si="1"/>
        <v>In</v>
      </c>
    </row>
    <row r="5286">
      <c r="A5286" s="62" t="s">
        <v>5424</v>
      </c>
      <c r="B5286" s="63">
        <v>44375.0</v>
      </c>
      <c r="C5286" s="62" t="s">
        <v>119</v>
      </c>
      <c r="D5286" s="64">
        <v>47.5</v>
      </c>
      <c r="E5286" s="62" t="s">
        <v>109</v>
      </c>
      <c r="F5286" s="62" t="s">
        <v>110</v>
      </c>
      <c r="G5286" s="64" t="s">
        <v>64</v>
      </c>
      <c r="H5286" s="3" t="s">
        <v>131</v>
      </c>
      <c r="I5286" s="65">
        <f>IFERROR(VLOOKUP(A5286,'3. Call duration'!$A:$C,3,0),"--")</f>
        <v>14.53894294</v>
      </c>
      <c r="J5286" s="65" t="str">
        <f t="array" ref="J5286">XLOOKUP(H5286,'2. Matching'!$A$2:$A$39,'2. Matching'!$B$2:$B$39,"--")</f>
        <v>Acquisition</v>
      </c>
      <c r="K5286" s="65" t="str">
        <f t="shared" si="1"/>
        <v>In</v>
      </c>
    </row>
    <row r="5287">
      <c r="A5287" s="62" t="s">
        <v>5425</v>
      </c>
      <c r="B5287" s="63">
        <v>44354.0</v>
      </c>
      <c r="C5287" s="62" t="s">
        <v>119</v>
      </c>
      <c r="D5287" s="64">
        <v>47.5</v>
      </c>
      <c r="E5287" s="62" t="s">
        <v>109</v>
      </c>
      <c r="F5287" s="62" t="s">
        <v>115</v>
      </c>
      <c r="G5287" s="64" t="s">
        <v>63</v>
      </c>
      <c r="H5287" s="3" t="s">
        <v>183</v>
      </c>
      <c r="I5287" s="65">
        <f>IFERROR(VLOOKUP(A5287,'3. Call duration'!$A:$C,3,0),"--")</f>
        <v>31.36837989</v>
      </c>
      <c r="J5287" s="65" t="str">
        <f t="array" ref="J5287">XLOOKUP(H5287,'2. Matching'!$A$2:$A$39,'2. Matching'!$B$2:$B$39,"--")</f>
        <v>SEO</v>
      </c>
      <c r="K5287" s="65" t="str">
        <f t="shared" si="1"/>
        <v>In</v>
      </c>
    </row>
    <row r="5288">
      <c r="A5288" s="62" t="s">
        <v>5426</v>
      </c>
      <c r="B5288" s="63">
        <v>44356.0</v>
      </c>
      <c r="C5288" s="62" t="s">
        <v>119</v>
      </c>
      <c r="D5288" s="64">
        <v>47.5</v>
      </c>
      <c r="E5288" s="62" t="s">
        <v>109</v>
      </c>
      <c r="F5288" s="62" t="s">
        <v>115</v>
      </c>
      <c r="G5288" s="64" t="s">
        <v>64</v>
      </c>
      <c r="H5288" s="3" t="s">
        <v>131</v>
      </c>
      <c r="I5288" s="65">
        <f>IFERROR(VLOOKUP(A5288,'3. Call duration'!$A:$C,3,0),"--")</f>
        <v>27.50002401</v>
      </c>
      <c r="J5288" s="65" t="str">
        <f t="array" ref="J5288">XLOOKUP(H5288,'2. Matching'!$A$2:$A$39,'2. Matching'!$B$2:$B$39,"--")</f>
        <v>Acquisition</v>
      </c>
      <c r="K5288" s="65" t="str">
        <f t="shared" si="1"/>
        <v>In</v>
      </c>
    </row>
    <row r="5289">
      <c r="A5289" s="62" t="s">
        <v>5427</v>
      </c>
      <c r="B5289" s="63">
        <v>44330.0</v>
      </c>
      <c r="C5289" s="62" t="s">
        <v>108</v>
      </c>
      <c r="D5289" s="64">
        <v>0.0</v>
      </c>
      <c r="E5289" s="62" t="s">
        <v>109</v>
      </c>
      <c r="F5289" s="62" t="s">
        <v>115</v>
      </c>
      <c r="G5289" s="64" t="s">
        <v>59</v>
      </c>
      <c r="H5289" s="3" t="s">
        <v>68</v>
      </c>
      <c r="I5289" s="65">
        <f>IFERROR(VLOOKUP(A5289,'3. Call duration'!$A:$C,3,0),"--")</f>
        <v>26.90011454</v>
      </c>
      <c r="J5289" s="65" t="str">
        <f t="array" ref="J5289">XLOOKUP(H5289,'2. Matching'!$A$2:$A$39,'2. Matching'!$B$2:$B$39,"--")</f>
        <v>Acquisition</v>
      </c>
      <c r="K5289" s="65" t="str">
        <f t="shared" si="1"/>
        <v>In</v>
      </c>
    </row>
    <row r="5290">
      <c r="A5290" s="62" t="s">
        <v>5428</v>
      </c>
      <c r="B5290" s="63">
        <v>44335.0</v>
      </c>
      <c r="C5290" s="62" t="s">
        <v>119</v>
      </c>
      <c r="D5290" s="64">
        <v>47.5</v>
      </c>
      <c r="E5290" s="62" t="s">
        <v>109</v>
      </c>
      <c r="F5290" s="62" t="s">
        <v>115</v>
      </c>
      <c r="G5290" s="64" t="s">
        <v>64</v>
      </c>
      <c r="H5290" s="3" t="s">
        <v>141</v>
      </c>
      <c r="I5290" s="65">
        <f>IFERROR(VLOOKUP(A5290,'3. Call duration'!$A:$C,3,0),"--")</f>
        <v>26.93174557</v>
      </c>
      <c r="J5290" s="65" t="str">
        <f t="array" ref="J5290">XLOOKUP(H5290,'2. Matching'!$A$2:$A$39,'2. Matching'!$B$2:$B$39,"--")</f>
        <v>Acquisition</v>
      </c>
      <c r="K5290" s="65" t="str">
        <f t="shared" si="1"/>
        <v>In</v>
      </c>
    </row>
    <row r="5291">
      <c r="A5291" s="62" t="s">
        <v>5429</v>
      </c>
      <c r="B5291" s="63">
        <v>44355.0</v>
      </c>
      <c r="C5291" s="62" t="s">
        <v>119</v>
      </c>
      <c r="D5291" s="64">
        <v>47.5</v>
      </c>
      <c r="E5291" s="62" t="s">
        <v>109</v>
      </c>
      <c r="F5291" s="62" t="s">
        <v>115</v>
      </c>
      <c r="G5291" s="64" t="s">
        <v>63</v>
      </c>
      <c r="H5291" s="3" t="s">
        <v>189</v>
      </c>
      <c r="I5291" s="65">
        <f>IFERROR(VLOOKUP(A5291,'3. Call duration'!$A:$C,3,0),"--")</f>
        <v>30.1244253</v>
      </c>
      <c r="J5291" s="65" t="str">
        <f t="array" ref="J5291">XLOOKUP(H5291,'2. Matching'!$A$2:$A$39,'2. Matching'!$B$2:$B$39,"--")</f>
        <v>SEO</v>
      </c>
      <c r="K5291" s="65" t="str">
        <f t="shared" si="1"/>
        <v>Out</v>
      </c>
    </row>
    <row r="5292">
      <c r="A5292" s="62" t="s">
        <v>5430</v>
      </c>
      <c r="B5292" s="63">
        <v>44376.0</v>
      </c>
      <c r="C5292" s="62" t="s">
        <v>119</v>
      </c>
      <c r="D5292" s="64">
        <v>47.5</v>
      </c>
      <c r="E5292" s="62" t="s">
        <v>109</v>
      </c>
      <c r="F5292" s="62" t="s">
        <v>115</v>
      </c>
      <c r="G5292" s="64" t="s">
        <v>59</v>
      </c>
      <c r="H5292" s="3" t="s">
        <v>68</v>
      </c>
      <c r="I5292" s="65">
        <f>IFERROR(VLOOKUP(A5292,'3. Call duration'!$A:$C,3,0),"--")</f>
        <v>27.29516492</v>
      </c>
      <c r="J5292" s="65" t="str">
        <f t="array" ref="J5292">XLOOKUP(H5292,'2. Matching'!$A$2:$A$39,'2. Matching'!$B$2:$B$39,"--")</f>
        <v>Acquisition</v>
      </c>
      <c r="K5292" s="65" t="str">
        <f t="shared" si="1"/>
        <v>In</v>
      </c>
    </row>
    <row r="5293">
      <c r="A5293" s="62" t="s">
        <v>5431</v>
      </c>
      <c r="B5293" s="63">
        <v>44351.0</v>
      </c>
      <c r="C5293" s="62" t="s">
        <v>119</v>
      </c>
      <c r="D5293" s="64">
        <v>47.5</v>
      </c>
      <c r="E5293" s="62" t="s">
        <v>109</v>
      </c>
      <c r="F5293" s="62" t="s">
        <v>115</v>
      </c>
      <c r="G5293" s="64" t="s">
        <v>64</v>
      </c>
      <c r="H5293" s="3" t="s">
        <v>139</v>
      </c>
      <c r="I5293" s="65">
        <f>IFERROR(VLOOKUP(A5293,'3. Call duration'!$A:$C,3,0),"--")</f>
        <v>33.38086392</v>
      </c>
      <c r="J5293" s="65" t="str">
        <f t="array" ref="J5293">XLOOKUP(H5293,'2. Matching'!$A$2:$A$39,'2. Matching'!$B$2:$B$39,"--")</f>
        <v>Acquisition</v>
      </c>
      <c r="K5293" s="65" t="str">
        <f t="shared" si="1"/>
        <v>In</v>
      </c>
    </row>
    <row r="5294">
      <c r="A5294" s="62" t="s">
        <v>5432</v>
      </c>
      <c r="B5294" s="63">
        <v>44370.0</v>
      </c>
      <c r="C5294" s="62" t="s">
        <v>119</v>
      </c>
      <c r="D5294" s="64">
        <v>47.5</v>
      </c>
      <c r="E5294" s="62" t="s">
        <v>109</v>
      </c>
      <c r="F5294" s="62" t="s">
        <v>110</v>
      </c>
      <c r="G5294" s="64" t="s">
        <v>60</v>
      </c>
      <c r="H5294" s="3" t="s">
        <v>68</v>
      </c>
      <c r="I5294" s="65">
        <f>IFERROR(VLOOKUP(A5294,'3. Call duration'!$A:$C,3,0),"--")</f>
        <v>28.44731698</v>
      </c>
      <c r="J5294" s="65" t="str">
        <f t="array" ref="J5294">XLOOKUP(H5294,'2. Matching'!$A$2:$A$39,'2. Matching'!$B$2:$B$39,"--")</f>
        <v>Acquisition</v>
      </c>
      <c r="K5294" s="65" t="str">
        <f t="shared" si="1"/>
        <v>In</v>
      </c>
    </row>
    <row r="5295">
      <c r="A5295" s="62" t="s">
        <v>5433</v>
      </c>
      <c r="B5295" s="63">
        <v>44331.0</v>
      </c>
      <c r="C5295" s="62" t="s">
        <v>119</v>
      </c>
      <c r="D5295" s="64">
        <v>47.5</v>
      </c>
      <c r="E5295" s="62" t="s">
        <v>109</v>
      </c>
      <c r="F5295" s="62" t="s">
        <v>115</v>
      </c>
      <c r="G5295" s="64" t="s">
        <v>59</v>
      </c>
      <c r="H5295" s="3" t="s">
        <v>68</v>
      </c>
      <c r="I5295" s="65">
        <f>IFERROR(VLOOKUP(A5295,'3. Call duration'!$A:$C,3,0),"--")</f>
        <v>26.9448738</v>
      </c>
      <c r="J5295" s="65" t="str">
        <f t="array" ref="J5295">XLOOKUP(H5295,'2. Matching'!$A$2:$A$39,'2. Matching'!$B$2:$B$39,"--")</f>
        <v>Acquisition</v>
      </c>
      <c r="K5295" s="65" t="str">
        <f t="shared" si="1"/>
        <v>In</v>
      </c>
    </row>
    <row r="5296">
      <c r="A5296" s="62" t="s">
        <v>5434</v>
      </c>
      <c r="B5296" s="63">
        <v>44329.0</v>
      </c>
      <c r="C5296" s="62" t="s">
        <v>119</v>
      </c>
      <c r="D5296" s="64">
        <v>47.5</v>
      </c>
      <c r="E5296" s="62" t="s">
        <v>109</v>
      </c>
      <c r="F5296" s="62" t="s">
        <v>115</v>
      </c>
      <c r="G5296" s="64" t="s">
        <v>64</v>
      </c>
      <c r="H5296" s="3" t="s">
        <v>185</v>
      </c>
      <c r="I5296" s="65">
        <f>IFERROR(VLOOKUP(A5296,'3. Call duration'!$A:$C,3,0),"--")</f>
        <v>26.95541939</v>
      </c>
      <c r="J5296" s="65" t="str">
        <f t="array" ref="J5296">XLOOKUP(H5296,'2. Matching'!$A$2:$A$39,'2. Matching'!$B$2:$B$39,"--")</f>
        <v>SEO</v>
      </c>
      <c r="K5296" s="65" t="str">
        <f t="shared" si="1"/>
        <v>In</v>
      </c>
    </row>
    <row r="5297">
      <c r="A5297" s="62" t="s">
        <v>5435</v>
      </c>
      <c r="B5297" s="63">
        <v>44370.0</v>
      </c>
      <c r="C5297" s="62" t="s">
        <v>119</v>
      </c>
      <c r="D5297" s="64">
        <v>47.5</v>
      </c>
      <c r="E5297" s="62" t="s">
        <v>109</v>
      </c>
      <c r="F5297" s="62" t="s">
        <v>110</v>
      </c>
      <c r="G5297" s="64" t="s">
        <v>60</v>
      </c>
      <c r="H5297" s="3" t="s">
        <v>68</v>
      </c>
      <c r="I5297" s="65" t="str">
        <f>IFERROR(VLOOKUP(A5297,'3. Call duration'!$A:$C,3,0),"--")</f>
        <v>--</v>
      </c>
      <c r="J5297" s="65" t="str">
        <f t="array" ref="J5297">XLOOKUP(H5297,'2. Matching'!$A$2:$A$39,'2. Matching'!$B$2:$B$39,"--")</f>
        <v>Acquisition</v>
      </c>
      <c r="K5297" s="65" t="str">
        <f t="shared" si="1"/>
        <v>In</v>
      </c>
    </row>
    <row r="5298">
      <c r="A5298" s="62" t="s">
        <v>5436</v>
      </c>
      <c r="B5298" s="63">
        <v>44320.0</v>
      </c>
      <c r="C5298" s="62" t="s">
        <v>119</v>
      </c>
      <c r="D5298" s="64">
        <v>47.5</v>
      </c>
      <c r="E5298" s="62" t="s">
        <v>109</v>
      </c>
      <c r="F5298" s="62" t="s">
        <v>115</v>
      </c>
      <c r="G5298" s="64" t="s">
        <v>64</v>
      </c>
      <c r="H5298" s="3" t="s">
        <v>185</v>
      </c>
      <c r="I5298" s="65">
        <f>IFERROR(VLOOKUP(A5298,'3. Call duration'!$A:$C,3,0),"--")</f>
        <v>27.02619852</v>
      </c>
      <c r="J5298" s="65" t="str">
        <f t="array" ref="J5298">XLOOKUP(H5298,'2. Matching'!$A$2:$A$39,'2. Matching'!$B$2:$B$39,"--")</f>
        <v>SEO</v>
      </c>
      <c r="K5298" s="65" t="str">
        <f t="shared" si="1"/>
        <v>In</v>
      </c>
    </row>
    <row r="5299">
      <c r="A5299" s="62" t="s">
        <v>5437</v>
      </c>
      <c r="B5299" s="63">
        <v>44327.0</v>
      </c>
      <c r="C5299" s="62" t="s">
        <v>119</v>
      </c>
      <c r="D5299" s="64">
        <v>47.5</v>
      </c>
      <c r="E5299" s="62" t="s">
        <v>109</v>
      </c>
      <c r="F5299" s="62" t="s">
        <v>110</v>
      </c>
      <c r="G5299" s="64" t="s">
        <v>63</v>
      </c>
      <c r="H5299" s="3" t="s">
        <v>189</v>
      </c>
      <c r="I5299" s="65">
        <f>IFERROR(VLOOKUP(A5299,'3. Call duration'!$A:$C,3,0),"--")</f>
        <v>27.05559422</v>
      </c>
      <c r="J5299" s="65" t="str">
        <f t="array" ref="J5299">XLOOKUP(H5299,'2. Matching'!$A$2:$A$39,'2. Matching'!$B$2:$B$39,"--")</f>
        <v>SEO</v>
      </c>
      <c r="K5299" s="65" t="str">
        <f t="shared" si="1"/>
        <v>Out</v>
      </c>
    </row>
    <row r="5300">
      <c r="A5300" s="62" t="s">
        <v>5438</v>
      </c>
      <c r="B5300" s="63">
        <v>44371.0</v>
      </c>
      <c r="C5300" s="62" t="s">
        <v>119</v>
      </c>
      <c r="D5300" s="64">
        <v>47.5</v>
      </c>
      <c r="E5300" s="62" t="s">
        <v>109</v>
      </c>
      <c r="F5300" s="62" t="s">
        <v>110</v>
      </c>
      <c r="G5300" s="64" t="s">
        <v>63</v>
      </c>
      <c r="H5300" s="3" t="s">
        <v>228</v>
      </c>
      <c r="I5300" s="65">
        <f>IFERROR(VLOOKUP(A5300,'3. Call duration'!$A:$C,3,0),"--")</f>
        <v>15.02561962</v>
      </c>
      <c r="J5300" s="65" t="str">
        <f t="array" ref="J5300">XLOOKUP(H5300,'2. Matching'!$A$2:$A$39,'2. Matching'!$B$2:$B$39,"--")</f>
        <v>Farming</v>
      </c>
      <c r="K5300" s="65" t="str">
        <f t="shared" si="1"/>
        <v>In</v>
      </c>
    </row>
    <row r="5301">
      <c r="A5301" s="62" t="s">
        <v>5439</v>
      </c>
      <c r="B5301" s="63">
        <v>44322.0</v>
      </c>
      <c r="C5301" s="62" t="s">
        <v>119</v>
      </c>
      <c r="D5301" s="64">
        <v>47.5</v>
      </c>
      <c r="E5301" s="62" t="s">
        <v>109</v>
      </c>
      <c r="F5301" s="62" t="s">
        <v>115</v>
      </c>
      <c r="G5301" s="64" t="s">
        <v>64</v>
      </c>
      <c r="H5301" s="3" t="s">
        <v>141</v>
      </c>
      <c r="I5301" s="65">
        <f>IFERROR(VLOOKUP(A5301,'3. Call duration'!$A:$C,3,0),"--")</f>
        <v>27.14463567</v>
      </c>
      <c r="J5301" s="65" t="str">
        <f t="array" ref="J5301">XLOOKUP(H5301,'2. Matching'!$A$2:$A$39,'2. Matching'!$B$2:$B$39,"--")</f>
        <v>Acquisition</v>
      </c>
      <c r="K5301" s="65" t="str">
        <f t="shared" si="1"/>
        <v>In</v>
      </c>
    </row>
    <row r="5302">
      <c r="A5302" s="62" t="s">
        <v>5440</v>
      </c>
      <c r="B5302" s="63">
        <v>44328.0</v>
      </c>
      <c r="C5302" s="62" t="s">
        <v>119</v>
      </c>
      <c r="D5302" s="64">
        <v>47.5</v>
      </c>
      <c r="E5302" s="62" t="s">
        <v>109</v>
      </c>
      <c r="F5302" s="62" t="s">
        <v>115</v>
      </c>
      <c r="G5302" s="64" t="s">
        <v>64</v>
      </c>
      <c r="H5302" s="3" t="s">
        <v>55</v>
      </c>
      <c r="I5302" s="65">
        <f>IFERROR(VLOOKUP(A5302,'3. Call duration'!$A:$C,3,0),"--")</f>
        <v>27.16984843</v>
      </c>
      <c r="J5302" s="65" t="str">
        <f t="array" ref="J5302">XLOOKUP(H5302,'2. Matching'!$A$2:$A$39,'2. Matching'!$B$2:$B$39,"--")</f>
        <v>Partnerships</v>
      </c>
      <c r="K5302" s="65" t="str">
        <f t="shared" si="1"/>
        <v>In</v>
      </c>
    </row>
    <row r="5303">
      <c r="A5303" s="62" t="s">
        <v>5441</v>
      </c>
      <c r="B5303" s="63">
        <v>44336.0</v>
      </c>
      <c r="C5303" s="62" t="s">
        <v>119</v>
      </c>
      <c r="D5303" s="64">
        <v>95.0</v>
      </c>
      <c r="E5303" s="62" t="s">
        <v>114</v>
      </c>
      <c r="F5303" s="62" t="s">
        <v>115</v>
      </c>
      <c r="G5303" s="64" t="s">
        <v>61</v>
      </c>
      <c r="H5303" s="3" t="s">
        <v>69</v>
      </c>
      <c r="I5303" s="65">
        <f>IFERROR(VLOOKUP(A5303,'3. Call duration'!$A:$C,3,0),"--")</f>
        <v>27.17072557</v>
      </c>
      <c r="J5303" s="65" t="str">
        <f t="array" ref="J5303">XLOOKUP(H5303,'2. Matching'!$A$2:$A$39,'2. Matching'!$B$2:$B$39,"--")</f>
        <v>Acquisition</v>
      </c>
      <c r="K5303" s="65" t="str">
        <f t="shared" si="1"/>
        <v>In</v>
      </c>
    </row>
    <row r="5304">
      <c r="A5304" s="62" t="s">
        <v>5442</v>
      </c>
      <c r="B5304" s="63">
        <v>44375.0</v>
      </c>
      <c r="C5304" s="62" t="s">
        <v>119</v>
      </c>
      <c r="D5304" s="64">
        <v>47.5</v>
      </c>
      <c r="E5304" s="62" t="s">
        <v>109</v>
      </c>
      <c r="F5304" s="62" t="s">
        <v>110</v>
      </c>
      <c r="G5304" s="64" t="s">
        <v>59</v>
      </c>
      <c r="H5304" s="3" t="s">
        <v>68</v>
      </c>
      <c r="I5304" s="65">
        <f>IFERROR(VLOOKUP(A5304,'3. Call duration'!$A:$C,3,0),"--")</f>
        <v>20.41127315</v>
      </c>
      <c r="J5304" s="65" t="str">
        <f t="array" ref="J5304">XLOOKUP(H5304,'2. Matching'!$A$2:$A$39,'2. Matching'!$B$2:$B$39,"--")</f>
        <v>Acquisition</v>
      </c>
      <c r="K5304" s="65" t="str">
        <f t="shared" si="1"/>
        <v>In</v>
      </c>
    </row>
    <row r="5305">
      <c r="A5305" s="62" t="s">
        <v>5443</v>
      </c>
      <c r="B5305" s="63">
        <v>44361.0</v>
      </c>
      <c r="C5305" s="62" t="s">
        <v>119</v>
      </c>
      <c r="D5305" s="64">
        <v>47.5</v>
      </c>
      <c r="E5305" s="62" t="s">
        <v>109</v>
      </c>
      <c r="F5305" s="62" t="s">
        <v>115</v>
      </c>
      <c r="G5305" s="64" t="s">
        <v>59</v>
      </c>
      <c r="H5305" s="3" t="s">
        <v>68</v>
      </c>
      <c r="I5305" s="65">
        <f>IFERROR(VLOOKUP(A5305,'3. Call duration'!$A:$C,3,0),"--")</f>
        <v>24.15406012</v>
      </c>
      <c r="J5305" s="65" t="str">
        <f t="array" ref="J5305">XLOOKUP(H5305,'2. Matching'!$A$2:$A$39,'2. Matching'!$B$2:$B$39,"--")</f>
        <v>Acquisition</v>
      </c>
      <c r="K5305" s="65" t="str">
        <f t="shared" si="1"/>
        <v>In</v>
      </c>
    </row>
    <row r="5306">
      <c r="A5306" s="62" t="s">
        <v>5444</v>
      </c>
      <c r="B5306" s="63">
        <v>44347.0</v>
      </c>
      <c r="C5306" s="62" t="s">
        <v>119</v>
      </c>
      <c r="D5306" s="64">
        <v>95.0</v>
      </c>
      <c r="E5306" s="62" t="s">
        <v>114</v>
      </c>
      <c r="F5306" s="62" t="s">
        <v>110</v>
      </c>
      <c r="G5306" s="64" t="s">
        <v>59</v>
      </c>
      <c r="H5306" s="3" t="s">
        <v>68</v>
      </c>
      <c r="I5306" s="65">
        <f>IFERROR(VLOOKUP(A5306,'3. Call duration'!$A:$C,3,0),"--")</f>
        <v>27.19772046</v>
      </c>
      <c r="J5306" s="65" t="str">
        <f t="array" ref="J5306">XLOOKUP(H5306,'2. Matching'!$A$2:$A$39,'2. Matching'!$B$2:$B$39,"--")</f>
        <v>Acquisition</v>
      </c>
      <c r="K5306" s="65" t="str">
        <f t="shared" si="1"/>
        <v>In</v>
      </c>
    </row>
    <row r="5307">
      <c r="A5307" s="62" t="s">
        <v>5445</v>
      </c>
      <c r="B5307" s="63">
        <v>44377.0</v>
      </c>
      <c r="C5307" s="62" t="s">
        <v>119</v>
      </c>
      <c r="D5307" s="64">
        <v>47.5</v>
      </c>
      <c r="E5307" s="62" t="s">
        <v>109</v>
      </c>
      <c r="F5307" s="62" t="s">
        <v>115</v>
      </c>
      <c r="G5307" s="64" t="s">
        <v>59</v>
      </c>
      <c r="H5307" s="3" t="s">
        <v>68</v>
      </c>
      <c r="I5307" s="65">
        <f>IFERROR(VLOOKUP(A5307,'3. Call duration'!$A:$C,3,0),"--")</f>
        <v>30.91150782</v>
      </c>
      <c r="J5307" s="65" t="str">
        <f t="array" ref="J5307">XLOOKUP(H5307,'2. Matching'!$A$2:$A$39,'2. Matching'!$B$2:$B$39,"--")</f>
        <v>Acquisition</v>
      </c>
      <c r="K5307" s="65" t="str">
        <f t="shared" si="1"/>
        <v>In</v>
      </c>
    </row>
    <row r="5308">
      <c r="A5308" s="62" t="s">
        <v>5446</v>
      </c>
      <c r="B5308" s="63">
        <v>44319.0</v>
      </c>
      <c r="C5308" s="62" t="s">
        <v>119</v>
      </c>
      <c r="D5308" s="64">
        <v>47.5</v>
      </c>
      <c r="E5308" s="62" t="s">
        <v>109</v>
      </c>
      <c r="F5308" s="62" t="s">
        <v>110</v>
      </c>
      <c r="G5308" s="64" t="s">
        <v>64</v>
      </c>
      <c r="H5308" s="3" t="s">
        <v>131</v>
      </c>
      <c r="I5308" s="65">
        <f>IFERROR(VLOOKUP(A5308,'3. Call duration'!$A:$C,3,0),"--")</f>
        <v>27.24919761</v>
      </c>
      <c r="J5308" s="65" t="str">
        <f t="array" ref="J5308">XLOOKUP(H5308,'2. Matching'!$A$2:$A$39,'2. Matching'!$B$2:$B$39,"--")</f>
        <v>Acquisition</v>
      </c>
      <c r="K5308" s="65" t="str">
        <f t="shared" si="1"/>
        <v>In</v>
      </c>
    </row>
    <row r="5309">
      <c r="A5309" s="62" t="s">
        <v>5447</v>
      </c>
      <c r="B5309" s="63">
        <v>44348.0</v>
      </c>
      <c r="C5309" s="62" t="s">
        <v>119</v>
      </c>
      <c r="D5309" s="64">
        <v>47.5</v>
      </c>
      <c r="E5309" s="62" t="s">
        <v>109</v>
      </c>
      <c r="F5309" s="62" t="s">
        <v>110</v>
      </c>
      <c r="G5309" s="64" t="s">
        <v>59</v>
      </c>
      <c r="H5309" s="3" t="s">
        <v>68</v>
      </c>
      <c r="I5309" s="65">
        <f>IFERROR(VLOOKUP(A5309,'3. Call duration'!$A:$C,3,0),"--")</f>
        <v>20.07206438</v>
      </c>
      <c r="J5309" s="65" t="str">
        <f t="array" ref="J5309">XLOOKUP(H5309,'2. Matching'!$A$2:$A$39,'2. Matching'!$B$2:$B$39,"--")</f>
        <v>Acquisition</v>
      </c>
      <c r="K5309" s="65" t="str">
        <f t="shared" si="1"/>
        <v>In</v>
      </c>
    </row>
    <row r="5310">
      <c r="A5310" s="62" t="s">
        <v>5448</v>
      </c>
      <c r="B5310" s="63">
        <v>44372.0</v>
      </c>
      <c r="C5310" s="62" t="s">
        <v>119</v>
      </c>
      <c r="D5310" s="64">
        <v>47.5</v>
      </c>
      <c r="E5310" s="62" t="s">
        <v>109</v>
      </c>
      <c r="F5310" s="62" t="s">
        <v>115</v>
      </c>
      <c r="G5310" s="64" t="s">
        <v>64</v>
      </c>
      <c r="H5310" s="3" t="s">
        <v>145</v>
      </c>
      <c r="I5310" s="65">
        <f>IFERROR(VLOOKUP(A5310,'3. Call duration'!$A:$C,3,0),"--")</f>
        <v>31.93370655</v>
      </c>
      <c r="J5310" s="65" t="str">
        <f t="array" ref="J5310">XLOOKUP(H5310,'2. Matching'!$A$2:$A$39,'2. Matching'!$B$2:$B$39,"--")</f>
        <v>SEO</v>
      </c>
      <c r="K5310" s="65" t="str">
        <f t="shared" si="1"/>
        <v>In</v>
      </c>
    </row>
    <row r="5311">
      <c r="A5311" s="62" t="s">
        <v>5449</v>
      </c>
      <c r="B5311" s="63">
        <v>44357.0</v>
      </c>
      <c r="C5311" s="62" t="s">
        <v>119</v>
      </c>
      <c r="D5311" s="64">
        <v>47.5</v>
      </c>
      <c r="E5311" s="62" t="s">
        <v>109</v>
      </c>
      <c r="F5311" s="62" t="s">
        <v>110</v>
      </c>
      <c r="G5311" s="64" t="s">
        <v>60</v>
      </c>
      <c r="H5311" s="3" t="s">
        <v>67</v>
      </c>
      <c r="I5311" s="65">
        <f>IFERROR(VLOOKUP(A5311,'3. Call duration'!$A:$C,3,0),"--")</f>
        <v>31.37214075</v>
      </c>
      <c r="J5311" s="65" t="str">
        <f t="array" ref="J5311">XLOOKUP(H5311,'2. Matching'!$A$2:$A$39,'2. Matching'!$B$2:$B$39,"--")</f>
        <v>Acquisition</v>
      </c>
      <c r="K5311" s="65" t="str">
        <f t="shared" si="1"/>
        <v>In</v>
      </c>
    </row>
    <row r="5312">
      <c r="A5312" s="62" t="s">
        <v>5450</v>
      </c>
      <c r="B5312" s="63">
        <v>44364.0</v>
      </c>
      <c r="C5312" s="62" t="s">
        <v>119</v>
      </c>
      <c r="D5312" s="64">
        <v>47.5</v>
      </c>
      <c r="E5312" s="62" t="s">
        <v>109</v>
      </c>
      <c r="F5312" s="62" t="s">
        <v>110</v>
      </c>
      <c r="G5312" s="64" t="s">
        <v>60</v>
      </c>
      <c r="H5312" s="3" t="s">
        <v>67</v>
      </c>
      <c r="I5312" s="65">
        <f>IFERROR(VLOOKUP(A5312,'3. Call duration'!$A:$C,3,0),"--")</f>
        <v>26.52521069</v>
      </c>
      <c r="J5312" s="65" t="str">
        <f t="array" ref="J5312">XLOOKUP(H5312,'2. Matching'!$A$2:$A$39,'2. Matching'!$B$2:$B$39,"--")</f>
        <v>Acquisition</v>
      </c>
      <c r="K5312" s="65" t="str">
        <f t="shared" si="1"/>
        <v>In</v>
      </c>
    </row>
    <row r="5313">
      <c r="A5313" s="62" t="s">
        <v>5451</v>
      </c>
      <c r="B5313" s="63">
        <v>44336.0</v>
      </c>
      <c r="C5313" s="62" t="s">
        <v>108</v>
      </c>
      <c r="D5313" s="64">
        <v>0.0</v>
      </c>
      <c r="E5313" s="62" t="s">
        <v>114</v>
      </c>
      <c r="F5313" s="62" t="s">
        <v>115</v>
      </c>
      <c r="G5313" s="64" t="s">
        <v>63</v>
      </c>
      <c r="H5313" s="3" t="s">
        <v>128</v>
      </c>
      <c r="I5313" s="65">
        <f>IFERROR(VLOOKUP(A5313,'3. Call duration'!$A:$C,3,0),"--")</f>
        <v>27.27478697</v>
      </c>
      <c r="J5313" s="65" t="str">
        <f t="array" ref="J5313">XLOOKUP(H5313,'2. Matching'!$A$2:$A$39,'2. Matching'!$B$2:$B$39,"--")</f>
        <v>Acquisition</v>
      </c>
      <c r="K5313" s="65" t="str">
        <f t="shared" si="1"/>
        <v>In</v>
      </c>
    </row>
    <row r="5314">
      <c r="A5314" s="62" t="s">
        <v>5452</v>
      </c>
      <c r="B5314" s="63">
        <v>44355.0</v>
      </c>
      <c r="C5314" s="62" t="s">
        <v>119</v>
      </c>
      <c r="D5314" s="64">
        <v>47.5</v>
      </c>
      <c r="E5314" s="62" t="s">
        <v>109</v>
      </c>
      <c r="F5314" s="62" t="s">
        <v>115</v>
      </c>
      <c r="G5314" s="64" t="s">
        <v>63</v>
      </c>
      <c r="H5314" s="3" t="s">
        <v>228</v>
      </c>
      <c r="I5314" s="65">
        <f>IFERROR(VLOOKUP(A5314,'3. Call duration'!$A:$C,3,0),"--")</f>
        <v>33.61778191</v>
      </c>
      <c r="J5314" s="65" t="str">
        <f t="array" ref="J5314">XLOOKUP(H5314,'2. Matching'!$A$2:$A$39,'2. Matching'!$B$2:$B$39,"--")</f>
        <v>Farming</v>
      </c>
      <c r="K5314" s="65" t="str">
        <f t="shared" si="1"/>
        <v>In</v>
      </c>
    </row>
    <row r="5315">
      <c r="A5315" s="62" t="s">
        <v>5453</v>
      </c>
      <c r="B5315" s="63">
        <v>44341.0</v>
      </c>
      <c r="C5315" s="62" t="s">
        <v>119</v>
      </c>
      <c r="D5315" s="64">
        <v>47.5</v>
      </c>
      <c r="E5315" s="62" t="s">
        <v>109</v>
      </c>
      <c r="F5315" s="62" t="s">
        <v>110</v>
      </c>
      <c r="G5315" s="64" t="s">
        <v>64</v>
      </c>
      <c r="H5315" s="3" t="s">
        <v>171</v>
      </c>
      <c r="I5315" s="65">
        <f>IFERROR(VLOOKUP(A5315,'3. Call duration'!$A:$C,3,0),"--")</f>
        <v>27.29806699</v>
      </c>
      <c r="J5315" s="65" t="str">
        <f t="array" ref="J5315">XLOOKUP(H5315,'2. Matching'!$A$2:$A$39,'2. Matching'!$B$2:$B$39,"--")</f>
        <v>SEO</v>
      </c>
      <c r="K5315" s="65" t="str">
        <f t="shared" si="1"/>
        <v>In</v>
      </c>
    </row>
    <row r="5316">
      <c r="A5316" s="62" t="s">
        <v>5454</v>
      </c>
      <c r="B5316" s="63">
        <v>44355.0</v>
      </c>
      <c r="C5316" s="62" t="s">
        <v>119</v>
      </c>
      <c r="D5316" s="64">
        <v>47.5</v>
      </c>
      <c r="E5316" s="62" t="s">
        <v>109</v>
      </c>
      <c r="F5316" s="62" t="s">
        <v>110</v>
      </c>
      <c r="G5316" s="64" t="s">
        <v>60</v>
      </c>
      <c r="H5316" s="3" t="s">
        <v>67</v>
      </c>
      <c r="I5316" s="65">
        <f>IFERROR(VLOOKUP(A5316,'3. Call duration'!$A:$C,3,0),"--")</f>
        <v>24.33479816</v>
      </c>
      <c r="J5316" s="65" t="str">
        <f t="array" ref="J5316">XLOOKUP(H5316,'2. Matching'!$A$2:$A$39,'2. Matching'!$B$2:$B$39,"--")</f>
        <v>Acquisition</v>
      </c>
      <c r="K5316" s="65" t="str">
        <f t="shared" si="1"/>
        <v>In</v>
      </c>
    </row>
    <row r="5317">
      <c r="A5317" s="62" t="s">
        <v>5455</v>
      </c>
      <c r="B5317" s="63">
        <v>44351.0</v>
      </c>
      <c r="C5317" s="62" t="s">
        <v>119</v>
      </c>
      <c r="D5317" s="64">
        <v>47.5</v>
      </c>
      <c r="E5317" s="62" t="s">
        <v>109</v>
      </c>
      <c r="F5317" s="62" t="s">
        <v>110</v>
      </c>
      <c r="G5317" s="64" t="s">
        <v>64</v>
      </c>
      <c r="H5317" s="3" t="s">
        <v>131</v>
      </c>
      <c r="I5317" s="65">
        <f>IFERROR(VLOOKUP(A5317,'3. Call duration'!$A:$C,3,0),"--")</f>
        <v>24.75489724</v>
      </c>
      <c r="J5317" s="65" t="str">
        <f t="array" ref="J5317">XLOOKUP(H5317,'2. Matching'!$A$2:$A$39,'2. Matching'!$B$2:$B$39,"--")</f>
        <v>Acquisition</v>
      </c>
      <c r="K5317" s="65" t="str">
        <f t="shared" si="1"/>
        <v>In</v>
      </c>
    </row>
    <row r="5318">
      <c r="A5318" s="62" t="s">
        <v>5456</v>
      </c>
      <c r="B5318" s="63">
        <v>44356.0</v>
      </c>
      <c r="C5318" s="62" t="s">
        <v>119</v>
      </c>
      <c r="D5318" s="64">
        <v>47.5</v>
      </c>
      <c r="E5318" s="62" t="s">
        <v>109</v>
      </c>
      <c r="F5318" s="62" t="s">
        <v>115</v>
      </c>
      <c r="G5318" s="64" t="s">
        <v>64</v>
      </c>
      <c r="H5318" s="3" t="s">
        <v>139</v>
      </c>
      <c r="I5318" s="65">
        <f>IFERROR(VLOOKUP(A5318,'3. Call duration'!$A:$C,3,0),"--")</f>
        <v>32.6225428</v>
      </c>
      <c r="J5318" s="65" t="str">
        <f t="array" ref="J5318">XLOOKUP(H5318,'2. Matching'!$A$2:$A$39,'2. Matching'!$B$2:$B$39,"--")</f>
        <v>Acquisition</v>
      </c>
      <c r="K5318" s="65" t="str">
        <f t="shared" si="1"/>
        <v>In</v>
      </c>
    </row>
    <row r="5319">
      <c r="A5319" s="62" t="s">
        <v>5457</v>
      </c>
      <c r="B5319" s="63">
        <v>44370.0</v>
      </c>
      <c r="C5319" s="62" t="s">
        <v>119</v>
      </c>
      <c r="D5319" s="64">
        <v>47.5</v>
      </c>
      <c r="E5319" s="62" t="s">
        <v>109</v>
      </c>
      <c r="F5319" s="62" t="s">
        <v>115</v>
      </c>
      <c r="G5319" s="64" t="s">
        <v>64</v>
      </c>
      <c r="H5319" s="3" t="s">
        <v>141</v>
      </c>
      <c r="I5319" s="65">
        <f>IFERROR(VLOOKUP(A5319,'3. Call duration'!$A:$C,3,0),"--")</f>
        <v>25.53051949</v>
      </c>
      <c r="J5319" s="65" t="str">
        <f t="array" ref="J5319">XLOOKUP(H5319,'2. Matching'!$A$2:$A$39,'2. Matching'!$B$2:$B$39,"--")</f>
        <v>Acquisition</v>
      </c>
      <c r="K5319" s="65" t="str">
        <f t="shared" si="1"/>
        <v>In</v>
      </c>
    </row>
    <row r="5320">
      <c r="A5320" s="62" t="s">
        <v>5458</v>
      </c>
      <c r="B5320" s="63">
        <v>44348.0</v>
      </c>
      <c r="C5320" s="62" t="s">
        <v>119</v>
      </c>
      <c r="D5320" s="64">
        <v>47.5</v>
      </c>
      <c r="E5320" s="62" t="s">
        <v>109</v>
      </c>
      <c r="F5320" s="62" t="s">
        <v>115</v>
      </c>
      <c r="G5320" s="64" t="s">
        <v>63</v>
      </c>
      <c r="H5320" s="3" t="s">
        <v>183</v>
      </c>
      <c r="I5320" s="65">
        <f>IFERROR(VLOOKUP(A5320,'3. Call duration'!$A:$C,3,0),"--")</f>
        <v>26.11465323</v>
      </c>
      <c r="J5320" s="65" t="str">
        <f t="array" ref="J5320">XLOOKUP(H5320,'2. Matching'!$A$2:$A$39,'2. Matching'!$B$2:$B$39,"--")</f>
        <v>SEO</v>
      </c>
      <c r="K5320" s="65" t="str">
        <f t="shared" si="1"/>
        <v>In</v>
      </c>
    </row>
    <row r="5321">
      <c r="A5321" s="62" t="s">
        <v>5459</v>
      </c>
      <c r="B5321" s="63">
        <v>44351.0</v>
      </c>
      <c r="C5321" s="62" t="s">
        <v>119</v>
      </c>
      <c r="D5321" s="64">
        <v>47.5</v>
      </c>
      <c r="E5321" s="62" t="s">
        <v>109</v>
      </c>
      <c r="F5321" s="62" t="s">
        <v>115</v>
      </c>
      <c r="G5321" s="64" t="s">
        <v>64</v>
      </c>
      <c r="H5321" s="3" t="s">
        <v>145</v>
      </c>
      <c r="I5321" s="65">
        <f>IFERROR(VLOOKUP(A5321,'3. Call duration'!$A:$C,3,0),"--")</f>
        <v>29.19678264</v>
      </c>
      <c r="J5321" s="65" t="str">
        <f t="array" ref="J5321">XLOOKUP(H5321,'2. Matching'!$A$2:$A$39,'2. Matching'!$B$2:$B$39,"--")</f>
        <v>SEO</v>
      </c>
      <c r="K5321" s="65" t="str">
        <f t="shared" si="1"/>
        <v>In</v>
      </c>
    </row>
    <row r="5322">
      <c r="A5322" s="62" t="s">
        <v>5460</v>
      </c>
      <c r="B5322" s="63">
        <v>44326.0</v>
      </c>
      <c r="C5322" s="62" t="s">
        <v>119</v>
      </c>
      <c r="D5322" s="64">
        <v>47.5</v>
      </c>
      <c r="E5322" s="62" t="s">
        <v>109</v>
      </c>
      <c r="F5322" s="62" t="s">
        <v>115</v>
      </c>
      <c r="G5322" s="64" t="s">
        <v>64</v>
      </c>
      <c r="H5322" s="3" t="s">
        <v>175</v>
      </c>
      <c r="I5322" s="65">
        <f>IFERROR(VLOOKUP(A5322,'3. Call duration'!$A:$C,3,0),"--")</f>
        <v>27.32746526</v>
      </c>
      <c r="J5322" s="65" t="str">
        <f t="array" ref="J5322">XLOOKUP(H5322,'2. Matching'!$A$2:$A$39,'2. Matching'!$B$2:$B$39,"--")</f>
        <v>SEO</v>
      </c>
      <c r="K5322" s="65" t="str">
        <f t="shared" si="1"/>
        <v>In</v>
      </c>
    </row>
    <row r="5323">
      <c r="A5323" s="62" t="s">
        <v>5461</v>
      </c>
      <c r="B5323" s="63">
        <v>44369.0</v>
      </c>
      <c r="C5323" s="62" t="s">
        <v>119</v>
      </c>
      <c r="D5323" s="64">
        <v>47.5</v>
      </c>
      <c r="E5323" s="62" t="s">
        <v>109</v>
      </c>
      <c r="F5323" s="62" t="s">
        <v>115</v>
      </c>
      <c r="G5323" s="64" t="s">
        <v>63</v>
      </c>
      <c r="H5323" s="3" t="s">
        <v>189</v>
      </c>
      <c r="I5323" s="65">
        <f>IFERROR(VLOOKUP(A5323,'3. Call duration'!$A:$C,3,0),"--")</f>
        <v>30.37426689</v>
      </c>
      <c r="J5323" s="65" t="str">
        <f t="array" ref="J5323">XLOOKUP(H5323,'2. Matching'!$A$2:$A$39,'2. Matching'!$B$2:$B$39,"--")</f>
        <v>SEO</v>
      </c>
      <c r="K5323" s="65" t="str">
        <f t="shared" si="1"/>
        <v>Out</v>
      </c>
    </row>
    <row r="5324">
      <c r="A5324" s="62" t="s">
        <v>5462</v>
      </c>
      <c r="B5324" s="63">
        <v>44357.0</v>
      </c>
      <c r="C5324" s="62" t="s">
        <v>119</v>
      </c>
      <c r="D5324" s="64">
        <v>47.5</v>
      </c>
      <c r="E5324" s="62" t="s">
        <v>109</v>
      </c>
      <c r="F5324" s="62" t="s">
        <v>115</v>
      </c>
      <c r="G5324" s="64" t="s">
        <v>64</v>
      </c>
      <c r="H5324" s="3" t="s">
        <v>175</v>
      </c>
      <c r="I5324" s="65">
        <f>IFERROR(VLOOKUP(A5324,'3. Call duration'!$A:$C,3,0),"--")</f>
        <v>21.5001698</v>
      </c>
      <c r="J5324" s="65" t="str">
        <f t="array" ref="J5324">XLOOKUP(H5324,'2. Matching'!$A$2:$A$39,'2. Matching'!$B$2:$B$39,"--")</f>
        <v>SEO</v>
      </c>
      <c r="K5324" s="65" t="str">
        <f t="shared" si="1"/>
        <v>In</v>
      </c>
    </row>
    <row r="5325">
      <c r="A5325" s="62" t="s">
        <v>5463</v>
      </c>
      <c r="B5325" s="63">
        <v>44333.0</v>
      </c>
      <c r="C5325" s="62" t="s">
        <v>119</v>
      </c>
      <c r="D5325" s="64">
        <v>47.5</v>
      </c>
      <c r="E5325" s="62" t="s">
        <v>109</v>
      </c>
      <c r="F5325" s="62" t="s">
        <v>115</v>
      </c>
      <c r="G5325" s="64" t="s">
        <v>64</v>
      </c>
      <c r="H5325" s="3" t="s">
        <v>185</v>
      </c>
      <c r="I5325" s="65">
        <f>IFERROR(VLOOKUP(A5325,'3. Call duration'!$A:$C,3,0),"--")</f>
        <v>27.38836861</v>
      </c>
      <c r="J5325" s="65" t="str">
        <f t="array" ref="J5325">XLOOKUP(H5325,'2. Matching'!$A$2:$A$39,'2. Matching'!$B$2:$B$39,"--")</f>
        <v>SEO</v>
      </c>
      <c r="K5325" s="65" t="str">
        <f t="shared" si="1"/>
        <v>In</v>
      </c>
    </row>
    <row r="5326">
      <c r="A5326" s="62" t="s">
        <v>5464</v>
      </c>
      <c r="B5326" s="63">
        <v>44368.0</v>
      </c>
      <c r="C5326" s="62" t="s">
        <v>119</v>
      </c>
      <c r="D5326" s="64">
        <v>47.5</v>
      </c>
      <c r="E5326" s="62" t="s">
        <v>109</v>
      </c>
      <c r="F5326" s="62" t="s">
        <v>115</v>
      </c>
      <c r="G5326" s="64" t="s">
        <v>64</v>
      </c>
      <c r="H5326" s="3" t="s">
        <v>141</v>
      </c>
      <c r="I5326" s="65">
        <f>IFERROR(VLOOKUP(A5326,'3. Call duration'!$A:$C,3,0),"--")</f>
        <v>29.54299607</v>
      </c>
      <c r="J5326" s="65" t="str">
        <f t="array" ref="J5326">XLOOKUP(H5326,'2. Matching'!$A$2:$A$39,'2. Matching'!$B$2:$B$39,"--")</f>
        <v>Acquisition</v>
      </c>
      <c r="K5326" s="65" t="str">
        <f t="shared" si="1"/>
        <v>In</v>
      </c>
    </row>
    <row r="5327">
      <c r="A5327" s="62" t="s">
        <v>5465</v>
      </c>
      <c r="B5327" s="63">
        <v>44356.0</v>
      </c>
      <c r="C5327" s="62" t="s">
        <v>119</v>
      </c>
      <c r="D5327" s="64">
        <v>47.5</v>
      </c>
      <c r="E5327" s="62" t="s">
        <v>109</v>
      </c>
      <c r="F5327" s="62" t="s">
        <v>110</v>
      </c>
      <c r="G5327" s="64" t="s">
        <v>60</v>
      </c>
      <c r="H5327" s="3" t="s">
        <v>68</v>
      </c>
      <c r="I5327" s="65">
        <f>IFERROR(VLOOKUP(A5327,'3. Call duration'!$A:$C,3,0),"--")</f>
        <v>26.98674811</v>
      </c>
      <c r="J5327" s="65" t="str">
        <f t="array" ref="J5327">XLOOKUP(H5327,'2. Matching'!$A$2:$A$39,'2. Matching'!$B$2:$B$39,"--")</f>
        <v>Acquisition</v>
      </c>
      <c r="K5327" s="65" t="str">
        <f t="shared" si="1"/>
        <v>In</v>
      </c>
    </row>
    <row r="5328">
      <c r="A5328" s="62" t="s">
        <v>5466</v>
      </c>
      <c r="B5328" s="63">
        <v>44358.0</v>
      </c>
      <c r="C5328" s="62" t="s">
        <v>119</v>
      </c>
      <c r="D5328" s="64">
        <v>47.5</v>
      </c>
      <c r="E5328" s="62" t="s">
        <v>109</v>
      </c>
      <c r="F5328" s="62" t="s">
        <v>110</v>
      </c>
      <c r="G5328" s="64" t="s">
        <v>63</v>
      </c>
      <c r="H5328" s="3" t="s">
        <v>124</v>
      </c>
      <c r="I5328" s="65">
        <f>IFERROR(VLOOKUP(A5328,'3. Call duration'!$A:$C,3,0),"--")</f>
        <v>16.77408437</v>
      </c>
      <c r="J5328" s="65" t="str">
        <f t="array" ref="J5328">XLOOKUP(H5328,'2. Matching'!$A$2:$A$39,'2. Matching'!$B$2:$B$39,"--")</f>
        <v>Acquisition</v>
      </c>
      <c r="K5328" s="65" t="str">
        <f t="shared" si="1"/>
        <v>In</v>
      </c>
    </row>
    <row r="5329">
      <c r="A5329" s="62" t="s">
        <v>5467</v>
      </c>
      <c r="B5329" s="63">
        <v>44372.0</v>
      </c>
      <c r="C5329" s="62" t="s">
        <v>119</v>
      </c>
      <c r="D5329" s="64">
        <v>47.5</v>
      </c>
      <c r="E5329" s="62" t="s">
        <v>109</v>
      </c>
      <c r="F5329" s="62" t="s">
        <v>115</v>
      </c>
      <c r="G5329" s="64" t="s">
        <v>64</v>
      </c>
      <c r="H5329" s="3" t="s">
        <v>169</v>
      </c>
      <c r="I5329" s="65">
        <f>IFERROR(VLOOKUP(A5329,'3. Call duration'!$A:$C,3,0),"--")</f>
        <v>32.17062347</v>
      </c>
      <c r="J5329" s="65" t="str">
        <f t="array" ref="J5329">XLOOKUP(H5329,'2. Matching'!$A$2:$A$39,'2. Matching'!$B$2:$B$39,"--")</f>
        <v>SEO</v>
      </c>
      <c r="K5329" s="65" t="str">
        <f t="shared" si="1"/>
        <v>In</v>
      </c>
    </row>
    <row r="5330">
      <c r="A5330" s="62" t="s">
        <v>5468</v>
      </c>
      <c r="B5330" s="63">
        <v>44355.0</v>
      </c>
      <c r="C5330" s="62" t="s">
        <v>119</v>
      </c>
      <c r="D5330" s="64">
        <v>47.5</v>
      </c>
      <c r="E5330" s="62" t="s">
        <v>109</v>
      </c>
      <c r="F5330" s="62" t="s">
        <v>110</v>
      </c>
      <c r="G5330" s="64" t="s">
        <v>60</v>
      </c>
      <c r="H5330" s="3" t="s">
        <v>67</v>
      </c>
      <c r="I5330" s="65">
        <f>IFERROR(VLOOKUP(A5330,'3. Call duration'!$A:$C,3,0),"--")</f>
        <v>23.97190218</v>
      </c>
      <c r="J5330" s="65" t="str">
        <f t="array" ref="J5330">XLOOKUP(H5330,'2. Matching'!$A$2:$A$39,'2. Matching'!$B$2:$B$39,"--")</f>
        <v>Acquisition</v>
      </c>
      <c r="K5330" s="65" t="str">
        <f t="shared" si="1"/>
        <v>In</v>
      </c>
    </row>
    <row r="5331">
      <c r="A5331" s="62" t="s">
        <v>5469</v>
      </c>
      <c r="B5331" s="63">
        <v>44362.0</v>
      </c>
      <c r="C5331" s="62" t="s">
        <v>119</v>
      </c>
      <c r="D5331" s="64">
        <v>47.5</v>
      </c>
      <c r="E5331" s="62" t="s">
        <v>109</v>
      </c>
      <c r="F5331" s="62" t="s">
        <v>110</v>
      </c>
      <c r="G5331" s="64" t="s">
        <v>60</v>
      </c>
      <c r="H5331" s="3" t="s">
        <v>68</v>
      </c>
      <c r="I5331" s="65">
        <f>IFERROR(VLOOKUP(A5331,'3. Call duration'!$A:$C,3,0),"--")</f>
        <v>28.58730491</v>
      </c>
      <c r="J5331" s="65" t="str">
        <f t="array" ref="J5331">XLOOKUP(H5331,'2. Matching'!$A$2:$A$39,'2. Matching'!$B$2:$B$39,"--")</f>
        <v>Acquisition</v>
      </c>
      <c r="K5331" s="65" t="str">
        <f t="shared" si="1"/>
        <v>In</v>
      </c>
    </row>
    <row r="5332">
      <c r="A5332" s="62" t="s">
        <v>5470</v>
      </c>
      <c r="B5332" s="63">
        <v>44334.0</v>
      </c>
      <c r="C5332" s="62" t="s">
        <v>119</v>
      </c>
      <c r="D5332" s="64">
        <v>95.0</v>
      </c>
      <c r="E5332" s="62" t="s">
        <v>114</v>
      </c>
      <c r="F5332" s="62" t="s">
        <v>110</v>
      </c>
      <c r="G5332" s="64" t="s">
        <v>63</v>
      </c>
      <c r="H5332" s="3" t="s">
        <v>183</v>
      </c>
      <c r="I5332" s="65">
        <f>IFERROR(VLOOKUP(A5332,'3. Call duration'!$A:$C,3,0),"--")</f>
        <v>27.4291064</v>
      </c>
      <c r="J5332" s="65" t="str">
        <f t="array" ref="J5332">XLOOKUP(H5332,'2. Matching'!$A$2:$A$39,'2. Matching'!$B$2:$B$39,"--")</f>
        <v>SEO</v>
      </c>
      <c r="K5332" s="65" t="str">
        <f t="shared" si="1"/>
        <v>In</v>
      </c>
    </row>
    <row r="5333">
      <c r="A5333" s="62" t="s">
        <v>5471</v>
      </c>
      <c r="B5333" s="63">
        <v>44350.0</v>
      </c>
      <c r="C5333" s="62" t="s">
        <v>119</v>
      </c>
      <c r="D5333" s="64">
        <v>47.5</v>
      </c>
      <c r="E5333" s="62" t="s">
        <v>109</v>
      </c>
      <c r="F5333" s="62" t="s">
        <v>110</v>
      </c>
      <c r="G5333" s="64" t="s">
        <v>60</v>
      </c>
      <c r="H5333" s="3" t="s">
        <v>67</v>
      </c>
      <c r="I5333" s="65">
        <f>IFERROR(VLOOKUP(A5333,'3. Call duration'!$A:$C,3,0),"--")</f>
        <v>31.62321178</v>
      </c>
      <c r="J5333" s="65" t="str">
        <f t="array" ref="J5333">XLOOKUP(H5333,'2. Matching'!$A$2:$A$39,'2. Matching'!$B$2:$B$39,"--")</f>
        <v>Acquisition</v>
      </c>
      <c r="K5333" s="65" t="str">
        <f t="shared" si="1"/>
        <v>In</v>
      </c>
    </row>
    <row r="5334">
      <c r="A5334" s="62" t="s">
        <v>5472</v>
      </c>
      <c r="B5334" s="63">
        <v>44371.0</v>
      </c>
      <c r="C5334" s="62" t="s">
        <v>119</v>
      </c>
      <c r="D5334" s="64">
        <v>47.5</v>
      </c>
      <c r="E5334" s="62" t="s">
        <v>109</v>
      </c>
      <c r="F5334" s="62" t="s">
        <v>110</v>
      </c>
      <c r="G5334" s="64" t="s">
        <v>64</v>
      </c>
      <c r="H5334" s="3" t="s">
        <v>171</v>
      </c>
      <c r="I5334" s="65">
        <f>IFERROR(VLOOKUP(A5334,'3. Call duration'!$A:$C,3,0),"--")</f>
        <v>22.38430335</v>
      </c>
      <c r="J5334" s="65" t="str">
        <f t="array" ref="J5334">XLOOKUP(H5334,'2. Matching'!$A$2:$A$39,'2. Matching'!$B$2:$B$39,"--")</f>
        <v>SEO</v>
      </c>
      <c r="K5334" s="65" t="str">
        <f t="shared" si="1"/>
        <v>In</v>
      </c>
    </row>
    <row r="5335">
      <c r="A5335" s="62" t="s">
        <v>5473</v>
      </c>
      <c r="B5335" s="63">
        <v>44343.0</v>
      </c>
      <c r="C5335" s="62" t="s">
        <v>119</v>
      </c>
      <c r="D5335" s="64">
        <v>47.5</v>
      </c>
      <c r="E5335" s="62" t="s">
        <v>109</v>
      </c>
      <c r="F5335" s="62" t="s">
        <v>115</v>
      </c>
      <c r="G5335" s="64" t="s">
        <v>64</v>
      </c>
      <c r="H5335" s="3" t="s">
        <v>297</v>
      </c>
      <c r="I5335" s="65">
        <f>IFERROR(VLOOKUP(A5335,'3. Call duration'!$A:$C,3,0),"--")</f>
        <v>27.45418422</v>
      </c>
      <c r="J5335" s="65" t="str">
        <f t="array" ref="J5335">XLOOKUP(H5335,'2. Matching'!$A$2:$A$39,'2. Matching'!$B$2:$B$39,"--")</f>
        <v>Farming</v>
      </c>
      <c r="K5335" s="65" t="str">
        <f t="shared" si="1"/>
        <v>In</v>
      </c>
    </row>
    <row r="5336">
      <c r="A5336" s="62" t="s">
        <v>5474</v>
      </c>
      <c r="B5336" s="63">
        <v>44342.0</v>
      </c>
      <c r="C5336" s="62" t="s">
        <v>119</v>
      </c>
      <c r="D5336" s="64">
        <v>47.5</v>
      </c>
      <c r="E5336" s="62" t="s">
        <v>109</v>
      </c>
      <c r="F5336" s="62" t="s">
        <v>110</v>
      </c>
      <c r="G5336" s="64" t="s">
        <v>64</v>
      </c>
      <c r="H5336" s="3" t="s">
        <v>171</v>
      </c>
      <c r="I5336" s="65">
        <f>IFERROR(VLOOKUP(A5336,'3. Call duration'!$A:$C,3,0),"--")</f>
        <v>27.4786363</v>
      </c>
      <c r="J5336" s="65" t="str">
        <f t="array" ref="J5336">XLOOKUP(H5336,'2. Matching'!$A$2:$A$39,'2. Matching'!$B$2:$B$39,"--")</f>
        <v>SEO</v>
      </c>
      <c r="K5336" s="65" t="str">
        <f t="shared" si="1"/>
        <v>In</v>
      </c>
    </row>
    <row r="5337">
      <c r="A5337" s="62" t="s">
        <v>5475</v>
      </c>
      <c r="B5337" s="63">
        <v>44371.0</v>
      </c>
      <c r="C5337" s="62" t="s">
        <v>119</v>
      </c>
      <c r="D5337" s="64">
        <v>47.5</v>
      </c>
      <c r="E5337" s="62" t="s">
        <v>109</v>
      </c>
      <c r="F5337" s="62" t="s">
        <v>110</v>
      </c>
      <c r="G5337" s="64" t="s">
        <v>63</v>
      </c>
      <c r="H5337" s="3" t="s">
        <v>228</v>
      </c>
      <c r="I5337" s="65">
        <f>IFERROR(VLOOKUP(A5337,'3. Call duration'!$A:$C,3,0),"--")</f>
        <v>27.60796069</v>
      </c>
      <c r="J5337" s="65" t="str">
        <f t="array" ref="J5337">XLOOKUP(H5337,'2. Matching'!$A$2:$A$39,'2. Matching'!$B$2:$B$39,"--")</f>
        <v>Farming</v>
      </c>
      <c r="K5337" s="65" t="str">
        <f t="shared" si="1"/>
        <v>In</v>
      </c>
    </row>
    <row r="5338">
      <c r="A5338" s="62" t="s">
        <v>5476</v>
      </c>
      <c r="B5338" s="63">
        <v>44373.0</v>
      </c>
      <c r="C5338" s="62" t="s">
        <v>119</v>
      </c>
      <c r="D5338" s="64">
        <v>47.5</v>
      </c>
      <c r="E5338" s="62" t="s">
        <v>109</v>
      </c>
      <c r="F5338" s="62" t="s">
        <v>115</v>
      </c>
      <c r="G5338" s="64" t="s">
        <v>64</v>
      </c>
      <c r="H5338" s="3" t="s">
        <v>155</v>
      </c>
      <c r="I5338" s="65">
        <f>IFERROR(VLOOKUP(A5338,'3. Call duration'!$A:$C,3,0),"--")</f>
        <v>13.56060985</v>
      </c>
      <c r="J5338" s="65" t="str">
        <f t="array" ref="J5338">XLOOKUP(H5338,'2. Matching'!$A$2:$A$39,'2. Matching'!$B$2:$B$39,"--")</f>
        <v>SEO</v>
      </c>
      <c r="K5338" s="65" t="str">
        <f t="shared" si="1"/>
        <v>In</v>
      </c>
    </row>
    <row r="5339">
      <c r="A5339" s="62" t="s">
        <v>5477</v>
      </c>
      <c r="B5339" s="63">
        <v>44347.0</v>
      </c>
      <c r="C5339" s="62" t="s">
        <v>119</v>
      </c>
      <c r="D5339" s="64">
        <v>47.5</v>
      </c>
      <c r="E5339" s="62" t="s">
        <v>109</v>
      </c>
      <c r="F5339" s="62" t="s">
        <v>115</v>
      </c>
      <c r="G5339" s="64" t="s">
        <v>64</v>
      </c>
      <c r="H5339" s="3" t="s">
        <v>171</v>
      </c>
      <c r="I5339" s="65">
        <f>IFERROR(VLOOKUP(A5339,'3. Call duration'!$A:$C,3,0),"--")</f>
        <v>27.49879471</v>
      </c>
      <c r="J5339" s="65" t="str">
        <f t="array" ref="J5339">XLOOKUP(H5339,'2. Matching'!$A$2:$A$39,'2. Matching'!$B$2:$B$39,"--")</f>
        <v>SEO</v>
      </c>
      <c r="K5339" s="65" t="str">
        <f t="shared" si="1"/>
        <v>In</v>
      </c>
    </row>
    <row r="5340">
      <c r="A5340" s="62" t="s">
        <v>5478</v>
      </c>
      <c r="B5340" s="63">
        <v>44355.0</v>
      </c>
      <c r="C5340" s="62" t="s">
        <v>119</v>
      </c>
      <c r="D5340" s="64">
        <v>47.5</v>
      </c>
      <c r="E5340" s="62" t="s">
        <v>109</v>
      </c>
      <c r="F5340" s="62" t="s">
        <v>110</v>
      </c>
      <c r="G5340" s="64" t="s">
        <v>59</v>
      </c>
      <c r="H5340" s="3" t="s">
        <v>68</v>
      </c>
      <c r="I5340" s="65">
        <f>IFERROR(VLOOKUP(A5340,'3. Call duration'!$A:$C,3,0),"--")</f>
        <v>31.48134608</v>
      </c>
      <c r="J5340" s="65" t="str">
        <f t="array" ref="J5340">XLOOKUP(H5340,'2. Matching'!$A$2:$A$39,'2. Matching'!$B$2:$B$39,"--")</f>
        <v>Acquisition</v>
      </c>
      <c r="K5340" s="65" t="str">
        <f t="shared" si="1"/>
        <v>In</v>
      </c>
    </row>
    <row r="5341">
      <c r="A5341" s="62" t="s">
        <v>5479</v>
      </c>
      <c r="B5341" s="63">
        <v>44364.0</v>
      </c>
      <c r="C5341" s="62" t="s">
        <v>119</v>
      </c>
      <c r="D5341" s="64">
        <v>47.5</v>
      </c>
      <c r="E5341" s="62" t="s">
        <v>109</v>
      </c>
      <c r="F5341" s="62" t="s">
        <v>115</v>
      </c>
      <c r="G5341" s="64" t="s">
        <v>62</v>
      </c>
      <c r="H5341" s="3" t="s">
        <v>286</v>
      </c>
      <c r="I5341" s="65">
        <f>IFERROR(VLOOKUP(A5341,'3. Call duration'!$A:$C,3,0),"--")</f>
        <v>26.50980269</v>
      </c>
      <c r="J5341" s="65" t="str">
        <f t="array" ref="J5341">XLOOKUP(H5341,'2. Matching'!$A$2:$A$39,'2. Matching'!$B$2:$B$39,"--")</f>
        <v>Farming</v>
      </c>
      <c r="K5341" s="65" t="str">
        <f t="shared" si="1"/>
        <v>In</v>
      </c>
    </row>
    <row r="5342">
      <c r="A5342" s="62" t="s">
        <v>5480</v>
      </c>
      <c r="B5342" s="63">
        <v>44363.0</v>
      </c>
      <c r="C5342" s="62" t="s">
        <v>119</v>
      </c>
      <c r="D5342" s="64">
        <v>47.5</v>
      </c>
      <c r="E5342" s="62" t="s">
        <v>109</v>
      </c>
      <c r="F5342" s="62" t="s">
        <v>115</v>
      </c>
      <c r="G5342" s="64" t="s">
        <v>64</v>
      </c>
      <c r="H5342" s="3" t="s">
        <v>131</v>
      </c>
      <c r="I5342" s="65">
        <f>IFERROR(VLOOKUP(A5342,'3. Call duration'!$A:$C,3,0),"--")</f>
        <v>28.7171191</v>
      </c>
      <c r="J5342" s="65" t="str">
        <f t="array" ref="J5342">XLOOKUP(H5342,'2. Matching'!$A$2:$A$39,'2. Matching'!$B$2:$B$39,"--")</f>
        <v>Acquisition</v>
      </c>
      <c r="K5342" s="65" t="str">
        <f t="shared" si="1"/>
        <v>In</v>
      </c>
    </row>
    <row r="5343">
      <c r="A5343" s="62" t="s">
        <v>5481</v>
      </c>
      <c r="B5343" s="63">
        <v>44368.0</v>
      </c>
      <c r="C5343" s="62" t="s">
        <v>119</v>
      </c>
      <c r="D5343" s="64">
        <v>47.5</v>
      </c>
      <c r="E5343" s="62" t="s">
        <v>109</v>
      </c>
      <c r="F5343" s="62" t="s">
        <v>115</v>
      </c>
      <c r="G5343" s="64" t="s">
        <v>63</v>
      </c>
      <c r="H5343" s="3" t="s">
        <v>228</v>
      </c>
      <c r="I5343" s="65">
        <f>IFERROR(VLOOKUP(A5343,'3. Call duration'!$A:$C,3,0),"--")</f>
        <v>28.17101589</v>
      </c>
      <c r="J5343" s="65" t="str">
        <f t="array" ref="J5343">XLOOKUP(H5343,'2. Matching'!$A$2:$A$39,'2. Matching'!$B$2:$B$39,"--")</f>
        <v>Farming</v>
      </c>
      <c r="K5343" s="65" t="str">
        <f t="shared" si="1"/>
        <v>In</v>
      </c>
    </row>
    <row r="5344">
      <c r="A5344" s="62" t="s">
        <v>5482</v>
      </c>
      <c r="B5344" s="63">
        <v>44342.0</v>
      </c>
      <c r="C5344" s="62" t="s">
        <v>119</v>
      </c>
      <c r="D5344" s="64">
        <v>47.5</v>
      </c>
      <c r="E5344" s="62" t="s">
        <v>109</v>
      </c>
      <c r="F5344" s="62" t="s">
        <v>110</v>
      </c>
      <c r="G5344" s="64" t="s">
        <v>64</v>
      </c>
      <c r="H5344" s="3" t="s">
        <v>297</v>
      </c>
      <c r="I5344" s="65">
        <f>IFERROR(VLOOKUP(A5344,'3. Call duration'!$A:$C,3,0),"--")</f>
        <v>27.50629957</v>
      </c>
      <c r="J5344" s="65" t="str">
        <f t="array" ref="J5344">XLOOKUP(H5344,'2. Matching'!$A$2:$A$39,'2. Matching'!$B$2:$B$39,"--")</f>
        <v>Farming</v>
      </c>
      <c r="K5344" s="65" t="str">
        <f t="shared" si="1"/>
        <v>In</v>
      </c>
    </row>
    <row r="5345">
      <c r="A5345" s="62" t="s">
        <v>5483</v>
      </c>
      <c r="B5345" s="63">
        <v>44345.0</v>
      </c>
      <c r="C5345" s="62" t="s">
        <v>119</v>
      </c>
      <c r="D5345" s="64">
        <v>47.5</v>
      </c>
      <c r="E5345" s="62" t="s">
        <v>109</v>
      </c>
      <c r="F5345" s="62" t="s">
        <v>115</v>
      </c>
      <c r="G5345" s="64" t="s">
        <v>64</v>
      </c>
      <c r="H5345" s="3" t="s">
        <v>185</v>
      </c>
      <c r="I5345" s="65">
        <f>IFERROR(VLOOKUP(A5345,'3. Call duration'!$A:$C,3,0),"--")</f>
        <v>27.51662922</v>
      </c>
      <c r="J5345" s="65" t="str">
        <f t="array" ref="J5345">XLOOKUP(H5345,'2. Matching'!$A$2:$A$39,'2. Matching'!$B$2:$B$39,"--")</f>
        <v>SEO</v>
      </c>
      <c r="K5345" s="65" t="str">
        <f t="shared" si="1"/>
        <v>In</v>
      </c>
    </row>
    <row r="5346">
      <c r="A5346" s="62" t="s">
        <v>5484</v>
      </c>
      <c r="B5346" s="63">
        <v>44352.0</v>
      </c>
      <c r="C5346" s="62" t="s">
        <v>119</v>
      </c>
      <c r="D5346" s="64">
        <v>47.5</v>
      </c>
      <c r="E5346" s="62" t="s">
        <v>109</v>
      </c>
      <c r="F5346" s="62" t="s">
        <v>115</v>
      </c>
      <c r="G5346" s="64" t="s">
        <v>60</v>
      </c>
      <c r="H5346" s="3" t="s">
        <v>67</v>
      </c>
      <c r="I5346" s="65">
        <f>IFERROR(VLOOKUP(A5346,'3. Call duration'!$A:$C,3,0),"--")</f>
        <v>24.57642883</v>
      </c>
      <c r="J5346" s="65" t="str">
        <f t="array" ref="J5346">XLOOKUP(H5346,'2. Matching'!$A$2:$A$39,'2. Matching'!$B$2:$B$39,"--")</f>
        <v>Acquisition</v>
      </c>
      <c r="K5346" s="65" t="str">
        <f t="shared" si="1"/>
        <v>In</v>
      </c>
    </row>
    <row r="5347">
      <c r="A5347" s="62" t="s">
        <v>5485</v>
      </c>
      <c r="B5347" s="63">
        <v>44335.0</v>
      </c>
      <c r="C5347" s="62" t="s">
        <v>119</v>
      </c>
      <c r="D5347" s="64">
        <v>47.5</v>
      </c>
      <c r="E5347" s="62" t="s">
        <v>109</v>
      </c>
      <c r="F5347" s="62" t="s">
        <v>110</v>
      </c>
      <c r="G5347" s="64" t="s">
        <v>64</v>
      </c>
      <c r="H5347" s="3" t="s">
        <v>171</v>
      </c>
      <c r="I5347" s="65">
        <f>IFERROR(VLOOKUP(A5347,'3. Call duration'!$A:$C,3,0),"--")</f>
        <v>27.54077034</v>
      </c>
      <c r="J5347" s="65" t="str">
        <f t="array" ref="J5347">XLOOKUP(H5347,'2. Matching'!$A$2:$A$39,'2. Matching'!$B$2:$B$39,"--")</f>
        <v>SEO</v>
      </c>
      <c r="K5347" s="65" t="str">
        <f t="shared" si="1"/>
        <v>In</v>
      </c>
    </row>
    <row r="5348">
      <c r="A5348" s="62" t="s">
        <v>5486</v>
      </c>
      <c r="B5348" s="63">
        <v>44341.0</v>
      </c>
      <c r="C5348" s="62" t="s">
        <v>119</v>
      </c>
      <c r="D5348" s="64">
        <v>47.5</v>
      </c>
      <c r="E5348" s="62" t="s">
        <v>109</v>
      </c>
      <c r="F5348" s="62" t="s">
        <v>110</v>
      </c>
      <c r="G5348" s="64" t="s">
        <v>64</v>
      </c>
      <c r="H5348" s="3" t="s">
        <v>185</v>
      </c>
      <c r="I5348" s="65">
        <f>IFERROR(VLOOKUP(A5348,'3. Call duration'!$A:$C,3,0),"--")</f>
        <v>27.57749463</v>
      </c>
      <c r="J5348" s="65" t="str">
        <f t="array" ref="J5348">XLOOKUP(H5348,'2. Matching'!$A$2:$A$39,'2. Matching'!$B$2:$B$39,"--")</f>
        <v>SEO</v>
      </c>
      <c r="K5348" s="65" t="str">
        <f t="shared" si="1"/>
        <v>In</v>
      </c>
    </row>
    <row r="5349">
      <c r="A5349" s="62" t="s">
        <v>5487</v>
      </c>
      <c r="B5349" s="63">
        <v>44350.0</v>
      </c>
      <c r="C5349" s="62" t="s">
        <v>119</v>
      </c>
      <c r="D5349" s="64">
        <v>47.5</v>
      </c>
      <c r="E5349" s="62" t="s">
        <v>109</v>
      </c>
      <c r="F5349" s="62" t="s">
        <v>110</v>
      </c>
      <c r="G5349" s="64" t="s">
        <v>60</v>
      </c>
      <c r="H5349" s="3" t="s">
        <v>67</v>
      </c>
      <c r="I5349" s="65" t="str">
        <f>IFERROR(VLOOKUP(A5349,'3. Call duration'!$A:$C,3,0),"--")</f>
        <v>--</v>
      </c>
      <c r="J5349" s="65" t="str">
        <f t="array" ref="J5349">XLOOKUP(H5349,'2. Matching'!$A$2:$A$39,'2. Matching'!$B$2:$B$39,"--")</f>
        <v>Acquisition</v>
      </c>
      <c r="K5349" s="65" t="str">
        <f t="shared" si="1"/>
        <v>In</v>
      </c>
    </row>
    <row r="5350">
      <c r="A5350" s="62" t="s">
        <v>5488</v>
      </c>
      <c r="B5350" s="63">
        <v>44336.0</v>
      </c>
      <c r="C5350" s="62" t="s">
        <v>119</v>
      </c>
      <c r="D5350" s="64">
        <v>47.5</v>
      </c>
      <c r="E5350" s="62" t="s">
        <v>109</v>
      </c>
      <c r="F5350" s="62" t="s">
        <v>115</v>
      </c>
      <c r="G5350" s="64" t="s">
        <v>64</v>
      </c>
      <c r="H5350" s="3" t="s">
        <v>141</v>
      </c>
      <c r="I5350" s="65">
        <f>IFERROR(VLOOKUP(A5350,'3. Call duration'!$A:$C,3,0),"--")</f>
        <v>27.58255274</v>
      </c>
      <c r="J5350" s="65" t="str">
        <f t="array" ref="J5350">XLOOKUP(H5350,'2. Matching'!$A$2:$A$39,'2. Matching'!$B$2:$B$39,"--")</f>
        <v>Acquisition</v>
      </c>
      <c r="K5350" s="65" t="str">
        <f t="shared" si="1"/>
        <v>In</v>
      </c>
    </row>
    <row r="5351">
      <c r="A5351" s="62" t="s">
        <v>5489</v>
      </c>
      <c r="B5351" s="63">
        <v>44321.0</v>
      </c>
      <c r="C5351" s="62" t="s">
        <v>119</v>
      </c>
      <c r="D5351" s="64">
        <v>47.5</v>
      </c>
      <c r="E5351" s="62" t="s">
        <v>109</v>
      </c>
      <c r="F5351" s="62" t="s">
        <v>110</v>
      </c>
      <c r="G5351" s="64" t="s">
        <v>64</v>
      </c>
      <c r="H5351" s="3" t="s">
        <v>175</v>
      </c>
      <c r="I5351" s="65">
        <f>IFERROR(VLOOKUP(A5351,'3. Call duration'!$A:$C,3,0),"--")</f>
        <v>27.58690842</v>
      </c>
      <c r="J5351" s="65" t="str">
        <f t="array" ref="J5351">XLOOKUP(H5351,'2. Matching'!$A$2:$A$39,'2. Matching'!$B$2:$B$39,"--")</f>
        <v>SEO</v>
      </c>
      <c r="K5351" s="65" t="str">
        <f t="shared" si="1"/>
        <v>In</v>
      </c>
    </row>
    <row r="5352">
      <c r="A5352" s="62" t="s">
        <v>5490</v>
      </c>
      <c r="B5352" s="63">
        <v>44364.0</v>
      </c>
      <c r="C5352" s="62" t="s">
        <v>119</v>
      </c>
      <c r="D5352" s="64">
        <v>47.5</v>
      </c>
      <c r="E5352" s="62" t="s">
        <v>109</v>
      </c>
      <c r="F5352" s="62" t="s">
        <v>110</v>
      </c>
      <c r="G5352" s="64" t="s">
        <v>64</v>
      </c>
      <c r="H5352" s="3" t="s">
        <v>175</v>
      </c>
      <c r="I5352" s="65">
        <f>IFERROR(VLOOKUP(A5352,'3. Call duration'!$A:$C,3,0),"--")</f>
        <v>29.41478018</v>
      </c>
      <c r="J5352" s="65" t="str">
        <f t="array" ref="J5352">XLOOKUP(H5352,'2. Matching'!$A$2:$A$39,'2. Matching'!$B$2:$B$39,"--")</f>
        <v>SEO</v>
      </c>
      <c r="K5352" s="65" t="str">
        <f t="shared" si="1"/>
        <v>In</v>
      </c>
    </row>
    <row r="5353">
      <c r="A5353" s="62" t="s">
        <v>5491</v>
      </c>
      <c r="B5353" s="63">
        <v>44326.0</v>
      </c>
      <c r="C5353" s="62" t="s">
        <v>108</v>
      </c>
      <c r="D5353" s="64">
        <v>0.0</v>
      </c>
      <c r="E5353" s="62" t="s">
        <v>109</v>
      </c>
      <c r="F5353" s="62" t="s">
        <v>115</v>
      </c>
      <c r="G5353" s="64" t="s">
        <v>59</v>
      </c>
      <c r="H5353" s="3" t="s">
        <v>68</v>
      </c>
      <c r="I5353" s="65">
        <f>IFERROR(VLOOKUP(A5353,'3. Call duration'!$A:$C,3,0),"--")</f>
        <v>27.64251261</v>
      </c>
      <c r="J5353" s="65" t="str">
        <f t="array" ref="J5353">XLOOKUP(H5353,'2. Matching'!$A$2:$A$39,'2. Matching'!$B$2:$B$39,"--")</f>
        <v>Acquisition</v>
      </c>
      <c r="K5353" s="65" t="str">
        <f t="shared" si="1"/>
        <v>In</v>
      </c>
    </row>
    <row r="5354">
      <c r="A5354" s="62" t="s">
        <v>5492</v>
      </c>
      <c r="B5354" s="63">
        <v>44377.0</v>
      </c>
      <c r="C5354" s="62" t="s">
        <v>119</v>
      </c>
      <c r="D5354" s="64">
        <v>47.5</v>
      </c>
      <c r="E5354" s="62" t="s">
        <v>109</v>
      </c>
      <c r="F5354" s="62" t="s">
        <v>110</v>
      </c>
      <c r="G5354" s="64" t="s">
        <v>60</v>
      </c>
      <c r="H5354" s="3" t="s">
        <v>67</v>
      </c>
      <c r="I5354" s="65">
        <f>IFERROR(VLOOKUP(A5354,'3. Call duration'!$A:$C,3,0),"--")</f>
        <v>25.98336148</v>
      </c>
      <c r="J5354" s="65" t="str">
        <f t="array" ref="J5354">XLOOKUP(H5354,'2. Matching'!$A$2:$A$39,'2. Matching'!$B$2:$B$39,"--")</f>
        <v>Acquisition</v>
      </c>
      <c r="K5354" s="65" t="str">
        <f t="shared" si="1"/>
        <v>In</v>
      </c>
    </row>
    <row r="5355">
      <c r="A5355" s="62" t="s">
        <v>5493</v>
      </c>
      <c r="B5355" s="63">
        <v>44326.0</v>
      </c>
      <c r="C5355" s="62" t="s">
        <v>119</v>
      </c>
      <c r="D5355" s="64">
        <v>47.5</v>
      </c>
      <c r="E5355" s="62" t="s">
        <v>109</v>
      </c>
      <c r="F5355" s="62" t="s">
        <v>115</v>
      </c>
      <c r="G5355" s="64" t="s">
        <v>64</v>
      </c>
      <c r="H5355" s="3" t="s">
        <v>131</v>
      </c>
      <c r="I5355" s="65">
        <f>IFERROR(VLOOKUP(A5355,'3. Call duration'!$A:$C,3,0),"--")</f>
        <v>27.65577414</v>
      </c>
      <c r="J5355" s="65" t="str">
        <f t="array" ref="J5355">XLOOKUP(H5355,'2. Matching'!$A$2:$A$39,'2. Matching'!$B$2:$B$39,"--")</f>
        <v>Acquisition</v>
      </c>
      <c r="K5355" s="65" t="str">
        <f t="shared" si="1"/>
        <v>In</v>
      </c>
    </row>
    <row r="5356">
      <c r="A5356" s="62" t="s">
        <v>5494</v>
      </c>
      <c r="B5356" s="63">
        <v>44377.0</v>
      </c>
      <c r="C5356" s="62" t="s">
        <v>119</v>
      </c>
      <c r="D5356" s="64">
        <v>47.5</v>
      </c>
      <c r="E5356" s="62" t="s">
        <v>109</v>
      </c>
      <c r="F5356" s="62" t="s">
        <v>115</v>
      </c>
      <c r="G5356" s="64" t="s">
        <v>64</v>
      </c>
      <c r="H5356" s="3" t="s">
        <v>185</v>
      </c>
      <c r="I5356" s="65">
        <f>IFERROR(VLOOKUP(A5356,'3. Call duration'!$A:$C,3,0),"--")</f>
        <v>49.46228019</v>
      </c>
      <c r="J5356" s="65" t="str">
        <f t="array" ref="J5356">XLOOKUP(H5356,'2. Matching'!$A$2:$A$39,'2. Matching'!$B$2:$B$39,"--")</f>
        <v>SEO</v>
      </c>
      <c r="K5356" s="65" t="str">
        <f t="shared" si="1"/>
        <v>In</v>
      </c>
    </row>
    <row r="5357">
      <c r="A5357" s="62" t="s">
        <v>5495</v>
      </c>
      <c r="B5357" s="63">
        <v>44322.0</v>
      </c>
      <c r="C5357" s="62" t="s">
        <v>119</v>
      </c>
      <c r="D5357" s="64">
        <v>47.5</v>
      </c>
      <c r="E5357" s="62" t="s">
        <v>109</v>
      </c>
      <c r="F5357" s="62" t="s">
        <v>110</v>
      </c>
      <c r="G5357" s="64" t="s">
        <v>64</v>
      </c>
      <c r="H5357" s="3" t="s">
        <v>185</v>
      </c>
      <c r="I5357" s="65">
        <f>IFERROR(VLOOKUP(A5357,'3. Call duration'!$A:$C,3,0),"--")</f>
        <v>27.67343349</v>
      </c>
      <c r="J5357" s="65" t="str">
        <f t="array" ref="J5357">XLOOKUP(H5357,'2. Matching'!$A$2:$A$39,'2. Matching'!$B$2:$B$39,"--")</f>
        <v>SEO</v>
      </c>
      <c r="K5357" s="65" t="str">
        <f t="shared" si="1"/>
        <v>In</v>
      </c>
    </row>
    <row r="5358">
      <c r="A5358" s="62" t="s">
        <v>5496</v>
      </c>
      <c r="B5358" s="63">
        <v>44326.0</v>
      </c>
      <c r="C5358" s="62" t="s">
        <v>119</v>
      </c>
      <c r="D5358" s="64">
        <v>47.5</v>
      </c>
      <c r="E5358" s="62" t="s">
        <v>109</v>
      </c>
      <c r="F5358" s="62" t="s">
        <v>115</v>
      </c>
      <c r="G5358" s="64" t="s">
        <v>63</v>
      </c>
      <c r="H5358" s="3" t="s">
        <v>183</v>
      </c>
      <c r="I5358" s="65">
        <f>IFERROR(VLOOKUP(A5358,'3. Call duration'!$A:$C,3,0),"--")</f>
        <v>27.68830388</v>
      </c>
      <c r="J5358" s="65" t="str">
        <f t="array" ref="J5358">XLOOKUP(H5358,'2. Matching'!$A$2:$A$39,'2. Matching'!$B$2:$B$39,"--")</f>
        <v>SEO</v>
      </c>
      <c r="K5358" s="65" t="str">
        <f t="shared" si="1"/>
        <v>In</v>
      </c>
    </row>
    <row r="5359">
      <c r="A5359" s="62" t="s">
        <v>5497</v>
      </c>
      <c r="B5359" s="63">
        <v>44372.0</v>
      </c>
      <c r="C5359" s="62" t="s">
        <v>119</v>
      </c>
      <c r="D5359" s="64">
        <v>47.5</v>
      </c>
      <c r="E5359" s="62" t="s">
        <v>109</v>
      </c>
      <c r="F5359" s="62" t="s">
        <v>110</v>
      </c>
      <c r="G5359" s="64" t="s">
        <v>63</v>
      </c>
      <c r="H5359" s="3" t="s">
        <v>228</v>
      </c>
      <c r="I5359" s="65">
        <f>IFERROR(VLOOKUP(A5359,'3. Call duration'!$A:$C,3,0),"--")</f>
        <v>33.4296267</v>
      </c>
      <c r="J5359" s="65" t="str">
        <f t="array" ref="J5359">XLOOKUP(H5359,'2. Matching'!$A$2:$A$39,'2. Matching'!$B$2:$B$39,"--")</f>
        <v>Farming</v>
      </c>
      <c r="K5359" s="65" t="str">
        <f t="shared" si="1"/>
        <v>In</v>
      </c>
    </row>
    <row r="5360">
      <c r="A5360" s="62" t="s">
        <v>5498</v>
      </c>
      <c r="B5360" s="63">
        <v>44347.0</v>
      </c>
      <c r="C5360" s="62" t="s">
        <v>119</v>
      </c>
      <c r="D5360" s="64">
        <v>47.5</v>
      </c>
      <c r="E5360" s="62" t="s">
        <v>109</v>
      </c>
      <c r="F5360" s="62" t="s">
        <v>115</v>
      </c>
      <c r="G5360" s="64" t="s">
        <v>64</v>
      </c>
      <c r="H5360" s="3" t="s">
        <v>169</v>
      </c>
      <c r="I5360" s="65">
        <f>IFERROR(VLOOKUP(A5360,'3. Call duration'!$A:$C,3,0),"--")</f>
        <v>27.75815186</v>
      </c>
      <c r="J5360" s="65" t="str">
        <f t="array" ref="J5360">XLOOKUP(H5360,'2. Matching'!$A$2:$A$39,'2. Matching'!$B$2:$B$39,"--")</f>
        <v>SEO</v>
      </c>
      <c r="K5360" s="65" t="str">
        <f t="shared" si="1"/>
        <v>In</v>
      </c>
    </row>
    <row r="5361">
      <c r="A5361" s="62" t="s">
        <v>5499</v>
      </c>
      <c r="B5361" s="63">
        <v>44341.0</v>
      </c>
      <c r="C5361" s="62" t="s">
        <v>119</v>
      </c>
      <c r="D5361" s="64">
        <v>47.5</v>
      </c>
      <c r="E5361" s="62" t="s">
        <v>109</v>
      </c>
      <c r="F5361" s="62" t="s">
        <v>115</v>
      </c>
      <c r="G5361" s="64" t="s">
        <v>64</v>
      </c>
      <c r="H5361" s="3" t="s">
        <v>139</v>
      </c>
      <c r="I5361" s="65">
        <f>IFERROR(VLOOKUP(A5361,'3. Call duration'!$A:$C,3,0),"--")</f>
        <v>27.76800668</v>
      </c>
      <c r="J5361" s="65" t="str">
        <f t="array" ref="J5361">XLOOKUP(H5361,'2. Matching'!$A$2:$A$39,'2. Matching'!$B$2:$B$39,"--")</f>
        <v>Acquisition</v>
      </c>
      <c r="K5361" s="65" t="str">
        <f t="shared" si="1"/>
        <v>In</v>
      </c>
    </row>
    <row r="5362">
      <c r="A5362" s="62" t="s">
        <v>5500</v>
      </c>
      <c r="B5362" s="63">
        <v>44337.0</v>
      </c>
      <c r="C5362" s="62" t="s">
        <v>119</v>
      </c>
      <c r="D5362" s="64">
        <v>47.5</v>
      </c>
      <c r="E5362" s="62" t="s">
        <v>109</v>
      </c>
      <c r="F5362" s="62" t="s">
        <v>115</v>
      </c>
      <c r="G5362" s="64" t="s">
        <v>63</v>
      </c>
      <c r="H5362" s="3" t="s">
        <v>128</v>
      </c>
      <c r="I5362" s="65">
        <f>IFERROR(VLOOKUP(A5362,'3. Call duration'!$A:$C,3,0),"--")</f>
        <v>27.77569396</v>
      </c>
      <c r="J5362" s="65" t="str">
        <f t="array" ref="J5362">XLOOKUP(H5362,'2. Matching'!$A$2:$A$39,'2. Matching'!$B$2:$B$39,"--")</f>
        <v>Acquisition</v>
      </c>
      <c r="K5362" s="65" t="str">
        <f t="shared" si="1"/>
        <v>In</v>
      </c>
    </row>
    <row r="5363">
      <c r="A5363" s="62" t="s">
        <v>5501</v>
      </c>
      <c r="B5363" s="63">
        <v>44377.0</v>
      </c>
      <c r="C5363" s="62" t="s">
        <v>119</v>
      </c>
      <c r="D5363" s="64">
        <v>47.5</v>
      </c>
      <c r="E5363" s="62" t="s">
        <v>109</v>
      </c>
      <c r="F5363" s="62" t="s">
        <v>110</v>
      </c>
      <c r="G5363" s="64" t="s">
        <v>60</v>
      </c>
      <c r="H5363" s="3" t="s">
        <v>67</v>
      </c>
      <c r="I5363" s="65">
        <f>IFERROR(VLOOKUP(A5363,'3. Call duration'!$A:$C,3,0),"--")</f>
        <v>24.81697652</v>
      </c>
      <c r="J5363" s="65" t="str">
        <f t="array" ref="J5363">XLOOKUP(H5363,'2. Matching'!$A$2:$A$39,'2. Matching'!$B$2:$B$39,"--")</f>
        <v>Acquisition</v>
      </c>
      <c r="K5363" s="65" t="str">
        <f t="shared" si="1"/>
        <v>In</v>
      </c>
    </row>
    <row r="5364">
      <c r="A5364" s="62" t="s">
        <v>5502</v>
      </c>
      <c r="B5364" s="63">
        <v>44368.0</v>
      </c>
      <c r="C5364" s="62" t="s">
        <v>119</v>
      </c>
      <c r="D5364" s="64">
        <v>47.5</v>
      </c>
      <c r="E5364" s="62" t="s">
        <v>109</v>
      </c>
      <c r="F5364" s="62" t="s">
        <v>115</v>
      </c>
      <c r="G5364" s="64" t="s">
        <v>64</v>
      </c>
      <c r="H5364" s="3" t="s">
        <v>141</v>
      </c>
      <c r="I5364" s="65">
        <f>IFERROR(VLOOKUP(A5364,'3. Call duration'!$A:$C,3,0),"--")</f>
        <v>10.95117568</v>
      </c>
      <c r="J5364" s="65" t="str">
        <f t="array" ref="J5364">XLOOKUP(H5364,'2. Matching'!$A$2:$A$39,'2. Matching'!$B$2:$B$39,"--")</f>
        <v>Acquisition</v>
      </c>
      <c r="K5364" s="65" t="str">
        <f t="shared" si="1"/>
        <v>In</v>
      </c>
    </row>
    <row r="5365">
      <c r="A5365" s="62" t="s">
        <v>5503</v>
      </c>
      <c r="B5365" s="63">
        <v>44334.0</v>
      </c>
      <c r="C5365" s="62" t="s">
        <v>119</v>
      </c>
      <c r="D5365" s="64">
        <v>47.5</v>
      </c>
      <c r="E5365" s="62" t="s">
        <v>109</v>
      </c>
      <c r="F5365" s="62" t="s">
        <v>115</v>
      </c>
      <c r="G5365" s="64" t="s">
        <v>64</v>
      </c>
      <c r="H5365" s="3" t="s">
        <v>139</v>
      </c>
      <c r="I5365" s="65">
        <f>IFERROR(VLOOKUP(A5365,'3. Call duration'!$A:$C,3,0),"--")</f>
        <v>27.78522395</v>
      </c>
      <c r="J5365" s="65" t="str">
        <f t="array" ref="J5365">XLOOKUP(H5365,'2. Matching'!$A$2:$A$39,'2. Matching'!$B$2:$B$39,"--")</f>
        <v>Acquisition</v>
      </c>
      <c r="K5365" s="65" t="str">
        <f t="shared" si="1"/>
        <v>In</v>
      </c>
    </row>
    <row r="5366">
      <c r="A5366" s="62" t="s">
        <v>5504</v>
      </c>
      <c r="B5366" s="63">
        <v>44348.0</v>
      </c>
      <c r="C5366" s="62" t="s">
        <v>119</v>
      </c>
      <c r="D5366" s="64">
        <v>47.5</v>
      </c>
      <c r="E5366" s="62" t="s">
        <v>109</v>
      </c>
      <c r="F5366" s="62" t="s">
        <v>115</v>
      </c>
      <c r="G5366" s="64" t="s">
        <v>64</v>
      </c>
      <c r="H5366" s="3" t="s">
        <v>169</v>
      </c>
      <c r="I5366" s="65">
        <f>IFERROR(VLOOKUP(A5366,'3. Call duration'!$A:$C,3,0),"--")</f>
        <v>21.88313062</v>
      </c>
      <c r="J5366" s="65" t="str">
        <f t="array" ref="J5366">XLOOKUP(H5366,'2. Matching'!$A$2:$A$39,'2. Matching'!$B$2:$B$39,"--")</f>
        <v>SEO</v>
      </c>
      <c r="K5366" s="65" t="str">
        <f t="shared" si="1"/>
        <v>In</v>
      </c>
    </row>
    <row r="5367">
      <c r="A5367" s="62" t="s">
        <v>5505</v>
      </c>
      <c r="B5367" s="63">
        <v>44365.0</v>
      </c>
      <c r="C5367" s="62" t="s">
        <v>119</v>
      </c>
      <c r="D5367" s="64">
        <v>47.5</v>
      </c>
      <c r="E5367" s="62" t="s">
        <v>109</v>
      </c>
      <c r="F5367" s="62" t="s">
        <v>115</v>
      </c>
      <c r="G5367" s="64" t="s">
        <v>64</v>
      </c>
      <c r="H5367" s="3" t="s">
        <v>175</v>
      </c>
      <c r="I5367" s="65">
        <f>IFERROR(VLOOKUP(A5367,'3. Call duration'!$A:$C,3,0),"--")</f>
        <v>27.09187064</v>
      </c>
      <c r="J5367" s="65" t="str">
        <f t="array" ref="J5367">XLOOKUP(H5367,'2. Matching'!$A$2:$A$39,'2. Matching'!$B$2:$B$39,"--")</f>
        <v>SEO</v>
      </c>
      <c r="K5367" s="65" t="str">
        <f t="shared" si="1"/>
        <v>In</v>
      </c>
    </row>
    <row r="5368">
      <c r="A5368" s="62" t="s">
        <v>5506</v>
      </c>
      <c r="B5368" s="63">
        <v>44349.0</v>
      </c>
      <c r="C5368" s="62" t="s">
        <v>119</v>
      </c>
      <c r="D5368" s="64">
        <v>47.5</v>
      </c>
      <c r="E5368" s="62" t="s">
        <v>109</v>
      </c>
      <c r="F5368" s="62" t="s">
        <v>115</v>
      </c>
      <c r="G5368" s="64" t="s">
        <v>64</v>
      </c>
      <c r="H5368" s="3" t="s">
        <v>185</v>
      </c>
      <c r="I5368" s="65">
        <f>IFERROR(VLOOKUP(A5368,'3. Call duration'!$A:$C,3,0),"--")</f>
        <v>22.94086002</v>
      </c>
      <c r="J5368" s="65" t="str">
        <f t="array" ref="J5368">XLOOKUP(H5368,'2. Matching'!$A$2:$A$39,'2. Matching'!$B$2:$B$39,"--")</f>
        <v>SEO</v>
      </c>
      <c r="K5368" s="65" t="str">
        <f t="shared" si="1"/>
        <v>In</v>
      </c>
    </row>
    <row r="5369">
      <c r="A5369" s="62" t="s">
        <v>5507</v>
      </c>
      <c r="B5369" s="63">
        <v>44333.0</v>
      </c>
      <c r="C5369" s="62" t="s">
        <v>119</v>
      </c>
      <c r="D5369" s="64">
        <v>47.5</v>
      </c>
      <c r="E5369" s="62" t="s">
        <v>109</v>
      </c>
      <c r="F5369" s="62" t="s">
        <v>115</v>
      </c>
      <c r="G5369" s="64" t="s">
        <v>64</v>
      </c>
      <c r="H5369" s="3" t="s">
        <v>145</v>
      </c>
      <c r="I5369" s="65">
        <f>IFERROR(VLOOKUP(A5369,'3. Call duration'!$A:$C,3,0),"--")</f>
        <v>27.82405095</v>
      </c>
      <c r="J5369" s="65" t="str">
        <f t="array" ref="J5369">XLOOKUP(H5369,'2. Matching'!$A$2:$A$39,'2. Matching'!$B$2:$B$39,"--")</f>
        <v>SEO</v>
      </c>
      <c r="K5369" s="65" t="str">
        <f t="shared" si="1"/>
        <v>In</v>
      </c>
    </row>
    <row r="5370">
      <c r="A5370" s="62" t="s">
        <v>5508</v>
      </c>
      <c r="B5370" s="63">
        <v>44377.0</v>
      </c>
      <c r="C5370" s="62" t="s">
        <v>119</v>
      </c>
      <c r="D5370" s="64">
        <v>47.5</v>
      </c>
      <c r="E5370" s="62" t="s">
        <v>109</v>
      </c>
      <c r="F5370" s="62" t="s">
        <v>110</v>
      </c>
      <c r="G5370" s="64" t="s">
        <v>64</v>
      </c>
      <c r="H5370" s="3" t="s">
        <v>131</v>
      </c>
      <c r="I5370" s="65">
        <f>IFERROR(VLOOKUP(A5370,'3. Call duration'!$A:$C,3,0),"--")</f>
        <v>27.67178165</v>
      </c>
      <c r="J5370" s="65" t="str">
        <f t="array" ref="J5370">XLOOKUP(H5370,'2. Matching'!$A$2:$A$39,'2. Matching'!$B$2:$B$39,"--")</f>
        <v>Acquisition</v>
      </c>
      <c r="K5370" s="65" t="str">
        <f t="shared" si="1"/>
        <v>In</v>
      </c>
    </row>
    <row r="5371">
      <c r="A5371" s="62" t="s">
        <v>5509</v>
      </c>
      <c r="B5371" s="63">
        <v>44328.0</v>
      </c>
      <c r="C5371" s="62" t="s">
        <v>119</v>
      </c>
      <c r="D5371" s="64">
        <v>47.5</v>
      </c>
      <c r="E5371" s="62" t="s">
        <v>109</v>
      </c>
      <c r="F5371" s="62" t="s">
        <v>115</v>
      </c>
      <c r="G5371" s="64" t="s">
        <v>64</v>
      </c>
      <c r="H5371" s="3" t="s">
        <v>171</v>
      </c>
      <c r="I5371" s="65">
        <f>IFERROR(VLOOKUP(A5371,'3. Call duration'!$A:$C,3,0),"--")</f>
        <v>27.83187766</v>
      </c>
      <c r="J5371" s="65" t="str">
        <f t="array" ref="J5371">XLOOKUP(H5371,'2. Matching'!$A$2:$A$39,'2. Matching'!$B$2:$B$39,"--")</f>
        <v>SEO</v>
      </c>
      <c r="K5371" s="65" t="str">
        <f t="shared" si="1"/>
        <v>In</v>
      </c>
    </row>
    <row r="5372">
      <c r="A5372" s="62" t="s">
        <v>5510</v>
      </c>
      <c r="B5372" s="63">
        <v>44347.0</v>
      </c>
      <c r="C5372" s="62" t="s">
        <v>119</v>
      </c>
      <c r="D5372" s="64">
        <v>95.0</v>
      </c>
      <c r="E5372" s="62" t="s">
        <v>114</v>
      </c>
      <c r="F5372" s="62" t="s">
        <v>115</v>
      </c>
      <c r="G5372" s="64" t="s">
        <v>64</v>
      </c>
      <c r="H5372" s="3" t="s">
        <v>139</v>
      </c>
      <c r="I5372" s="65">
        <f>IFERROR(VLOOKUP(A5372,'3. Call duration'!$A:$C,3,0),"--")</f>
        <v>27.89248768</v>
      </c>
      <c r="J5372" s="65" t="str">
        <f t="array" ref="J5372">XLOOKUP(H5372,'2. Matching'!$A$2:$A$39,'2. Matching'!$B$2:$B$39,"--")</f>
        <v>Acquisition</v>
      </c>
      <c r="K5372" s="65" t="str">
        <f t="shared" si="1"/>
        <v>In</v>
      </c>
    </row>
    <row r="5373">
      <c r="A5373" s="62" t="s">
        <v>5511</v>
      </c>
      <c r="B5373" s="63">
        <v>44349.0</v>
      </c>
      <c r="C5373" s="62" t="s">
        <v>119</v>
      </c>
      <c r="D5373" s="64">
        <v>47.5</v>
      </c>
      <c r="E5373" s="62" t="s">
        <v>109</v>
      </c>
      <c r="F5373" s="62" t="s">
        <v>110</v>
      </c>
      <c r="G5373" s="64" t="s">
        <v>60</v>
      </c>
      <c r="H5373" s="3" t="s">
        <v>68</v>
      </c>
      <c r="I5373" s="65">
        <f>IFERROR(VLOOKUP(A5373,'3. Call duration'!$A:$C,3,0),"--")</f>
        <v>31.34643597</v>
      </c>
      <c r="J5373" s="65" t="str">
        <f t="array" ref="J5373">XLOOKUP(H5373,'2. Matching'!$A$2:$A$39,'2. Matching'!$B$2:$B$39,"--")</f>
        <v>Acquisition</v>
      </c>
      <c r="K5373" s="65" t="str">
        <f t="shared" si="1"/>
        <v>In</v>
      </c>
    </row>
    <row r="5374">
      <c r="A5374" s="62" t="s">
        <v>5512</v>
      </c>
      <c r="B5374" s="63">
        <v>44347.0</v>
      </c>
      <c r="C5374" s="62" t="s">
        <v>119</v>
      </c>
      <c r="D5374" s="64">
        <v>95.0</v>
      </c>
      <c r="E5374" s="62" t="s">
        <v>114</v>
      </c>
      <c r="F5374" s="62" t="s">
        <v>115</v>
      </c>
      <c r="G5374" s="64" t="s">
        <v>64</v>
      </c>
      <c r="H5374" s="3" t="s">
        <v>139</v>
      </c>
      <c r="I5374" s="65">
        <f>IFERROR(VLOOKUP(A5374,'3. Call duration'!$A:$C,3,0),"--")</f>
        <v>27.91604136</v>
      </c>
      <c r="J5374" s="65" t="str">
        <f t="array" ref="J5374">XLOOKUP(H5374,'2. Matching'!$A$2:$A$39,'2. Matching'!$B$2:$B$39,"--")</f>
        <v>Acquisition</v>
      </c>
      <c r="K5374" s="65" t="str">
        <f t="shared" si="1"/>
        <v>In</v>
      </c>
    </row>
    <row r="5375">
      <c r="A5375" s="62" t="s">
        <v>5513</v>
      </c>
      <c r="B5375" s="63">
        <v>44370.0</v>
      </c>
      <c r="C5375" s="62" t="s">
        <v>119</v>
      </c>
      <c r="D5375" s="64">
        <v>47.5</v>
      </c>
      <c r="E5375" s="62" t="s">
        <v>109</v>
      </c>
      <c r="F5375" s="62" t="s">
        <v>110</v>
      </c>
      <c r="G5375" s="64" t="s">
        <v>60</v>
      </c>
      <c r="H5375" s="3" t="s">
        <v>67</v>
      </c>
      <c r="I5375" s="65">
        <f>IFERROR(VLOOKUP(A5375,'3. Call duration'!$A:$C,3,0),"--")</f>
        <v>33.12851531</v>
      </c>
      <c r="J5375" s="65" t="str">
        <f t="array" ref="J5375">XLOOKUP(H5375,'2. Matching'!$A$2:$A$39,'2. Matching'!$B$2:$B$39,"--")</f>
        <v>Acquisition</v>
      </c>
      <c r="K5375" s="65" t="str">
        <f t="shared" si="1"/>
        <v>In</v>
      </c>
    </row>
    <row r="5376">
      <c r="A5376" s="62" t="s">
        <v>5514</v>
      </c>
      <c r="B5376" s="63">
        <v>44329.0</v>
      </c>
      <c r="C5376" s="62" t="s">
        <v>119</v>
      </c>
      <c r="D5376" s="64">
        <v>47.5</v>
      </c>
      <c r="E5376" s="62" t="s">
        <v>109</v>
      </c>
      <c r="F5376" s="62" t="s">
        <v>110</v>
      </c>
      <c r="G5376" s="64" t="s">
        <v>59</v>
      </c>
      <c r="H5376" s="3" t="s">
        <v>68</v>
      </c>
      <c r="I5376" s="65">
        <f>IFERROR(VLOOKUP(A5376,'3. Call duration'!$A:$C,3,0),"--")</f>
        <v>27.95514249</v>
      </c>
      <c r="J5376" s="65" t="str">
        <f t="array" ref="J5376">XLOOKUP(H5376,'2. Matching'!$A$2:$A$39,'2. Matching'!$B$2:$B$39,"--")</f>
        <v>Acquisition</v>
      </c>
      <c r="K5376" s="65" t="str">
        <f t="shared" si="1"/>
        <v>In</v>
      </c>
    </row>
    <row r="5377">
      <c r="A5377" s="62" t="s">
        <v>5515</v>
      </c>
      <c r="B5377" s="63">
        <v>44341.0</v>
      </c>
      <c r="C5377" s="62" t="s">
        <v>119</v>
      </c>
      <c r="D5377" s="64">
        <v>95.0</v>
      </c>
      <c r="E5377" s="62" t="s">
        <v>114</v>
      </c>
      <c r="F5377" s="62" t="s">
        <v>110</v>
      </c>
      <c r="G5377" s="64" t="s">
        <v>64</v>
      </c>
      <c r="H5377" s="3" t="s">
        <v>141</v>
      </c>
      <c r="I5377" s="65">
        <f>IFERROR(VLOOKUP(A5377,'3. Call duration'!$A:$C,3,0),"--")</f>
        <v>28.01231754</v>
      </c>
      <c r="J5377" s="65" t="str">
        <f t="array" ref="J5377">XLOOKUP(H5377,'2. Matching'!$A$2:$A$39,'2. Matching'!$B$2:$B$39,"--")</f>
        <v>Acquisition</v>
      </c>
      <c r="K5377" s="65" t="str">
        <f t="shared" si="1"/>
        <v>In</v>
      </c>
    </row>
    <row r="5378">
      <c r="A5378" s="62" t="s">
        <v>5516</v>
      </c>
      <c r="B5378" s="63">
        <v>44370.0</v>
      </c>
      <c r="C5378" s="62" t="s">
        <v>119</v>
      </c>
      <c r="D5378" s="64">
        <v>47.5</v>
      </c>
      <c r="E5378" s="62" t="s">
        <v>109</v>
      </c>
      <c r="F5378" s="62" t="s">
        <v>110</v>
      </c>
      <c r="G5378" s="64" t="s">
        <v>63</v>
      </c>
      <c r="H5378" s="3" t="s">
        <v>124</v>
      </c>
      <c r="I5378" s="65">
        <f>IFERROR(VLOOKUP(A5378,'3. Call duration'!$A:$C,3,0),"--")</f>
        <v>28.13395435</v>
      </c>
      <c r="J5378" s="65" t="str">
        <f t="array" ref="J5378">XLOOKUP(H5378,'2. Matching'!$A$2:$A$39,'2. Matching'!$B$2:$B$39,"--")</f>
        <v>Acquisition</v>
      </c>
      <c r="K5378" s="65" t="str">
        <f t="shared" si="1"/>
        <v>In</v>
      </c>
    </row>
    <row r="5379">
      <c r="A5379" s="62" t="s">
        <v>5517</v>
      </c>
      <c r="B5379" s="63">
        <v>44330.0</v>
      </c>
      <c r="C5379" s="62" t="s">
        <v>119</v>
      </c>
      <c r="D5379" s="64">
        <v>47.5</v>
      </c>
      <c r="E5379" s="62" t="s">
        <v>109</v>
      </c>
      <c r="F5379" s="62" t="s">
        <v>115</v>
      </c>
      <c r="G5379" s="64" t="s">
        <v>63</v>
      </c>
      <c r="H5379" s="3" t="s">
        <v>183</v>
      </c>
      <c r="I5379" s="65">
        <f>IFERROR(VLOOKUP(A5379,'3. Call duration'!$A:$C,3,0),"--")</f>
        <v>28.01374934</v>
      </c>
      <c r="J5379" s="65" t="str">
        <f t="array" ref="J5379">XLOOKUP(H5379,'2. Matching'!$A$2:$A$39,'2. Matching'!$B$2:$B$39,"--")</f>
        <v>SEO</v>
      </c>
      <c r="K5379" s="65" t="str">
        <f t="shared" si="1"/>
        <v>In</v>
      </c>
    </row>
    <row r="5380">
      <c r="A5380" s="62" t="s">
        <v>5518</v>
      </c>
      <c r="B5380" s="63">
        <v>44333.0</v>
      </c>
      <c r="C5380" s="62" t="s">
        <v>119</v>
      </c>
      <c r="D5380" s="64">
        <v>47.5</v>
      </c>
      <c r="E5380" s="62" t="s">
        <v>109</v>
      </c>
      <c r="F5380" s="62" t="s">
        <v>115</v>
      </c>
      <c r="G5380" s="64" t="s">
        <v>64</v>
      </c>
      <c r="H5380" s="3" t="s">
        <v>139</v>
      </c>
      <c r="I5380" s="65">
        <f>IFERROR(VLOOKUP(A5380,'3. Call duration'!$A:$C,3,0),"--")</f>
        <v>28.02972719</v>
      </c>
      <c r="J5380" s="65" t="str">
        <f t="array" ref="J5380">XLOOKUP(H5380,'2. Matching'!$A$2:$A$39,'2. Matching'!$B$2:$B$39,"--")</f>
        <v>Acquisition</v>
      </c>
      <c r="K5380" s="65" t="str">
        <f t="shared" si="1"/>
        <v>In</v>
      </c>
    </row>
    <row r="5381">
      <c r="A5381" s="62" t="s">
        <v>5519</v>
      </c>
      <c r="B5381" s="63">
        <v>44373.0</v>
      </c>
      <c r="C5381" s="62" t="s">
        <v>119</v>
      </c>
      <c r="D5381" s="64">
        <v>47.5</v>
      </c>
      <c r="E5381" s="62" t="s">
        <v>109</v>
      </c>
      <c r="F5381" s="62" t="s">
        <v>115</v>
      </c>
      <c r="G5381" s="64" t="s">
        <v>59</v>
      </c>
      <c r="H5381" s="3" t="s">
        <v>68</v>
      </c>
      <c r="I5381" s="65">
        <f>IFERROR(VLOOKUP(A5381,'3. Call duration'!$A:$C,3,0),"--")</f>
        <v>20.75137955</v>
      </c>
      <c r="J5381" s="65" t="str">
        <f t="array" ref="J5381">XLOOKUP(H5381,'2. Matching'!$A$2:$A$39,'2. Matching'!$B$2:$B$39,"--")</f>
        <v>Acquisition</v>
      </c>
      <c r="K5381" s="65" t="str">
        <f t="shared" si="1"/>
        <v>In</v>
      </c>
    </row>
    <row r="5382">
      <c r="A5382" s="62" t="s">
        <v>5520</v>
      </c>
      <c r="B5382" s="63">
        <v>44349.0</v>
      </c>
      <c r="C5382" s="62" t="s">
        <v>119</v>
      </c>
      <c r="D5382" s="64">
        <v>47.5</v>
      </c>
      <c r="E5382" s="62" t="s">
        <v>109</v>
      </c>
      <c r="F5382" s="62" t="s">
        <v>110</v>
      </c>
      <c r="G5382" s="64" t="s">
        <v>64</v>
      </c>
      <c r="H5382" s="3" t="s">
        <v>185</v>
      </c>
      <c r="I5382" s="65">
        <f>IFERROR(VLOOKUP(A5382,'3. Call duration'!$A:$C,3,0),"--")</f>
        <v>50.31567353</v>
      </c>
      <c r="J5382" s="65" t="str">
        <f t="array" ref="J5382">XLOOKUP(H5382,'2. Matching'!$A$2:$A$39,'2. Matching'!$B$2:$B$39,"--")</f>
        <v>SEO</v>
      </c>
      <c r="K5382" s="65" t="str">
        <f t="shared" si="1"/>
        <v>In</v>
      </c>
    </row>
    <row r="5383">
      <c r="A5383" s="62" t="s">
        <v>5521</v>
      </c>
      <c r="B5383" s="63">
        <v>44349.0</v>
      </c>
      <c r="C5383" s="62" t="s">
        <v>119</v>
      </c>
      <c r="D5383" s="64">
        <v>47.5</v>
      </c>
      <c r="E5383" s="62" t="s">
        <v>109</v>
      </c>
      <c r="F5383" s="62" t="s">
        <v>115</v>
      </c>
      <c r="G5383" s="64" t="s">
        <v>60</v>
      </c>
      <c r="H5383" s="3" t="s">
        <v>68</v>
      </c>
      <c r="I5383" s="65">
        <f>IFERROR(VLOOKUP(A5383,'3. Call duration'!$A:$C,3,0),"--")</f>
        <v>48.43625356</v>
      </c>
      <c r="J5383" s="65" t="str">
        <f t="array" ref="J5383">XLOOKUP(H5383,'2. Matching'!$A$2:$A$39,'2. Matching'!$B$2:$B$39,"--")</f>
        <v>Acquisition</v>
      </c>
      <c r="K5383" s="65" t="str">
        <f t="shared" si="1"/>
        <v>In</v>
      </c>
    </row>
    <row r="5384">
      <c r="A5384" s="62" t="s">
        <v>5522</v>
      </c>
      <c r="B5384" s="63">
        <v>44329.0</v>
      </c>
      <c r="C5384" s="62" t="s">
        <v>119</v>
      </c>
      <c r="D5384" s="64">
        <v>47.5</v>
      </c>
      <c r="E5384" s="62" t="s">
        <v>109</v>
      </c>
      <c r="F5384" s="62" t="s">
        <v>110</v>
      </c>
      <c r="G5384" s="64" t="s">
        <v>64</v>
      </c>
      <c r="H5384" s="3" t="s">
        <v>171</v>
      </c>
      <c r="I5384" s="65">
        <f>IFERROR(VLOOKUP(A5384,'3. Call duration'!$A:$C,3,0),"--")</f>
        <v>28.03260117</v>
      </c>
      <c r="J5384" s="65" t="str">
        <f t="array" ref="J5384">XLOOKUP(H5384,'2. Matching'!$A$2:$A$39,'2. Matching'!$B$2:$B$39,"--")</f>
        <v>SEO</v>
      </c>
      <c r="K5384" s="65" t="str">
        <f t="shared" si="1"/>
        <v>In</v>
      </c>
    </row>
    <row r="5385">
      <c r="A5385" s="62" t="s">
        <v>5523</v>
      </c>
      <c r="B5385" s="63">
        <v>44328.0</v>
      </c>
      <c r="C5385" s="62" t="s">
        <v>119</v>
      </c>
      <c r="D5385" s="64">
        <v>47.5</v>
      </c>
      <c r="E5385" s="62" t="s">
        <v>109</v>
      </c>
      <c r="F5385" s="62" t="s">
        <v>115</v>
      </c>
      <c r="G5385" s="64" t="s">
        <v>64</v>
      </c>
      <c r="H5385" s="3" t="s">
        <v>175</v>
      </c>
      <c r="I5385" s="65">
        <f>IFERROR(VLOOKUP(A5385,'3. Call duration'!$A:$C,3,0),"--")</f>
        <v>28.04786088</v>
      </c>
      <c r="J5385" s="65" t="str">
        <f t="array" ref="J5385">XLOOKUP(H5385,'2. Matching'!$A$2:$A$39,'2. Matching'!$B$2:$B$39,"--")</f>
        <v>SEO</v>
      </c>
      <c r="K5385" s="65" t="str">
        <f t="shared" si="1"/>
        <v>In</v>
      </c>
    </row>
    <row r="5386">
      <c r="A5386" s="62" t="s">
        <v>5524</v>
      </c>
      <c r="B5386" s="63">
        <v>44372.0</v>
      </c>
      <c r="C5386" s="62" t="s">
        <v>119</v>
      </c>
      <c r="D5386" s="64">
        <v>47.5</v>
      </c>
      <c r="E5386" s="62" t="s">
        <v>109</v>
      </c>
      <c r="F5386" s="62" t="s">
        <v>115</v>
      </c>
      <c r="G5386" s="64" t="s">
        <v>63</v>
      </c>
      <c r="H5386" s="3" t="s">
        <v>128</v>
      </c>
      <c r="I5386" s="65">
        <f>IFERROR(VLOOKUP(A5386,'3. Call duration'!$A:$C,3,0),"--")</f>
        <v>20.80720288</v>
      </c>
      <c r="J5386" s="65" t="str">
        <f t="array" ref="J5386">XLOOKUP(H5386,'2. Matching'!$A$2:$A$39,'2. Matching'!$B$2:$B$39,"--")</f>
        <v>Acquisition</v>
      </c>
      <c r="K5386" s="65" t="str">
        <f t="shared" si="1"/>
        <v>In</v>
      </c>
    </row>
    <row r="5387">
      <c r="A5387" s="62" t="s">
        <v>5525</v>
      </c>
      <c r="B5387" s="63">
        <v>44354.0</v>
      </c>
      <c r="C5387" s="62" t="s">
        <v>119</v>
      </c>
      <c r="D5387" s="64">
        <v>47.5</v>
      </c>
      <c r="E5387" s="62" t="s">
        <v>109</v>
      </c>
      <c r="F5387" s="62" t="s">
        <v>110</v>
      </c>
      <c r="G5387" s="64" t="s">
        <v>59</v>
      </c>
      <c r="H5387" s="3" t="s">
        <v>68</v>
      </c>
      <c r="I5387" s="65">
        <f>IFERROR(VLOOKUP(A5387,'3. Call duration'!$A:$C,3,0),"--")</f>
        <v>11.21330877</v>
      </c>
      <c r="J5387" s="65" t="str">
        <f t="array" ref="J5387">XLOOKUP(H5387,'2. Matching'!$A$2:$A$39,'2. Matching'!$B$2:$B$39,"--")</f>
        <v>Acquisition</v>
      </c>
      <c r="K5387" s="65" t="str">
        <f t="shared" si="1"/>
        <v>In</v>
      </c>
    </row>
    <row r="5388">
      <c r="A5388" s="62" t="s">
        <v>5526</v>
      </c>
      <c r="B5388" s="63">
        <v>44336.0</v>
      </c>
      <c r="C5388" s="62" t="s">
        <v>119</v>
      </c>
      <c r="D5388" s="64">
        <v>47.5</v>
      </c>
      <c r="E5388" s="62" t="s">
        <v>109</v>
      </c>
      <c r="F5388" s="62" t="s">
        <v>115</v>
      </c>
      <c r="G5388" s="64" t="s">
        <v>64</v>
      </c>
      <c r="H5388" s="3" t="s">
        <v>116</v>
      </c>
      <c r="I5388" s="65">
        <f>IFERROR(VLOOKUP(A5388,'3. Call duration'!$A:$C,3,0),"--")</f>
        <v>28.06450289</v>
      </c>
      <c r="J5388" s="65" t="str">
        <f t="array" ref="J5388">XLOOKUP(H5388,'2. Matching'!$A$2:$A$39,'2. Matching'!$B$2:$B$39,"--")</f>
        <v>Acquisition</v>
      </c>
      <c r="K5388" s="65" t="str">
        <f t="shared" si="1"/>
        <v>In</v>
      </c>
    </row>
    <row r="5389">
      <c r="A5389" s="62" t="s">
        <v>5527</v>
      </c>
      <c r="B5389" s="63">
        <v>44342.0</v>
      </c>
      <c r="C5389" s="62" t="s">
        <v>119</v>
      </c>
      <c r="D5389" s="64">
        <v>47.5</v>
      </c>
      <c r="E5389" s="62" t="s">
        <v>109</v>
      </c>
      <c r="F5389" s="62" t="s">
        <v>115</v>
      </c>
      <c r="G5389" s="64" t="s">
        <v>59</v>
      </c>
      <c r="H5389" s="3" t="s">
        <v>68</v>
      </c>
      <c r="I5389" s="65">
        <f>IFERROR(VLOOKUP(A5389,'3. Call duration'!$A:$C,3,0),"--")</f>
        <v>28.11917593</v>
      </c>
      <c r="J5389" s="65" t="str">
        <f t="array" ref="J5389">XLOOKUP(H5389,'2. Matching'!$A$2:$A$39,'2. Matching'!$B$2:$B$39,"--")</f>
        <v>Acquisition</v>
      </c>
      <c r="K5389" s="65" t="str">
        <f t="shared" si="1"/>
        <v>In</v>
      </c>
    </row>
    <row r="5390">
      <c r="A5390" s="62" t="s">
        <v>5528</v>
      </c>
      <c r="B5390" s="63">
        <v>44355.0</v>
      </c>
      <c r="C5390" s="62" t="s">
        <v>119</v>
      </c>
      <c r="D5390" s="64">
        <v>47.5</v>
      </c>
      <c r="E5390" s="62" t="s">
        <v>109</v>
      </c>
      <c r="F5390" s="62" t="s">
        <v>115</v>
      </c>
      <c r="G5390" s="64" t="s">
        <v>64</v>
      </c>
      <c r="H5390" s="3" t="s">
        <v>131</v>
      </c>
      <c r="I5390" s="65">
        <f>IFERROR(VLOOKUP(A5390,'3. Call duration'!$A:$C,3,0),"--")</f>
        <v>31.9640517</v>
      </c>
      <c r="J5390" s="65" t="str">
        <f t="array" ref="J5390">XLOOKUP(H5390,'2. Matching'!$A$2:$A$39,'2. Matching'!$B$2:$B$39,"--")</f>
        <v>Acquisition</v>
      </c>
      <c r="K5390" s="65" t="str">
        <f t="shared" si="1"/>
        <v>In</v>
      </c>
    </row>
    <row r="5391">
      <c r="A5391" s="62" t="s">
        <v>5529</v>
      </c>
      <c r="B5391" s="63">
        <v>44351.0</v>
      </c>
      <c r="C5391" s="62" t="s">
        <v>119</v>
      </c>
      <c r="D5391" s="64">
        <v>47.5</v>
      </c>
      <c r="E5391" s="62" t="s">
        <v>109</v>
      </c>
      <c r="F5391" s="62" t="s">
        <v>110</v>
      </c>
      <c r="G5391" s="64" t="s">
        <v>64</v>
      </c>
      <c r="H5391" s="3" t="s">
        <v>145</v>
      </c>
      <c r="I5391" s="65">
        <f>IFERROR(VLOOKUP(A5391,'3. Call duration'!$A:$C,3,0),"--")</f>
        <v>28.93009926</v>
      </c>
      <c r="J5391" s="65" t="str">
        <f t="array" ref="J5391">XLOOKUP(H5391,'2. Matching'!$A$2:$A$39,'2. Matching'!$B$2:$B$39,"--")</f>
        <v>SEO</v>
      </c>
      <c r="K5391" s="65" t="str">
        <f t="shared" si="1"/>
        <v>In</v>
      </c>
    </row>
    <row r="5392">
      <c r="A5392" s="62" t="s">
        <v>5530</v>
      </c>
      <c r="B5392" s="63">
        <v>44343.0</v>
      </c>
      <c r="C5392" s="62" t="s">
        <v>119</v>
      </c>
      <c r="D5392" s="64">
        <v>47.5</v>
      </c>
      <c r="E5392" s="62" t="s">
        <v>109</v>
      </c>
      <c r="F5392" s="62" t="s">
        <v>110</v>
      </c>
      <c r="G5392" s="64" t="s">
        <v>64</v>
      </c>
      <c r="H5392" s="3" t="s">
        <v>145</v>
      </c>
      <c r="I5392" s="65">
        <f>IFERROR(VLOOKUP(A5392,'3. Call duration'!$A:$C,3,0),"--")</f>
        <v>28.11979232</v>
      </c>
      <c r="J5392" s="65" t="str">
        <f t="array" ref="J5392">XLOOKUP(H5392,'2. Matching'!$A$2:$A$39,'2. Matching'!$B$2:$B$39,"--")</f>
        <v>SEO</v>
      </c>
      <c r="K5392" s="65" t="str">
        <f t="shared" si="1"/>
        <v>In</v>
      </c>
    </row>
    <row r="5393">
      <c r="A5393" s="62" t="s">
        <v>5531</v>
      </c>
      <c r="B5393" s="63">
        <v>44336.0</v>
      </c>
      <c r="C5393" s="62" t="s">
        <v>119</v>
      </c>
      <c r="D5393" s="64">
        <v>47.5</v>
      </c>
      <c r="E5393" s="62" t="s">
        <v>109</v>
      </c>
      <c r="F5393" s="62" t="s">
        <v>115</v>
      </c>
      <c r="G5393" s="64" t="s">
        <v>64</v>
      </c>
      <c r="H5393" s="3" t="s">
        <v>171</v>
      </c>
      <c r="I5393" s="65">
        <f>IFERROR(VLOOKUP(A5393,'3. Call duration'!$A:$C,3,0),"--")</f>
        <v>28.13097432</v>
      </c>
      <c r="J5393" s="65" t="str">
        <f t="array" ref="J5393">XLOOKUP(H5393,'2. Matching'!$A$2:$A$39,'2. Matching'!$B$2:$B$39,"--")</f>
        <v>SEO</v>
      </c>
      <c r="K5393" s="65" t="str">
        <f t="shared" si="1"/>
        <v>In</v>
      </c>
    </row>
    <row r="5394">
      <c r="A5394" s="62" t="s">
        <v>5532</v>
      </c>
      <c r="B5394" s="63">
        <v>44354.0</v>
      </c>
      <c r="C5394" s="62" t="s">
        <v>119</v>
      </c>
      <c r="D5394" s="64">
        <v>47.5</v>
      </c>
      <c r="E5394" s="62" t="s">
        <v>109</v>
      </c>
      <c r="F5394" s="62" t="s">
        <v>115</v>
      </c>
      <c r="G5394" s="64" t="s">
        <v>64</v>
      </c>
      <c r="H5394" s="3" t="s">
        <v>141</v>
      </c>
      <c r="I5394" s="65">
        <f>IFERROR(VLOOKUP(A5394,'3. Call duration'!$A:$C,3,0),"--")</f>
        <v>30.78790939</v>
      </c>
      <c r="J5394" s="65" t="str">
        <f t="array" ref="J5394">XLOOKUP(H5394,'2. Matching'!$A$2:$A$39,'2. Matching'!$B$2:$B$39,"--")</f>
        <v>Acquisition</v>
      </c>
      <c r="K5394" s="65" t="str">
        <f t="shared" si="1"/>
        <v>In</v>
      </c>
    </row>
    <row r="5395">
      <c r="A5395" s="62" t="s">
        <v>5533</v>
      </c>
      <c r="B5395" s="63">
        <v>44347.0</v>
      </c>
      <c r="C5395" s="62" t="s">
        <v>119</v>
      </c>
      <c r="D5395" s="64">
        <v>47.5</v>
      </c>
      <c r="E5395" s="62" t="s">
        <v>109</v>
      </c>
      <c r="F5395" s="62" t="s">
        <v>115</v>
      </c>
      <c r="G5395" s="64" t="s">
        <v>64</v>
      </c>
      <c r="H5395" s="3" t="s">
        <v>116</v>
      </c>
      <c r="I5395" s="65">
        <f>IFERROR(VLOOKUP(A5395,'3. Call duration'!$A:$C,3,0),"--")</f>
        <v>28.15377876</v>
      </c>
      <c r="J5395" s="65" t="str">
        <f t="array" ref="J5395">XLOOKUP(H5395,'2. Matching'!$A$2:$A$39,'2. Matching'!$B$2:$B$39,"--")</f>
        <v>Acquisition</v>
      </c>
      <c r="K5395" s="65" t="str">
        <f t="shared" si="1"/>
        <v>In</v>
      </c>
    </row>
    <row r="5396">
      <c r="A5396" s="62" t="s">
        <v>5534</v>
      </c>
      <c r="B5396" s="63">
        <v>44366.0</v>
      </c>
      <c r="C5396" s="62" t="s">
        <v>119</v>
      </c>
      <c r="D5396" s="64">
        <v>47.5</v>
      </c>
      <c r="E5396" s="62" t="s">
        <v>109</v>
      </c>
      <c r="F5396" s="62" t="s">
        <v>115</v>
      </c>
      <c r="G5396" s="64" t="s">
        <v>64</v>
      </c>
      <c r="H5396" s="3" t="s">
        <v>139</v>
      </c>
      <c r="I5396" s="65">
        <f>IFERROR(VLOOKUP(A5396,'3. Call duration'!$A:$C,3,0),"--")</f>
        <v>32.77656445</v>
      </c>
      <c r="J5396" s="65" t="str">
        <f t="array" ref="J5396">XLOOKUP(H5396,'2. Matching'!$A$2:$A$39,'2. Matching'!$B$2:$B$39,"--")</f>
        <v>Acquisition</v>
      </c>
      <c r="K5396" s="65" t="str">
        <f t="shared" si="1"/>
        <v>In</v>
      </c>
    </row>
    <row r="5397">
      <c r="A5397" s="62" t="s">
        <v>5535</v>
      </c>
      <c r="B5397" s="63">
        <v>44352.0</v>
      </c>
      <c r="C5397" s="62" t="s">
        <v>119</v>
      </c>
      <c r="D5397" s="64">
        <v>47.5</v>
      </c>
      <c r="E5397" s="62" t="s">
        <v>109</v>
      </c>
      <c r="F5397" s="62" t="s">
        <v>115</v>
      </c>
      <c r="G5397" s="64" t="s">
        <v>60</v>
      </c>
      <c r="H5397" s="3" t="s">
        <v>68</v>
      </c>
      <c r="I5397" s="65">
        <f>IFERROR(VLOOKUP(A5397,'3. Call duration'!$A:$C,3,0),"--")</f>
        <v>30.55519184</v>
      </c>
      <c r="J5397" s="65" t="str">
        <f t="array" ref="J5397">XLOOKUP(H5397,'2. Matching'!$A$2:$A$39,'2. Matching'!$B$2:$B$39,"--")</f>
        <v>Acquisition</v>
      </c>
      <c r="K5397" s="65" t="str">
        <f t="shared" si="1"/>
        <v>In</v>
      </c>
    </row>
    <row r="5398">
      <c r="A5398" s="62" t="s">
        <v>5536</v>
      </c>
      <c r="B5398" s="63">
        <v>44341.0</v>
      </c>
      <c r="C5398" s="62" t="s">
        <v>108</v>
      </c>
      <c r="D5398" s="64">
        <v>0.0</v>
      </c>
      <c r="E5398" s="62" t="s">
        <v>109</v>
      </c>
      <c r="F5398" s="62" t="s">
        <v>115</v>
      </c>
      <c r="G5398" s="64" t="s">
        <v>59</v>
      </c>
      <c r="H5398" s="3" t="s">
        <v>68</v>
      </c>
      <c r="I5398" s="65">
        <f>IFERROR(VLOOKUP(A5398,'3. Call duration'!$A:$C,3,0),"--")</f>
        <v>28.18015311</v>
      </c>
      <c r="J5398" s="65" t="str">
        <f t="array" ref="J5398">XLOOKUP(H5398,'2. Matching'!$A$2:$A$39,'2. Matching'!$B$2:$B$39,"--")</f>
        <v>Acquisition</v>
      </c>
      <c r="K5398" s="65" t="str">
        <f t="shared" si="1"/>
        <v>In</v>
      </c>
    </row>
    <row r="5399">
      <c r="A5399" s="62" t="s">
        <v>5537</v>
      </c>
      <c r="B5399" s="63">
        <v>44326.0</v>
      </c>
      <c r="C5399" s="62" t="s">
        <v>108</v>
      </c>
      <c r="D5399" s="64">
        <v>0.0</v>
      </c>
      <c r="E5399" s="62" t="s">
        <v>109</v>
      </c>
      <c r="F5399" s="62" t="s">
        <v>115</v>
      </c>
      <c r="G5399" s="64" t="s">
        <v>59</v>
      </c>
      <c r="H5399" s="3" t="s">
        <v>68</v>
      </c>
      <c r="I5399" s="65">
        <f>IFERROR(VLOOKUP(A5399,'3. Call duration'!$A:$C,3,0),"--")</f>
        <v>28.20665545</v>
      </c>
      <c r="J5399" s="65" t="str">
        <f t="array" ref="J5399">XLOOKUP(H5399,'2. Matching'!$A$2:$A$39,'2. Matching'!$B$2:$B$39,"--")</f>
        <v>Acquisition</v>
      </c>
      <c r="K5399" s="65" t="str">
        <f t="shared" si="1"/>
        <v>In</v>
      </c>
    </row>
    <row r="5400">
      <c r="A5400" s="62" t="s">
        <v>5538</v>
      </c>
      <c r="B5400" s="63">
        <v>44343.0</v>
      </c>
      <c r="C5400" s="62" t="s">
        <v>119</v>
      </c>
      <c r="D5400" s="64">
        <v>47.5</v>
      </c>
      <c r="E5400" s="62" t="s">
        <v>109</v>
      </c>
      <c r="F5400" s="62" t="s">
        <v>115</v>
      </c>
      <c r="G5400" s="64" t="s">
        <v>64</v>
      </c>
      <c r="H5400" s="3" t="s">
        <v>169</v>
      </c>
      <c r="I5400" s="65">
        <f>IFERROR(VLOOKUP(A5400,'3. Call duration'!$A:$C,3,0),"--")</f>
        <v>28.21352615</v>
      </c>
      <c r="J5400" s="65" t="str">
        <f t="array" ref="J5400">XLOOKUP(H5400,'2. Matching'!$A$2:$A$39,'2. Matching'!$B$2:$B$39,"--")</f>
        <v>SEO</v>
      </c>
      <c r="K5400" s="65" t="str">
        <f t="shared" si="1"/>
        <v>In</v>
      </c>
    </row>
    <row r="5401">
      <c r="A5401" s="62" t="s">
        <v>5539</v>
      </c>
      <c r="B5401" s="63">
        <v>44365.0</v>
      </c>
      <c r="C5401" s="62" t="s">
        <v>119</v>
      </c>
      <c r="D5401" s="64">
        <v>47.5</v>
      </c>
      <c r="E5401" s="62" t="s">
        <v>109</v>
      </c>
      <c r="F5401" s="62" t="s">
        <v>115</v>
      </c>
      <c r="G5401" s="64" t="s">
        <v>64</v>
      </c>
      <c r="H5401" s="3" t="s">
        <v>297</v>
      </c>
      <c r="I5401" s="65">
        <f>IFERROR(VLOOKUP(A5401,'3. Call duration'!$A:$C,3,0),"--")</f>
        <v>33.1909534</v>
      </c>
      <c r="J5401" s="65" t="str">
        <f t="array" ref="J5401">XLOOKUP(H5401,'2. Matching'!$A$2:$A$39,'2. Matching'!$B$2:$B$39,"--")</f>
        <v>Farming</v>
      </c>
      <c r="K5401" s="65" t="str">
        <f t="shared" si="1"/>
        <v>In</v>
      </c>
    </row>
    <row r="5402">
      <c r="A5402" s="62" t="s">
        <v>5540</v>
      </c>
      <c r="B5402" s="63">
        <v>44323.0</v>
      </c>
      <c r="C5402" s="62" t="s">
        <v>119</v>
      </c>
      <c r="D5402" s="64">
        <v>47.5</v>
      </c>
      <c r="E5402" s="62" t="s">
        <v>109</v>
      </c>
      <c r="F5402" s="62" t="s">
        <v>115</v>
      </c>
      <c r="G5402" s="64" t="s">
        <v>64</v>
      </c>
      <c r="H5402" s="3" t="s">
        <v>141</v>
      </c>
      <c r="I5402" s="65">
        <f>IFERROR(VLOOKUP(A5402,'3. Call duration'!$A:$C,3,0),"--")</f>
        <v>28.21478232</v>
      </c>
      <c r="J5402" s="65" t="str">
        <f t="array" ref="J5402">XLOOKUP(H5402,'2. Matching'!$A$2:$A$39,'2. Matching'!$B$2:$B$39,"--")</f>
        <v>Acquisition</v>
      </c>
      <c r="K5402" s="65" t="str">
        <f t="shared" si="1"/>
        <v>In</v>
      </c>
    </row>
    <row r="5403">
      <c r="A5403" s="62" t="s">
        <v>5541</v>
      </c>
      <c r="B5403" s="63">
        <v>44343.0</v>
      </c>
      <c r="C5403" s="62" t="s">
        <v>108</v>
      </c>
      <c r="D5403" s="64">
        <v>0.0</v>
      </c>
      <c r="E5403" s="62" t="s">
        <v>109</v>
      </c>
      <c r="F5403" s="62" t="s">
        <v>110</v>
      </c>
      <c r="G5403" s="64" t="s">
        <v>59</v>
      </c>
      <c r="H5403" s="3" t="s">
        <v>68</v>
      </c>
      <c r="I5403" s="65">
        <f>IFERROR(VLOOKUP(A5403,'3. Call duration'!$A:$C,3,0),"--")</f>
        <v>28.22806824</v>
      </c>
      <c r="J5403" s="65" t="str">
        <f t="array" ref="J5403">XLOOKUP(H5403,'2. Matching'!$A$2:$A$39,'2. Matching'!$B$2:$B$39,"--")</f>
        <v>Acquisition</v>
      </c>
      <c r="K5403" s="65" t="str">
        <f t="shared" si="1"/>
        <v>In</v>
      </c>
    </row>
    <row r="5404">
      <c r="A5404" s="62" t="s">
        <v>5542</v>
      </c>
      <c r="B5404" s="63">
        <v>44348.0</v>
      </c>
      <c r="C5404" s="62" t="s">
        <v>119</v>
      </c>
      <c r="D5404" s="64">
        <v>47.5</v>
      </c>
      <c r="E5404" s="62" t="s">
        <v>109</v>
      </c>
      <c r="F5404" s="62" t="s">
        <v>115</v>
      </c>
      <c r="G5404" s="64" t="s">
        <v>64</v>
      </c>
      <c r="H5404" s="3" t="s">
        <v>131</v>
      </c>
      <c r="I5404" s="65">
        <f>IFERROR(VLOOKUP(A5404,'3. Call duration'!$A:$C,3,0),"--")</f>
        <v>25.70857663</v>
      </c>
      <c r="J5404" s="65" t="str">
        <f t="array" ref="J5404">XLOOKUP(H5404,'2. Matching'!$A$2:$A$39,'2. Matching'!$B$2:$B$39,"--")</f>
        <v>Acquisition</v>
      </c>
      <c r="K5404" s="65" t="str">
        <f t="shared" si="1"/>
        <v>In</v>
      </c>
    </row>
    <row r="5405">
      <c r="A5405" s="62" t="s">
        <v>5543</v>
      </c>
      <c r="B5405" s="63">
        <v>44327.0</v>
      </c>
      <c r="C5405" s="62" t="s">
        <v>119</v>
      </c>
      <c r="D5405" s="64">
        <v>47.5</v>
      </c>
      <c r="E5405" s="62" t="s">
        <v>109</v>
      </c>
      <c r="F5405" s="62" t="s">
        <v>110</v>
      </c>
      <c r="G5405" s="64" t="s">
        <v>63</v>
      </c>
      <c r="H5405" s="3" t="s">
        <v>183</v>
      </c>
      <c r="I5405" s="65">
        <f>IFERROR(VLOOKUP(A5405,'3. Call duration'!$A:$C,3,0),"--")</f>
        <v>28.23478283</v>
      </c>
      <c r="J5405" s="65" t="str">
        <f t="array" ref="J5405">XLOOKUP(H5405,'2. Matching'!$A$2:$A$39,'2. Matching'!$B$2:$B$39,"--")</f>
        <v>SEO</v>
      </c>
      <c r="K5405" s="65" t="str">
        <f t="shared" si="1"/>
        <v>In</v>
      </c>
    </row>
    <row r="5406">
      <c r="A5406" s="62" t="s">
        <v>5544</v>
      </c>
      <c r="B5406" s="63">
        <v>44375.0</v>
      </c>
      <c r="C5406" s="62" t="s">
        <v>119</v>
      </c>
      <c r="D5406" s="64">
        <v>47.5</v>
      </c>
      <c r="E5406" s="62" t="s">
        <v>109</v>
      </c>
      <c r="F5406" s="62" t="s">
        <v>110</v>
      </c>
      <c r="G5406" s="64" t="s">
        <v>59</v>
      </c>
      <c r="H5406" s="3" t="s">
        <v>68</v>
      </c>
      <c r="I5406" s="65">
        <f>IFERROR(VLOOKUP(A5406,'3. Call duration'!$A:$C,3,0),"--")</f>
        <v>20.01318076</v>
      </c>
      <c r="J5406" s="65" t="str">
        <f t="array" ref="J5406">XLOOKUP(H5406,'2. Matching'!$A$2:$A$39,'2. Matching'!$B$2:$B$39,"--")</f>
        <v>Acquisition</v>
      </c>
      <c r="K5406" s="65" t="str">
        <f t="shared" si="1"/>
        <v>In</v>
      </c>
    </row>
    <row r="5407">
      <c r="A5407" s="62" t="s">
        <v>5545</v>
      </c>
      <c r="B5407" s="63">
        <v>44344.0</v>
      </c>
      <c r="C5407" s="62" t="s">
        <v>119</v>
      </c>
      <c r="D5407" s="64">
        <v>47.5</v>
      </c>
      <c r="E5407" s="62" t="s">
        <v>109</v>
      </c>
      <c r="F5407" s="62" t="s">
        <v>115</v>
      </c>
      <c r="G5407" s="64" t="s">
        <v>63</v>
      </c>
      <c r="H5407" s="3" t="s">
        <v>189</v>
      </c>
      <c r="I5407" s="65">
        <f>IFERROR(VLOOKUP(A5407,'3. Call duration'!$A:$C,3,0),"--")</f>
        <v>28.25285235</v>
      </c>
      <c r="J5407" s="65" t="str">
        <f t="array" ref="J5407">XLOOKUP(H5407,'2. Matching'!$A$2:$A$39,'2. Matching'!$B$2:$B$39,"--")</f>
        <v>SEO</v>
      </c>
      <c r="K5407" s="65" t="str">
        <f t="shared" si="1"/>
        <v>Out</v>
      </c>
    </row>
    <row r="5408">
      <c r="A5408" s="62" t="s">
        <v>5546</v>
      </c>
      <c r="B5408" s="63">
        <v>44377.0</v>
      </c>
      <c r="C5408" s="62" t="s">
        <v>119</v>
      </c>
      <c r="D5408" s="64">
        <v>47.5</v>
      </c>
      <c r="E5408" s="62" t="s">
        <v>109</v>
      </c>
      <c r="F5408" s="62" t="s">
        <v>115</v>
      </c>
      <c r="G5408" s="64" t="s">
        <v>63</v>
      </c>
      <c r="H5408" s="3" t="s">
        <v>124</v>
      </c>
      <c r="I5408" s="65">
        <f>IFERROR(VLOOKUP(A5408,'3. Call duration'!$A:$C,3,0),"--")</f>
        <v>23.21071193</v>
      </c>
      <c r="J5408" s="65" t="str">
        <f t="array" ref="J5408">XLOOKUP(H5408,'2. Matching'!$A$2:$A$39,'2. Matching'!$B$2:$B$39,"--")</f>
        <v>Acquisition</v>
      </c>
      <c r="K5408" s="65" t="str">
        <f t="shared" si="1"/>
        <v>In</v>
      </c>
    </row>
    <row r="5409">
      <c r="A5409" s="62" t="s">
        <v>5547</v>
      </c>
      <c r="B5409" s="63">
        <v>44365.0</v>
      </c>
      <c r="C5409" s="62" t="s">
        <v>119</v>
      </c>
      <c r="D5409" s="64">
        <v>47.5</v>
      </c>
      <c r="E5409" s="62" t="s">
        <v>109</v>
      </c>
      <c r="F5409" s="62" t="s">
        <v>115</v>
      </c>
      <c r="G5409" s="64" t="s">
        <v>63</v>
      </c>
      <c r="H5409" s="3" t="s">
        <v>183</v>
      </c>
      <c r="I5409" s="65">
        <f>IFERROR(VLOOKUP(A5409,'3. Call duration'!$A:$C,3,0),"--")</f>
        <v>27.48194016</v>
      </c>
      <c r="J5409" s="65" t="str">
        <f t="array" ref="J5409">XLOOKUP(H5409,'2. Matching'!$A$2:$A$39,'2. Matching'!$B$2:$B$39,"--")</f>
        <v>SEO</v>
      </c>
      <c r="K5409" s="65" t="str">
        <f t="shared" si="1"/>
        <v>In</v>
      </c>
    </row>
    <row r="5410">
      <c r="A5410" s="62" t="s">
        <v>5548</v>
      </c>
      <c r="B5410" s="63">
        <v>44349.0</v>
      </c>
      <c r="C5410" s="62" t="s">
        <v>119</v>
      </c>
      <c r="D5410" s="64">
        <v>47.5</v>
      </c>
      <c r="E5410" s="62" t="s">
        <v>109</v>
      </c>
      <c r="F5410" s="62" t="s">
        <v>110</v>
      </c>
      <c r="G5410" s="64" t="s">
        <v>63</v>
      </c>
      <c r="H5410" s="3" t="s">
        <v>228</v>
      </c>
      <c r="I5410" s="65">
        <f>IFERROR(VLOOKUP(A5410,'3. Call duration'!$A:$C,3,0),"--")</f>
        <v>38.23807459</v>
      </c>
      <c r="J5410" s="65" t="str">
        <f t="array" ref="J5410">XLOOKUP(H5410,'2. Matching'!$A$2:$A$39,'2. Matching'!$B$2:$B$39,"--")</f>
        <v>Farming</v>
      </c>
      <c r="K5410" s="65" t="str">
        <f t="shared" si="1"/>
        <v>In</v>
      </c>
    </row>
    <row r="5411">
      <c r="A5411" s="62" t="s">
        <v>5549</v>
      </c>
      <c r="B5411" s="63">
        <v>44375.0</v>
      </c>
      <c r="C5411" s="62" t="s">
        <v>119</v>
      </c>
      <c r="D5411" s="64">
        <v>47.5</v>
      </c>
      <c r="E5411" s="62" t="s">
        <v>109</v>
      </c>
      <c r="F5411" s="62" t="s">
        <v>110</v>
      </c>
      <c r="G5411" s="64" t="s">
        <v>60</v>
      </c>
      <c r="H5411" s="3" t="s">
        <v>67</v>
      </c>
      <c r="I5411" s="65">
        <f>IFERROR(VLOOKUP(A5411,'3. Call duration'!$A:$C,3,0),"--")</f>
        <v>28.474663</v>
      </c>
      <c r="J5411" s="65" t="str">
        <f t="array" ref="J5411">XLOOKUP(H5411,'2. Matching'!$A$2:$A$39,'2. Matching'!$B$2:$B$39,"--")</f>
        <v>Acquisition</v>
      </c>
      <c r="K5411" s="65" t="str">
        <f t="shared" si="1"/>
        <v>In</v>
      </c>
    </row>
    <row r="5412">
      <c r="A5412" s="62" t="s">
        <v>5550</v>
      </c>
      <c r="B5412" s="63">
        <v>44320.0</v>
      </c>
      <c r="C5412" s="62" t="s">
        <v>119</v>
      </c>
      <c r="D5412" s="64">
        <v>47.5</v>
      </c>
      <c r="E5412" s="62" t="s">
        <v>109</v>
      </c>
      <c r="F5412" s="62" t="s">
        <v>115</v>
      </c>
      <c r="G5412" s="64" t="s">
        <v>64</v>
      </c>
      <c r="H5412" s="3" t="s">
        <v>141</v>
      </c>
      <c r="I5412" s="65">
        <f>IFERROR(VLOOKUP(A5412,'3. Call duration'!$A:$C,3,0),"--")</f>
        <v>28.25814308</v>
      </c>
      <c r="J5412" s="65" t="str">
        <f t="array" ref="J5412">XLOOKUP(H5412,'2. Matching'!$A$2:$A$39,'2. Matching'!$B$2:$B$39,"--")</f>
        <v>Acquisition</v>
      </c>
      <c r="K5412" s="65" t="str">
        <f t="shared" si="1"/>
        <v>In</v>
      </c>
    </row>
    <row r="5413">
      <c r="A5413" s="62" t="s">
        <v>5551</v>
      </c>
      <c r="B5413" s="63">
        <v>44343.0</v>
      </c>
      <c r="C5413" s="62" t="s">
        <v>119</v>
      </c>
      <c r="D5413" s="64">
        <v>47.5</v>
      </c>
      <c r="E5413" s="62" t="s">
        <v>109</v>
      </c>
      <c r="F5413" s="62" t="s">
        <v>110</v>
      </c>
      <c r="G5413" s="64" t="s">
        <v>64</v>
      </c>
      <c r="H5413" s="3" t="s">
        <v>185</v>
      </c>
      <c r="I5413" s="65">
        <f>IFERROR(VLOOKUP(A5413,'3. Call duration'!$A:$C,3,0),"--")</f>
        <v>28.33078023</v>
      </c>
      <c r="J5413" s="65" t="str">
        <f t="array" ref="J5413">XLOOKUP(H5413,'2. Matching'!$A$2:$A$39,'2. Matching'!$B$2:$B$39,"--")</f>
        <v>SEO</v>
      </c>
      <c r="K5413" s="65" t="str">
        <f t="shared" si="1"/>
        <v>In</v>
      </c>
    </row>
    <row r="5414">
      <c r="A5414" s="62" t="s">
        <v>5552</v>
      </c>
      <c r="B5414" s="63">
        <v>44334.0</v>
      </c>
      <c r="C5414" s="62" t="s">
        <v>108</v>
      </c>
      <c r="D5414" s="64">
        <v>0.0</v>
      </c>
      <c r="E5414" s="62" t="s">
        <v>109</v>
      </c>
      <c r="F5414" s="62" t="s">
        <v>115</v>
      </c>
      <c r="G5414" s="64" t="s">
        <v>64</v>
      </c>
      <c r="H5414" s="3" t="s">
        <v>139</v>
      </c>
      <c r="I5414" s="65">
        <f>IFERROR(VLOOKUP(A5414,'3. Call duration'!$A:$C,3,0),"--")</f>
        <v>28.35981473</v>
      </c>
      <c r="J5414" s="65" t="str">
        <f t="array" ref="J5414">XLOOKUP(H5414,'2. Matching'!$A$2:$A$39,'2. Matching'!$B$2:$B$39,"--")</f>
        <v>Acquisition</v>
      </c>
      <c r="K5414" s="65" t="str">
        <f t="shared" si="1"/>
        <v>In</v>
      </c>
    </row>
    <row r="5415">
      <c r="A5415" s="62" t="s">
        <v>5553</v>
      </c>
      <c r="B5415" s="63">
        <v>44354.0</v>
      </c>
      <c r="C5415" s="62" t="s">
        <v>119</v>
      </c>
      <c r="D5415" s="64">
        <v>47.5</v>
      </c>
      <c r="E5415" s="62" t="s">
        <v>109</v>
      </c>
      <c r="F5415" s="62" t="s">
        <v>115</v>
      </c>
      <c r="G5415" s="64" t="s">
        <v>59</v>
      </c>
      <c r="H5415" s="3" t="s">
        <v>68</v>
      </c>
      <c r="I5415" s="65">
        <f>IFERROR(VLOOKUP(A5415,'3. Call duration'!$A:$C,3,0),"--")</f>
        <v>25.53917438</v>
      </c>
      <c r="J5415" s="65" t="str">
        <f t="array" ref="J5415">XLOOKUP(H5415,'2. Matching'!$A$2:$A$39,'2. Matching'!$B$2:$B$39,"--")</f>
        <v>Acquisition</v>
      </c>
      <c r="K5415" s="65" t="str">
        <f t="shared" si="1"/>
        <v>In</v>
      </c>
    </row>
    <row r="5416">
      <c r="A5416" s="62" t="s">
        <v>5554</v>
      </c>
      <c r="B5416" s="63">
        <v>44327.0</v>
      </c>
      <c r="C5416" s="62" t="s">
        <v>119</v>
      </c>
      <c r="D5416" s="64">
        <v>95.0</v>
      </c>
      <c r="E5416" s="62" t="s">
        <v>114</v>
      </c>
      <c r="F5416" s="62" t="s">
        <v>115</v>
      </c>
      <c r="G5416" s="64" t="s">
        <v>64</v>
      </c>
      <c r="H5416" s="3" t="s">
        <v>175</v>
      </c>
      <c r="I5416" s="65">
        <f>IFERROR(VLOOKUP(A5416,'3. Call duration'!$A:$C,3,0),"--")</f>
        <v>28.38903932</v>
      </c>
      <c r="J5416" s="65" t="str">
        <f t="array" ref="J5416">XLOOKUP(H5416,'2. Matching'!$A$2:$A$39,'2. Matching'!$B$2:$B$39,"--")</f>
        <v>SEO</v>
      </c>
      <c r="K5416" s="65" t="str">
        <f t="shared" si="1"/>
        <v>In</v>
      </c>
    </row>
    <row r="5417">
      <c r="A5417" s="62" t="s">
        <v>5555</v>
      </c>
      <c r="B5417" s="63">
        <v>44329.0</v>
      </c>
      <c r="C5417" s="62" t="s">
        <v>119</v>
      </c>
      <c r="D5417" s="64">
        <v>47.5</v>
      </c>
      <c r="E5417" s="62" t="s">
        <v>109</v>
      </c>
      <c r="F5417" s="62" t="s">
        <v>115</v>
      </c>
      <c r="G5417" s="64" t="s">
        <v>64</v>
      </c>
      <c r="H5417" s="3" t="s">
        <v>169</v>
      </c>
      <c r="I5417" s="65">
        <f>IFERROR(VLOOKUP(A5417,'3. Call duration'!$A:$C,3,0),"--")</f>
        <v>28.39489329</v>
      </c>
      <c r="J5417" s="65" t="str">
        <f t="array" ref="J5417">XLOOKUP(H5417,'2. Matching'!$A$2:$A$39,'2. Matching'!$B$2:$B$39,"--")</f>
        <v>SEO</v>
      </c>
      <c r="K5417" s="65" t="str">
        <f t="shared" si="1"/>
        <v>In</v>
      </c>
    </row>
    <row r="5418">
      <c r="A5418" s="62" t="s">
        <v>5556</v>
      </c>
      <c r="B5418" s="63">
        <v>44358.0</v>
      </c>
      <c r="C5418" s="62" t="s">
        <v>119</v>
      </c>
      <c r="D5418" s="64">
        <v>47.5</v>
      </c>
      <c r="E5418" s="62" t="s">
        <v>109</v>
      </c>
      <c r="F5418" s="62" t="s">
        <v>110</v>
      </c>
      <c r="G5418" s="64" t="s">
        <v>64</v>
      </c>
      <c r="H5418" s="3" t="s">
        <v>297</v>
      </c>
      <c r="I5418" s="65">
        <f>IFERROR(VLOOKUP(A5418,'3. Call duration'!$A:$C,3,0),"--")</f>
        <v>48.67907311</v>
      </c>
      <c r="J5418" s="65" t="str">
        <f t="array" ref="J5418">XLOOKUP(H5418,'2. Matching'!$A$2:$A$39,'2. Matching'!$B$2:$B$39,"--")</f>
        <v>Farming</v>
      </c>
      <c r="K5418" s="65" t="str">
        <f t="shared" si="1"/>
        <v>In</v>
      </c>
    </row>
    <row r="5419">
      <c r="A5419" s="62" t="s">
        <v>5557</v>
      </c>
      <c r="B5419" s="63">
        <v>44371.0</v>
      </c>
      <c r="C5419" s="62" t="s">
        <v>119</v>
      </c>
      <c r="D5419" s="64">
        <v>47.5</v>
      </c>
      <c r="E5419" s="62" t="s">
        <v>109</v>
      </c>
      <c r="F5419" s="62" t="s">
        <v>115</v>
      </c>
      <c r="G5419" s="64" t="s">
        <v>63</v>
      </c>
      <c r="H5419" s="3" t="s">
        <v>128</v>
      </c>
      <c r="I5419" s="65">
        <f>IFERROR(VLOOKUP(A5419,'3. Call duration'!$A:$C,3,0),"--")</f>
        <v>31.57250285</v>
      </c>
      <c r="J5419" s="65" t="str">
        <f t="array" ref="J5419">XLOOKUP(H5419,'2. Matching'!$A$2:$A$39,'2. Matching'!$B$2:$B$39,"--")</f>
        <v>Acquisition</v>
      </c>
      <c r="K5419" s="65" t="str">
        <f t="shared" si="1"/>
        <v>In</v>
      </c>
    </row>
    <row r="5420">
      <c r="A5420" s="62" t="s">
        <v>5558</v>
      </c>
      <c r="B5420" s="63">
        <v>44327.0</v>
      </c>
      <c r="C5420" s="62" t="s">
        <v>108</v>
      </c>
      <c r="D5420" s="64">
        <v>0.0</v>
      </c>
      <c r="E5420" s="62" t="s">
        <v>109</v>
      </c>
      <c r="F5420" s="62" t="s">
        <v>110</v>
      </c>
      <c r="G5420" s="64" t="s">
        <v>59</v>
      </c>
      <c r="H5420" s="3" t="s">
        <v>68</v>
      </c>
      <c r="I5420" s="65">
        <f>IFERROR(VLOOKUP(A5420,'3. Call duration'!$A:$C,3,0),"--")</f>
        <v>28.40349056</v>
      </c>
      <c r="J5420" s="65" t="str">
        <f t="array" ref="J5420">XLOOKUP(H5420,'2. Matching'!$A$2:$A$39,'2. Matching'!$B$2:$B$39,"--")</f>
        <v>Acquisition</v>
      </c>
      <c r="K5420" s="65" t="str">
        <f t="shared" si="1"/>
        <v>In</v>
      </c>
    </row>
    <row r="5421">
      <c r="A5421" s="62" t="s">
        <v>5559</v>
      </c>
      <c r="B5421" s="63">
        <v>44362.0</v>
      </c>
      <c r="C5421" s="62" t="s">
        <v>119</v>
      </c>
      <c r="D5421" s="64">
        <v>47.5</v>
      </c>
      <c r="E5421" s="62" t="s">
        <v>109</v>
      </c>
      <c r="F5421" s="62" t="s">
        <v>115</v>
      </c>
      <c r="G5421" s="64" t="s">
        <v>64</v>
      </c>
      <c r="H5421" s="3" t="s">
        <v>141</v>
      </c>
      <c r="I5421" s="65">
        <f>IFERROR(VLOOKUP(A5421,'3. Call duration'!$A:$C,3,0),"--")</f>
        <v>28.60240235</v>
      </c>
      <c r="J5421" s="65" t="str">
        <f t="array" ref="J5421">XLOOKUP(H5421,'2. Matching'!$A$2:$A$39,'2. Matching'!$B$2:$B$39,"--")</f>
        <v>Acquisition</v>
      </c>
      <c r="K5421" s="65" t="str">
        <f t="shared" si="1"/>
        <v>In</v>
      </c>
    </row>
    <row r="5422">
      <c r="A5422" s="62" t="s">
        <v>5560</v>
      </c>
      <c r="B5422" s="63">
        <v>44357.0</v>
      </c>
      <c r="C5422" s="62" t="s">
        <v>119</v>
      </c>
      <c r="D5422" s="64">
        <v>47.5</v>
      </c>
      <c r="E5422" s="62" t="s">
        <v>109</v>
      </c>
      <c r="F5422" s="62" t="s">
        <v>110</v>
      </c>
      <c r="G5422" s="64" t="s">
        <v>63</v>
      </c>
      <c r="H5422" s="3" t="s">
        <v>128</v>
      </c>
      <c r="I5422" s="65">
        <f>IFERROR(VLOOKUP(A5422,'3. Call duration'!$A:$C,3,0),"--")</f>
        <v>23.97288638</v>
      </c>
      <c r="J5422" s="65" t="str">
        <f t="array" ref="J5422">XLOOKUP(H5422,'2. Matching'!$A$2:$A$39,'2. Matching'!$B$2:$B$39,"--")</f>
        <v>Acquisition</v>
      </c>
      <c r="K5422" s="65" t="str">
        <f t="shared" si="1"/>
        <v>In</v>
      </c>
    </row>
    <row r="5423">
      <c r="A5423" s="62" t="s">
        <v>5561</v>
      </c>
      <c r="B5423" s="63">
        <v>44335.0</v>
      </c>
      <c r="C5423" s="62" t="s">
        <v>119</v>
      </c>
      <c r="D5423" s="64">
        <v>95.0</v>
      </c>
      <c r="E5423" s="62" t="s">
        <v>114</v>
      </c>
      <c r="F5423" s="62" t="s">
        <v>110</v>
      </c>
      <c r="G5423" s="64" t="s">
        <v>59</v>
      </c>
      <c r="H5423" s="3" t="s">
        <v>68</v>
      </c>
      <c r="I5423" s="65">
        <f>IFERROR(VLOOKUP(A5423,'3. Call duration'!$A:$C,3,0),"--")</f>
        <v>28.4182386</v>
      </c>
      <c r="J5423" s="65" t="str">
        <f t="array" ref="J5423">XLOOKUP(H5423,'2. Matching'!$A$2:$A$39,'2. Matching'!$B$2:$B$39,"--")</f>
        <v>Acquisition</v>
      </c>
      <c r="K5423" s="65" t="str">
        <f t="shared" si="1"/>
        <v>In</v>
      </c>
    </row>
    <row r="5424">
      <c r="A5424" s="62" t="s">
        <v>5562</v>
      </c>
      <c r="B5424" s="63">
        <v>44346.0</v>
      </c>
      <c r="C5424" s="62" t="s">
        <v>119</v>
      </c>
      <c r="D5424" s="64">
        <v>95.0</v>
      </c>
      <c r="E5424" s="62" t="s">
        <v>114</v>
      </c>
      <c r="F5424" s="62" t="s">
        <v>110</v>
      </c>
      <c r="G5424" s="64" t="s">
        <v>64</v>
      </c>
      <c r="H5424" s="3" t="s">
        <v>139</v>
      </c>
      <c r="I5424" s="65">
        <f>IFERROR(VLOOKUP(A5424,'3. Call duration'!$A:$C,3,0),"--")</f>
        <v>28.42457277</v>
      </c>
      <c r="J5424" s="65" t="str">
        <f t="array" ref="J5424">XLOOKUP(H5424,'2. Matching'!$A$2:$A$39,'2. Matching'!$B$2:$B$39,"--")</f>
        <v>Acquisition</v>
      </c>
      <c r="K5424" s="65" t="str">
        <f t="shared" si="1"/>
        <v>In</v>
      </c>
    </row>
    <row r="5425">
      <c r="A5425" s="62" t="s">
        <v>5563</v>
      </c>
      <c r="B5425" s="63">
        <v>44368.0</v>
      </c>
      <c r="C5425" s="62" t="s">
        <v>119</v>
      </c>
      <c r="D5425" s="64">
        <v>47.5</v>
      </c>
      <c r="E5425" s="62" t="s">
        <v>109</v>
      </c>
      <c r="F5425" s="62" t="s">
        <v>115</v>
      </c>
      <c r="G5425" s="64" t="s">
        <v>64</v>
      </c>
      <c r="H5425" s="3" t="s">
        <v>169</v>
      </c>
      <c r="I5425" s="65">
        <f>IFERROR(VLOOKUP(A5425,'3. Call duration'!$A:$C,3,0),"--")</f>
        <v>33.33946404</v>
      </c>
      <c r="J5425" s="65" t="str">
        <f t="array" ref="J5425">XLOOKUP(H5425,'2. Matching'!$A$2:$A$39,'2. Matching'!$B$2:$B$39,"--")</f>
        <v>SEO</v>
      </c>
      <c r="K5425" s="65" t="str">
        <f t="shared" si="1"/>
        <v>In</v>
      </c>
    </row>
    <row r="5426">
      <c r="A5426" s="62" t="s">
        <v>5564</v>
      </c>
      <c r="B5426" s="63">
        <v>44355.0</v>
      </c>
      <c r="C5426" s="62" t="s">
        <v>119</v>
      </c>
      <c r="D5426" s="64">
        <v>47.5</v>
      </c>
      <c r="E5426" s="62" t="s">
        <v>109</v>
      </c>
      <c r="F5426" s="62" t="s">
        <v>110</v>
      </c>
      <c r="G5426" s="64" t="s">
        <v>60</v>
      </c>
      <c r="H5426" s="3" t="s">
        <v>67</v>
      </c>
      <c r="I5426" s="65">
        <f>IFERROR(VLOOKUP(A5426,'3. Call duration'!$A:$C,3,0),"--")</f>
        <v>28.78804759</v>
      </c>
      <c r="J5426" s="65" t="str">
        <f t="array" ref="J5426">XLOOKUP(H5426,'2. Matching'!$A$2:$A$39,'2. Matching'!$B$2:$B$39,"--")</f>
        <v>Acquisition</v>
      </c>
      <c r="K5426" s="65" t="str">
        <f t="shared" si="1"/>
        <v>In</v>
      </c>
    </row>
    <row r="5427">
      <c r="A5427" s="62" t="s">
        <v>5565</v>
      </c>
      <c r="B5427" s="63">
        <v>44327.0</v>
      </c>
      <c r="C5427" s="62" t="s">
        <v>119</v>
      </c>
      <c r="D5427" s="64">
        <v>47.5</v>
      </c>
      <c r="E5427" s="62" t="s">
        <v>109</v>
      </c>
      <c r="F5427" s="62" t="s">
        <v>115</v>
      </c>
      <c r="G5427" s="64" t="s">
        <v>64</v>
      </c>
      <c r="H5427" s="3" t="s">
        <v>169</v>
      </c>
      <c r="I5427" s="65">
        <f>IFERROR(VLOOKUP(A5427,'3. Call duration'!$A:$C,3,0),"--")</f>
        <v>28.48945385</v>
      </c>
      <c r="J5427" s="65" t="str">
        <f t="array" ref="J5427">XLOOKUP(H5427,'2. Matching'!$A$2:$A$39,'2. Matching'!$B$2:$B$39,"--")</f>
        <v>SEO</v>
      </c>
      <c r="K5427" s="65" t="str">
        <f t="shared" si="1"/>
        <v>In</v>
      </c>
    </row>
    <row r="5428">
      <c r="A5428" s="62" t="s">
        <v>5566</v>
      </c>
      <c r="B5428" s="63">
        <v>44358.0</v>
      </c>
      <c r="C5428" s="62" t="s">
        <v>119</v>
      </c>
      <c r="D5428" s="64">
        <v>47.5</v>
      </c>
      <c r="E5428" s="62" t="s">
        <v>109</v>
      </c>
      <c r="F5428" s="62" t="s">
        <v>115</v>
      </c>
      <c r="G5428" s="64" t="s">
        <v>64</v>
      </c>
      <c r="H5428" s="3" t="s">
        <v>221</v>
      </c>
      <c r="I5428" s="65">
        <f>IFERROR(VLOOKUP(A5428,'3. Call duration'!$A:$C,3,0),"--")</f>
        <v>46.96428047</v>
      </c>
      <c r="J5428" s="65" t="str">
        <f t="array" ref="J5428">XLOOKUP(H5428,'2. Matching'!$A$2:$A$39,'2. Matching'!$B$2:$B$39,"--")</f>
        <v>Farming</v>
      </c>
      <c r="K5428" s="65" t="str">
        <f t="shared" si="1"/>
        <v>In</v>
      </c>
    </row>
    <row r="5429">
      <c r="A5429" s="62" t="s">
        <v>5567</v>
      </c>
      <c r="B5429" s="63">
        <v>44376.0</v>
      </c>
      <c r="C5429" s="62" t="s">
        <v>119</v>
      </c>
      <c r="D5429" s="64">
        <v>47.5</v>
      </c>
      <c r="E5429" s="62" t="s">
        <v>109</v>
      </c>
      <c r="F5429" s="62" t="s">
        <v>110</v>
      </c>
      <c r="G5429" s="64" t="s">
        <v>61</v>
      </c>
      <c r="H5429" s="3" t="s">
        <v>67</v>
      </c>
      <c r="I5429" s="65">
        <f>IFERROR(VLOOKUP(A5429,'3. Call duration'!$A:$C,3,0),"--")</f>
        <v>14.03822238</v>
      </c>
      <c r="J5429" s="65" t="str">
        <f t="array" ref="J5429">XLOOKUP(H5429,'2. Matching'!$A$2:$A$39,'2. Matching'!$B$2:$B$39,"--")</f>
        <v>Acquisition</v>
      </c>
      <c r="K5429" s="65" t="str">
        <f t="shared" si="1"/>
        <v>In</v>
      </c>
    </row>
    <row r="5430">
      <c r="A5430" s="62" t="s">
        <v>5568</v>
      </c>
      <c r="B5430" s="63">
        <v>44325.0</v>
      </c>
      <c r="C5430" s="62" t="s">
        <v>108</v>
      </c>
      <c r="D5430" s="64">
        <v>0.0</v>
      </c>
      <c r="E5430" s="62" t="s">
        <v>109</v>
      </c>
      <c r="F5430" s="62" t="s">
        <v>110</v>
      </c>
      <c r="G5430" s="64" t="s">
        <v>59</v>
      </c>
      <c r="H5430" s="3" t="s">
        <v>68</v>
      </c>
      <c r="I5430" s="65">
        <f>IFERROR(VLOOKUP(A5430,'3. Call duration'!$A:$C,3,0),"--")</f>
        <v>28.49353632</v>
      </c>
      <c r="J5430" s="65" t="str">
        <f t="array" ref="J5430">XLOOKUP(H5430,'2. Matching'!$A$2:$A$39,'2. Matching'!$B$2:$B$39,"--")</f>
        <v>Acquisition</v>
      </c>
      <c r="K5430" s="65" t="str">
        <f t="shared" si="1"/>
        <v>In</v>
      </c>
    </row>
    <row r="5431">
      <c r="A5431" s="62" t="s">
        <v>5569</v>
      </c>
      <c r="B5431" s="63">
        <v>44349.0</v>
      </c>
      <c r="C5431" s="62" t="s">
        <v>119</v>
      </c>
      <c r="D5431" s="64">
        <v>47.5</v>
      </c>
      <c r="E5431" s="62" t="s">
        <v>109</v>
      </c>
      <c r="F5431" s="62" t="s">
        <v>115</v>
      </c>
      <c r="G5431" s="64" t="s">
        <v>63</v>
      </c>
      <c r="H5431" s="3" t="s">
        <v>228</v>
      </c>
      <c r="I5431" s="65">
        <f>IFERROR(VLOOKUP(A5431,'3. Call duration'!$A:$C,3,0),"--")</f>
        <v>20.36375566</v>
      </c>
      <c r="J5431" s="65" t="str">
        <f t="array" ref="J5431">XLOOKUP(H5431,'2. Matching'!$A$2:$A$39,'2. Matching'!$B$2:$B$39,"--")</f>
        <v>Farming</v>
      </c>
      <c r="K5431" s="65" t="str">
        <f t="shared" si="1"/>
        <v>In</v>
      </c>
    </row>
    <row r="5432">
      <c r="A5432" s="62" t="s">
        <v>5570</v>
      </c>
      <c r="B5432" s="63">
        <v>44343.0</v>
      </c>
      <c r="C5432" s="62" t="s">
        <v>119</v>
      </c>
      <c r="D5432" s="64">
        <v>95.0</v>
      </c>
      <c r="E5432" s="62" t="s">
        <v>114</v>
      </c>
      <c r="F5432" s="62" t="s">
        <v>110</v>
      </c>
      <c r="G5432" s="64" t="s">
        <v>63</v>
      </c>
      <c r="H5432" s="3" t="s">
        <v>183</v>
      </c>
      <c r="I5432" s="65">
        <f>IFERROR(VLOOKUP(A5432,'3. Call duration'!$A:$C,3,0),"--")</f>
        <v>28.521408</v>
      </c>
      <c r="J5432" s="65" t="str">
        <f t="array" ref="J5432">XLOOKUP(H5432,'2. Matching'!$A$2:$A$39,'2. Matching'!$B$2:$B$39,"--")</f>
        <v>SEO</v>
      </c>
      <c r="K5432" s="65" t="str">
        <f t="shared" si="1"/>
        <v>In</v>
      </c>
    </row>
    <row r="5433">
      <c r="A5433" s="62" t="s">
        <v>5571</v>
      </c>
      <c r="B5433" s="63">
        <v>44350.0</v>
      </c>
      <c r="C5433" s="62" t="s">
        <v>119</v>
      </c>
      <c r="D5433" s="64">
        <v>47.5</v>
      </c>
      <c r="E5433" s="62" t="s">
        <v>109</v>
      </c>
      <c r="F5433" s="62" t="s">
        <v>115</v>
      </c>
      <c r="G5433" s="64" t="s">
        <v>64</v>
      </c>
      <c r="H5433" s="3" t="s">
        <v>169</v>
      </c>
      <c r="I5433" s="65">
        <f>IFERROR(VLOOKUP(A5433,'3. Call duration'!$A:$C,3,0),"--")</f>
        <v>41.01055769</v>
      </c>
      <c r="J5433" s="65" t="str">
        <f t="array" ref="J5433">XLOOKUP(H5433,'2. Matching'!$A$2:$A$39,'2. Matching'!$B$2:$B$39,"--")</f>
        <v>SEO</v>
      </c>
      <c r="K5433" s="65" t="str">
        <f t="shared" si="1"/>
        <v>In</v>
      </c>
    </row>
    <row r="5434">
      <c r="A5434" s="62" t="s">
        <v>5572</v>
      </c>
      <c r="B5434" s="63">
        <v>44330.0</v>
      </c>
      <c r="C5434" s="62" t="s">
        <v>119</v>
      </c>
      <c r="D5434" s="64">
        <v>47.5</v>
      </c>
      <c r="E5434" s="62" t="s">
        <v>109</v>
      </c>
      <c r="F5434" s="62" t="s">
        <v>115</v>
      </c>
      <c r="G5434" s="64" t="s">
        <v>64</v>
      </c>
      <c r="H5434" s="3" t="s">
        <v>169</v>
      </c>
      <c r="I5434" s="65">
        <f>IFERROR(VLOOKUP(A5434,'3. Call duration'!$A:$C,3,0),"--")</f>
        <v>28.53289492</v>
      </c>
      <c r="J5434" s="65" t="str">
        <f t="array" ref="J5434">XLOOKUP(H5434,'2. Matching'!$A$2:$A$39,'2. Matching'!$B$2:$B$39,"--")</f>
        <v>SEO</v>
      </c>
      <c r="K5434" s="65" t="str">
        <f t="shared" si="1"/>
        <v>In</v>
      </c>
    </row>
    <row r="5435">
      <c r="A5435" s="62" t="s">
        <v>5573</v>
      </c>
      <c r="B5435" s="63">
        <v>44349.0</v>
      </c>
      <c r="C5435" s="62" t="s">
        <v>119</v>
      </c>
      <c r="D5435" s="64">
        <v>47.5</v>
      </c>
      <c r="E5435" s="62" t="s">
        <v>109</v>
      </c>
      <c r="F5435" s="62" t="s">
        <v>110</v>
      </c>
      <c r="G5435" s="64" t="s">
        <v>63</v>
      </c>
      <c r="H5435" s="3" t="s">
        <v>228</v>
      </c>
      <c r="I5435" s="65">
        <f>IFERROR(VLOOKUP(A5435,'3. Call duration'!$A:$C,3,0),"--")</f>
        <v>23.93968021</v>
      </c>
      <c r="J5435" s="65" t="str">
        <f t="array" ref="J5435">XLOOKUP(H5435,'2. Matching'!$A$2:$A$39,'2. Matching'!$B$2:$B$39,"--")</f>
        <v>Farming</v>
      </c>
      <c r="K5435" s="65" t="str">
        <f t="shared" si="1"/>
        <v>In</v>
      </c>
    </row>
    <row r="5436">
      <c r="A5436" s="62" t="s">
        <v>5574</v>
      </c>
      <c r="B5436" s="63">
        <v>44333.0</v>
      </c>
      <c r="C5436" s="62" t="s">
        <v>119</v>
      </c>
      <c r="D5436" s="64">
        <v>47.5</v>
      </c>
      <c r="E5436" s="62" t="s">
        <v>109</v>
      </c>
      <c r="F5436" s="62" t="s">
        <v>115</v>
      </c>
      <c r="G5436" s="64" t="s">
        <v>59</v>
      </c>
      <c r="H5436" s="3" t="s">
        <v>68</v>
      </c>
      <c r="I5436" s="65">
        <f>IFERROR(VLOOKUP(A5436,'3. Call duration'!$A:$C,3,0),"--")</f>
        <v>28.57791589</v>
      </c>
      <c r="J5436" s="65" t="str">
        <f t="array" ref="J5436">XLOOKUP(H5436,'2. Matching'!$A$2:$A$39,'2. Matching'!$B$2:$B$39,"--")</f>
        <v>Acquisition</v>
      </c>
      <c r="K5436" s="65" t="str">
        <f t="shared" si="1"/>
        <v>In</v>
      </c>
    </row>
    <row r="5437">
      <c r="A5437" s="62" t="s">
        <v>5575</v>
      </c>
      <c r="B5437" s="63">
        <v>44377.0</v>
      </c>
      <c r="C5437" s="62" t="s">
        <v>119</v>
      </c>
      <c r="D5437" s="64">
        <v>47.5</v>
      </c>
      <c r="E5437" s="62" t="s">
        <v>109</v>
      </c>
      <c r="F5437" s="62" t="s">
        <v>115</v>
      </c>
      <c r="G5437" s="64" t="s">
        <v>64</v>
      </c>
      <c r="H5437" s="3" t="s">
        <v>297</v>
      </c>
      <c r="I5437" s="65">
        <f>IFERROR(VLOOKUP(A5437,'3. Call duration'!$A:$C,3,0),"--")</f>
        <v>22.16931653</v>
      </c>
      <c r="J5437" s="65" t="str">
        <f t="array" ref="J5437">XLOOKUP(H5437,'2. Matching'!$A$2:$A$39,'2. Matching'!$B$2:$B$39,"--")</f>
        <v>Farming</v>
      </c>
      <c r="K5437" s="65" t="str">
        <f t="shared" si="1"/>
        <v>In</v>
      </c>
    </row>
    <row r="5438">
      <c r="A5438" s="62" t="s">
        <v>5576</v>
      </c>
      <c r="B5438" s="63">
        <v>44321.0</v>
      </c>
      <c r="C5438" s="62" t="s">
        <v>119</v>
      </c>
      <c r="D5438" s="64">
        <v>47.5</v>
      </c>
      <c r="E5438" s="62" t="s">
        <v>109</v>
      </c>
      <c r="F5438" s="62" t="s">
        <v>115</v>
      </c>
      <c r="G5438" s="64" t="s">
        <v>64</v>
      </c>
      <c r="H5438" s="3" t="s">
        <v>221</v>
      </c>
      <c r="I5438" s="65">
        <f>IFERROR(VLOOKUP(A5438,'3. Call duration'!$A:$C,3,0),"--")</f>
        <v>28.6355738</v>
      </c>
      <c r="J5438" s="65" t="str">
        <f t="array" ref="J5438">XLOOKUP(H5438,'2. Matching'!$A$2:$A$39,'2. Matching'!$B$2:$B$39,"--")</f>
        <v>Farming</v>
      </c>
      <c r="K5438" s="65" t="str">
        <f t="shared" si="1"/>
        <v>In</v>
      </c>
    </row>
    <row r="5439">
      <c r="A5439" s="62" t="s">
        <v>5577</v>
      </c>
      <c r="B5439" s="63">
        <v>44358.0</v>
      </c>
      <c r="C5439" s="62" t="s">
        <v>119</v>
      </c>
      <c r="D5439" s="64">
        <v>47.5</v>
      </c>
      <c r="E5439" s="62" t="s">
        <v>109</v>
      </c>
      <c r="F5439" s="62" t="s">
        <v>115</v>
      </c>
      <c r="G5439" s="64" t="s">
        <v>64</v>
      </c>
      <c r="H5439" s="3" t="s">
        <v>55</v>
      </c>
      <c r="I5439" s="65">
        <f>IFERROR(VLOOKUP(A5439,'3. Call duration'!$A:$C,3,0),"--")</f>
        <v>22.02657155</v>
      </c>
      <c r="J5439" s="65" t="str">
        <f t="array" ref="J5439">XLOOKUP(H5439,'2. Matching'!$A$2:$A$39,'2. Matching'!$B$2:$B$39,"--")</f>
        <v>Partnerships</v>
      </c>
      <c r="K5439" s="65" t="str">
        <f t="shared" si="1"/>
        <v>In</v>
      </c>
    </row>
    <row r="5440">
      <c r="A5440" s="62" t="s">
        <v>5578</v>
      </c>
      <c r="B5440" s="63">
        <v>44335.0</v>
      </c>
      <c r="C5440" s="62" t="s">
        <v>119</v>
      </c>
      <c r="D5440" s="64">
        <v>47.5</v>
      </c>
      <c r="E5440" s="62" t="s">
        <v>109</v>
      </c>
      <c r="F5440" s="62" t="s">
        <v>110</v>
      </c>
      <c r="G5440" s="64" t="s">
        <v>59</v>
      </c>
      <c r="H5440" s="3" t="s">
        <v>68</v>
      </c>
      <c r="I5440" s="65">
        <f>IFERROR(VLOOKUP(A5440,'3. Call duration'!$A:$C,3,0),"--")</f>
        <v>28.657328</v>
      </c>
      <c r="J5440" s="65" t="str">
        <f t="array" ref="J5440">XLOOKUP(H5440,'2. Matching'!$A$2:$A$39,'2. Matching'!$B$2:$B$39,"--")</f>
        <v>Acquisition</v>
      </c>
      <c r="K5440" s="65" t="str">
        <f t="shared" si="1"/>
        <v>In</v>
      </c>
    </row>
    <row r="5441">
      <c r="A5441" s="62" t="s">
        <v>5579</v>
      </c>
      <c r="B5441" s="63">
        <v>44372.0</v>
      </c>
      <c r="C5441" s="62" t="s">
        <v>119</v>
      </c>
      <c r="D5441" s="64">
        <v>47.5</v>
      </c>
      <c r="E5441" s="62" t="s">
        <v>109</v>
      </c>
      <c r="F5441" s="62" t="s">
        <v>115</v>
      </c>
      <c r="G5441" s="64" t="s">
        <v>112</v>
      </c>
      <c r="H5441" s="3"/>
      <c r="I5441" s="65">
        <f>IFERROR(VLOOKUP(A5441,'3. Call duration'!$A:$C,3,0),"--")</f>
        <v>29.98436757</v>
      </c>
      <c r="J5441" s="65" t="str">
        <f t="array" ref="J5441">XLOOKUP(H5441,'2. Matching'!$A$2:$A$39,'2. Matching'!$B$2:$B$39,"--")</f>
        <v>--</v>
      </c>
      <c r="K5441" s="65" t="str">
        <f t="shared" si="1"/>
        <v>In</v>
      </c>
    </row>
    <row r="5442">
      <c r="A5442" s="62" t="s">
        <v>5580</v>
      </c>
      <c r="B5442" s="63">
        <v>44355.0</v>
      </c>
      <c r="C5442" s="62" t="s">
        <v>119</v>
      </c>
      <c r="D5442" s="64">
        <v>47.5</v>
      </c>
      <c r="E5442" s="62" t="s">
        <v>109</v>
      </c>
      <c r="F5442" s="62" t="s">
        <v>115</v>
      </c>
      <c r="G5442" s="64" t="s">
        <v>64</v>
      </c>
      <c r="H5442" s="3" t="s">
        <v>139</v>
      </c>
      <c r="I5442" s="65">
        <f>IFERROR(VLOOKUP(A5442,'3. Call duration'!$A:$C,3,0),"--")</f>
        <v>32.59563267</v>
      </c>
      <c r="J5442" s="65" t="str">
        <f t="array" ref="J5442">XLOOKUP(H5442,'2. Matching'!$A$2:$A$39,'2. Matching'!$B$2:$B$39,"--")</f>
        <v>Acquisition</v>
      </c>
      <c r="K5442" s="65" t="str">
        <f t="shared" si="1"/>
        <v>In</v>
      </c>
    </row>
    <row r="5443">
      <c r="A5443" s="62" t="s">
        <v>5581</v>
      </c>
      <c r="B5443" s="63">
        <v>44372.0</v>
      </c>
      <c r="C5443" s="62" t="s">
        <v>119</v>
      </c>
      <c r="D5443" s="64">
        <v>47.5</v>
      </c>
      <c r="E5443" s="62" t="s">
        <v>109</v>
      </c>
      <c r="F5443" s="62" t="s">
        <v>115</v>
      </c>
      <c r="G5443" s="64" t="s">
        <v>64</v>
      </c>
      <c r="H5443" s="3" t="s">
        <v>171</v>
      </c>
      <c r="I5443" s="65">
        <f>IFERROR(VLOOKUP(A5443,'3. Call duration'!$A:$C,3,0),"--")</f>
        <v>28.97202503</v>
      </c>
      <c r="J5443" s="65" t="str">
        <f t="array" ref="J5443">XLOOKUP(H5443,'2. Matching'!$A$2:$A$39,'2. Matching'!$B$2:$B$39,"--")</f>
        <v>SEO</v>
      </c>
      <c r="K5443" s="65" t="str">
        <f t="shared" si="1"/>
        <v>In</v>
      </c>
    </row>
    <row r="5444">
      <c r="A5444" s="62" t="s">
        <v>5582</v>
      </c>
      <c r="B5444" s="63">
        <v>44329.0</v>
      </c>
      <c r="C5444" s="62" t="s">
        <v>119</v>
      </c>
      <c r="D5444" s="64">
        <v>47.5</v>
      </c>
      <c r="E5444" s="62" t="s">
        <v>109</v>
      </c>
      <c r="F5444" s="62" t="s">
        <v>115</v>
      </c>
      <c r="G5444" s="64" t="s">
        <v>64</v>
      </c>
      <c r="H5444" s="3" t="s">
        <v>185</v>
      </c>
      <c r="I5444" s="65">
        <f>IFERROR(VLOOKUP(A5444,'3. Call duration'!$A:$C,3,0),"--")</f>
        <v>28.66752573</v>
      </c>
      <c r="J5444" s="65" t="str">
        <f t="array" ref="J5444">XLOOKUP(H5444,'2. Matching'!$A$2:$A$39,'2. Matching'!$B$2:$B$39,"--")</f>
        <v>SEO</v>
      </c>
      <c r="K5444" s="65" t="str">
        <f t="shared" si="1"/>
        <v>In</v>
      </c>
    </row>
    <row r="5445">
      <c r="A5445" s="62" t="s">
        <v>5583</v>
      </c>
      <c r="B5445" s="63">
        <v>44355.0</v>
      </c>
      <c r="C5445" s="62" t="s">
        <v>119</v>
      </c>
      <c r="D5445" s="64">
        <v>47.5</v>
      </c>
      <c r="E5445" s="62" t="s">
        <v>109</v>
      </c>
      <c r="F5445" s="62" t="s">
        <v>115</v>
      </c>
      <c r="G5445" s="64" t="s">
        <v>64</v>
      </c>
      <c r="H5445" s="3" t="s">
        <v>141</v>
      </c>
      <c r="I5445" s="65">
        <f>IFERROR(VLOOKUP(A5445,'3. Call duration'!$A:$C,3,0),"--")</f>
        <v>46.29156464</v>
      </c>
      <c r="J5445" s="65" t="str">
        <f t="array" ref="J5445">XLOOKUP(H5445,'2. Matching'!$A$2:$A$39,'2. Matching'!$B$2:$B$39,"--")</f>
        <v>Acquisition</v>
      </c>
      <c r="K5445" s="65" t="str">
        <f t="shared" si="1"/>
        <v>In</v>
      </c>
    </row>
    <row r="5446">
      <c r="A5446" s="62" t="s">
        <v>5584</v>
      </c>
      <c r="B5446" s="63">
        <v>44358.0</v>
      </c>
      <c r="C5446" s="62" t="s">
        <v>119</v>
      </c>
      <c r="D5446" s="64">
        <v>47.5</v>
      </c>
      <c r="E5446" s="62" t="s">
        <v>109</v>
      </c>
      <c r="F5446" s="62" t="s">
        <v>115</v>
      </c>
      <c r="G5446" s="64" t="s">
        <v>64</v>
      </c>
      <c r="H5446" s="3" t="s">
        <v>171</v>
      </c>
      <c r="I5446" s="65">
        <f>IFERROR(VLOOKUP(A5446,'3. Call duration'!$A:$C,3,0),"--")</f>
        <v>21.46765444</v>
      </c>
      <c r="J5446" s="65" t="str">
        <f t="array" ref="J5446">XLOOKUP(H5446,'2. Matching'!$A$2:$A$39,'2. Matching'!$B$2:$B$39,"--")</f>
        <v>SEO</v>
      </c>
      <c r="K5446" s="65" t="str">
        <f t="shared" si="1"/>
        <v>In</v>
      </c>
    </row>
    <row r="5447">
      <c r="A5447" s="62" t="s">
        <v>5585</v>
      </c>
      <c r="B5447" s="63">
        <v>44337.0</v>
      </c>
      <c r="C5447" s="62" t="s">
        <v>119</v>
      </c>
      <c r="D5447" s="64">
        <v>47.5</v>
      </c>
      <c r="E5447" s="62" t="s">
        <v>109</v>
      </c>
      <c r="F5447" s="62" t="s">
        <v>115</v>
      </c>
      <c r="G5447" s="64" t="s">
        <v>64</v>
      </c>
      <c r="H5447" s="3" t="s">
        <v>139</v>
      </c>
      <c r="I5447" s="65">
        <f>IFERROR(VLOOKUP(A5447,'3. Call duration'!$A:$C,3,0),"--")</f>
        <v>28.67113312</v>
      </c>
      <c r="J5447" s="65" t="str">
        <f t="array" ref="J5447">XLOOKUP(H5447,'2. Matching'!$A$2:$A$39,'2. Matching'!$B$2:$B$39,"--")</f>
        <v>Acquisition</v>
      </c>
      <c r="K5447" s="65" t="str">
        <f t="shared" si="1"/>
        <v>In</v>
      </c>
    </row>
    <row r="5448">
      <c r="A5448" s="62" t="s">
        <v>5586</v>
      </c>
      <c r="B5448" s="63">
        <v>44321.0</v>
      </c>
      <c r="C5448" s="62" t="s">
        <v>119</v>
      </c>
      <c r="D5448" s="64">
        <v>47.5</v>
      </c>
      <c r="E5448" s="62" t="s">
        <v>109</v>
      </c>
      <c r="F5448" s="62" t="s">
        <v>115</v>
      </c>
      <c r="G5448" s="64" t="s">
        <v>63</v>
      </c>
      <c r="H5448" s="3" t="s">
        <v>189</v>
      </c>
      <c r="I5448" s="65">
        <f>IFERROR(VLOOKUP(A5448,'3. Call duration'!$A:$C,3,0),"--")</f>
        <v>28.69923815</v>
      </c>
      <c r="J5448" s="65" t="str">
        <f t="array" ref="J5448">XLOOKUP(H5448,'2. Matching'!$A$2:$A$39,'2. Matching'!$B$2:$B$39,"--")</f>
        <v>SEO</v>
      </c>
      <c r="K5448" s="65" t="str">
        <f t="shared" si="1"/>
        <v>Out</v>
      </c>
    </row>
    <row r="5449">
      <c r="A5449" s="62" t="s">
        <v>5587</v>
      </c>
      <c r="B5449" s="63">
        <v>44345.0</v>
      </c>
      <c r="C5449" s="62" t="s">
        <v>119</v>
      </c>
      <c r="D5449" s="64">
        <v>47.5</v>
      </c>
      <c r="E5449" s="62" t="s">
        <v>109</v>
      </c>
      <c r="F5449" s="62" t="s">
        <v>110</v>
      </c>
      <c r="G5449" s="64" t="s">
        <v>60</v>
      </c>
      <c r="H5449" s="3" t="s">
        <v>67</v>
      </c>
      <c r="I5449" s="65">
        <f>IFERROR(VLOOKUP(A5449,'3. Call duration'!$A:$C,3,0),"--")</f>
        <v>28.73157301</v>
      </c>
      <c r="J5449" s="65" t="str">
        <f t="array" ref="J5449">XLOOKUP(H5449,'2. Matching'!$A$2:$A$39,'2. Matching'!$B$2:$B$39,"--")</f>
        <v>Acquisition</v>
      </c>
      <c r="K5449" s="65" t="str">
        <f t="shared" si="1"/>
        <v>In</v>
      </c>
    </row>
    <row r="5450">
      <c r="A5450" s="62" t="s">
        <v>5588</v>
      </c>
      <c r="B5450" s="63">
        <v>44327.0</v>
      </c>
      <c r="C5450" s="62" t="s">
        <v>108</v>
      </c>
      <c r="D5450" s="64">
        <v>0.0</v>
      </c>
      <c r="E5450" s="62" t="s">
        <v>114</v>
      </c>
      <c r="F5450" s="62" t="s">
        <v>115</v>
      </c>
      <c r="G5450" s="64" t="s">
        <v>63</v>
      </c>
      <c r="H5450" s="3" t="s">
        <v>189</v>
      </c>
      <c r="I5450" s="65">
        <f>IFERROR(VLOOKUP(A5450,'3. Call duration'!$A:$C,3,0),"--")</f>
        <v>28.79358044</v>
      </c>
      <c r="J5450" s="65" t="str">
        <f t="array" ref="J5450">XLOOKUP(H5450,'2. Matching'!$A$2:$A$39,'2. Matching'!$B$2:$B$39,"--")</f>
        <v>SEO</v>
      </c>
      <c r="K5450" s="65" t="str">
        <f t="shared" si="1"/>
        <v>Out</v>
      </c>
    </row>
    <row r="5451">
      <c r="A5451" s="62" t="s">
        <v>5589</v>
      </c>
      <c r="B5451" s="63">
        <v>44342.0</v>
      </c>
      <c r="C5451" s="62" t="s">
        <v>119</v>
      </c>
      <c r="D5451" s="64">
        <v>47.5</v>
      </c>
      <c r="E5451" s="62" t="s">
        <v>109</v>
      </c>
      <c r="F5451" s="62" t="s">
        <v>115</v>
      </c>
      <c r="G5451" s="64" t="s">
        <v>63</v>
      </c>
      <c r="H5451" s="3" t="s">
        <v>183</v>
      </c>
      <c r="I5451" s="65">
        <f>IFERROR(VLOOKUP(A5451,'3. Call duration'!$A:$C,3,0),"--")</f>
        <v>28.80274709</v>
      </c>
      <c r="J5451" s="65" t="str">
        <f t="array" ref="J5451">XLOOKUP(H5451,'2. Matching'!$A$2:$A$39,'2. Matching'!$B$2:$B$39,"--")</f>
        <v>SEO</v>
      </c>
      <c r="K5451" s="65" t="str">
        <f t="shared" si="1"/>
        <v>In</v>
      </c>
    </row>
    <row r="5452">
      <c r="A5452" s="62" t="s">
        <v>5590</v>
      </c>
      <c r="B5452" s="63">
        <v>44336.0</v>
      </c>
      <c r="C5452" s="62" t="s">
        <v>119</v>
      </c>
      <c r="D5452" s="64">
        <v>47.5</v>
      </c>
      <c r="E5452" s="62" t="s">
        <v>109</v>
      </c>
      <c r="F5452" s="62" t="s">
        <v>115</v>
      </c>
      <c r="G5452" s="64" t="s">
        <v>64</v>
      </c>
      <c r="H5452" s="3" t="s">
        <v>297</v>
      </c>
      <c r="I5452" s="65">
        <f>IFERROR(VLOOKUP(A5452,'3. Call duration'!$A:$C,3,0),"--")</f>
        <v>28.82921609</v>
      </c>
      <c r="J5452" s="65" t="str">
        <f t="array" ref="J5452">XLOOKUP(H5452,'2. Matching'!$A$2:$A$39,'2. Matching'!$B$2:$B$39,"--")</f>
        <v>Farming</v>
      </c>
      <c r="K5452" s="65" t="str">
        <f t="shared" si="1"/>
        <v>In</v>
      </c>
    </row>
    <row r="5453">
      <c r="A5453" s="62" t="s">
        <v>5591</v>
      </c>
      <c r="B5453" s="63">
        <v>44371.0</v>
      </c>
      <c r="C5453" s="62" t="s">
        <v>119</v>
      </c>
      <c r="D5453" s="64">
        <v>47.5</v>
      </c>
      <c r="E5453" s="62" t="s">
        <v>109</v>
      </c>
      <c r="F5453" s="62" t="s">
        <v>115</v>
      </c>
      <c r="G5453" s="64" t="s">
        <v>63</v>
      </c>
      <c r="H5453" s="3" t="s">
        <v>189</v>
      </c>
      <c r="I5453" s="65">
        <f>IFERROR(VLOOKUP(A5453,'3. Call duration'!$A:$C,3,0),"--")</f>
        <v>25.8448487</v>
      </c>
      <c r="J5453" s="65" t="str">
        <f t="array" ref="J5453">XLOOKUP(H5453,'2. Matching'!$A$2:$A$39,'2. Matching'!$B$2:$B$39,"--")</f>
        <v>SEO</v>
      </c>
      <c r="K5453" s="65" t="str">
        <f t="shared" si="1"/>
        <v>Out</v>
      </c>
    </row>
    <row r="5454">
      <c r="A5454" s="62" t="s">
        <v>5592</v>
      </c>
      <c r="B5454" s="63">
        <v>44347.0</v>
      </c>
      <c r="C5454" s="62" t="s">
        <v>108</v>
      </c>
      <c r="D5454" s="64">
        <v>0.0</v>
      </c>
      <c r="E5454" s="62" t="s">
        <v>109</v>
      </c>
      <c r="F5454" s="62" t="s">
        <v>115</v>
      </c>
      <c r="G5454" s="64" t="s">
        <v>64</v>
      </c>
      <c r="H5454" s="3" t="s">
        <v>135</v>
      </c>
      <c r="I5454" s="65">
        <f>IFERROR(VLOOKUP(A5454,'3. Call duration'!$A:$C,3,0),"--")</f>
        <v>28.8372467</v>
      </c>
      <c r="J5454" s="65" t="str">
        <f t="array" ref="J5454">XLOOKUP(H5454,'2. Matching'!$A$2:$A$39,'2. Matching'!$B$2:$B$39,"--")</f>
        <v>Acquisition</v>
      </c>
      <c r="K5454" s="65" t="str">
        <f t="shared" si="1"/>
        <v>In</v>
      </c>
    </row>
    <row r="5455">
      <c r="A5455" s="62" t="s">
        <v>5593</v>
      </c>
      <c r="B5455" s="63">
        <v>44337.0</v>
      </c>
      <c r="C5455" s="62" t="s">
        <v>119</v>
      </c>
      <c r="D5455" s="64">
        <v>47.5</v>
      </c>
      <c r="E5455" s="62" t="s">
        <v>109</v>
      </c>
      <c r="F5455" s="62" t="s">
        <v>115</v>
      </c>
      <c r="G5455" s="64" t="s">
        <v>64</v>
      </c>
      <c r="H5455" s="3" t="s">
        <v>139</v>
      </c>
      <c r="I5455" s="65">
        <f>IFERROR(VLOOKUP(A5455,'3. Call duration'!$A:$C,3,0),"--")</f>
        <v>28.89900099</v>
      </c>
      <c r="J5455" s="65" t="str">
        <f t="array" ref="J5455">XLOOKUP(H5455,'2. Matching'!$A$2:$A$39,'2. Matching'!$B$2:$B$39,"--")</f>
        <v>Acquisition</v>
      </c>
      <c r="K5455" s="65" t="str">
        <f t="shared" si="1"/>
        <v>In</v>
      </c>
    </row>
    <row r="5456">
      <c r="A5456" s="62" t="s">
        <v>5594</v>
      </c>
      <c r="B5456" s="63">
        <v>44358.0</v>
      </c>
      <c r="C5456" s="62" t="s">
        <v>119</v>
      </c>
      <c r="D5456" s="64">
        <v>47.5</v>
      </c>
      <c r="E5456" s="62" t="s">
        <v>109</v>
      </c>
      <c r="F5456" s="62" t="s">
        <v>110</v>
      </c>
      <c r="G5456" s="64" t="s">
        <v>59</v>
      </c>
      <c r="H5456" s="3" t="s">
        <v>68</v>
      </c>
      <c r="I5456" s="65">
        <f>IFERROR(VLOOKUP(A5456,'3. Call duration'!$A:$C,3,0),"--")</f>
        <v>25.24832272</v>
      </c>
      <c r="J5456" s="65" t="str">
        <f t="array" ref="J5456">XLOOKUP(H5456,'2. Matching'!$A$2:$A$39,'2. Matching'!$B$2:$B$39,"--")</f>
        <v>Acquisition</v>
      </c>
      <c r="K5456" s="65" t="str">
        <f t="shared" si="1"/>
        <v>In</v>
      </c>
    </row>
    <row r="5457">
      <c r="A5457" s="62" t="s">
        <v>5595</v>
      </c>
      <c r="B5457" s="63">
        <v>44349.0</v>
      </c>
      <c r="C5457" s="62" t="s">
        <v>119</v>
      </c>
      <c r="D5457" s="64">
        <v>47.5</v>
      </c>
      <c r="E5457" s="62" t="s">
        <v>109</v>
      </c>
      <c r="F5457" s="62" t="s">
        <v>115</v>
      </c>
      <c r="G5457" s="64" t="s">
        <v>64</v>
      </c>
      <c r="H5457" s="3" t="s">
        <v>139</v>
      </c>
      <c r="I5457" s="65">
        <f>IFERROR(VLOOKUP(A5457,'3. Call duration'!$A:$C,3,0),"--")</f>
        <v>32.19188816</v>
      </c>
      <c r="J5457" s="65" t="str">
        <f t="array" ref="J5457">XLOOKUP(H5457,'2. Matching'!$A$2:$A$39,'2. Matching'!$B$2:$B$39,"--")</f>
        <v>Acquisition</v>
      </c>
      <c r="K5457" s="65" t="str">
        <f t="shared" si="1"/>
        <v>In</v>
      </c>
    </row>
    <row r="5458">
      <c r="A5458" s="62" t="s">
        <v>5596</v>
      </c>
      <c r="B5458" s="63">
        <v>44319.0</v>
      </c>
      <c r="C5458" s="62" t="s">
        <v>119</v>
      </c>
      <c r="D5458" s="64">
        <v>47.5</v>
      </c>
      <c r="E5458" s="62" t="s">
        <v>109</v>
      </c>
      <c r="F5458" s="62" t="s">
        <v>115</v>
      </c>
      <c r="G5458" s="64" t="s">
        <v>59</v>
      </c>
      <c r="H5458" s="3" t="s">
        <v>68</v>
      </c>
      <c r="I5458" s="65">
        <f>IFERROR(VLOOKUP(A5458,'3. Call duration'!$A:$C,3,0),"--")</f>
        <v>28.90846338</v>
      </c>
      <c r="J5458" s="65" t="str">
        <f t="array" ref="J5458">XLOOKUP(H5458,'2. Matching'!$A$2:$A$39,'2. Matching'!$B$2:$B$39,"--")</f>
        <v>Acquisition</v>
      </c>
      <c r="K5458" s="65" t="str">
        <f t="shared" si="1"/>
        <v>In</v>
      </c>
    </row>
    <row r="5459">
      <c r="A5459" s="62" t="s">
        <v>5597</v>
      </c>
      <c r="B5459" s="63">
        <v>44373.0</v>
      </c>
      <c r="C5459" s="62" t="s">
        <v>119</v>
      </c>
      <c r="D5459" s="64">
        <v>47.5</v>
      </c>
      <c r="E5459" s="62" t="s">
        <v>109</v>
      </c>
      <c r="F5459" s="62" t="s">
        <v>110</v>
      </c>
      <c r="G5459" s="64" t="s">
        <v>63</v>
      </c>
      <c r="H5459" s="3" t="s">
        <v>124</v>
      </c>
      <c r="I5459" s="65">
        <f>IFERROR(VLOOKUP(A5459,'3. Call duration'!$A:$C,3,0),"--")</f>
        <v>26.49555053</v>
      </c>
      <c r="J5459" s="65" t="str">
        <f t="array" ref="J5459">XLOOKUP(H5459,'2. Matching'!$A$2:$A$39,'2. Matching'!$B$2:$B$39,"--")</f>
        <v>Acquisition</v>
      </c>
      <c r="K5459" s="65" t="str">
        <f t="shared" si="1"/>
        <v>In</v>
      </c>
    </row>
    <row r="5460">
      <c r="A5460" s="62" t="s">
        <v>5598</v>
      </c>
      <c r="B5460" s="63">
        <v>44320.0</v>
      </c>
      <c r="C5460" s="62" t="s">
        <v>119</v>
      </c>
      <c r="D5460" s="64">
        <v>95.0</v>
      </c>
      <c r="E5460" s="62" t="s">
        <v>114</v>
      </c>
      <c r="F5460" s="62" t="s">
        <v>115</v>
      </c>
      <c r="G5460" s="64" t="s">
        <v>64</v>
      </c>
      <c r="H5460" s="3" t="s">
        <v>131</v>
      </c>
      <c r="I5460" s="65">
        <f>IFERROR(VLOOKUP(A5460,'3. Call duration'!$A:$C,3,0),"--")</f>
        <v>28.91838391</v>
      </c>
      <c r="J5460" s="65" t="str">
        <f t="array" ref="J5460">XLOOKUP(H5460,'2. Matching'!$A$2:$A$39,'2. Matching'!$B$2:$B$39,"--")</f>
        <v>Acquisition</v>
      </c>
      <c r="K5460" s="65" t="str">
        <f t="shared" si="1"/>
        <v>In</v>
      </c>
    </row>
    <row r="5461">
      <c r="A5461" s="62" t="s">
        <v>5599</v>
      </c>
      <c r="B5461" s="63">
        <v>44326.0</v>
      </c>
      <c r="C5461" s="62" t="s">
        <v>119</v>
      </c>
      <c r="D5461" s="64">
        <v>47.5</v>
      </c>
      <c r="E5461" s="62" t="s">
        <v>109</v>
      </c>
      <c r="F5461" s="62" t="s">
        <v>115</v>
      </c>
      <c r="G5461" s="64" t="s">
        <v>64</v>
      </c>
      <c r="H5461" s="3" t="s">
        <v>185</v>
      </c>
      <c r="I5461" s="65">
        <f>IFERROR(VLOOKUP(A5461,'3. Call duration'!$A:$C,3,0),"--")</f>
        <v>28.92094805</v>
      </c>
      <c r="J5461" s="65" t="str">
        <f t="array" ref="J5461">XLOOKUP(H5461,'2. Matching'!$A$2:$A$39,'2. Matching'!$B$2:$B$39,"--")</f>
        <v>SEO</v>
      </c>
      <c r="K5461" s="65" t="str">
        <f t="shared" si="1"/>
        <v>In</v>
      </c>
    </row>
    <row r="5462">
      <c r="A5462" s="62" t="s">
        <v>5600</v>
      </c>
      <c r="B5462" s="63">
        <v>44321.0</v>
      </c>
      <c r="C5462" s="62" t="s">
        <v>119</v>
      </c>
      <c r="D5462" s="64">
        <v>47.5</v>
      </c>
      <c r="E5462" s="62" t="s">
        <v>109</v>
      </c>
      <c r="F5462" s="62" t="s">
        <v>110</v>
      </c>
      <c r="G5462" s="64" t="s">
        <v>63</v>
      </c>
      <c r="H5462" s="3" t="s">
        <v>189</v>
      </c>
      <c r="I5462" s="65">
        <f>IFERROR(VLOOKUP(A5462,'3. Call duration'!$A:$C,3,0),"--")</f>
        <v>28.96381215</v>
      </c>
      <c r="J5462" s="65" t="str">
        <f t="array" ref="J5462">XLOOKUP(H5462,'2. Matching'!$A$2:$A$39,'2. Matching'!$B$2:$B$39,"--")</f>
        <v>SEO</v>
      </c>
      <c r="K5462" s="65" t="str">
        <f t="shared" si="1"/>
        <v>Out</v>
      </c>
    </row>
    <row r="5463">
      <c r="A5463" s="62" t="s">
        <v>5601</v>
      </c>
      <c r="B5463" s="63">
        <v>44344.0</v>
      </c>
      <c r="C5463" s="62" t="s">
        <v>119</v>
      </c>
      <c r="D5463" s="64">
        <v>47.5</v>
      </c>
      <c r="E5463" s="62" t="s">
        <v>109</v>
      </c>
      <c r="F5463" s="62" t="s">
        <v>115</v>
      </c>
      <c r="G5463" s="64" t="s">
        <v>64</v>
      </c>
      <c r="H5463" s="3" t="s">
        <v>139</v>
      </c>
      <c r="I5463" s="65">
        <f>IFERROR(VLOOKUP(A5463,'3. Call duration'!$A:$C,3,0),"--")</f>
        <v>28.96857144</v>
      </c>
      <c r="J5463" s="65" t="str">
        <f t="array" ref="J5463">XLOOKUP(H5463,'2. Matching'!$A$2:$A$39,'2. Matching'!$B$2:$B$39,"--")</f>
        <v>Acquisition</v>
      </c>
      <c r="K5463" s="65" t="str">
        <f t="shared" si="1"/>
        <v>In</v>
      </c>
    </row>
    <row r="5464">
      <c r="A5464" s="62" t="s">
        <v>5602</v>
      </c>
      <c r="B5464" s="63">
        <v>44344.0</v>
      </c>
      <c r="C5464" s="62" t="s">
        <v>119</v>
      </c>
      <c r="D5464" s="64">
        <v>47.5</v>
      </c>
      <c r="E5464" s="62" t="s">
        <v>109</v>
      </c>
      <c r="F5464" s="62" t="s">
        <v>110</v>
      </c>
      <c r="G5464" s="64" t="s">
        <v>64</v>
      </c>
      <c r="H5464" s="3" t="s">
        <v>116</v>
      </c>
      <c r="I5464" s="65">
        <f>IFERROR(VLOOKUP(A5464,'3. Call duration'!$A:$C,3,0),"--")</f>
        <v>29.01159099</v>
      </c>
      <c r="J5464" s="65" t="str">
        <f t="array" ref="J5464">XLOOKUP(H5464,'2. Matching'!$A$2:$A$39,'2. Matching'!$B$2:$B$39,"--")</f>
        <v>Acquisition</v>
      </c>
      <c r="K5464" s="65" t="str">
        <f t="shared" si="1"/>
        <v>In</v>
      </c>
    </row>
    <row r="5465">
      <c r="A5465" s="62" t="s">
        <v>5603</v>
      </c>
      <c r="B5465" s="63">
        <v>44326.0</v>
      </c>
      <c r="C5465" s="62" t="s">
        <v>119</v>
      </c>
      <c r="D5465" s="64">
        <v>47.5</v>
      </c>
      <c r="E5465" s="62" t="s">
        <v>109</v>
      </c>
      <c r="F5465" s="62" t="s">
        <v>110</v>
      </c>
      <c r="G5465" s="64" t="s">
        <v>64</v>
      </c>
      <c r="H5465" s="3" t="s">
        <v>145</v>
      </c>
      <c r="I5465" s="65">
        <f>IFERROR(VLOOKUP(A5465,'3. Call duration'!$A:$C,3,0),"--")</f>
        <v>29.05897336</v>
      </c>
      <c r="J5465" s="65" t="str">
        <f t="array" ref="J5465">XLOOKUP(H5465,'2. Matching'!$A$2:$A$39,'2. Matching'!$B$2:$B$39,"--")</f>
        <v>SEO</v>
      </c>
      <c r="K5465" s="65" t="str">
        <f t="shared" si="1"/>
        <v>In</v>
      </c>
    </row>
    <row r="5466">
      <c r="A5466" s="62" t="s">
        <v>5604</v>
      </c>
      <c r="B5466" s="63">
        <v>44371.0</v>
      </c>
      <c r="C5466" s="62" t="s">
        <v>119</v>
      </c>
      <c r="D5466" s="64">
        <v>47.5</v>
      </c>
      <c r="E5466" s="62" t="s">
        <v>109</v>
      </c>
      <c r="F5466" s="62" t="s">
        <v>115</v>
      </c>
      <c r="G5466" s="64" t="s">
        <v>59</v>
      </c>
      <c r="H5466" s="3" t="s">
        <v>68</v>
      </c>
      <c r="I5466" s="65">
        <f>IFERROR(VLOOKUP(A5466,'3. Call duration'!$A:$C,3,0),"--")</f>
        <v>22.02324755</v>
      </c>
      <c r="J5466" s="65" t="str">
        <f t="array" ref="J5466">XLOOKUP(H5466,'2. Matching'!$A$2:$A$39,'2. Matching'!$B$2:$B$39,"--")</f>
        <v>Acquisition</v>
      </c>
      <c r="K5466" s="65" t="str">
        <f t="shared" si="1"/>
        <v>In</v>
      </c>
    </row>
    <row r="5467">
      <c r="A5467" s="62" t="s">
        <v>5605</v>
      </c>
      <c r="B5467" s="63">
        <v>44327.0</v>
      </c>
      <c r="C5467" s="62" t="s">
        <v>119</v>
      </c>
      <c r="D5467" s="64">
        <v>47.5</v>
      </c>
      <c r="E5467" s="62" t="s">
        <v>109</v>
      </c>
      <c r="F5467" s="62" t="s">
        <v>115</v>
      </c>
      <c r="G5467" s="64" t="s">
        <v>64</v>
      </c>
      <c r="H5467" s="3" t="s">
        <v>175</v>
      </c>
      <c r="I5467" s="65">
        <f>IFERROR(VLOOKUP(A5467,'3. Call duration'!$A:$C,3,0),"--")</f>
        <v>29.10648114</v>
      </c>
      <c r="J5467" s="65" t="str">
        <f t="array" ref="J5467">XLOOKUP(H5467,'2. Matching'!$A$2:$A$39,'2. Matching'!$B$2:$B$39,"--")</f>
        <v>SEO</v>
      </c>
      <c r="K5467" s="65" t="str">
        <f t="shared" si="1"/>
        <v>In</v>
      </c>
    </row>
    <row r="5468">
      <c r="A5468" s="62" t="s">
        <v>5606</v>
      </c>
      <c r="B5468" s="63">
        <v>44335.0</v>
      </c>
      <c r="C5468" s="62" t="s">
        <v>119</v>
      </c>
      <c r="D5468" s="64">
        <v>47.5</v>
      </c>
      <c r="E5468" s="62" t="s">
        <v>109</v>
      </c>
      <c r="F5468" s="62" t="s">
        <v>110</v>
      </c>
      <c r="G5468" s="64" t="s">
        <v>64</v>
      </c>
      <c r="H5468" s="3" t="s">
        <v>185</v>
      </c>
      <c r="I5468" s="65">
        <f>IFERROR(VLOOKUP(A5468,'3. Call duration'!$A:$C,3,0),"--")</f>
        <v>29.12379251</v>
      </c>
      <c r="J5468" s="65" t="str">
        <f t="array" ref="J5468">XLOOKUP(H5468,'2. Matching'!$A$2:$A$39,'2. Matching'!$B$2:$B$39,"--")</f>
        <v>SEO</v>
      </c>
      <c r="K5468" s="65" t="str">
        <f t="shared" si="1"/>
        <v>In</v>
      </c>
    </row>
    <row r="5469">
      <c r="A5469" s="62" t="s">
        <v>5607</v>
      </c>
      <c r="B5469" s="63">
        <v>44341.0</v>
      </c>
      <c r="C5469" s="62" t="s">
        <v>119</v>
      </c>
      <c r="D5469" s="64">
        <v>47.5</v>
      </c>
      <c r="E5469" s="62" t="s">
        <v>109</v>
      </c>
      <c r="F5469" s="62" t="s">
        <v>115</v>
      </c>
      <c r="G5469" s="64" t="s">
        <v>63</v>
      </c>
      <c r="H5469" s="3" t="s">
        <v>128</v>
      </c>
      <c r="I5469" s="65">
        <f>IFERROR(VLOOKUP(A5469,'3. Call duration'!$A:$C,3,0),"--")</f>
        <v>29.12861236</v>
      </c>
      <c r="J5469" s="65" t="str">
        <f t="array" ref="J5469">XLOOKUP(H5469,'2. Matching'!$A$2:$A$39,'2. Matching'!$B$2:$B$39,"--")</f>
        <v>Acquisition</v>
      </c>
      <c r="K5469" s="65" t="str">
        <f t="shared" si="1"/>
        <v>In</v>
      </c>
    </row>
    <row r="5470">
      <c r="A5470" s="62" t="s">
        <v>5608</v>
      </c>
      <c r="B5470" s="63">
        <v>44322.0</v>
      </c>
      <c r="C5470" s="62" t="s">
        <v>119</v>
      </c>
      <c r="D5470" s="64">
        <v>47.5</v>
      </c>
      <c r="E5470" s="62" t="s">
        <v>109</v>
      </c>
      <c r="F5470" s="62" t="s">
        <v>115</v>
      </c>
      <c r="G5470" s="64" t="s">
        <v>64</v>
      </c>
      <c r="H5470" s="3" t="s">
        <v>169</v>
      </c>
      <c r="I5470" s="65">
        <f>IFERROR(VLOOKUP(A5470,'3. Call duration'!$A:$C,3,0),"--")</f>
        <v>29.13267711</v>
      </c>
      <c r="J5470" s="65" t="str">
        <f t="array" ref="J5470">XLOOKUP(H5470,'2. Matching'!$A$2:$A$39,'2. Matching'!$B$2:$B$39,"--")</f>
        <v>SEO</v>
      </c>
      <c r="K5470" s="65" t="str">
        <f t="shared" si="1"/>
        <v>In</v>
      </c>
    </row>
    <row r="5471">
      <c r="A5471" s="62" t="s">
        <v>5609</v>
      </c>
      <c r="B5471" s="63">
        <v>44320.0</v>
      </c>
      <c r="C5471" s="62" t="s">
        <v>119</v>
      </c>
      <c r="D5471" s="64">
        <v>47.5</v>
      </c>
      <c r="E5471" s="62" t="s">
        <v>109</v>
      </c>
      <c r="F5471" s="62" t="s">
        <v>115</v>
      </c>
      <c r="G5471" s="64" t="s">
        <v>64</v>
      </c>
      <c r="H5471" s="3" t="s">
        <v>139</v>
      </c>
      <c r="I5471" s="65">
        <f>IFERROR(VLOOKUP(A5471,'3. Call duration'!$A:$C,3,0),"--")</f>
        <v>29.18898512</v>
      </c>
      <c r="J5471" s="65" t="str">
        <f t="array" ref="J5471">XLOOKUP(H5471,'2. Matching'!$A$2:$A$39,'2. Matching'!$B$2:$B$39,"--")</f>
        <v>Acquisition</v>
      </c>
      <c r="K5471" s="65" t="str">
        <f t="shared" si="1"/>
        <v>In</v>
      </c>
    </row>
    <row r="5472">
      <c r="A5472" s="62" t="s">
        <v>5610</v>
      </c>
      <c r="B5472" s="63">
        <v>44343.0</v>
      </c>
      <c r="C5472" s="62" t="s">
        <v>119</v>
      </c>
      <c r="D5472" s="64">
        <v>47.5</v>
      </c>
      <c r="E5472" s="62" t="s">
        <v>109</v>
      </c>
      <c r="F5472" s="62" t="s">
        <v>115</v>
      </c>
      <c r="G5472" s="64" t="s">
        <v>64</v>
      </c>
      <c r="H5472" s="3" t="s">
        <v>135</v>
      </c>
      <c r="I5472" s="65">
        <f>IFERROR(VLOOKUP(A5472,'3. Call duration'!$A:$C,3,0),"--")</f>
        <v>29.23181318</v>
      </c>
      <c r="J5472" s="65" t="str">
        <f t="array" ref="J5472">XLOOKUP(H5472,'2. Matching'!$A$2:$A$39,'2. Matching'!$B$2:$B$39,"--")</f>
        <v>Acquisition</v>
      </c>
      <c r="K5472" s="65" t="str">
        <f t="shared" si="1"/>
        <v>In</v>
      </c>
    </row>
    <row r="5473">
      <c r="A5473" s="62" t="s">
        <v>5611</v>
      </c>
      <c r="B5473" s="63">
        <v>44327.0</v>
      </c>
      <c r="C5473" s="62" t="s">
        <v>119</v>
      </c>
      <c r="D5473" s="64">
        <v>47.5</v>
      </c>
      <c r="E5473" s="62" t="s">
        <v>109</v>
      </c>
      <c r="F5473" s="62" t="s">
        <v>110</v>
      </c>
      <c r="G5473" s="64" t="s">
        <v>64</v>
      </c>
      <c r="H5473" s="3" t="s">
        <v>145</v>
      </c>
      <c r="I5473" s="65">
        <f>IFERROR(VLOOKUP(A5473,'3. Call duration'!$A:$C,3,0),"--")</f>
        <v>29.23711026</v>
      </c>
      <c r="J5473" s="65" t="str">
        <f t="array" ref="J5473">XLOOKUP(H5473,'2. Matching'!$A$2:$A$39,'2. Matching'!$B$2:$B$39,"--")</f>
        <v>SEO</v>
      </c>
      <c r="K5473" s="65" t="str">
        <f t="shared" si="1"/>
        <v>In</v>
      </c>
    </row>
    <row r="5474">
      <c r="A5474" s="62" t="s">
        <v>5612</v>
      </c>
      <c r="B5474" s="63">
        <v>44376.0</v>
      </c>
      <c r="C5474" s="62" t="s">
        <v>119</v>
      </c>
      <c r="D5474" s="64">
        <v>47.5</v>
      </c>
      <c r="E5474" s="62" t="s">
        <v>109</v>
      </c>
      <c r="F5474" s="62" t="s">
        <v>115</v>
      </c>
      <c r="G5474" s="64" t="s">
        <v>60</v>
      </c>
      <c r="H5474" s="3" t="s">
        <v>68</v>
      </c>
      <c r="I5474" s="65">
        <f>IFERROR(VLOOKUP(A5474,'3. Call duration'!$A:$C,3,0),"--")</f>
        <v>21.8019158</v>
      </c>
      <c r="J5474" s="65" t="str">
        <f t="array" ref="J5474">XLOOKUP(H5474,'2. Matching'!$A$2:$A$39,'2. Matching'!$B$2:$B$39,"--")</f>
        <v>Acquisition</v>
      </c>
      <c r="K5474" s="65" t="str">
        <f t="shared" si="1"/>
        <v>In</v>
      </c>
    </row>
    <row r="5475">
      <c r="A5475" s="62" t="s">
        <v>5613</v>
      </c>
      <c r="B5475" s="63">
        <v>44357.0</v>
      </c>
      <c r="C5475" s="62" t="s">
        <v>119</v>
      </c>
      <c r="D5475" s="64">
        <v>47.5</v>
      </c>
      <c r="E5475" s="62" t="s">
        <v>109</v>
      </c>
      <c r="F5475" s="62" t="s">
        <v>115</v>
      </c>
      <c r="G5475" s="64" t="s">
        <v>63</v>
      </c>
      <c r="H5475" s="3" t="s">
        <v>189</v>
      </c>
      <c r="I5475" s="65">
        <f>IFERROR(VLOOKUP(A5475,'3. Call duration'!$A:$C,3,0),"--")</f>
        <v>21.96189159</v>
      </c>
      <c r="J5475" s="65" t="str">
        <f t="array" ref="J5475">XLOOKUP(H5475,'2. Matching'!$A$2:$A$39,'2. Matching'!$B$2:$B$39,"--")</f>
        <v>SEO</v>
      </c>
      <c r="K5475" s="65" t="str">
        <f t="shared" si="1"/>
        <v>Out</v>
      </c>
    </row>
    <row r="5476">
      <c r="A5476" s="62" t="s">
        <v>5614</v>
      </c>
      <c r="B5476" s="63">
        <v>44337.0</v>
      </c>
      <c r="C5476" s="62" t="s">
        <v>119</v>
      </c>
      <c r="D5476" s="64">
        <v>47.5</v>
      </c>
      <c r="E5476" s="62" t="s">
        <v>109</v>
      </c>
      <c r="F5476" s="62" t="s">
        <v>115</v>
      </c>
      <c r="G5476" s="64" t="s">
        <v>64</v>
      </c>
      <c r="H5476" s="3" t="s">
        <v>141</v>
      </c>
      <c r="I5476" s="65">
        <f>IFERROR(VLOOKUP(A5476,'3. Call duration'!$A:$C,3,0),"--")</f>
        <v>29.24599375</v>
      </c>
      <c r="J5476" s="65" t="str">
        <f t="array" ref="J5476">XLOOKUP(H5476,'2. Matching'!$A$2:$A$39,'2. Matching'!$B$2:$B$39,"--")</f>
        <v>Acquisition</v>
      </c>
      <c r="K5476" s="65" t="str">
        <f t="shared" si="1"/>
        <v>In</v>
      </c>
    </row>
    <row r="5477">
      <c r="A5477" s="62" t="s">
        <v>5615</v>
      </c>
      <c r="B5477" s="63">
        <v>44335.0</v>
      </c>
      <c r="C5477" s="62" t="s">
        <v>119</v>
      </c>
      <c r="D5477" s="64">
        <v>47.5</v>
      </c>
      <c r="E5477" s="62" t="s">
        <v>109</v>
      </c>
      <c r="F5477" s="62" t="s">
        <v>115</v>
      </c>
      <c r="G5477" s="64" t="s">
        <v>64</v>
      </c>
      <c r="H5477" s="3" t="s">
        <v>155</v>
      </c>
      <c r="I5477" s="65">
        <f>IFERROR(VLOOKUP(A5477,'3. Call duration'!$A:$C,3,0),"--")</f>
        <v>29.24924388</v>
      </c>
      <c r="J5477" s="65" t="str">
        <f t="array" ref="J5477">XLOOKUP(H5477,'2. Matching'!$A$2:$A$39,'2. Matching'!$B$2:$B$39,"--")</f>
        <v>SEO</v>
      </c>
      <c r="K5477" s="65" t="str">
        <f t="shared" si="1"/>
        <v>In</v>
      </c>
    </row>
    <row r="5478">
      <c r="A5478" s="62" t="s">
        <v>5616</v>
      </c>
      <c r="B5478" s="63">
        <v>44324.0</v>
      </c>
      <c r="C5478" s="62" t="s">
        <v>119</v>
      </c>
      <c r="D5478" s="64">
        <v>47.5</v>
      </c>
      <c r="E5478" s="62" t="s">
        <v>109</v>
      </c>
      <c r="F5478" s="62" t="s">
        <v>115</v>
      </c>
      <c r="G5478" s="64" t="s">
        <v>64</v>
      </c>
      <c r="H5478" s="3" t="s">
        <v>164</v>
      </c>
      <c r="I5478" s="65">
        <f>IFERROR(VLOOKUP(A5478,'3. Call duration'!$A:$C,3,0),"--")</f>
        <v>29.33394906</v>
      </c>
      <c r="J5478" s="65" t="str">
        <f t="array" ref="J5478">XLOOKUP(H5478,'2. Matching'!$A$2:$A$39,'2. Matching'!$B$2:$B$39,"--")</f>
        <v>SEO</v>
      </c>
      <c r="K5478" s="65" t="str">
        <f t="shared" si="1"/>
        <v>In</v>
      </c>
    </row>
    <row r="5479">
      <c r="A5479" s="62" t="s">
        <v>5617</v>
      </c>
      <c r="B5479" s="63">
        <v>44327.0</v>
      </c>
      <c r="C5479" s="62" t="s">
        <v>119</v>
      </c>
      <c r="D5479" s="64">
        <v>95.0</v>
      </c>
      <c r="E5479" s="62" t="s">
        <v>114</v>
      </c>
      <c r="F5479" s="62" t="s">
        <v>110</v>
      </c>
      <c r="G5479" s="64" t="s">
        <v>64</v>
      </c>
      <c r="H5479" s="3" t="s">
        <v>297</v>
      </c>
      <c r="I5479" s="65">
        <f>IFERROR(VLOOKUP(A5479,'3. Call duration'!$A:$C,3,0),"--")</f>
        <v>29.338085</v>
      </c>
      <c r="J5479" s="65" t="str">
        <f t="array" ref="J5479">XLOOKUP(H5479,'2. Matching'!$A$2:$A$39,'2. Matching'!$B$2:$B$39,"--")</f>
        <v>Farming</v>
      </c>
      <c r="K5479" s="65" t="str">
        <f t="shared" si="1"/>
        <v>In</v>
      </c>
    </row>
    <row r="5480">
      <c r="A5480" s="62" t="s">
        <v>5618</v>
      </c>
      <c r="B5480" s="63">
        <v>44339.0</v>
      </c>
      <c r="C5480" s="62" t="s">
        <v>119</v>
      </c>
      <c r="D5480" s="64">
        <v>47.5</v>
      </c>
      <c r="E5480" s="62" t="s">
        <v>109</v>
      </c>
      <c r="F5480" s="62" t="s">
        <v>110</v>
      </c>
      <c r="G5480" s="64" t="s">
        <v>64</v>
      </c>
      <c r="H5480" s="3" t="s">
        <v>139</v>
      </c>
      <c r="I5480" s="65">
        <f>IFERROR(VLOOKUP(A5480,'3. Call duration'!$A:$C,3,0),"--")</f>
        <v>29.35059486</v>
      </c>
      <c r="J5480" s="65" t="str">
        <f t="array" ref="J5480">XLOOKUP(H5480,'2. Matching'!$A$2:$A$39,'2. Matching'!$B$2:$B$39,"--")</f>
        <v>Acquisition</v>
      </c>
      <c r="K5480" s="65" t="str">
        <f t="shared" si="1"/>
        <v>In</v>
      </c>
    </row>
    <row r="5481">
      <c r="A5481" s="62" t="s">
        <v>5619</v>
      </c>
      <c r="B5481" s="63">
        <v>44346.0</v>
      </c>
      <c r="C5481" s="62" t="s">
        <v>119</v>
      </c>
      <c r="D5481" s="64">
        <v>47.5</v>
      </c>
      <c r="E5481" s="62" t="s">
        <v>109</v>
      </c>
      <c r="F5481" s="62" t="s">
        <v>110</v>
      </c>
      <c r="G5481" s="64" t="s">
        <v>64</v>
      </c>
      <c r="H5481" s="3" t="s">
        <v>139</v>
      </c>
      <c r="I5481" s="65">
        <f>IFERROR(VLOOKUP(A5481,'3. Call duration'!$A:$C,3,0),"--")</f>
        <v>29.3868315</v>
      </c>
      <c r="J5481" s="65" t="str">
        <f t="array" ref="J5481">XLOOKUP(H5481,'2. Matching'!$A$2:$A$39,'2. Matching'!$B$2:$B$39,"--")</f>
        <v>Acquisition</v>
      </c>
      <c r="K5481" s="65" t="str">
        <f t="shared" si="1"/>
        <v>In</v>
      </c>
    </row>
    <row r="5482">
      <c r="A5482" s="62" t="s">
        <v>5620</v>
      </c>
      <c r="B5482" s="63">
        <v>44359.0</v>
      </c>
      <c r="C5482" s="62" t="s">
        <v>119</v>
      </c>
      <c r="D5482" s="64">
        <v>47.5</v>
      </c>
      <c r="E5482" s="62" t="s">
        <v>109</v>
      </c>
      <c r="F5482" s="62" t="s">
        <v>110</v>
      </c>
      <c r="G5482" s="64" t="s">
        <v>60</v>
      </c>
      <c r="H5482" s="3" t="s">
        <v>67</v>
      </c>
      <c r="I5482" s="65">
        <f>IFERROR(VLOOKUP(A5482,'3. Call duration'!$A:$C,3,0),"--")</f>
        <v>30.42248444</v>
      </c>
      <c r="J5482" s="65" t="str">
        <f t="array" ref="J5482">XLOOKUP(H5482,'2. Matching'!$A$2:$A$39,'2. Matching'!$B$2:$B$39,"--")</f>
        <v>Acquisition</v>
      </c>
      <c r="K5482" s="65" t="str">
        <f t="shared" si="1"/>
        <v>In</v>
      </c>
    </row>
    <row r="5483">
      <c r="A5483" s="62" t="s">
        <v>5621</v>
      </c>
      <c r="B5483" s="63">
        <v>44355.0</v>
      </c>
      <c r="C5483" s="62" t="s">
        <v>119</v>
      </c>
      <c r="D5483" s="64">
        <v>47.5</v>
      </c>
      <c r="E5483" s="62" t="s">
        <v>109</v>
      </c>
      <c r="F5483" s="62" t="s">
        <v>115</v>
      </c>
      <c r="G5483" s="64" t="s">
        <v>64</v>
      </c>
      <c r="H5483" s="3" t="s">
        <v>139</v>
      </c>
      <c r="I5483" s="65">
        <f>IFERROR(VLOOKUP(A5483,'3. Call duration'!$A:$C,3,0),"--")</f>
        <v>29.89881855</v>
      </c>
      <c r="J5483" s="65" t="str">
        <f t="array" ref="J5483">XLOOKUP(H5483,'2. Matching'!$A$2:$A$39,'2. Matching'!$B$2:$B$39,"--")</f>
        <v>Acquisition</v>
      </c>
      <c r="K5483" s="65" t="str">
        <f t="shared" si="1"/>
        <v>In</v>
      </c>
    </row>
    <row r="5484">
      <c r="A5484" s="62" t="s">
        <v>5622</v>
      </c>
      <c r="B5484" s="63">
        <v>44362.0</v>
      </c>
      <c r="C5484" s="62" t="s">
        <v>119</v>
      </c>
      <c r="D5484" s="64">
        <v>47.5</v>
      </c>
      <c r="E5484" s="62" t="s">
        <v>109</v>
      </c>
      <c r="F5484" s="62" t="s">
        <v>110</v>
      </c>
      <c r="G5484" s="64" t="s">
        <v>60</v>
      </c>
      <c r="H5484" s="3" t="s">
        <v>67</v>
      </c>
      <c r="I5484" s="65">
        <f>IFERROR(VLOOKUP(A5484,'3. Call duration'!$A:$C,3,0),"--")</f>
        <v>29.34233184</v>
      </c>
      <c r="J5484" s="65" t="str">
        <f t="array" ref="J5484">XLOOKUP(H5484,'2. Matching'!$A$2:$A$39,'2. Matching'!$B$2:$B$39,"--")</f>
        <v>Acquisition</v>
      </c>
      <c r="K5484" s="65" t="str">
        <f t="shared" si="1"/>
        <v>In</v>
      </c>
    </row>
    <row r="5485">
      <c r="A5485" s="62" t="s">
        <v>5623</v>
      </c>
      <c r="B5485" s="63">
        <v>44375.0</v>
      </c>
      <c r="C5485" s="62" t="s">
        <v>119</v>
      </c>
      <c r="D5485" s="64">
        <v>47.5</v>
      </c>
      <c r="E5485" s="62" t="s">
        <v>109</v>
      </c>
      <c r="F5485" s="62" t="s">
        <v>115</v>
      </c>
      <c r="G5485" s="64" t="s">
        <v>59</v>
      </c>
      <c r="H5485" s="3" t="s">
        <v>68</v>
      </c>
      <c r="I5485" s="65">
        <f>IFERROR(VLOOKUP(A5485,'3. Call duration'!$A:$C,3,0),"--")</f>
        <v>31.93283145</v>
      </c>
      <c r="J5485" s="65" t="str">
        <f t="array" ref="J5485">XLOOKUP(H5485,'2. Matching'!$A$2:$A$39,'2. Matching'!$B$2:$B$39,"--")</f>
        <v>Acquisition</v>
      </c>
      <c r="K5485" s="65" t="str">
        <f t="shared" si="1"/>
        <v>In</v>
      </c>
    </row>
    <row r="5486">
      <c r="A5486" s="62" t="s">
        <v>5624</v>
      </c>
      <c r="B5486" s="63">
        <v>44377.0</v>
      </c>
      <c r="C5486" s="62" t="s">
        <v>119</v>
      </c>
      <c r="D5486" s="64">
        <v>47.5</v>
      </c>
      <c r="E5486" s="62" t="s">
        <v>109</v>
      </c>
      <c r="F5486" s="62" t="s">
        <v>115</v>
      </c>
      <c r="G5486" s="64" t="s">
        <v>60</v>
      </c>
      <c r="H5486" s="3" t="s">
        <v>68</v>
      </c>
      <c r="I5486" s="65">
        <f>IFERROR(VLOOKUP(A5486,'3. Call duration'!$A:$C,3,0),"--")</f>
        <v>28.05184652</v>
      </c>
      <c r="J5486" s="65" t="str">
        <f t="array" ref="J5486">XLOOKUP(H5486,'2. Matching'!$A$2:$A$39,'2. Matching'!$B$2:$B$39,"--")</f>
        <v>Acquisition</v>
      </c>
      <c r="K5486" s="65" t="str">
        <f t="shared" si="1"/>
        <v>In</v>
      </c>
    </row>
    <row r="5487">
      <c r="A5487" s="62" t="s">
        <v>5625</v>
      </c>
      <c r="B5487" s="63">
        <v>44356.0</v>
      </c>
      <c r="C5487" s="62" t="s">
        <v>119</v>
      </c>
      <c r="D5487" s="64">
        <v>47.5</v>
      </c>
      <c r="E5487" s="62" t="s">
        <v>109</v>
      </c>
      <c r="F5487" s="62" t="s">
        <v>115</v>
      </c>
      <c r="G5487" s="64" t="s">
        <v>60</v>
      </c>
      <c r="H5487" s="3" t="s">
        <v>67</v>
      </c>
      <c r="I5487" s="65">
        <f>IFERROR(VLOOKUP(A5487,'3. Call duration'!$A:$C,3,0),"--")</f>
        <v>39.21902246</v>
      </c>
      <c r="J5487" s="65" t="str">
        <f t="array" ref="J5487">XLOOKUP(H5487,'2. Matching'!$A$2:$A$39,'2. Matching'!$B$2:$B$39,"--")</f>
        <v>Acquisition</v>
      </c>
      <c r="K5487" s="65" t="str">
        <f t="shared" si="1"/>
        <v>In</v>
      </c>
    </row>
    <row r="5488">
      <c r="A5488" s="62" t="s">
        <v>5626</v>
      </c>
      <c r="B5488" s="63">
        <v>44356.0</v>
      </c>
      <c r="C5488" s="62" t="s">
        <v>119</v>
      </c>
      <c r="D5488" s="64">
        <v>47.5</v>
      </c>
      <c r="E5488" s="62" t="s">
        <v>109</v>
      </c>
      <c r="F5488" s="62" t="s">
        <v>110</v>
      </c>
      <c r="G5488" s="64" t="s">
        <v>64</v>
      </c>
      <c r="H5488" s="3" t="s">
        <v>145</v>
      </c>
      <c r="I5488" s="65" t="str">
        <f>IFERROR(VLOOKUP(A5488,'3. Call duration'!$A:$C,3,0),"--")</f>
        <v>--</v>
      </c>
      <c r="J5488" s="65" t="str">
        <f t="array" ref="J5488">XLOOKUP(H5488,'2. Matching'!$A$2:$A$39,'2. Matching'!$B$2:$B$39,"--")</f>
        <v>SEO</v>
      </c>
      <c r="K5488" s="65" t="str">
        <f t="shared" si="1"/>
        <v>In</v>
      </c>
    </row>
    <row r="5489">
      <c r="A5489" s="62" t="s">
        <v>5627</v>
      </c>
      <c r="B5489" s="63">
        <v>44342.0</v>
      </c>
      <c r="C5489" s="62" t="s">
        <v>119</v>
      </c>
      <c r="D5489" s="64">
        <v>47.5</v>
      </c>
      <c r="E5489" s="62" t="s">
        <v>109</v>
      </c>
      <c r="F5489" s="62" t="s">
        <v>115</v>
      </c>
      <c r="G5489" s="64" t="s">
        <v>64</v>
      </c>
      <c r="H5489" s="3" t="s">
        <v>169</v>
      </c>
      <c r="I5489" s="65">
        <f>IFERROR(VLOOKUP(A5489,'3. Call duration'!$A:$C,3,0),"--")</f>
        <v>29.45262846</v>
      </c>
      <c r="J5489" s="65" t="str">
        <f t="array" ref="J5489">XLOOKUP(H5489,'2. Matching'!$A$2:$A$39,'2. Matching'!$B$2:$B$39,"--")</f>
        <v>SEO</v>
      </c>
      <c r="K5489" s="65" t="str">
        <f t="shared" si="1"/>
        <v>In</v>
      </c>
    </row>
    <row r="5490">
      <c r="A5490" s="62" t="s">
        <v>5628</v>
      </c>
      <c r="B5490" s="63">
        <v>44356.0</v>
      </c>
      <c r="C5490" s="62" t="s">
        <v>119</v>
      </c>
      <c r="D5490" s="64">
        <v>47.5</v>
      </c>
      <c r="E5490" s="62" t="s">
        <v>109</v>
      </c>
      <c r="F5490" s="62" t="s">
        <v>110</v>
      </c>
      <c r="G5490" s="64" t="s">
        <v>60</v>
      </c>
      <c r="H5490" s="3" t="s">
        <v>67</v>
      </c>
      <c r="I5490" s="65">
        <f>IFERROR(VLOOKUP(A5490,'3. Call duration'!$A:$C,3,0),"--")</f>
        <v>26.59350732</v>
      </c>
      <c r="J5490" s="65" t="str">
        <f t="array" ref="J5490">XLOOKUP(H5490,'2. Matching'!$A$2:$A$39,'2. Matching'!$B$2:$B$39,"--")</f>
        <v>Acquisition</v>
      </c>
      <c r="K5490" s="65" t="str">
        <f t="shared" si="1"/>
        <v>In</v>
      </c>
    </row>
    <row r="5491">
      <c r="A5491" s="62" t="s">
        <v>5629</v>
      </c>
      <c r="B5491" s="63">
        <v>44326.0</v>
      </c>
      <c r="C5491" s="62" t="s">
        <v>119</v>
      </c>
      <c r="D5491" s="64">
        <v>47.5</v>
      </c>
      <c r="E5491" s="62" t="s">
        <v>109</v>
      </c>
      <c r="F5491" s="62" t="s">
        <v>115</v>
      </c>
      <c r="G5491" s="64" t="s">
        <v>64</v>
      </c>
      <c r="H5491" s="3" t="s">
        <v>175</v>
      </c>
      <c r="I5491" s="65">
        <f>IFERROR(VLOOKUP(A5491,'3. Call duration'!$A:$C,3,0),"--")</f>
        <v>29.48025914</v>
      </c>
      <c r="J5491" s="65" t="str">
        <f t="array" ref="J5491">XLOOKUP(H5491,'2. Matching'!$A$2:$A$39,'2. Matching'!$B$2:$B$39,"--")</f>
        <v>SEO</v>
      </c>
      <c r="K5491" s="65" t="str">
        <f t="shared" si="1"/>
        <v>In</v>
      </c>
    </row>
    <row r="5492">
      <c r="A5492" s="62" t="s">
        <v>5630</v>
      </c>
      <c r="B5492" s="63">
        <v>44342.0</v>
      </c>
      <c r="C5492" s="62" t="s">
        <v>119</v>
      </c>
      <c r="D5492" s="64">
        <v>47.5</v>
      </c>
      <c r="E5492" s="62" t="s">
        <v>109</v>
      </c>
      <c r="F5492" s="62" t="s">
        <v>115</v>
      </c>
      <c r="G5492" s="64" t="s">
        <v>64</v>
      </c>
      <c r="H5492" s="3" t="s">
        <v>116</v>
      </c>
      <c r="I5492" s="65">
        <f>IFERROR(VLOOKUP(A5492,'3. Call duration'!$A:$C,3,0),"--")</f>
        <v>29.51598328</v>
      </c>
      <c r="J5492" s="65" t="str">
        <f t="array" ref="J5492">XLOOKUP(H5492,'2. Matching'!$A$2:$A$39,'2. Matching'!$B$2:$B$39,"--")</f>
        <v>Acquisition</v>
      </c>
      <c r="K5492" s="65" t="str">
        <f t="shared" si="1"/>
        <v>In</v>
      </c>
    </row>
    <row r="5493">
      <c r="A5493" s="62" t="s">
        <v>5631</v>
      </c>
      <c r="B5493" s="63">
        <v>44377.0</v>
      </c>
      <c r="C5493" s="62" t="s">
        <v>119</v>
      </c>
      <c r="D5493" s="64">
        <v>47.5</v>
      </c>
      <c r="E5493" s="62" t="s">
        <v>109</v>
      </c>
      <c r="F5493" s="62" t="s">
        <v>115</v>
      </c>
      <c r="G5493" s="64" t="s">
        <v>64</v>
      </c>
      <c r="H5493" s="3" t="s">
        <v>185</v>
      </c>
      <c r="I5493" s="65">
        <f>IFERROR(VLOOKUP(A5493,'3. Call duration'!$A:$C,3,0),"--")</f>
        <v>44.30526068</v>
      </c>
      <c r="J5493" s="65" t="str">
        <f t="array" ref="J5493">XLOOKUP(H5493,'2. Matching'!$A$2:$A$39,'2. Matching'!$B$2:$B$39,"--")</f>
        <v>SEO</v>
      </c>
      <c r="K5493" s="65" t="str">
        <f t="shared" si="1"/>
        <v>In</v>
      </c>
    </row>
    <row r="5494">
      <c r="A5494" s="62" t="s">
        <v>5632</v>
      </c>
      <c r="B5494" s="63">
        <v>44347.0</v>
      </c>
      <c r="C5494" s="62" t="s">
        <v>119</v>
      </c>
      <c r="D5494" s="64">
        <v>47.5</v>
      </c>
      <c r="E5494" s="62" t="s">
        <v>109</v>
      </c>
      <c r="F5494" s="62" t="s">
        <v>110</v>
      </c>
      <c r="G5494" s="64" t="s">
        <v>64</v>
      </c>
      <c r="H5494" s="3" t="s">
        <v>116</v>
      </c>
      <c r="I5494" s="65">
        <f>IFERROR(VLOOKUP(A5494,'3. Call duration'!$A:$C,3,0),"--")</f>
        <v>29.51819626</v>
      </c>
      <c r="J5494" s="65" t="str">
        <f t="array" ref="J5494">XLOOKUP(H5494,'2. Matching'!$A$2:$A$39,'2. Matching'!$B$2:$B$39,"--")</f>
        <v>Acquisition</v>
      </c>
      <c r="K5494" s="65" t="str">
        <f t="shared" si="1"/>
        <v>In</v>
      </c>
    </row>
    <row r="5495">
      <c r="A5495" s="62" t="s">
        <v>5633</v>
      </c>
      <c r="B5495" s="63">
        <v>44348.0</v>
      </c>
      <c r="C5495" s="62" t="s">
        <v>119</v>
      </c>
      <c r="D5495" s="64">
        <v>47.5</v>
      </c>
      <c r="E5495" s="62" t="s">
        <v>109</v>
      </c>
      <c r="F5495" s="62" t="s">
        <v>110</v>
      </c>
      <c r="G5495" s="64" t="s">
        <v>60</v>
      </c>
      <c r="H5495" s="3" t="s">
        <v>67</v>
      </c>
      <c r="I5495" s="65">
        <f>IFERROR(VLOOKUP(A5495,'3. Call duration'!$A:$C,3,0),"--")</f>
        <v>20.45652948</v>
      </c>
      <c r="J5495" s="65" t="str">
        <f t="array" ref="J5495">XLOOKUP(H5495,'2. Matching'!$A$2:$A$39,'2. Matching'!$B$2:$B$39,"--")</f>
        <v>Acquisition</v>
      </c>
      <c r="K5495" s="65" t="str">
        <f t="shared" si="1"/>
        <v>In</v>
      </c>
    </row>
    <row r="5496">
      <c r="A5496" s="62" t="s">
        <v>5634</v>
      </c>
      <c r="B5496" s="63">
        <v>44333.0</v>
      </c>
      <c r="C5496" s="62" t="s">
        <v>119</v>
      </c>
      <c r="D5496" s="64">
        <v>47.5</v>
      </c>
      <c r="E5496" s="62" t="s">
        <v>109</v>
      </c>
      <c r="F5496" s="62" t="s">
        <v>115</v>
      </c>
      <c r="G5496" s="64" t="s">
        <v>62</v>
      </c>
      <c r="H5496" s="3" t="s">
        <v>286</v>
      </c>
      <c r="I5496" s="65">
        <f>IFERROR(VLOOKUP(A5496,'3. Call duration'!$A:$C,3,0),"--")</f>
        <v>29.59270756</v>
      </c>
      <c r="J5496" s="65" t="str">
        <f t="array" ref="J5496">XLOOKUP(H5496,'2. Matching'!$A$2:$A$39,'2. Matching'!$B$2:$B$39,"--")</f>
        <v>Farming</v>
      </c>
      <c r="K5496" s="65" t="str">
        <f t="shared" si="1"/>
        <v>In</v>
      </c>
    </row>
    <row r="5497">
      <c r="A5497" s="62" t="s">
        <v>5635</v>
      </c>
      <c r="B5497" s="63">
        <v>44328.0</v>
      </c>
      <c r="C5497" s="62" t="s">
        <v>119</v>
      </c>
      <c r="D5497" s="64">
        <v>47.5</v>
      </c>
      <c r="E5497" s="62" t="s">
        <v>109</v>
      </c>
      <c r="F5497" s="62" t="s">
        <v>115</v>
      </c>
      <c r="G5497" s="64" t="s">
        <v>64</v>
      </c>
      <c r="H5497" s="3" t="s">
        <v>164</v>
      </c>
      <c r="I5497" s="65">
        <f>IFERROR(VLOOKUP(A5497,'3. Call duration'!$A:$C,3,0),"--")</f>
        <v>29.59607394</v>
      </c>
      <c r="J5497" s="65" t="str">
        <f t="array" ref="J5497">XLOOKUP(H5497,'2. Matching'!$A$2:$A$39,'2. Matching'!$B$2:$B$39,"--")</f>
        <v>SEO</v>
      </c>
      <c r="K5497" s="65" t="str">
        <f t="shared" si="1"/>
        <v>In</v>
      </c>
    </row>
    <row r="5498">
      <c r="A5498" s="62" t="s">
        <v>5636</v>
      </c>
      <c r="B5498" s="63">
        <v>44376.0</v>
      </c>
      <c r="C5498" s="62" t="s">
        <v>119</v>
      </c>
      <c r="D5498" s="64">
        <v>47.5</v>
      </c>
      <c r="E5498" s="62" t="s">
        <v>109</v>
      </c>
      <c r="F5498" s="62" t="s">
        <v>110</v>
      </c>
      <c r="G5498" s="64" t="s">
        <v>63</v>
      </c>
      <c r="H5498" s="3" t="s">
        <v>124</v>
      </c>
      <c r="I5498" s="65">
        <f>IFERROR(VLOOKUP(A5498,'3. Call duration'!$A:$C,3,0),"--")</f>
        <v>31.31132491</v>
      </c>
      <c r="J5498" s="65" t="str">
        <f t="array" ref="J5498">XLOOKUP(H5498,'2. Matching'!$A$2:$A$39,'2. Matching'!$B$2:$B$39,"--")</f>
        <v>Acquisition</v>
      </c>
      <c r="K5498" s="65" t="str">
        <f t="shared" si="1"/>
        <v>In</v>
      </c>
    </row>
    <row r="5499">
      <c r="A5499" s="62" t="s">
        <v>5637</v>
      </c>
      <c r="B5499" s="63">
        <v>44355.0</v>
      </c>
      <c r="C5499" s="62" t="s">
        <v>119</v>
      </c>
      <c r="D5499" s="64">
        <v>47.5</v>
      </c>
      <c r="E5499" s="62" t="s">
        <v>109</v>
      </c>
      <c r="F5499" s="62" t="s">
        <v>110</v>
      </c>
      <c r="G5499" s="64" t="s">
        <v>60</v>
      </c>
      <c r="H5499" s="3" t="s">
        <v>67</v>
      </c>
      <c r="I5499" s="65">
        <f>IFERROR(VLOOKUP(A5499,'3. Call duration'!$A:$C,3,0),"--")</f>
        <v>21.98114241</v>
      </c>
      <c r="J5499" s="65" t="str">
        <f t="array" ref="J5499">XLOOKUP(H5499,'2. Matching'!$A$2:$A$39,'2. Matching'!$B$2:$B$39,"--")</f>
        <v>Acquisition</v>
      </c>
      <c r="K5499" s="65" t="str">
        <f t="shared" si="1"/>
        <v>In</v>
      </c>
    </row>
    <row r="5500">
      <c r="A5500" s="62" t="s">
        <v>5638</v>
      </c>
      <c r="B5500" s="63">
        <v>44342.0</v>
      </c>
      <c r="C5500" s="62" t="s">
        <v>119</v>
      </c>
      <c r="D5500" s="64">
        <v>47.5</v>
      </c>
      <c r="E5500" s="62" t="s">
        <v>109</v>
      </c>
      <c r="F5500" s="62" t="s">
        <v>115</v>
      </c>
      <c r="G5500" s="64" t="s">
        <v>59</v>
      </c>
      <c r="H5500" s="3" t="s">
        <v>68</v>
      </c>
      <c r="I5500" s="65">
        <f>IFERROR(VLOOKUP(A5500,'3. Call duration'!$A:$C,3,0),"--")</f>
        <v>29.62622649</v>
      </c>
      <c r="J5500" s="65" t="str">
        <f t="array" ref="J5500">XLOOKUP(H5500,'2. Matching'!$A$2:$A$39,'2. Matching'!$B$2:$B$39,"--")</f>
        <v>Acquisition</v>
      </c>
      <c r="K5500" s="65" t="str">
        <f t="shared" si="1"/>
        <v>In</v>
      </c>
    </row>
    <row r="5501">
      <c r="A5501" s="62" t="s">
        <v>5639</v>
      </c>
      <c r="B5501" s="63">
        <v>44372.0</v>
      </c>
      <c r="C5501" s="62" t="s">
        <v>119</v>
      </c>
      <c r="D5501" s="64">
        <v>47.5</v>
      </c>
      <c r="E5501" s="62" t="s">
        <v>109</v>
      </c>
      <c r="F5501" s="62" t="s">
        <v>115</v>
      </c>
      <c r="G5501" s="64" t="s">
        <v>64</v>
      </c>
      <c r="H5501" s="3" t="s">
        <v>169</v>
      </c>
      <c r="I5501" s="65">
        <f>IFERROR(VLOOKUP(A5501,'3. Call duration'!$A:$C,3,0),"--")</f>
        <v>25.41172244</v>
      </c>
      <c r="J5501" s="65" t="str">
        <f t="array" ref="J5501">XLOOKUP(H5501,'2. Matching'!$A$2:$A$39,'2. Matching'!$B$2:$B$39,"--")</f>
        <v>SEO</v>
      </c>
      <c r="K5501" s="65" t="str">
        <f t="shared" si="1"/>
        <v>In</v>
      </c>
    </row>
    <row r="5502">
      <c r="A5502" s="62" t="s">
        <v>5640</v>
      </c>
      <c r="B5502" s="63">
        <v>44375.0</v>
      </c>
      <c r="C5502" s="62" t="s">
        <v>119</v>
      </c>
      <c r="D5502" s="64">
        <v>47.5</v>
      </c>
      <c r="E5502" s="62" t="s">
        <v>109</v>
      </c>
      <c r="F5502" s="62" t="s">
        <v>115</v>
      </c>
      <c r="G5502" s="64" t="s">
        <v>64</v>
      </c>
      <c r="H5502" s="3" t="s">
        <v>139</v>
      </c>
      <c r="I5502" s="65">
        <f>IFERROR(VLOOKUP(A5502,'3. Call duration'!$A:$C,3,0),"--")</f>
        <v>12.17588199</v>
      </c>
      <c r="J5502" s="65" t="str">
        <f t="array" ref="J5502">XLOOKUP(H5502,'2. Matching'!$A$2:$A$39,'2. Matching'!$B$2:$B$39,"--")</f>
        <v>Acquisition</v>
      </c>
      <c r="K5502" s="65" t="str">
        <f t="shared" si="1"/>
        <v>In</v>
      </c>
    </row>
    <row r="5503">
      <c r="A5503" s="62" t="s">
        <v>5641</v>
      </c>
      <c r="B5503" s="63">
        <v>44342.0</v>
      </c>
      <c r="C5503" s="62" t="s">
        <v>119</v>
      </c>
      <c r="D5503" s="64">
        <v>95.0</v>
      </c>
      <c r="E5503" s="62" t="s">
        <v>114</v>
      </c>
      <c r="F5503" s="62" t="s">
        <v>110</v>
      </c>
      <c r="G5503" s="64" t="s">
        <v>64</v>
      </c>
      <c r="H5503" s="3" t="s">
        <v>297</v>
      </c>
      <c r="I5503" s="65">
        <f>IFERROR(VLOOKUP(A5503,'3. Call duration'!$A:$C,3,0),"--")</f>
        <v>29.64085985</v>
      </c>
      <c r="J5503" s="65" t="str">
        <f t="array" ref="J5503">XLOOKUP(H5503,'2. Matching'!$A$2:$A$39,'2. Matching'!$B$2:$B$39,"--")</f>
        <v>Farming</v>
      </c>
      <c r="K5503" s="65" t="str">
        <f t="shared" si="1"/>
        <v>In</v>
      </c>
    </row>
    <row r="5504">
      <c r="A5504" s="62" t="s">
        <v>5642</v>
      </c>
      <c r="B5504" s="63">
        <v>44343.0</v>
      </c>
      <c r="C5504" s="62" t="s">
        <v>119</v>
      </c>
      <c r="D5504" s="64">
        <v>47.5</v>
      </c>
      <c r="E5504" s="62" t="s">
        <v>109</v>
      </c>
      <c r="F5504" s="62" t="s">
        <v>115</v>
      </c>
      <c r="G5504" s="64" t="s">
        <v>59</v>
      </c>
      <c r="H5504" s="3" t="s">
        <v>68</v>
      </c>
      <c r="I5504" s="65">
        <f>IFERROR(VLOOKUP(A5504,'3. Call duration'!$A:$C,3,0),"--")</f>
        <v>29.67091288</v>
      </c>
      <c r="J5504" s="65" t="str">
        <f t="array" ref="J5504">XLOOKUP(H5504,'2. Matching'!$A$2:$A$39,'2. Matching'!$B$2:$B$39,"--")</f>
        <v>Acquisition</v>
      </c>
      <c r="K5504" s="65" t="str">
        <f t="shared" si="1"/>
        <v>In</v>
      </c>
    </row>
    <row r="5505">
      <c r="A5505" s="62" t="s">
        <v>5643</v>
      </c>
      <c r="B5505" s="63">
        <v>44340.0</v>
      </c>
      <c r="C5505" s="62" t="s">
        <v>119</v>
      </c>
      <c r="D5505" s="64">
        <v>95.0</v>
      </c>
      <c r="E5505" s="62" t="s">
        <v>114</v>
      </c>
      <c r="F5505" s="62" t="s">
        <v>115</v>
      </c>
      <c r="G5505" s="64" t="s">
        <v>64</v>
      </c>
      <c r="H5505" s="3" t="s">
        <v>221</v>
      </c>
      <c r="I5505" s="65">
        <f>IFERROR(VLOOKUP(A5505,'3. Call duration'!$A:$C,3,0),"--")</f>
        <v>29.70318519</v>
      </c>
      <c r="J5505" s="65" t="str">
        <f t="array" ref="J5505">XLOOKUP(H5505,'2. Matching'!$A$2:$A$39,'2. Matching'!$B$2:$B$39,"--")</f>
        <v>Farming</v>
      </c>
      <c r="K5505" s="65" t="str">
        <f t="shared" si="1"/>
        <v>In</v>
      </c>
    </row>
    <row r="5506">
      <c r="A5506" s="62" t="s">
        <v>5644</v>
      </c>
      <c r="B5506" s="63">
        <v>44375.0</v>
      </c>
      <c r="C5506" s="62" t="s">
        <v>119</v>
      </c>
      <c r="D5506" s="64">
        <v>47.5</v>
      </c>
      <c r="E5506" s="62" t="s">
        <v>109</v>
      </c>
      <c r="F5506" s="62" t="s">
        <v>110</v>
      </c>
      <c r="G5506" s="64" t="s">
        <v>63</v>
      </c>
      <c r="H5506" s="3" t="s">
        <v>183</v>
      </c>
      <c r="I5506" s="65">
        <f>IFERROR(VLOOKUP(A5506,'3. Call duration'!$A:$C,3,0),"--")</f>
        <v>35.94422668</v>
      </c>
      <c r="J5506" s="65" t="str">
        <f t="array" ref="J5506">XLOOKUP(H5506,'2. Matching'!$A$2:$A$39,'2. Matching'!$B$2:$B$39,"--")</f>
        <v>SEO</v>
      </c>
      <c r="K5506" s="65" t="str">
        <f t="shared" si="1"/>
        <v>In</v>
      </c>
    </row>
    <row r="5507">
      <c r="A5507" s="62" t="s">
        <v>5645</v>
      </c>
      <c r="B5507" s="63">
        <v>44371.0</v>
      </c>
      <c r="C5507" s="62" t="s">
        <v>119</v>
      </c>
      <c r="D5507" s="64">
        <v>47.5</v>
      </c>
      <c r="E5507" s="62" t="s">
        <v>109</v>
      </c>
      <c r="F5507" s="62" t="s">
        <v>115</v>
      </c>
      <c r="G5507" s="64" t="s">
        <v>64</v>
      </c>
      <c r="H5507" s="3" t="s">
        <v>169</v>
      </c>
      <c r="I5507" s="65">
        <f>IFERROR(VLOOKUP(A5507,'3. Call duration'!$A:$C,3,0),"--")</f>
        <v>32.1286066</v>
      </c>
      <c r="J5507" s="65" t="str">
        <f t="array" ref="J5507">XLOOKUP(H5507,'2. Matching'!$A$2:$A$39,'2. Matching'!$B$2:$B$39,"--")</f>
        <v>SEO</v>
      </c>
      <c r="K5507" s="65" t="str">
        <f t="shared" si="1"/>
        <v>In</v>
      </c>
    </row>
    <row r="5508">
      <c r="A5508" s="62" t="s">
        <v>5646</v>
      </c>
      <c r="B5508" s="63">
        <v>44368.0</v>
      </c>
      <c r="C5508" s="62" t="s">
        <v>119</v>
      </c>
      <c r="D5508" s="64">
        <v>47.5</v>
      </c>
      <c r="E5508" s="62" t="s">
        <v>109</v>
      </c>
      <c r="F5508" s="62" t="s">
        <v>115</v>
      </c>
      <c r="G5508" s="64" t="s">
        <v>64</v>
      </c>
      <c r="H5508" s="3" t="s">
        <v>54</v>
      </c>
      <c r="I5508" s="65">
        <f>IFERROR(VLOOKUP(A5508,'3. Call duration'!$A:$C,3,0),"--")</f>
        <v>22.80501084</v>
      </c>
      <c r="J5508" s="65" t="str">
        <f t="array" ref="J5508">XLOOKUP(H5508,'2. Matching'!$A$2:$A$39,'2. Matching'!$B$2:$B$39,"--")</f>
        <v>Partnerships</v>
      </c>
      <c r="K5508" s="65" t="str">
        <f t="shared" si="1"/>
        <v>In</v>
      </c>
    </row>
    <row r="5509">
      <c r="A5509" s="62" t="s">
        <v>5647</v>
      </c>
      <c r="B5509" s="63">
        <v>44334.0</v>
      </c>
      <c r="C5509" s="62" t="s">
        <v>119</v>
      </c>
      <c r="D5509" s="64">
        <v>47.5</v>
      </c>
      <c r="E5509" s="62" t="s">
        <v>109</v>
      </c>
      <c r="F5509" s="62" t="s">
        <v>110</v>
      </c>
      <c r="G5509" s="64" t="s">
        <v>63</v>
      </c>
      <c r="H5509" s="3" t="s">
        <v>189</v>
      </c>
      <c r="I5509" s="65">
        <f>IFERROR(VLOOKUP(A5509,'3. Call duration'!$A:$C,3,0),"--")</f>
        <v>29.80457094</v>
      </c>
      <c r="J5509" s="65" t="str">
        <f t="array" ref="J5509">XLOOKUP(H5509,'2. Matching'!$A$2:$A$39,'2. Matching'!$B$2:$B$39,"--")</f>
        <v>SEO</v>
      </c>
      <c r="K5509" s="65" t="str">
        <f t="shared" si="1"/>
        <v>Out</v>
      </c>
    </row>
    <row r="5510">
      <c r="A5510" s="62" t="s">
        <v>5648</v>
      </c>
      <c r="B5510" s="63">
        <v>44365.0</v>
      </c>
      <c r="C5510" s="62" t="s">
        <v>119</v>
      </c>
      <c r="D5510" s="64">
        <v>47.5</v>
      </c>
      <c r="E5510" s="62" t="s">
        <v>109</v>
      </c>
      <c r="F5510" s="62" t="s">
        <v>110</v>
      </c>
      <c r="G5510" s="64" t="s">
        <v>64</v>
      </c>
      <c r="H5510" s="3" t="s">
        <v>297</v>
      </c>
      <c r="I5510" s="65">
        <f>IFERROR(VLOOKUP(A5510,'3. Call duration'!$A:$C,3,0),"--")</f>
        <v>26.3564282</v>
      </c>
      <c r="J5510" s="65" t="str">
        <f t="array" ref="J5510">XLOOKUP(H5510,'2. Matching'!$A$2:$A$39,'2. Matching'!$B$2:$B$39,"--")</f>
        <v>Farming</v>
      </c>
      <c r="K5510" s="65" t="str">
        <f t="shared" si="1"/>
        <v>In</v>
      </c>
    </row>
    <row r="5511">
      <c r="A5511" s="62" t="s">
        <v>5649</v>
      </c>
      <c r="B5511" s="63">
        <v>44336.0</v>
      </c>
      <c r="C5511" s="62" t="s">
        <v>119</v>
      </c>
      <c r="D5511" s="64">
        <v>47.5</v>
      </c>
      <c r="E5511" s="62" t="s">
        <v>109</v>
      </c>
      <c r="F5511" s="62" t="s">
        <v>115</v>
      </c>
      <c r="G5511" s="64" t="s">
        <v>59</v>
      </c>
      <c r="H5511" s="3" t="s">
        <v>68</v>
      </c>
      <c r="I5511" s="65">
        <f>IFERROR(VLOOKUP(A5511,'3. Call duration'!$A:$C,3,0),"--")</f>
        <v>29.91947524</v>
      </c>
      <c r="J5511" s="65" t="str">
        <f t="array" ref="J5511">XLOOKUP(H5511,'2. Matching'!$A$2:$A$39,'2. Matching'!$B$2:$B$39,"--")</f>
        <v>Acquisition</v>
      </c>
      <c r="K5511" s="65" t="str">
        <f t="shared" si="1"/>
        <v>In</v>
      </c>
    </row>
    <row r="5512">
      <c r="A5512" s="62" t="s">
        <v>5650</v>
      </c>
      <c r="B5512" s="63">
        <v>44330.0</v>
      </c>
      <c r="C5512" s="62" t="s">
        <v>119</v>
      </c>
      <c r="D5512" s="64">
        <v>47.5</v>
      </c>
      <c r="E5512" s="62" t="s">
        <v>109</v>
      </c>
      <c r="F5512" s="62" t="s">
        <v>115</v>
      </c>
      <c r="G5512" s="64" t="s">
        <v>64</v>
      </c>
      <c r="H5512" s="3" t="s">
        <v>141</v>
      </c>
      <c r="I5512" s="65">
        <f>IFERROR(VLOOKUP(A5512,'3. Call duration'!$A:$C,3,0),"--")</f>
        <v>29.93352138</v>
      </c>
      <c r="J5512" s="65" t="str">
        <f t="array" ref="J5512">XLOOKUP(H5512,'2. Matching'!$A$2:$A$39,'2. Matching'!$B$2:$B$39,"--")</f>
        <v>Acquisition</v>
      </c>
      <c r="K5512" s="65" t="str">
        <f t="shared" si="1"/>
        <v>In</v>
      </c>
    </row>
    <row r="5513">
      <c r="A5513" s="62" t="s">
        <v>5651</v>
      </c>
      <c r="B5513" s="63">
        <v>44375.0</v>
      </c>
      <c r="C5513" s="62" t="s">
        <v>119</v>
      </c>
      <c r="D5513" s="64">
        <v>47.5</v>
      </c>
      <c r="E5513" s="62" t="s">
        <v>109</v>
      </c>
      <c r="F5513" s="62" t="s">
        <v>110</v>
      </c>
      <c r="G5513" s="64" t="s">
        <v>63</v>
      </c>
      <c r="H5513" s="3" t="s">
        <v>189</v>
      </c>
      <c r="I5513" s="65">
        <f>IFERROR(VLOOKUP(A5513,'3. Call duration'!$A:$C,3,0),"--")</f>
        <v>37.27172204</v>
      </c>
      <c r="J5513" s="65" t="str">
        <f t="array" ref="J5513">XLOOKUP(H5513,'2. Matching'!$A$2:$A$39,'2. Matching'!$B$2:$B$39,"--")</f>
        <v>SEO</v>
      </c>
      <c r="K5513" s="65" t="str">
        <f t="shared" si="1"/>
        <v>Out</v>
      </c>
    </row>
    <row r="5514">
      <c r="A5514" s="62" t="s">
        <v>5652</v>
      </c>
      <c r="B5514" s="63">
        <v>44323.0</v>
      </c>
      <c r="C5514" s="62" t="s">
        <v>119</v>
      </c>
      <c r="D5514" s="64">
        <v>47.5</v>
      </c>
      <c r="E5514" s="62" t="s">
        <v>109</v>
      </c>
      <c r="F5514" s="62" t="s">
        <v>115</v>
      </c>
      <c r="G5514" s="64" t="s">
        <v>59</v>
      </c>
      <c r="H5514" s="3" t="s">
        <v>68</v>
      </c>
      <c r="I5514" s="65">
        <f>IFERROR(VLOOKUP(A5514,'3. Call duration'!$A:$C,3,0),"--")</f>
        <v>29.94032123</v>
      </c>
      <c r="J5514" s="65" t="str">
        <f t="array" ref="J5514">XLOOKUP(H5514,'2. Matching'!$A$2:$A$39,'2. Matching'!$B$2:$B$39,"--")</f>
        <v>Acquisition</v>
      </c>
      <c r="K5514" s="65" t="str">
        <f t="shared" si="1"/>
        <v>In</v>
      </c>
    </row>
    <row r="5515">
      <c r="A5515" s="62" t="s">
        <v>5653</v>
      </c>
      <c r="B5515" s="63">
        <v>44322.0</v>
      </c>
      <c r="C5515" s="62" t="s">
        <v>119</v>
      </c>
      <c r="D5515" s="64">
        <v>47.5</v>
      </c>
      <c r="E5515" s="62" t="s">
        <v>109</v>
      </c>
      <c r="F5515" s="62" t="s">
        <v>115</v>
      </c>
      <c r="G5515" s="64" t="s">
        <v>64</v>
      </c>
      <c r="H5515" s="3" t="s">
        <v>141</v>
      </c>
      <c r="I5515" s="65">
        <f>IFERROR(VLOOKUP(A5515,'3. Call duration'!$A:$C,3,0),"--")</f>
        <v>29.95183592</v>
      </c>
      <c r="J5515" s="65" t="str">
        <f t="array" ref="J5515">XLOOKUP(H5515,'2. Matching'!$A$2:$A$39,'2. Matching'!$B$2:$B$39,"--")</f>
        <v>Acquisition</v>
      </c>
      <c r="K5515" s="65" t="str">
        <f t="shared" si="1"/>
        <v>In</v>
      </c>
    </row>
    <row r="5516">
      <c r="A5516" s="62" t="s">
        <v>5654</v>
      </c>
      <c r="B5516" s="63">
        <v>44326.0</v>
      </c>
      <c r="C5516" s="62" t="s">
        <v>119</v>
      </c>
      <c r="D5516" s="64">
        <v>47.5</v>
      </c>
      <c r="E5516" s="62" t="s">
        <v>109</v>
      </c>
      <c r="F5516" s="62" t="s">
        <v>115</v>
      </c>
      <c r="G5516" s="64" t="s">
        <v>59</v>
      </c>
      <c r="H5516" s="3" t="s">
        <v>68</v>
      </c>
      <c r="I5516" s="65">
        <f>IFERROR(VLOOKUP(A5516,'3. Call duration'!$A:$C,3,0),"--")</f>
        <v>29.96392177</v>
      </c>
      <c r="J5516" s="65" t="str">
        <f t="array" ref="J5516">XLOOKUP(H5516,'2. Matching'!$A$2:$A$39,'2. Matching'!$B$2:$B$39,"--")</f>
        <v>Acquisition</v>
      </c>
      <c r="K5516" s="65" t="str">
        <f t="shared" si="1"/>
        <v>In</v>
      </c>
    </row>
    <row r="5517">
      <c r="A5517" s="62" t="s">
        <v>5655</v>
      </c>
      <c r="B5517" s="63">
        <v>44333.0</v>
      </c>
      <c r="C5517" s="62" t="s">
        <v>119</v>
      </c>
      <c r="D5517" s="64">
        <v>47.5</v>
      </c>
      <c r="E5517" s="62" t="s">
        <v>109</v>
      </c>
      <c r="F5517" s="62" t="s">
        <v>115</v>
      </c>
      <c r="G5517" s="64" t="s">
        <v>59</v>
      </c>
      <c r="H5517" s="3" t="s">
        <v>68</v>
      </c>
      <c r="I5517" s="65">
        <f>IFERROR(VLOOKUP(A5517,'3. Call duration'!$A:$C,3,0),"--")</f>
        <v>30.00074297</v>
      </c>
      <c r="J5517" s="65" t="str">
        <f t="array" ref="J5517">XLOOKUP(H5517,'2. Matching'!$A$2:$A$39,'2. Matching'!$B$2:$B$39,"--")</f>
        <v>Acquisition</v>
      </c>
      <c r="K5517" s="65" t="str">
        <f t="shared" si="1"/>
        <v>In</v>
      </c>
    </row>
    <row r="5518">
      <c r="A5518" s="62" t="s">
        <v>5656</v>
      </c>
      <c r="B5518" s="63">
        <v>44341.0</v>
      </c>
      <c r="C5518" s="62" t="s">
        <v>119</v>
      </c>
      <c r="D5518" s="64">
        <v>47.5</v>
      </c>
      <c r="E5518" s="62" t="s">
        <v>109</v>
      </c>
      <c r="F5518" s="62" t="s">
        <v>110</v>
      </c>
      <c r="G5518" s="64" t="s">
        <v>63</v>
      </c>
      <c r="H5518" s="3" t="s">
        <v>128</v>
      </c>
      <c r="I5518" s="65">
        <f>IFERROR(VLOOKUP(A5518,'3. Call duration'!$A:$C,3,0),"--")</f>
        <v>30.0188095</v>
      </c>
      <c r="J5518" s="65" t="str">
        <f t="array" ref="J5518">XLOOKUP(H5518,'2. Matching'!$A$2:$A$39,'2. Matching'!$B$2:$B$39,"--")</f>
        <v>Acquisition</v>
      </c>
      <c r="K5518" s="65" t="str">
        <f t="shared" si="1"/>
        <v>In</v>
      </c>
    </row>
    <row r="5519">
      <c r="A5519" s="62" t="s">
        <v>5657</v>
      </c>
      <c r="B5519" s="63">
        <v>44375.0</v>
      </c>
      <c r="C5519" s="62" t="s">
        <v>119</v>
      </c>
      <c r="D5519" s="64">
        <v>47.5</v>
      </c>
      <c r="E5519" s="62" t="s">
        <v>109</v>
      </c>
      <c r="F5519" s="62" t="s">
        <v>115</v>
      </c>
      <c r="G5519" s="64" t="s">
        <v>60</v>
      </c>
      <c r="H5519" s="3" t="s">
        <v>68</v>
      </c>
      <c r="I5519" s="65">
        <f>IFERROR(VLOOKUP(A5519,'3. Call duration'!$A:$C,3,0),"--")</f>
        <v>47.87333631</v>
      </c>
      <c r="J5519" s="65" t="str">
        <f t="array" ref="J5519">XLOOKUP(H5519,'2. Matching'!$A$2:$A$39,'2. Matching'!$B$2:$B$39,"--")</f>
        <v>Acquisition</v>
      </c>
      <c r="K5519" s="65" t="str">
        <f t="shared" si="1"/>
        <v>In</v>
      </c>
    </row>
    <row r="5520">
      <c r="A5520" s="62" t="s">
        <v>5658</v>
      </c>
      <c r="B5520" s="63">
        <v>44321.0</v>
      </c>
      <c r="C5520" s="62" t="s">
        <v>108</v>
      </c>
      <c r="D5520" s="64">
        <v>0.0</v>
      </c>
      <c r="E5520" s="62" t="s">
        <v>109</v>
      </c>
      <c r="F5520" s="62" t="s">
        <v>115</v>
      </c>
      <c r="G5520" s="64" t="s">
        <v>64</v>
      </c>
      <c r="H5520" s="3" t="s">
        <v>185</v>
      </c>
      <c r="I5520" s="65">
        <f>IFERROR(VLOOKUP(A5520,'3. Call duration'!$A:$C,3,0),"--")</f>
        <v>30.0598733</v>
      </c>
      <c r="J5520" s="65" t="str">
        <f t="array" ref="J5520">XLOOKUP(H5520,'2. Matching'!$A$2:$A$39,'2. Matching'!$B$2:$B$39,"--")</f>
        <v>SEO</v>
      </c>
      <c r="K5520" s="65" t="str">
        <f t="shared" si="1"/>
        <v>In</v>
      </c>
    </row>
    <row r="5521">
      <c r="A5521" s="62" t="s">
        <v>5659</v>
      </c>
      <c r="B5521" s="63">
        <v>44320.0</v>
      </c>
      <c r="C5521" s="62" t="s">
        <v>119</v>
      </c>
      <c r="D5521" s="64">
        <v>47.5</v>
      </c>
      <c r="E5521" s="62" t="s">
        <v>109</v>
      </c>
      <c r="F5521" s="62" t="s">
        <v>115</v>
      </c>
      <c r="G5521" s="64" t="s">
        <v>64</v>
      </c>
      <c r="H5521" s="3" t="s">
        <v>155</v>
      </c>
      <c r="I5521" s="65">
        <f>IFERROR(VLOOKUP(A5521,'3. Call duration'!$A:$C,3,0),"--")</f>
        <v>30.07030382</v>
      </c>
      <c r="J5521" s="65" t="str">
        <f t="array" ref="J5521">XLOOKUP(H5521,'2. Matching'!$A$2:$A$39,'2. Matching'!$B$2:$B$39,"--")</f>
        <v>SEO</v>
      </c>
      <c r="K5521" s="65" t="str">
        <f t="shared" si="1"/>
        <v>In</v>
      </c>
    </row>
    <row r="5522">
      <c r="A5522" s="62" t="s">
        <v>5660</v>
      </c>
      <c r="B5522" s="63">
        <v>44376.0</v>
      </c>
      <c r="C5522" s="62" t="s">
        <v>119</v>
      </c>
      <c r="D5522" s="64">
        <v>47.5</v>
      </c>
      <c r="E5522" s="62" t="s">
        <v>109</v>
      </c>
      <c r="F5522" s="62" t="s">
        <v>115</v>
      </c>
      <c r="G5522" s="64" t="s">
        <v>64</v>
      </c>
      <c r="H5522" s="3" t="s">
        <v>55</v>
      </c>
      <c r="I5522" s="65">
        <f>IFERROR(VLOOKUP(A5522,'3. Call duration'!$A:$C,3,0),"--")</f>
        <v>17.9657284</v>
      </c>
      <c r="J5522" s="65" t="str">
        <f t="array" ref="J5522">XLOOKUP(H5522,'2. Matching'!$A$2:$A$39,'2. Matching'!$B$2:$B$39,"--")</f>
        <v>Partnerships</v>
      </c>
      <c r="K5522" s="65" t="str">
        <f t="shared" si="1"/>
        <v>In</v>
      </c>
    </row>
    <row r="5523">
      <c r="A5523" s="62" t="s">
        <v>5661</v>
      </c>
      <c r="B5523" s="63">
        <v>44328.0</v>
      </c>
      <c r="C5523" s="62" t="s">
        <v>119</v>
      </c>
      <c r="D5523" s="64">
        <v>47.5</v>
      </c>
      <c r="E5523" s="62" t="s">
        <v>109</v>
      </c>
      <c r="F5523" s="62" t="s">
        <v>115</v>
      </c>
      <c r="G5523" s="64" t="s">
        <v>64</v>
      </c>
      <c r="H5523" s="3" t="s">
        <v>169</v>
      </c>
      <c r="I5523" s="65">
        <f>IFERROR(VLOOKUP(A5523,'3. Call duration'!$A:$C,3,0),"--")</f>
        <v>30.08309394</v>
      </c>
      <c r="J5523" s="65" t="str">
        <f t="array" ref="J5523">XLOOKUP(H5523,'2. Matching'!$A$2:$A$39,'2. Matching'!$B$2:$B$39,"--")</f>
        <v>SEO</v>
      </c>
      <c r="K5523" s="65" t="str">
        <f t="shared" si="1"/>
        <v>In</v>
      </c>
    </row>
    <row r="5524">
      <c r="A5524" s="62" t="s">
        <v>5662</v>
      </c>
      <c r="B5524" s="63">
        <v>44372.0</v>
      </c>
      <c r="C5524" s="62" t="s">
        <v>119</v>
      </c>
      <c r="D5524" s="64">
        <v>47.5</v>
      </c>
      <c r="E5524" s="62" t="s">
        <v>109</v>
      </c>
      <c r="F5524" s="62" t="s">
        <v>110</v>
      </c>
      <c r="G5524" s="64" t="s">
        <v>64</v>
      </c>
      <c r="H5524" s="3" t="s">
        <v>297</v>
      </c>
      <c r="I5524" s="65">
        <f>IFERROR(VLOOKUP(A5524,'3. Call duration'!$A:$C,3,0),"--")</f>
        <v>26.57955497</v>
      </c>
      <c r="J5524" s="65" t="str">
        <f t="array" ref="J5524">XLOOKUP(H5524,'2. Matching'!$A$2:$A$39,'2. Matching'!$B$2:$B$39,"--")</f>
        <v>Farming</v>
      </c>
      <c r="K5524" s="65" t="str">
        <f t="shared" si="1"/>
        <v>In</v>
      </c>
    </row>
    <row r="5525">
      <c r="A5525" s="62" t="s">
        <v>5663</v>
      </c>
      <c r="B5525" s="63">
        <v>44330.0</v>
      </c>
      <c r="C5525" s="62" t="s">
        <v>119</v>
      </c>
      <c r="D5525" s="64">
        <v>95.0</v>
      </c>
      <c r="E5525" s="62" t="s">
        <v>114</v>
      </c>
      <c r="F5525" s="62" t="s">
        <v>115</v>
      </c>
      <c r="G5525" s="64" t="s">
        <v>64</v>
      </c>
      <c r="H5525" s="3" t="s">
        <v>169</v>
      </c>
      <c r="I5525" s="65">
        <f>IFERROR(VLOOKUP(A5525,'3. Call duration'!$A:$C,3,0),"--")</f>
        <v>30.10054427</v>
      </c>
      <c r="J5525" s="65" t="str">
        <f t="array" ref="J5525">XLOOKUP(H5525,'2. Matching'!$A$2:$A$39,'2. Matching'!$B$2:$B$39,"--")</f>
        <v>SEO</v>
      </c>
      <c r="K5525" s="65" t="str">
        <f t="shared" si="1"/>
        <v>In</v>
      </c>
    </row>
    <row r="5526">
      <c r="A5526" s="62" t="s">
        <v>5664</v>
      </c>
      <c r="B5526" s="63">
        <v>44342.0</v>
      </c>
      <c r="C5526" s="62" t="s">
        <v>119</v>
      </c>
      <c r="D5526" s="64">
        <v>47.5</v>
      </c>
      <c r="E5526" s="62" t="s">
        <v>109</v>
      </c>
      <c r="F5526" s="62" t="s">
        <v>115</v>
      </c>
      <c r="G5526" s="64" t="s">
        <v>63</v>
      </c>
      <c r="H5526" s="3" t="s">
        <v>189</v>
      </c>
      <c r="I5526" s="65">
        <f>IFERROR(VLOOKUP(A5526,'3. Call duration'!$A:$C,3,0),"--")</f>
        <v>30.12401492</v>
      </c>
      <c r="J5526" s="65" t="str">
        <f t="array" ref="J5526">XLOOKUP(H5526,'2. Matching'!$A$2:$A$39,'2. Matching'!$B$2:$B$39,"--")</f>
        <v>SEO</v>
      </c>
      <c r="K5526" s="65" t="str">
        <f t="shared" si="1"/>
        <v>Out</v>
      </c>
    </row>
    <row r="5527">
      <c r="A5527" s="62" t="s">
        <v>5665</v>
      </c>
      <c r="B5527" s="63">
        <v>44319.0</v>
      </c>
      <c r="C5527" s="62" t="s">
        <v>119</v>
      </c>
      <c r="D5527" s="64">
        <v>47.5</v>
      </c>
      <c r="E5527" s="62" t="s">
        <v>109</v>
      </c>
      <c r="F5527" s="62" t="s">
        <v>115</v>
      </c>
      <c r="G5527" s="64" t="s">
        <v>64</v>
      </c>
      <c r="H5527" s="3" t="s">
        <v>169</v>
      </c>
      <c r="I5527" s="65">
        <f>IFERROR(VLOOKUP(A5527,'3. Call duration'!$A:$C,3,0),"--")</f>
        <v>30.12728186</v>
      </c>
      <c r="J5527" s="65" t="str">
        <f t="array" ref="J5527">XLOOKUP(H5527,'2. Matching'!$A$2:$A$39,'2. Matching'!$B$2:$B$39,"--")</f>
        <v>SEO</v>
      </c>
      <c r="K5527" s="65" t="str">
        <f t="shared" si="1"/>
        <v>In</v>
      </c>
    </row>
    <row r="5528">
      <c r="A5528" s="62" t="s">
        <v>5666</v>
      </c>
      <c r="B5528" s="63">
        <v>44365.0</v>
      </c>
      <c r="C5528" s="62" t="s">
        <v>119</v>
      </c>
      <c r="D5528" s="64">
        <v>47.5</v>
      </c>
      <c r="E5528" s="62" t="s">
        <v>109</v>
      </c>
      <c r="F5528" s="62" t="s">
        <v>110</v>
      </c>
      <c r="G5528" s="64" t="s">
        <v>63</v>
      </c>
      <c r="H5528" s="3" t="s">
        <v>183</v>
      </c>
      <c r="I5528" s="65">
        <f>IFERROR(VLOOKUP(A5528,'3. Call duration'!$A:$C,3,0),"--")</f>
        <v>13.55713108</v>
      </c>
      <c r="J5528" s="65" t="str">
        <f t="array" ref="J5528">XLOOKUP(H5528,'2. Matching'!$A$2:$A$39,'2. Matching'!$B$2:$B$39,"--")</f>
        <v>SEO</v>
      </c>
      <c r="K5528" s="65" t="str">
        <f t="shared" si="1"/>
        <v>In</v>
      </c>
    </row>
    <row r="5529">
      <c r="A5529" s="62" t="s">
        <v>5667</v>
      </c>
      <c r="B5529" s="63">
        <v>44363.0</v>
      </c>
      <c r="C5529" s="62" t="s">
        <v>119</v>
      </c>
      <c r="D5529" s="64">
        <v>47.5</v>
      </c>
      <c r="E5529" s="62" t="s">
        <v>109</v>
      </c>
      <c r="F5529" s="62" t="s">
        <v>115</v>
      </c>
      <c r="G5529" s="64" t="s">
        <v>63</v>
      </c>
      <c r="H5529" s="3" t="s">
        <v>183</v>
      </c>
      <c r="I5529" s="65" t="str">
        <f>IFERROR(VLOOKUP(A5529,'3. Call duration'!$A:$C,3,0),"--")</f>
        <v>--</v>
      </c>
      <c r="J5529" s="65" t="str">
        <f t="array" ref="J5529">XLOOKUP(H5529,'2. Matching'!$A$2:$A$39,'2. Matching'!$B$2:$B$39,"--")</f>
        <v>SEO</v>
      </c>
      <c r="K5529" s="65" t="str">
        <f t="shared" si="1"/>
        <v>In</v>
      </c>
    </row>
    <row r="5530">
      <c r="A5530" s="62" t="s">
        <v>5668</v>
      </c>
      <c r="B5530" s="63">
        <v>44320.0</v>
      </c>
      <c r="C5530" s="62" t="s">
        <v>108</v>
      </c>
      <c r="D5530" s="64">
        <v>0.0</v>
      </c>
      <c r="E5530" s="62" t="s">
        <v>109</v>
      </c>
      <c r="F5530" s="62" t="s">
        <v>115</v>
      </c>
      <c r="G5530" s="64" t="s">
        <v>64</v>
      </c>
      <c r="H5530" s="3" t="s">
        <v>164</v>
      </c>
      <c r="I5530" s="65">
        <f>IFERROR(VLOOKUP(A5530,'3. Call duration'!$A:$C,3,0),"--")</f>
        <v>30.14533781</v>
      </c>
      <c r="J5530" s="65" t="str">
        <f t="array" ref="J5530">XLOOKUP(H5530,'2. Matching'!$A$2:$A$39,'2. Matching'!$B$2:$B$39,"--")</f>
        <v>SEO</v>
      </c>
      <c r="K5530" s="65" t="str">
        <f t="shared" si="1"/>
        <v>In</v>
      </c>
    </row>
    <row r="5531">
      <c r="A5531" s="62" t="s">
        <v>5669</v>
      </c>
      <c r="B5531" s="63">
        <v>44332.0</v>
      </c>
      <c r="C5531" s="62" t="s">
        <v>119</v>
      </c>
      <c r="D5531" s="64">
        <v>47.5</v>
      </c>
      <c r="E5531" s="62" t="s">
        <v>109</v>
      </c>
      <c r="F5531" s="62" t="s">
        <v>110</v>
      </c>
      <c r="G5531" s="64" t="s">
        <v>64</v>
      </c>
      <c r="H5531" s="3" t="s">
        <v>139</v>
      </c>
      <c r="I5531" s="65">
        <f>IFERROR(VLOOKUP(A5531,'3. Call duration'!$A:$C,3,0),"--")</f>
        <v>30.16861792</v>
      </c>
      <c r="J5531" s="65" t="str">
        <f t="array" ref="J5531">XLOOKUP(H5531,'2. Matching'!$A$2:$A$39,'2. Matching'!$B$2:$B$39,"--")</f>
        <v>Acquisition</v>
      </c>
      <c r="K5531" s="65" t="str">
        <f t="shared" si="1"/>
        <v>In</v>
      </c>
    </row>
    <row r="5532">
      <c r="A5532" s="62" t="s">
        <v>5670</v>
      </c>
      <c r="B5532" s="63">
        <v>44376.0</v>
      </c>
      <c r="C5532" s="62" t="s">
        <v>119</v>
      </c>
      <c r="D5532" s="64">
        <v>47.5</v>
      </c>
      <c r="E5532" s="62" t="s">
        <v>109</v>
      </c>
      <c r="F5532" s="62" t="s">
        <v>115</v>
      </c>
      <c r="G5532" s="64" t="s">
        <v>60</v>
      </c>
      <c r="H5532" s="3" t="s">
        <v>68</v>
      </c>
      <c r="I5532" s="65">
        <f>IFERROR(VLOOKUP(A5532,'3. Call duration'!$A:$C,3,0),"--")</f>
        <v>45.3175921</v>
      </c>
      <c r="J5532" s="65" t="str">
        <f t="array" ref="J5532">XLOOKUP(H5532,'2. Matching'!$A$2:$A$39,'2. Matching'!$B$2:$B$39,"--")</f>
        <v>Acquisition</v>
      </c>
      <c r="K5532" s="65" t="str">
        <f t="shared" si="1"/>
        <v>In</v>
      </c>
    </row>
    <row r="5533">
      <c r="A5533" s="62" t="s">
        <v>5671</v>
      </c>
      <c r="B5533" s="63">
        <v>44330.0</v>
      </c>
      <c r="C5533" s="62" t="s">
        <v>119</v>
      </c>
      <c r="D5533" s="64">
        <v>95.0</v>
      </c>
      <c r="E5533" s="62" t="s">
        <v>114</v>
      </c>
      <c r="F5533" s="62" t="s">
        <v>110</v>
      </c>
      <c r="G5533" s="64" t="s">
        <v>64</v>
      </c>
      <c r="H5533" s="3" t="s">
        <v>116</v>
      </c>
      <c r="I5533" s="65">
        <f>IFERROR(VLOOKUP(A5533,'3. Call duration'!$A:$C,3,0),"--")</f>
        <v>30.21015919</v>
      </c>
      <c r="J5533" s="65" t="str">
        <f t="array" ref="J5533">XLOOKUP(H5533,'2. Matching'!$A$2:$A$39,'2. Matching'!$B$2:$B$39,"--")</f>
        <v>Acquisition</v>
      </c>
      <c r="K5533" s="65" t="str">
        <f t="shared" si="1"/>
        <v>In</v>
      </c>
    </row>
    <row r="5534">
      <c r="A5534" s="62" t="s">
        <v>5672</v>
      </c>
      <c r="B5534" s="63">
        <v>44375.0</v>
      </c>
      <c r="C5534" s="62" t="s">
        <v>119</v>
      </c>
      <c r="D5534" s="64">
        <v>47.5</v>
      </c>
      <c r="E5534" s="62" t="s">
        <v>109</v>
      </c>
      <c r="F5534" s="62" t="s">
        <v>110</v>
      </c>
      <c r="G5534" s="64" t="s">
        <v>59</v>
      </c>
      <c r="H5534" s="3" t="s">
        <v>68</v>
      </c>
      <c r="I5534" s="65">
        <f>IFERROR(VLOOKUP(A5534,'3. Call duration'!$A:$C,3,0),"--")</f>
        <v>40.35880805</v>
      </c>
      <c r="J5534" s="65" t="str">
        <f t="array" ref="J5534">XLOOKUP(H5534,'2. Matching'!$A$2:$A$39,'2. Matching'!$B$2:$B$39,"--")</f>
        <v>Acquisition</v>
      </c>
      <c r="K5534" s="65" t="str">
        <f t="shared" si="1"/>
        <v>In</v>
      </c>
    </row>
    <row r="5535">
      <c r="A5535" s="62" t="s">
        <v>5673</v>
      </c>
      <c r="B5535" s="63">
        <v>44369.0</v>
      </c>
      <c r="C5535" s="62" t="s">
        <v>119</v>
      </c>
      <c r="D5535" s="64">
        <v>47.5</v>
      </c>
      <c r="E5535" s="62" t="s">
        <v>109</v>
      </c>
      <c r="F5535" s="62" t="s">
        <v>115</v>
      </c>
      <c r="G5535" s="64" t="s">
        <v>63</v>
      </c>
      <c r="H5535" s="3" t="s">
        <v>228</v>
      </c>
      <c r="I5535" s="65">
        <f>IFERROR(VLOOKUP(A5535,'3. Call duration'!$A:$C,3,0),"--")</f>
        <v>20.53814927</v>
      </c>
      <c r="J5535" s="65" t="str">
        <f t="array" ref="J5535">XLOOKUP(H5535,'2. Matching'!$A$2:$A$39,'2. Matching'!$B$2:$B$39,"--")</f>
        <v>Farming</v>
      </c>
      <c r="K5535" s="65" t="str">
        <f t="shared" si="1"/>
        <v>In</v>
      </c>
    </row>
    <row r="5536">
      <c r="A5536" s="62" t="s">
        <v>5674</v>
      </c>
      <c r="B5536" s="63">
        <v>44368.0</v>
      </c>
      <c r="C5536" s="62" t="s">
        <v>119</v>
      </c>
      <c r="D5536" s="64">
        <v>47.5</v>
      </c>
      <c r="E5536" s="62" t="s">
        <v>109</v>
      </c>
      <c r="F5536" s="62" t="s">
        <v>115</v>
      </c>
      <c r="G5536" s="64" t="s">
        <v>60</v>
      </c>
      <c r="H5536" s="3" t="s">
        <v>68</v>
      </c>
      <c r="I5536" s="65">
        <f>IFERROR(VLOOKUP(A5536,'3. Call duration'!$A:$C,3,0),"--")</f>
        <v>21.16937378</v>
      </c>
      <c r="J5536" s="65" t="str">
        <f t="array" ref="J5536">XLOOKUP(H5536,'2. Matching'!$A$2:$A$39,'2. Matching'!$B$2:$B$39,"--")</f>
        <v>Acquisition</v>
      </c>
      <c r="K5536" s="65" t="str">
        <f t="shared" si="1"/>
        <v>In</v>
      </c>
    </row>
    <row r="5537">
      <c r="A5537" s="62" t="s">
        <v>5675</v>
      </c>
      <c r="B5537" s="63">
        <v>44344.0</v>
      </c>
      <c r="C5537" s="62" t="s">
        <v>119</v>
      </c>
      <c r="D5537" s="64">
        <v>47.5</v>
      </c>
      <c r="E5537" s="62" t="s">
        <v>109</v>
      </c>
      <c r="F5537" s="62" t="s">
        <v>110</v>
      </c>
      <c r="G5537" s="64" t="s">
        <v>64</v>
      </c>
      <c r="H5537" s="3" t="s">
        <v>297</v>
      </c>
      <c r="I5537" s="65">
        <f>IFERROR(VLOOKUP(A5537,'3. Call duration'!$A:$C,3,0),"--")</f>
        <v>30.23179942</v>
      </c>
      <c r="J5537" s="65" t="str">
        <f t="array" ref="J5537">XLOOKUP(H5537,'2. Matching'!$A$2:$A$39,'2. Matching'!$B$2:$B$39,"--")</f>
        <v>Farming</v>
      </c>
      <c r="K5537" s="65" t="str">
        <f t="shared" si="1"/>
        <v>In</v>
      </c>
    </row>
    <row r="5538">
      <c r="A5538" s="62" t="s">
        <v>5676</v>
      </c>
      <c r="B5538" s="63">
        <v>44340.0</v>
      </c>
      <c r="C5538" s="62" t="s">
        <v>119</v>
      </c>
      <c r="D5538" s="64">
        <v>47.5</v>
      </c>
      <c r="E5538" s="62" t="s">
        <v>109</v>
      </c>
      <c r="F5538" s="62" t="s">
        <v>115</v>
      </c>
      <c r="G5538" s="64" t="s">
        <v>59</v>
      </c>
      <c r="H5538" s="3" t="s">
        <v>68</v>
      </c>
      <c r="I5538" s="65">
        <f>IFERROR(VLOOKUP(A5538,'3. Call duration'!$A:$C,3,0),"--")</f>
        <v>30.25999912</v>
      </c>
      <c r="J5538" s="65" t="str">
        <f t="array" ref="J5538">XLOOKUP(H5538,'2. Matching'!$A$2:$A$39,'2. Matching'!$B$2:$B$39,"--")</f>
        <v>Acquisition</v>
      </c>
      <c r="K5538" s="65" t="str">
        <f t="shared" si="1"/>
        <v>In</v>
      </c>
    </row>
    <row r="5539">
      <c r="A5539" s="62" t="s">
        <v>5677</v>
      </c>
      <c r="B5539" s="63">
        <v>44349.0</v>
      </c>
      <c r="C5539" s="62" t="s">
        <v>119</v>
      </c>
      <c r="D5539" s="64">
        <v>47.5</v>
      </c>
      <c r="E5539" s="62" t="s">
        <v>109</v>
      </c>
      <c r="F5539" s="62" t="s">
        <v>115</v>
      </c>
      <c r="G5539" s="64" t="s">
        <v>64</v>
      </c>
      <c r="H5539" s="3" t="s">
        <v>139</v>
      </c>
      <c r="I5539" s="65">
        <f>IFERROR(VLOOKUP(A5539,'3. Call duration'!$A:$C,3,0),"--")</f>
        <v>27.94460035</v>
      </c>
      <c r="J5539" s="65" t="str">
        <f t="array" ref="J5539">XLOOKUP(H5539,'2. Matching'!$A$2:$A$39,'2. Matching'!$B$2:$B$39,"--")</f>
        <v>Acquisition</v>
      </c>
      <c r="K5539" s="65" t="str">
        <f t="shared" si="1"/>
        <v>In</v>
      </c>
    </row>
    <row r="5540">
      <c r="A5540" s="62" t="s">
        <v>5678</v>
      </c>
      <c r="B5540" s="63">
        <v>44365.0</v>
      </c>
      <c r="C5540" s="62" t="s">
        <v>119</v>
      </c>
      <c r="D5540" s="64">
        <v>47.5</v>
      </c>
      <c r="E5540" s="62" t="s">
        <v>109</v>
      </c>
      <c r="F5540" s="62" t="s">
        <v>110</v>
      </c>
      <c r="G5540" s="64" t="s">
        <v>60</v>
      </c>
      <c r="H5540" s="3" t="s">
        <v>67</v>
      </c>
      <c r="I5540" s="65">
        <f>IFERROR(VLOOKUP(A5540,'3. Call duration'!$A:$C,3,0),"--")</f>
        <v>28.03207425</v>
      </c>
      <c r="J5540" s="65" t="str">
        <f t="array" ref="J5540">XLOOKUP(H5540,'2. Matching'!$A$2:$A$39,'2. Matching'!$B$2:$B$39,"--")</f>
        <v>Acquisition</v>
      </c>
      <c r="K5540" s="65" t="str">
        <f t="shared" si="1"/>
        <v>In</v>
      </c>
    </row>
    <row r="5541">
      <c r="A5541" s="62" t="s">
        <v>5679</v>
      </c>
      <c r="B5541" s="63">
        <v>44328.0</v>
      </c>
      <c r="C5541" s="62" t="s">
        <v>119</v>
      </c>
      <c r="D5541" s="64">
        <v>47.5</v>
      </c>
      <c r="E5541" s="62" t="s">
        <v>109</v>
      </c>
      <c r="F5541" s="62" t="s">
        <v>115</v>
      </c>
      <c r="G5541" s="64" t="s">
        <v>59</v>
      </c>
      <c r="H5541" s="3" t="s">
        <v>68</v>
      </c>
      <c r="I5541" s="65">
        <f>IFERROR(VLOOKUP(A5541,'3. Call duration'!$A:$C,3,0),"--")</f>
        <v>30.26903215</v>
      </c>
      <c r="J5541" s="65" t="str">
        <f t="array" ref="J5541">XLOOKUP(H5541,'2. Matching'!$A$2:$A$39,'2. Matching'!$B$2:$B$39,"--")</f>
        <v>Acquisition</v>
      </c>
      <c r="K5541" s="65" t="str">
        <f t="shared" si="1"/>
        <v>In</v>
      </c>
    </row>
    <row r="5542">
      <c r="A5542" s="62" t="s">
        <v>5680</v>
      </c>
      <c r="B5542" s="63">
        <v>44370.0</v>
      </c>
      <c r="C5542" s="62" t="s">
        <v>119</v>
      </c>
      <c r="D5542" s="64">
        <v>47.5</v>
      </c>
      <c r="E5542" s="62" t="s">
        <v>109</v>
      </c>
      <c r="F5542" s="62" t="s">
        <v>115</v>
      </c>
      <c r="G5542" s="64" t="s">
        <v>64</v>
      </c>
      <c r="H5542" s="3" t="s">
        <v>185</v>
      </c>
      <c r="I5542" s="65">
        <f>IFERROR(VLOOKUP(A5542,'3. Call duration'!$A:$C,3,0),"--")</f>
        <v>31.83042936</v>
      </c>
      <c r="J5542" s="65" t="str">
        <f t="array" ref="J5542">XLOOKUP(H5542,'2. Matching'!$A$2:$A$39,'2. Matching'!$B$2:$B$39,"--")</f>
        <v>SEO</v>
      </c>
      <c r="K5542" s="65" t="str">
        <f t="shared" si="1"/>
        <v>In</v>
      </c>
    </row>
    <row r="5543">
      <c r="A5543" s="62" t="s">
        <v>5681</v>
      </c>
      <c r="B5543" s="63">
        <v>44376.0</v>
      </c>
      <c r="C5543" s="62" t="s">
        <v>119</v>
      </c>
      <c r="D5543" s="64">
        <v>47.5</v>
      </c>
      <c r="E5543" s="62" t="s">
        <v>109</v>
      </c>
      <c r="F5543" s="62" t="s">
        <v>115</v>
      </c>
      <c r="G5543" s="64" t="s">
        <v>64</v>
      </c>
      <c r="H5543" s="3" t="s">
        <v>221</v>
      </c>
      <c r="I5543" s="65">
        <f>IFERROR(VLOOKUP(A5543,'3. Call duration'!$A:$C,3,0),"--")</f>
        <v>32.64567594</v>
      </c>
      <c r="J5543" s="65" t="str">
        <f t="array" ref="J5543">XLOOKUP(H5543,'2. Matching'!$A$2:$A$39,'2. Matching'!$B$2:$B$39,"--")</f>
        <v>Farming</v>
      </c>
      <c r="K5543" s="65" t="str">
        <f t="shared" si="1"/>
        <v>In</v>
      </c>
    </row>
    <row r="5544">
      <c r="A5544" s="62" t="s">
        <v>5682</v>
      </c>
      <c r="B5544" s="63">
        <v>44356.0</v>
      </c>
      <c r="C5544" s="62" t="s">
        <v>119</v>
      </c>
      <c r="D5544" s="64">
        <v>47.5</v>
      </c>
      <c r="E5544" s="62" t="s">
        <v>109</v>
      </c>
      <c r="F5544" s="62" t="s">
        <v>110</v>
      </c>
      <c r="G5544" s="64" t="s">
        <v>59</v>
      </c>
      <c r="H5544" s="3" t="s">
        <v>68</v>
      </c>
      <c r="I5544" s="65">
        <f>IFERROR(VLOOKUP(A5544,'3. Call duration'!$A:$C,3,0),"--")</f>
        <v>26.08628317</v>
      </c>
      <c r="J5544" s="65" t="str">
        <f t="array" ref="J5544">XLOOKUP(H5544,'2. Matching'!$A$2:$A$39,'2. Matching'!$B$2:$B$39,"--")</f>
        <v>Acquisition</v>
      </c>
      <c r="K5544" s="65" t="str">
        <f t="shared" si="1"/>
        <v>In</v>
      </c>
    </row>
    <row r="5545">
      <c r="A5545" s="62" t="s">
        <v>5683</v>
      </c>
      <c r="B5545" s="63">
        <v>44371.0</v>
      </c>
      <c r="C5545" s="62" t="s">
        <v>119</v>
      </c>
      <c r="D5545" s="64">
        <v>47.5</v>
      </c>
      <c r="E5545" s="62" t="s">
        <v>109</v>
      </c>
      <c r="F5545" s="62" t="s">
        <v>115</v>
      </c>
      <c r="G5545" s="64" t="s">
        <v>59</v>
      </c>
      <c r="H5545" s="3" t="s">
        <v>68</v>
      </c>
      <c r="I5545" s="65">
        <f>IFERROR(VLOOKUP(A5545,'3. Call duration'!$A:$C,3,0),"--")</f>
        <v>29.30068206</v>
      </c>
      <c r="J5545" s="65" t="str">
        <f t="array" ref="J5545">XLOOKUP(H5545,'2. Matching'!$A$2:$A$39,'2. Matching'!$B$2:$B$39,"--")</f>
        <v>Acquisition</v>
      </c>
      <c r="K5545" s="65" t="str">
        <f t="shared" si="1"/>
        <v>In</v>
      </c>
    </row>
    <row r="5546">
      <c r="A5546" s="62" t="s">
        <v>5684</v>
      </c>
      <c r="B5546" s="63">
        <v>44345.0</v>
      </c>
      <c r="C5546" s="62" t="s">
        <v>119</v>
      </c>
      <c r="D5546" s="64">
        <v>95.0</v>
      </c>
      <c r="E5546" s="62" t="s">
        <v>114</v>
      </c>
      <c r="F5546" s="62" t="s">
        <v>110</v>
      </c>
      <c r="G5546" s="64" t="s">
        <v>63</v>
      </c>
      <c r="H5546" s="3" t="s">
        <v>189</v>
      </c>
      <c r="I5546" s="65">
        <f>IFERROR(VLOOKUP(A5546,'3. Call duration'!$A:$C,3,0),"--")</f>
        <v>30.28192584</v>
      </c>
      <c r="J5546" s="65" t="str">
        <f t="array" ref="J5546">XLOOKUP(H5546,'2. Matching'!$A$2:$A$39,'2. Matching'!$B$2:$B$39,"--")</f>
        <v>SEO</v>
      </c>
      <c r="K5546" s="65" t="str">
        <f t="shared" si="1"/>
        <v>Out</v>
      </c>
    </row>
    <row r="5547">
      <c r="A5547" s="62" t="s">
        <v>5685</v>
      </c>
      <c r="B5547" s="63">
        <v>44326.0</v>
      </c>
      <c r="C5547" s="62" t="s">
        <v>119</v>
      </c>
      <c r="D5547" s="64">
        <v>47.5</v>
      </c>
      <c r="E5547" s="62" t="s">
        <v>109</v>
      </c>
      <c r="F5547" s="62" t="s">
        <v>110</v>
      </c>
      <c r="G5547" s="64" t="s">
        <v>64</v>
      </c>
      <c r="H5547" s="3" t="s">
        <v>116</v>
      </c>
      <c r="I5547" s="65">
        <f>IFERROR(VLOOKUP(A5547,'3. Call duration'!$A:$C,3,0),"--")</f>
        <v>30.28486546</v>
      </c>
      <c r="J5547" s="65" t="str">
        <f t="array" ref="J5547">XLOOKUP(H5547,'2. Matching'!$A$2:$A$39,'2. Matching'!$B$2:$B$39,"--")</f>
        <v>Acquisition</v>
      </c>
      <c r="K5547" s="65" t="str">
        <f t="shared" si="1"/>
        <v>In</v>
      </c>
    </row>
    <row r="5548">
      <c r="A5548" s="62" t="s">
        <v>5686</v>
      </c>
      <c r="B5548" s="63">
        <v>44362.0</v>
      </c>
      <c r="C5548" s="62" t="s">
        <v>119</v>
      </c>
      <c r="D5548" s="64">
        <v>47.5</v>
      </c>
      <c r="E5548" s="62" t="s">
        <v>109</v>
      </c>
      <c r="F5548" s="62" t="s">
        <v>115</v>
      </c>
      <c r="G5548" s="64" t="s">
        <v>64</v>
      </c>
      <c r="H5548" s="3" t="s">
        <v>141</v>
      </c>
      <c r="I5548" s="65">
        <f>IFERROR(VLOOKUP(A5548,'3. Call duration'!$A:$C,3,0),"--")</f>
        <v>24.83198784</v>
      </c>
      <c r="J5548" s="65" t="str">
        <f t="array" ref="J5548">XLOOKUP(H5548,'2. Matching'!$A$2:$A$39,'2. Matching'!$B$2:$B$39,"--")</f>
        <v>Acquisition</v>
      </c>
      <c r="K5548" s="65" t="str">
        <f t="shared" si="1"/>
        <v>In</v>
      </c>
    </row>
    <row r="5549">
      <c r="A5549" s="62" t="s">
        <v>5687</v>
      </c>
      <c r="B5549" s="63">
        <v>44345.0</v>
      </c>
      <c r="C5549" s="62" t="s">
        <v>119</v>
      </c>
      <c r="D5549" s="64">
        <v>95.0</v>
      </c>
      <c r="E5549" s="62" t="s">
        <v>114</v>
      </c>
      <c r="F5549" s="62" t="s">
        <v>115</v>
      </c>
      <c r="G5549" s="64" t="s">
        <v>64</v>
      </c>
      <c r="H5549" s="3" t="s">
        <v>131</v>
      </c>
      <c r="I5549" s="65">
        <f>IFERROR(VLOOKUP(A5549,'3. Call duration'!$A:$C,3,0),"--")</f>
        <v>30.30690073</v>
      </c>
      <c r="J5549" s="65" t="str">
        <f t="array" ref="J5549">XLOOKUP(H5549,'2. Matching'!$A$2:$A$39,'2. Matching'!$B$2:$B$39,"--")</f>
        <v>Acquisition</v>
      </c>
      <c r="K5549" s="65" t="str">
        <f t="shared" si="1"/>
        <v>In</v>
      </c>
    </row>
    <row r="5550">
      <c r="A5550" s="62" t="s">
        <v>5688</v>
      </c>
      <c r="B5550" s="63">
        <v>44336.0</v>
      </c>
      <c r="C5550" s="62" t="s">
        <v>119</v>
      </c>
      <c r="D5550" s="64">
        <v>95.0</v>
      </c>
      <c r="E5550" s="62" t="s">
        <v>114</v>
      </c>
      <c r="F5550" s="62" t="s">
        <v>110</v>
      </c>
      <c r="G5550" s="64" t="s">
        <v>60</v>
      </c>
      <c r="H5550" s="3" t="s">
        <v>68</v>
      </c>
      <c r="I5550" s="65">
        <f>IFERROR(VLOOKUP(A5550,'3. Call duration'!$A:$C,3,0),"--")</f>
        <v>30.31547091</v>
      </c>
      <c r="J5550" s="65" t="str">
        <f t="array" ref="J5550">XLOOKUP(H5550,'2. Matching'!$A$2:$A$39,'2. Matching'!$B$2:$B$39,"--")</f>
        <v>Acquisition</v>
      </c>
      <c r="K5550" s="65" t="str">
        <f t="shared" si="1"/>
        <v>In</v>
      </c>
    </row>
    <row r="5551">
      <c r="A5551" s="62" t="s">
        <v>5689</v>
      </c>
      <c r="B5551" s="63">
        <v>44337.0</v>
      </c>
      <c r="C5551" s="62" t="s">
        <v>119</v>
      </c>
      <c r="D5551" s="64">
        <v>47.5</v>
      </c>
      <c r="E5551" s="62" t="s">
        <v>109</v>
      </c>
      <c r="F5551" s="62" t="s">
        <v>110</v>
      </c>
      <c r="G5551" s="64" t="s">
        <v>64</v>
      </c>
      <c r="H5551" s="3" t="s">
        <v>171</v>
      </c>
      <c r="I5551" s="65">
        <f>IFERROR(VLOOKUP(A5551,'3. Call duration'!$A:$C,3,0),"--")</f>
        <v>30.32836495</v>
      </c>
      <c r="J5551" s="65" t="str">
        <f t="array" ref="J5551">XLOOKUP(H5551,'2. Matching'!$A$2:$A$39,'2. Matching'!$B$2:$B$39,"--")</f>
        <v>SEO</v>
      </c>
      <c r="K5551" s="65" t="str">
        <f t="shared" si="1"/>
        <v>In</v>
      </c>
    </row>
    <row r="5552">
      <c r="A5552" s="62" t="s">
        <v>5690</v>
      </c>
      <c r="B5552" s="63">
        <v>44371.0</v>
      </c>
      <c r="C5552" s="62" t="s">
        <v>119</v>
      </c>
      <c r="D5552" s="64">
        <v>47.5</v>
      </c>
      <c r="E5552" s="62" t="s">
        <v>109</v>
      </c>
      <c r="F5552" s="62" t="s">
        <v>115</v>
      </c>
      <c r="G5552" s="64" t="s">
        <v>64</v>
      </c>
      <c r="H5552" s="3" t="s">
        <v>116</v>
      </c>
      <c r="I5552" s="65">
        <f>IFERROR(VLOOKUP(A5552,'3. Call duration'!$A:$C,3,0),"--")</f>
        <v>31.01366459</v>
      </c>
      <c r="J5552" s="65" t="str">
        <f t="array" ref="J5552">XLOOKUP(H5552,'2. Matching'!$A$2:$A$39,'2. Matching'!$B$2:$B$39,"--")</f>
        <v>Acquisition</v>
      </c>
      <c r="K5552" s="65" t="str">
        <f t="shared" si="1"/>
        <v>In</v>
      </c>
    </row>
    <row r="5553">
      <c r="A5553" s="62" t="s">
        <v>5691</v>
      </c>
      <c r="B5553" s="63">
        <v>44370.0</v>
      </c>
      <c r="C5553" s="62" t="s">
        <v>119</v>
      </c>
      <c r="D5553" s="64">
        <v>47.5</v>
      </c>
      <c r="E5553" s="62" t="s">
        <v>109</v>
      </c>
      <c r="F5553" s="62" t="s">
        <v>115</v>
      </c>
      <c r="G5553" s="64" t="s">
        <v>64</v>
      </c>
      <c r="H5553" s="3" t="s">
        <v>185</v>
      </c>
      <c r="I5553" s="65">
        <f>IFERROR(VLOOKUP(A5553,'3. Call duration'!$A:$C,3,0),"--")</f>
        <v>26.18811354</v>
      </c>
      <c r="J5553" s="65" t="str">
        <f t="array" ref="J5553">XLOOKUP(H5553,'2. Matching'!$A$2:$A$39,'2. Matching'!$B$2:$B$39,"--")</f>
        <v>SEO</v>
      </c>
      <c r="K5553" s="65" t="str">
        <f t="shared" si="1"/>
        <v>In</v>
      </c>
    </row>
    <row r="5554">
      <c r="A5554" s="62" t="s">
        <v>5692</v>
      </c>
      <c r="B5554" s="63">
        <v>44376.0</v>
      </c>
      <c r="C5554" s="62" t="s">
        <v>119</v>
      </c>
      <c r="D5554" s="64">
        <v>47.5</v>
      </c>
      <c r="E5554" s="62" t="s">
        <v>109</v>
      </c>
      <c r="F5554" s="62" t="s">
        <v>115</v>
      </c>
      <c r="G5554" s="64" t="s">
        <v>64</v>
      </c>
      <c r="H5554" s="3" t="s">
        <v>164</v>
      </c>
      <c r="I5554" s="65">
        <f>IFERROR(VLOOKUP(A5554,'3. Call duration'!$A:$C,3,0),"--")</f>
        <v>23.23575239</v>
      </c>
      <c r="J5554" s="65" t="str">
        <f t="array" ref="J5554">XLOOKUP(H5554,'2. Matching'!$A$2:$A$39,'2. Matching'!$B$2:$B$39,"--")</f>
        <v>SEO</v>
      </c>
      <c r="K5554" s="65" t="str">
        <f t="shared" si="1"/>
        <v>In</v>
      </c>
    </row>
    <row r="5555">
      <c r="A5555" s="62" t="s">
        <v>5693</v>
      </c>
      <c r="B5555" s="63">
        <v>44375.0</v>
      </c>
      <c r="C5555" s="62" t="s">
        <v>119</v>
      </c>
      <c r="D5555" s="64">
        <v>47.5</v>
      </c>
      <c r="E5555" s="62" t="s">
        <v>109</v>
      </c>
      <c r="F5555" s="62" t="s">
        <v>115</v>
      </c>
      <c r="G5555" s="64" t="s">
        <v>59</v>
      </c>
      <c r="H5555" s="3" t="s">
        <v>68</v>
      </c>
      <c r="I5555" s="65">
        <f>IFERROR(VLOOKUP(A5555,'3. Call duration'!$A:$C,3,0),"--")</f>
        <v>25.81696319</v>
      </c>
      <c r="J5555" s="65" t="str">
        <f t="array" ref="J5555">XLOOKUP(H5555,'2. Matching'!$A$2:$A$39,'2. Matching'!$B$2:$B$39,"--")</f>
        <v>Acquisition</v>
      </c>
      <c r="K5555" s="65" t="str">
        <f t="shared" si="1"/>
        <v>In</v>
      </c>
    </row>
    <row r="5556">
      <c r="A5556" s="62" t="s">
        <v>5694</v>
      </c>
      <c r="B5556" s="63">
        <v>44333.0</v>
      </c>
      <c r="C5556" s="62" t="s">
        <v>119</v>
      </c>
      <c r="D5556" s="64">
        <v>47.5</v>
      </c>
      <c r="E5556" s="62" t="s">
        <v>109</v>
      </c>
      <c r="F5556" s="62" t="s">
        <v>110</v>
      </c>
      <c r="G5556" s="64" t="s">
        <v>59</v>
      </c>
      <c r="H5556" s="3" t="s">
        <v>68</v>
      </c>
      <c r="I5556" s="65">
        <f>IFERROR(VLOOKUP(A5556,'3. Call duration'!$A:$C,3,0),"--")</f>
        <v>30.3332647</v>
      </c>
      <c r="J5556" s="65" t="str">
        <f t="array" ref="J5556">XLOOKUP(H5556,'2. Matching'!$A$2:$A$39,'2. Matching'!$B$2:$B$39,"--")</f>
        <v>Acquisition</v>
      </c>
      <c r="K5556" s="65" t="str">
        <f t="shared" si="1"/>
        <v>In</v>
      </c>
    </row>
    <row r="5557">
      <c r="A5557" s="62" t="s">
        <v>5695</v>
      </c>
      <c r="B5557" s="63">
        <v>44372.0</v>
      </c>
      <c r="C5557" s="62" t="s">
        <v>119</v>
      </c>
      <c r="D5557" s="64">
        <v>47.5</v>
      </c>
      <c r="E5557" s="62" t="s">
        <v>109</v>
      </c>
      <c r="F5557" s="62" t="s">
        <v>115</v>
      </c>
      <c r="G5557" s="64" t="s">
        <v>64</v>
      </c>
      <c r="H5557" s="3" t="s">
        <v>116</v>
      </c>
      <c r="I5557" s="65" t="str">
        <f>IFERROR(VLOOKUP(A5557,'3. Call duration'!$A:$C,3,0),"--")</f>
        <v>--</v>
      </c>
      <c r="J5557" s="65" t="str">
        <f t="array" ref="J5557">XLOOKUP(H5557,'2. Matching'!$A$2:$A$39,'2. Matching'!$B$2:$B$39,"--")</f>
        <v>Acquisition</v>
      </c>
      <c r="K5557" s="65" t="str">
        <f t="shared" si="1"/>
        <v>In</v>
      </c>
    </row>
    <row r="5558">
      <c r="A5558" s="62" t="s">
        <v>5696</v>
      </c>
      <c r="B5558" s="63">
        <v>44375.0</v>
      </c>
      <c r="C5558" s="62" t="s">
        <v>119</v>
      </c>
      <c r="D5558" s="64">
        <v>47.5</v>
      </c>
      <c r="E5558" s="62" t="s">
        <v>109</v>
      </c>
      <c r="F5558" s="62" t="s">
        <v>110</v>
      </c>
      <c r="G5558" s="64" t="s">
        <v>64</v>
      </c>
      <c r="H5558" s="3" t="s">
        <v>297</v>
      </c>
      <c r="I5558" s="65">
        <f>IFERROR(VLOOKUP(A5558,'3. Call duration'!$A:$C,3,0),"--")</f>
        <v>27.59151416</v>
      </c>
      <c r="J5558" s="65" t="str">
        <f t="array" ref="J5558">XLOOKUP(H5558,'2. Matching'!$A$2:$A$39,'2. Matching'!$B$2:$B$39,"--")</f>
        <v>Farming</v>
      </c>
      <c r="K5558" s="65" t="str">
        <f t="shared" si="1"/>
        <v>In</v>
      </c>
    </row>
    <row r="5559">
      <c r="A5559" s="62" t="s">
        <v>5697</v>
      </c>
      <c r="B5559" s="63">
        <v>44361.0</v>
      </c>
      <c r="C5559" s="62" t="s">
        <v>119</v>
      </c>
      <c r="D5559" s="64">
        <v>47.5</v>
      </c>
      <c r="E5559" s="62" t="s">
        <v>109</v>
      </c>
      <c r="F5559" s="62" t="s">
        <v>110</v>
      </c>
      <c r="G5559" s="64" t="s">
        <v>63</v>
      </c>
      <c r="H5559" s="3" t="s">
        <v>128</v>
      </c>
      <c r="I5559" s="65">
        <f>IFERROR(VLOOKUP(A5559,'3. Call duration'!$A:$C,3,0),"--")</f>
        <v>27.84936341</v>
      </c>
      <c r="J5559" s="65" t="str">
        <f t="array" ref="J5559">XLOOKUP(H5559,'2. Matching'!$A$2:$A$39,'2. Matching'!$B$2:$B$39,"--")</f>
        <v>Acquisition</v>
      </c>
      <c r="K5559" s="65" t="str">
        <f t="shared" si="1"/>
        <v>In</v>
      </c>
    </row>
    <row r="5560">
      <c r="A5560" s="62" t="s">
        <v>5698</v>
      </c>
      <c r="B5560" s="63">
        <v>44376.0</v>
      </c>
      <c r="C5560" s="62" t="s">
        <v>119</v>
      </c>
      <c r="D5560" s="64">
        <v>47.5</v>
      </c>
      <c r="E5560" s="62" t="s">
        <v>109</v>
      </c>
      <c r="F5560" s="62" t="s">
        <v>115</v>
      </c>
      <c r="G5560" s="64" t="s">
        <v>60</v>
      </c>
      <c r="H5560" s="3" t="s">
        <v>68</v>
      </c>
      <c r="I5560" s="65">
        <f>IFERROR(VLOOKUP(A5560,'3. Call duration'!$A:$C,3,0),"--")</f>
        <v>30.35463318</v>
      </c>
      <c r="J5560" s="65" t="str">
        <f t="array" ref="J5560">XLOOKUP(H5560,'2. Matching'!$A$2:$A$39,'2. Matching'!$B$2:$B$39,"--")</f>
        <v>Acquisition</v>
      </c>
      <c r="K5560" s="65" t="str">
        <f t="shared" si="1"/>
        <v>In</v>
      </c>
    </row>
    <row r="5561">
      <c r="A5561" s="62" t="s">
        <v>5699</v>
      </c>
      <c r="B5561" s="63">
        <v>44358.0</v>
      </c>
      <c r="C5561" s="62" t="s">
        <v>119</v>
      </c>
      <c r="D5561" s="64">
        <v>47.5</v>
      </c>
      <c r="E5561" s="62" t="s">
        <v>109</v>
      </c>
      <c r="F5561" s="62" t="s">
        <v>115</v>
      </c>
      <c r="G5561" s="64" t="s">
        <v>64</v>
      </c>
      <c r="H5561" s="3" t="s">
        <v>116</v>
      </c>
      <c r="I5561" s="65">
        <f>IFERROR(VLOOKUP(A5561,'3. Call duration'!$A:$C,3,0),"--")</f>
        <v>33.30678292</v>
      </c>
      <c r="J5561" s="65" t="str">
        <f t="array" ref="J5561">XLOOKUP(H5561,'2. Matching'!$A$2:$A$39,'2. Matching'!$B$2:$B$39,"--")</f>
        <v>Acquisition</v>
      </c>
      <c r="K5561" s="65" t="str">
        <f t="shared" si="1"/>
        <v>In</v>
      </c>
    </row>
    <row r="5562">
      <c r="A5562" s="62" t="s">
        <v>5700</v>
      </c>
      <c r="B5562" s="63">
        <v>44321.0</v>
      </c>
      <c r="C5562" s="62" t="s">
        <v>119</v>
      </c>
      <c r="D5562" s="64">
        <v>47.5</v>
      </c>
      <c r="E5562" s="62" t="s">
        <v>109</v>
      </c>
      <c r="F5562" s="62" t="s">
        <v>115</v>
      </c>
      <c r="G5562" s="64" t="s">
        <v>64</v>
      </c>
      <c r="H5562" s="3" t="s">
        <v>164</v>
      </c>
      <c r="I5562" s="65">
        <f>IFERROR(VLOOKUP(A5562,'3. Call duration'!$A:$C,3,0),"--")</f>
        <v>30.33780282</v>
      </c>
      <c r="J5562" s="65" t="str">
        <f t="array" ref="J5562">XLOOKUP(H5562,'2. Matching'!$A$2:$A$39,'2. Matching'!$B$2:$B$39,"--")</f>
        <v>SEO</v>
      </c>
      <c r="K5562" s="65" t="str">
        <f t="shared" si="1"/>
        <v>In</v>
      </c>
    </row>
    <row r="5563">
      <c r="A5563" s="62" t="s">
        <v>5701</v>
      </c>
      <c r="B5563" s="63">
        <v>44331.0</v>
      </c>
      <c r="C5563" s="62" t="s">
        <v>119</v>
      </c>
      <c r="D5563" s="64">
        <v>47.5</v>
      </c>
      <c r="E5563" s="62" t="s">
        <v>109</v>
      </c>
      <c r="F5563" s="62" t="s">
        <v>110</v>
      </c>
      <c r="G5563" s="64" t="s">
        <v>59</v>
      </c>
      <c r="H5563" s="3" t="s">
        <v>68</v>
      </c>
      <c r="I5563" s="65">
        <f>IFERROR(VLOOKUP(A5563,'3. Call duration'!$A:$C,3,0),"--")</f>
        <v>30.35975931</v>
      </c>
      <c r="J5563" s="65" t="str">
        <f t="array" ref="J5563">XLOOKUP(H5563,'2. Matching'!$A$2:$A$39,'2. Matching'!$B$2:$B$39,"--")</f>
        <v>Acquisition</v>
      </c>
      <c r="K5563" s="65" t="str">
        <f t="shared" si="1"/>
        <v>In</v>
      </c>
    </row>
    <row r="5564">
      <c r="A5564" s="62" t="s">
        <v>5702</v>
      </c>
      <c r="B5564" s="63">
        <v>44364.0</v>
      </c>
      <c r="C5564" s="62" t="s">
        <v>119</v>
      </c>
      <c r="D5564" s="64">
        <v>47.5</v>
      </c>
      <c r="E5564" s="62" t="s">
        <v>109</v>
      </c>
      <c r="F5564" s="62" t="s">
        <v>110</v>
      </c>
      <c r="G5564" s="64" t="s">
        <v>63</v>
      </c>
      <c r="H5564" s="3" t="s">
        <v>128</v>
      </c>
      <c r="I5564" s="65">
        <f>IFERROR(VLOOKUP(A5564,'3. Call duration'!$A:$C,3,0),"--")</f>
        <v>33.24824214</v>
      </c>
      <c r="J5564" s="65" t="str">
        <f t="array" ref="J5564">XLOOKUP(H5564,'2. Matching'!$A$2:$A$39,'2. Matching'!$B$2:$B$39,"--")</f>
        <v>Acquisition</v>
      </c>
      <c r="K5564" s="65" t="str">
        <f t="shared" si="1"/>
        <v>In</v>
      </c>
    </row>
    <row r="5565">
      <c r="A5565" s="62" t="s">
        <v>5703</v>
      </c>
      <c r="B5565" s="63">
        <v>44328.0</v>
      </c>
      <c r="C5565" s="62" t="s">
        <v>119</v>
      </c>
      <c r="D5565" s="64">
        <v>47.5</v>
      </c>
      <c r="E5565" s="62" t="s">
        <v>109</v>
      </c>
      <c r="F5565" s="62" t="s">
        <v>115</v>
      </c>
      <c r="G5565" s="64" t="s">
        <v>64</v>
      </c>
      <c r="H5565" s="3" t="s">
        <v>175</v>
      </c>
      <c r="I5565" s="65">
        <f>IFERROR(VLOOKUP(A5565,'3. Call duration'!$A:$C,3,0),"--")</f>
        <v>30.38174155</v>
      </c>
      <c r="J5565" s="65" t="str">
        <f t="array" ref="J5565">XLOOKUP(H5565,'2. Matching'!$A$2:$A$39,'2. Matching'!$B$2:$B$39,"--")</f>
        <v>SEO</v>
      </c>
      <c r="K5565" s="65" t="str">
        <f t="shared" si="1"/>
        <v>In</v>
      </c>
    </row>
    <row r="5566">
      <c r="A5566" s="62" t="s">
        <v>5704</v>
      </c>
      <c r="B5566" s="63">
        <v>44332.0</v>
      </c>
      <c r="C5566" s="62" t="s">
        <v>119</v>
      </c>
      <c r="D5566" s="64">
        <v>47.5</v>
      </c>
      <c r="E5566" s="62" t="s">
        <v>109</v>
      </c>
      <c r="F5566" s="62" t="s">
        <v>115</v>
      </c>
      <c r="G5566" s="64" t="s">
        <v>59</v>
      </c>
      <c r="H5566" s="3" t="s">
        <v>68</v>
      </c>
      <c r="I5566" s="65">
        <f>IFERROR(VLOOKUP(A5566,'3. Call duration'!$A:$C,3,0),"--")</f>
        <v>30.39962809</v>
      </c>
      <c r="J5566" s="65" t="str">
        <f t="array" ref="J5566">XLOOKUP(H5566,'2. Matching'!$A$2:$A$39,'2. Matching'!$B$2:$B$39,"--")</f>
        <v>Acquisition</v>
      </c>
      <c r="K5566" s="65" t="str">
        <f t="shared" si="1"/>
        <v>In</v>
      </c>
    </row>
    <row r="5567">
      <c r="A5567" s="62" t="s">
        <v>5705</v>
      </c>
      <c r="B5567" s="63">
        <v>44341.0</v>
      </c>
      <c r="C5567" s="62" t="s">
        <v>119</v>
      </c>
      <c r="D5567" s="64">
        <v>47.5</v>
      </c>
      <c r="E5567" s="62" t="s">
        <v>109</v>
      </c>
      <c r="F5567" s="62" t="s">
        <v>115</v>
      </c>
      <c r="G5567" s="64" t="s">
        <v>64</v>
      </c>
      <c r="H5567" s="3" t="s">
        <v>185</v>
      </c>
      <c r="I5567" s="65">
        <f>IFERROR(VLOOKUP(A5567,'3. Call duration'!$A:$C,3,0),"--")</f>
        <v>30.40948145</v>
      </c>
      <c r="J5567" s="65" t="str">
        <f t="array" ref="J5567">XLOOKUP(H5567,'2. Matching'!$A$2:$A$39,'2. Matching'!$B$2:$B$39,"--")</f>
        <v>SEO</v>
      </c>
      <c r="K5567" s="65" t="str">
        <f t="shared" si="1"/>
        <v>In</v>
      </c>
    </row>
    <row r="5568">
      <c r="A5568" s="62" t="s">
        <v>5706</v>
      </c>
      <c r="B5568" s="63">
        <v>44328.0</v>
      </c>
      <c r="C5568" s="62" t="s">
        <v>119</v>
      </c>
      <c r="D5568" s="64">
        <v>47.5</v>
      </c>
      <c r="E5568" s="62" t="s">
        <v>109</v>
      </c>
      <c r="F5568" s="62" t="s">
        <v>115</v>
      </c>
      <c r="G5568" s="64" t="s">
        <v>64</v>
      </c>
      <c r="H5568" s="3" t="s">
        <v>139</v>
      </c>
      <c r="I5568" s="65">
        <f>IFERROR(VLOOKUP(A5568,'3. Call duration'!$A:$C,3,0),"--")</f>
        <v>30.43757368</v>
      </c>
      <c r="J5568" s="65" t="str">
        <f t="array" ref="J5568">XLOOKUP(H5568,'2. Matching'!$A$2:$A$39,'2. Matching'!$B$2:$B$39,"--")</f>
        <v>Acquisition</v>
      </c>
      <c r="K5568" s="65" t="str">
        <f t="shared" si="1"/>
        <v>In</v>
      </c>
    </row>
    <row r="5569">
      <c r="A5569" s="62" t="s">
        <v>5707</v>
      </c>
      <c r="B5569" s="63">
        <v>44342.0</v>
      </c>
      <c r="C5569" s="62" t="s">
        <v>119</v>
      </c>
      <c r="D5569" s="64">
        <v>47.5</v>
      </c>
      <c r="E5569" s="62" t="s">
        <v>109</v>
      </c>
      <c r="F5569" s="62" t="s">
        <v>110</v>
      </c>
      <c r="G5569" s="64" t="s">
        <v>63</v>
      </c>
      <c r="H5569" s="3" t="s">
        <v>189</v>
      </c>
      <c r="I5569" s="65">
        <f>IFERROR(VLOOKUP(A5569,'3. Call duration'!$A:$C,3,0),"--")</f>
        <v>30.44985435</v>
      </c>
      <c r="J5569" s="65" t="str">
        <f t="array" ref="J5569">XLOOKUP(H5569,'2. Matching'!$A$2:$A$39,'2. Matching'!$B$2:$B$39,"--")</f>
        <v>SEO</v>
      </c>
      <c r="K5569" s="65" t="str">
        <f t="shared" si="1"/>
        <v>Out</v>
      </c>
    </row>
    <row r="5570">
      <c r="A5570" s="62" t="s">
        <v>5708</v>
      </c>
      <c r="B5570" s="63">
        <v>44326.0</v>
      </c>
      <c r="C5570" s="62" t="s">
        <v>119</v>
      </c>
      <c r="D5570" s="64">
        <v>47.5</v>
      </c>
      <c r="E5570" s="62" t="s">
        <v>109</v>
      </c>
      <c r="F5570" s="62" t="s">
        <v>115</v>
      </c>
      <c r="G5570" s="64" t="s">
        <v>64</v>
      </c>
      <c r="H5570" s="3" t="s">
        <v>145</v>
      </c>
      <c r="I5570" s="65">
        <f>IFERROR(VLOOKUP(A5570,'3. Call duration'!$A:$C,3,0),"--")</f>
        <v>30.45561279</v>
      </c>
      <c r="J5570" s="65" t="str">
        <f t="array" ref="J5570">XLOOKUP(H5570,'2. Matching'!$A$2:$A$39,'2. Matching'!$B$2:$B$39,"--")</f>
        <v>SEO</v>
      </c>
      <c r="K5570" s="65" t="str">
        <f t="shared" si="1"/>
        <v>In</v>
      </c>
    </row>
    <row r="5571">
      <c r="A5571" s="62" t="s">
        <v>5709</v>
      </c>
      <c r="B5571" s="63">
        <v>44356.0</v>
      </c>
      <c r="C5571" s="62" t="s">
        <v>119</v>
      </c>
      <c r="D5571" s="64">
        <v>47.5</v>
      </c>
      <c r="E5571" s="62" t="s">
        <v>109</v>
      </c>
      <c r="F5571" s="62" t="s">
        <v>115</v>
      </c>
      <c r="G5571" s="64" t="s">
        <v>64</v>
      </c>
      <c r="H5571" s="3" t="s">
        <v>131</v>
      </c>
      <c r="I5571" s="65">
        <f>IFERROR(VLOOKUP(A5571,'3. Call duration'!$A:$C,3,0),"--")</f>
        <v>30.52713111</v>
      </c>
      <c r="J5571" s="65" t="str">
        <f t="array" ref="J5571">XLOOKUP(H5571,'2. Matching'!$A$2:$A$39,'2. Matching'!$B$2:$B$39,"--")</f>
        <v>Acquisition</v>
      </c>
      <c r="K5571" s="65" t="str">
        <f t="shared" si="1"/>
        <v>In</v>
      </c>
    </row>
    <row r="5572">
      <c r="A5572" s="62" t="s">
        <v>5710</v>
      </c>
      <c r="B5572" s="63">
        <v>44376.0</v>
      </c>
      <c r="C5572" s="62" t="s">
        <v>119</v>
      </c>
      <c r="D5572" s="64">
        <v>47.5</v>
      </c>
      <c r="E5572" s="62" t="s">
        <v>109</v>
      </c>
      <c r="F5572" s="62" t="s">
        <v>115</v>
      </c>
      <c r="G5572" s="64" t="s">
        <v>64</v>
      </c>
      <c r="H5572" s="3" t="s">
        <v>169</v>
      </c>
      <c r="I5572" s="65">
        <f>IFERROR(VLOOKUP(A5572,'3. Call duration'!$A:$C,3,0),"--")</f>
        <v>22.00758955</v>
      </c>
      <c r="J5572" s="65" t="str">
        <f t="array" ref="J5572">XLOOKUP(H5572,'2. Matching'!$A$2:$A$39,'2. Matching'!$B$2:$B$39,"--")</f>
        <v>SEO</v>
      </c>
      <c r="K5572" s="65" t="str">
        <f t="shared" si="1"/>
        <v>In</v>
      </c>
    </row>
    <row r="5573">
      <c r="A5573" s="62" t="s">
        <v>5711</v>
      </c>
      <c r="B5573" s="63">
        <v>44359.0</v>
      </c>
      <c r="C5573" s="62" t="s">
        <v>119</v>
      </c>
      <c r="D5573" s="64">
        <v>47.5</v>
      </c>
      <c r="E5573" s="62" t="s">
        <v>109</v>
      </c>
      <c r="F5573" s="62" t="s">
        <v>110</v>
      </c>
      <c r="G5573" s="64" t="s">
        <v>64</v>
      </c>
      <c r="H5573" s="3" t="s">
        <v>116</v>
      </c>
      <c r="I5573" s="65">
        <f>IFERROR(VLOOKUP(A5573,'3. Call duration'!$A:$C,3,0),"--")</f>
        <v>14.91897</v>
      </c>
      <c r="J5573" s="65" t="str">
        <f t="array" ref="J5573">XLOOKUP(H5573,'2. Matching'!$A$2:$A$39,'2. Matching'!$B$2:$B$39,"--")</f>
        <v>Acquisition</v>
      </c>
      <c r="K5573" s="65" t="str">
        <f t="shared" si="1"/>
        <v>In</v>
      </c>
    </row>
    <row r="5574">
      <c r="A5574" s="62" t="s">
        <v>5712</v>
      </c>
      <c r="B5574" s="63">
        <v>44325.0</v>
      </c>
      <c r="C5574" s="62" t="s">
        <v>108</v>
      </c>
      <c r="D5574" s="64">
        <v>0.0</v>
      </c>
      <c r="E5574" s="62" t="s">
        <v>109</v>
      </c>
      <c r="F5574" s="62" t="s">
        <v>115</v>
      </c>
      <c r="G5574" s="64" t="s">
        <v>64</v>
      </c>
      <c r="H5574" s="3" t="s">
        <v>139</v>
      </c>
      <c r="I5574" s="65">
        <f>IFERROR(VLOOKUP(A5574,'3. Call duration'!$A:$C,3,0),"--")</f>
        <v>30.45968411</v>
      </c>
      <c r="J5574" s="65" t="str">
        <f t="array" ref="J5574">XLOOKUP(H5574,'2. Matching'!$A$2:$A$39,'2. Matching'!$B$2:$B$39,"--")</f>
        <v>Acquisition</v>
      </c>
      <c r="K5574" s="65" t="str">
        <f t="shared" si="1"/>
        <v>In</v>
      </c>
    </row>
    <row r="5575">
      <c r="A5575" s="62" t="s">
        <v>5713</v>
      </c>
      <c r="B5575" s="63">
        <v>44333.0</v>
      </c>
      <c r="C5575" s="62" t="s">
        <v>119</v>
      </c>
      <c r="D5575" s="64">
        <v>47.5</v>
      </c>
      <c r="E5575" s="62" t="s">
        <v>109</v>
      </c>
      <c r="F5575" s="62" t="s">
        <v>115</v>
      </c>
      <c r="G5575" s="64" t="s">
        <v>64</v>
      </c>
      <c r="H5575" s="3" t="s">
        <v>185</v>
      </c>
      <c r="I5575" s="65">
        <f>IFERROR(VLOOKUP(A5575,'3. Call duration'!$A:$C,3,0),"--")</f>
        <v>30.4636852</v>
      </c>
      <c r="J5575" s="65" t="str">
        <f t="array" ref="J5575">XLOOKUP(H5575,'2. Matching'!$A$2:$A$39,'2. Matching'!$B$2:$B$39,"--")</f>
        <v>SEO</v>
      </c>
      <c r="K5575" s="65" t="str">
        <f t="shared" si="1"/>
        <v>In</v>
      </c>
    </row>
    <row r="5576">
      <c r="A5576" s="62" t="s">
        <v>5714</v>
      </c>
      <c r="B5576" s="63">
        <v>44372.0</v>
      </c>
      <c r="C5576" s="62" t="s">
        <v>119</v>
      </c>
      <c r="D5576" s="64">
        <v>47.5</v>
      </c>
      <c r="E5576" s="62" t="s">
        <v>109</v>
      </c>
      <c r="F5576" s="62" t="s">
        <v>115</v>
      </c>
      <c r="G5576" s="64" t="s">
        <v>64</v>
      </c>
      <c r="H5576" s="3" t="s">
        <v>155</v>
      </c>
      <c r="I5576" s="65">
        <f>IFERROR(VLOOKUP(A5576,'3. Call duration'!$A:$C,3,0),"--")</f>
        <v>30.21699124</v>
      </c>
      <c r="J5576" s="65" t="str">
        <f t="array" ref="J5576">XLOOKUP(H5576,'2. Matching'!$A$2:$A$39,'2. Matching'!$B$2:$B$39,"--")</f>
        <v>SEO</v>
      </c>
      <c r="K5576" s="65" t="str">
        <f t="shared" si="1"/>
        <v>In</v>
      </c>
    </row>
    <row r="5577">
      <c r="A5577" s="62" t="s">
        <v>5715</v>
      </c>
      <c r="B5577" s="63">
        <v>44358.0</v>
      </c>
      <c r="C5577" s="62" t="s">
        <v>119</v>
      </c>
      <c r="D5577" s="64">
        <v>47.5</v>
      </c>
      <c r="E5577" s="62" t="s">
        <v>109</v>
      </c>
      <c r="F5577" s="62" t="s">
        <v>110</v>
      </c>
      <c r="G5577" s="64" t="s">
        <v>60</v>
      </c>
      <c r="H5577" s="3" t="s">
        <v>67</v>
      </c>
      <c r="I5577" s="65">
        <f>IFERROR(VLOOKUP(A5577,'3. Call duration'!$A:$C,3,0),"--")</f>
        <v>31.82466538</v>
      </c>
      <c r="J5577" s="65" t="str">
        <f t="array" ref="J5577">XLOOKUP(H5577,'2. Matching'!$A$2:$A$39,'2. Matching'!$B$2:$B$39,"--")</f>
        <v>Acquisition</v>
      </c>
      <c r="K5577" s="65" t="str">
        <f t="shared" si="1"/>
        <v>In</v>
      </c>
    </row>
    <row r="5578">
      <c r="A5578" s="62" t="s">
        <v>5716</v>
      </c>
      <c r="B5578" s="63">
        <v>44343.0</v>
      </c>
      <c r="C5578" s="62" t="s">
        <v>119</v>
      </c>
      <c r="D5578" s="64">
        <v>95.0</v>
      </c>
      <c r="E5578" s="62" t="s">
        <v>114</v>
      </c>
      <c r="F5578" s="62" t="s">
        <v>115</v>
      </c>
      <c r="G5578" s="64" t="s">
        <v>64</v>
      </c>
      <c r="H5578" s="3" t="s">
        <v>221</v>
      </c>
      <c r="I5578" s="65">
        <f>IFERROR(VLOOKUP(A5578,'3. Call duration'!$A:$C,3,0),"--")</f>
        <v>30.47554956</v>
      </c>
      <c r="J5578" s="65" t="str">
        <f t="array" ref="J5578">XLOOKUP(H5578,'2. Matching'!$A$2:$A$39,'2. Matching'!$B$2:$B$39,"--")</f>
        <v>Farming</v>
      </c>
      <c r="K5578" s="65" t="str">
        <f t="shared" si="1"/>
        <v>In</v>
      </c>
    </row>
    <row r="5579">
      <c r="A5579" s="62" t="s">
        <v>5717</v>
      </c>
      <c r="B5579" s="63">
        <v>44355.0</v>
      </c>
      <c r="C5579" s="62" t="s">
        <v>119</v>
      </c>
      <c r="D5579" s="64">
        <v>47.5</v>
      </c>
      <c r="E5579" s="62" t="s">
        <v>109</v>
      </c>
      <c r="F5579" s="62" t="s">
        <v>115</v>
      </c>
      <c r="G5579" s="64" t="s">
        <v>64</v>
      </c>
      <c r="H5579" s="3" t="s">
        <v>141</v>
      </c>
      <c r="I5579" s="65">
        <f>IFERROR(VLOOKUP(A5579,'3. Call duration'!$A:$C,3,0),"--")</f>
        <v>26.59978399</v>
      </c>
      <c r="J5579" s="65" t="str">
        <f t="array" ref="J5579">XLOOKUP(H5579,'2. Matching'!$A$2:$A$39,'2. Matching'!$B$2:$B$39,"--")</f>
        <v>Acquisition</v>
      </c>
      <c r="K5579" s="65" t="str">
        <f t="shared" si="1"/>
        <v>In</v>
      </c>
    </row>
    <row r="5580">
      <c r="A5580" s="62" t="s">
        <v>5718</v>
      </c>
      <c r="B5580" s="63">
        <v>44345.0</v>
      </c>
      <c r="C5580" s="62" t="s">
        <v>119</v>
      </c>
      <c r="D5580" s="64">
        <v>47.5</v>
      </c>
      <c r="E5580" s="62" t="s">
        <v>109</v>
      </c>
      <c r="F5580" s="62" t="s">
        <v>115</v>
      </c>
      <c r="G5580" s="64" t="s">
        <v>64</v>
      </c>
      <c r="H5580" s="3" t="s">
        <v>169</v>
      </c>
      <c r="I5580" s="65">
        <f>IFERROR(VLOOKUP(A5580,'3. Call duration'!$A:$C,3,0),"--")</f>
        <v>30.49912749</v>
      </c>
      <c r="J5580" s="65" t="str">
        <f t="array" ref="J5580">XLOOKUP(H5580,'2. Matching'!$A$2:$A$39,'2. Matching'!$B$2:$B$39,"--")</f>
        <v>SEO</v>
      </c>
      <c r="K5580" s="65" t="str">
        <f t="shared" si="1"/>
        <v>In</v>
      </c>
    </row>
    <row r="5581">
      <c r="A5581" s="62" t="s">
        <v>5719</v>
      </c>
      <c r="B5581" s="63">
        <v>44329.0</v>
      </c>
      <c r="C5581" s="62" t="s">
        <v>119</v>
      </c>
      <c r="D5581" s="64">
        <v>47.5</v>
      </c>
      <c r="E5581" s="62" t="s">
        <v>109</v>
      </c>
      <c r="F5581" s="62" t="s">
        <v>115</v>
      </c>
      <c r="G5581" s="64" t="s">
        <v>64</v>
      </c>
      <c r="H5581" s="3" t="s">
        <v>131</v>
      </c>
      <c r="I5581" s="65">
        <f>IFERROR(VLOOKUP(A5581,'3. Call duration'!$A:$C,3,0),"--")</f>
        <v>30.50078795</v>
      </c>
      <c r="J5581" s="65" t="str">
        <f t="array" ref="J5581">XLOOKUP(H5581,'2. Matching'!$A$2:$A$39,'2. Matching'!$B$2:$B$39,"--")</f>
        <v>Acquisition</v>
      </c>
      <c r="K5581" s="65" t="str">
        <f t="shared" si="1"/>
        <v>In</v>
      </c>
    </row>
    <row r="5582">
      <c r="A5582" s="62" t="s">
        <v>5720</v>
      </c>
      <c r="B5582" s="63">
        <v>44342.0</v>
      </c>
      <c r="C5582" s="62" t="s">
        <v>119</v>
      </c>
      <c r="D5582" s="64">
        <v>47.5</v>
      </c>
      <c r="E5582" s="62" t="s">
        <v>109</v>
      </c>
      <c r="F5582" s="62" t="s">
        <v>115</v>
      </c>
      <c r="G5582" s="64" t="s">
        <v>63</v>
      </c>
      <c r="H5582" s="3" t="s">
        <v>128</v>
      </c>
      <c r="I5582" s="65">
        <f>IFERROR(VLOOKUP(A5582,'3. Call duration'!$A:$C,3,0),"--")</f>
        <v>30.51258014</v>
      </c>
      <c r="J5582" s="65" t="str">
        <f t="array" ref="J5582">XLOOKUP(H5582,'2. Matching'!$A$2:$A$39,'2. Matching'!$B$2:$B$39,"--")</f>
        <v>Acquisition</v>
      </c>
      <c r="K5582" s="65" t="str">
        <f t="shared" si="1"/>
        <v>In</v>
      </c>
    </row>
    <row r="5583">
      <c r="A5583" s="62" t="s">
        <v>5721</v>
      </c>
      <c r="B5583" s="63">
        <v>44321.0</v>
      </c>
      <c r="C5583" s="62" t="s">
        <v>119</v>
      </c>
      <c r="D5583" s="64">
        <v>95.0</v>
      </c>
      <c r="E5583" s="62" t="s">
        <v>114</v>
      </c>
      <c r="F5583" s="62" t="s">
        <v>110</v>
      </c>
      <c r="G5583" s="64" t="s">
        <v>64</v>
      </c>
      <c r="H5583" s="3" t="s">
        <v>297</v>
      </c>
      <c r="I5583" s="65">
        <f>IFERROR(VLOOKUP(A5583,'3. Call duration'!$A:$C,3,0),"--")</f>
        <v>30.5337939</v>
      </c>
      <c r="J5583" s="65" t="str">
        <f t="array" ref="J5583">XLOOKUP(H5583,'2. Matching'!$A$2:$A$39,'2. Matching'!$B$2:$B$39,"--")</f>
        <v>Farming</v>
      </c>
      <c r="K5583" s="65" t="str">
        <f t="shared" si="1"/>
        <v>In</v>
      </c>
    </row>
    <row r="5584">
      <c r="A5584" s="62" t="s">
        <v>5722</v>
      </c>
      <c r="B5584" s="63">
        <v>44336.0</v>
      </c>
      <c r="C5584" s="62" t="s">
        <v>119</v>
      </c>
      <c r="D5584" s="64">
        <v>47.5</v>
      </c>
      <c r="E5584" s="62" t="s">
        <v>109</v>
      </c>
      <c r="F5584" s="62" t="s">
        <v>115</v>
      </c>
      <c r="G5584" s="64" t="s">
        <v>63</v>
      </c>
      <c r="H5584" s="3" t="s">
        <v>128</v>
      </c>
      <c r="I5584" s="65">
        <f>IFERROR(VLOOKUP(A5584,'3. Call duration'!$A:$C,3,0),"--")</f>
        <v>30.54375277</v>
      </c>
      <c r="J5584" s="65" t="str">
        <f t="array" ref="J5584">XLOOKUP(H5584,'2. Matching'!$A$2:$A$39,'2. Matching'!$B$2:$B$39,"--")</f>
        <v>Acquisition</v>
      </c>
      <c r="K5584" s="65" t="str">
        <f t="shared" si="1"/>
        <v>In</v>
      </c>
    </row>
    <row r="5585">
      <c r="A5585" s="62" t="s">
        <v>5723</v>
      </c>
      <c r="B5585" s="63">
        <v>44344.0</v>
      </c>
      <c r="C5585" s="62" t="s">
        <v>119</v>
      </c>
      <c r="D5585" s="64">
        <v>47.5</v>
      </c>
      <c r="E5585" s="62" t="s">
        <v>109</v>
      </c>
      <c r="F5585" s="62" t="s">
        <v>115</v>
      </c>
      <c r="G5585" s="64" t="s">
        <v>59</v>
      </c>
      <c r="H5585" s="3" t="s">
        <v>68</v>
      </c>
      <c r="I5585" s="65">
        <f>IFERROR(VLOOKUP(A5585,'3. Call duration'!$A:$C,3,0),"--")</f>
        <v>30.55271366</v>
      </c>
      <c r="J5585" s="65" t="str">
        <f t="array" ref="J5585">XLOOKUP(H5585,'2. Matching'!$A$2:$A$39,'2. Matching'!$B$2:$B$39,"--")</f>
        <v>Acquisition</v>
      </c>
      <c r="K5585" s="65" t="str">
        <f t="shared" si="1"/>
        <v>In</v>
      </c>
    </row>
    <row r="5586">
      <c r="A5586" s="62" t="s">
        <v>5724</v>
      </c>
      <c r="B5586" s="63">
        <v>44345.0</v>
      </c>
      <c r="C5586" s="62" t="s">
        <v>119</v>
      </c>
      <c r="D5586" s="64">
        <v>47.5</v>
      </c>
      <c r="E5586" s="62" t="s">
        <v>109</v>
      </c>
      <c r="F5586" s="62" t="s">
        <v>115</v>
      </c>
      <c r="G5586" s="64" t="s">
        <v>59</v>
      </c>
      <c r="H5586" s="3" t="s">
        <v>68</v>
      </c>
      <c r="I5586" s="65">
        <f>IFERROR(VLOOKUP(A5586,'3. Call duration'!$A:$C,3,0),"--")</f>
        <v>30.56046479</v>
      </c>
      <c r="J5586" s="65" t="str">
        <f t="array" ref="J5586">XLOOKUP(H5586,'2. Matching'!$A$2:$A$39,'2. Matching'!$B$2:$B$39,"--")</f>
        <v>Acquisition</v>
      </c>
      <c r="K5586" s="65" t="str">
        <f t="shared" si="1"/>
        <v>In</v>
      </c>
    </row>
    <row r="5587">
      <c r="A5587" s="62" t="s">
        <v>5725</v>
      </c>
      <c r="B5587" s="63">
        <v>44345.0</v>
      </c>
      <c r="C5587" s="62" t="s">
        <v>119</v>
      </c>
      <c r="D5587" s="64">
        <v>47.5</v>
      </c>
      <c r="E5587" s="62" t="s">
        <v>109</v>
      </c>
      <c r="F5587" s="62" t="s">
        <v>115</v>
      </c>
      <c r="G5587" s="64" t="s">
        <v>64</v>
      </c>
      <c r="H5587" s="3" t="s">
        <v>139</v>
      </c>
      <c r="I5587" s="65">
        <f>IFERROR(VLOOKUP(A5587,'3. Call duration'!$A:$C,3,0),"--")</f>
        <v>30.56221465</v>
      </c>
      <c r="J5587" s="65" t="str">
        <f t="array" ref="J5587">XLOOKUP(H5587,'2. Matching'!$A$2:$A$39,'2. Matching'!$B$2:$B$39,"--")</f>
        <v>Acquisition</v>
      </c>
      <c r="K5587" s="65" t="str">
        <f t="shared" si="1"/>
        <v>In</v>
      </c>
    </row>
    <row r="5588">
      <c r="A5588" s="62" t="s">
        <v>5726</v>
      </c>
      <c r="B5588" s="63">
        <v>44376.0</v>
      </c>
      <c r="C5588" s="62" t="s">
        <v>119</v>
      </c>
      <c r="D5588" s="64">
        <v>47.5</v>
      </c>
      <c r="E5588" s="62" t="s">
        <v>109</v>
      </c>
      <c r="F5588" s="62" t="s">
        <v>110</v>
      </c>
      <c r="G5588" s="64" t="s">
        <v>61</v>
      </c>
      <c r="H5588" s="3" t="s">
        <v>67</v>
      </c>
      <c r="I5588" s="65">
        <f>IFERROR(VLOOKUP(A5588,'3. Call duration'!$A:$C,3,0),"--")</f>
        <v>16.52917809</v>
      </c>
      <c r="J5588" s="65" t="str">
        <f t="array" ref="J5588">XLOOKUP(H5588,'2. Matching'!$A$2:$A$39,'2. Matching'!$B$2:$B$39,"--")</f>
        <v>Acquisition</v>
      </c>
      <c r="K5588" s="65" t="str">
        <f t="shared" si="1"/>
        <v>In</v>
      </c>
    </row>
    <row r="5589">
      <c r="A5589" s="62" t="s">
        <v>5727</v>
      </c>
      <c r="B5589" s="63">
        <v>44354.0</v>
      </c>
      <c r="C5589" s="62" t="s">
        <v>119</v>
      </c>
      <c r="D5589" s="64">
        <v>47.5</v>
      </c>
      <c r="E5589" s="62" t="s">
        <v>109</v>
      </c>
      <c r="F5589" s="62" t="s">
        <v>115</v>
      </c>
      <c r="G5589" s="64" t="s">
        <v>64</v>
      </c>
      <c r="H5589" s="3" t="s">
        <v>139</v>
      </c>
      <c r="I5589" s="65">
        <f>IFERROR(VLOOKUP(A5589,'3. Call duration'!$A:$C,3,0),"--")</f>
        <v>13.57059646</v>
      </c>
      <c r="J5589" s="65" t="str">
        <f t="array" ref="J5589">XLOOKUP(H5589,'2. Matching'!$A$2:$A$39,'2. Matching'!$B$2:$B$39,"--")</f>
        <v>Acquisition</v>
      </c>
      <c r="K5589" s="65" t="str">
        <f t="shared" si="1"/>
        <v>In</v>
      </c>
    </row>
    <row r="5590">
      <c r="A5590" s="62" t="s">
        <v>5728</v>
      </c>
      <c r="B5590" s="63">
        <v>44321.0</v>
      </c>
      <c r="C5590" s="62" t="s">
        <v>119</v>
      </c>
      <c r="D5590" s="64">
        <v>95.0</v>
      </c>
      <c r="E5590" s="62" t="s">
        <v>114</v>
      </c>
      <c r="F5590" s="62" t="s">
        <v>110</v>
      </c>
      <c r="G5590" s="64" t="s">
        <v>63</v>
      </c>
      <c r="H5590" s="3" t="s">
        <v>128</v>
      </c>
      <c r="I5590" s="65">
        <f>IFERROR(VLOOKUP(A5590,'3. Call duration'!$A:$C,3,0),"--")</f>
        <v>30.58436053</v>
      </c>
      <c r="J5590" s="65" t="str">
        <f t="array" ref="J5590">XLOOKUP(H5590,'2. Matching'!$A$2:$A$39,'2. Matching'!$B$2:$B$39,"--")</f>
        <v>Acquisition</v>
      </c>
      <c r="K5590" s="65" t="str">
        <f t="shared" si="1"/>
        <v>In</v>
      </c>
    </row>
    <row r="5591">
      <c r="A5591" s="62" t="s">
        <v>5729</v>
      </c>
      <c r="B5591" s="63">
        <v>44347.0</v>
      </c>
      <c r="C5591" s="62" t="s">
        <v>119</v>
      </c>
      <c r="D5591" s="64">
        <v>95.0</v>
      </c>
      <c r="E5591" s="62" t="s">
        <v>114</v>
      </c>
      <c r="F5591" s="62" t="s">
        <v>110</v>
      </c>
      <c r="G5591" s="64" t="s">
        <v>64</v>
      </c>
      <c r="H5591" s="3" t="s">
        <v>175</v>
      </c>
      <c r="I5591" s="65">
        <f>IFERROR(VLOOKUP(A5591,'3. Call duration'!$A:$C,3,0),"--")</f>
        <v>30.60902247</v>
      </c>
      <c r="J5591" s="65" t="str">
        <f t="array" ref="J5591">XLOOKUP(H5591,'2. Matching'!$A$2:$A$39,'2. Matching'!$B$2:$B$39,"--")</f>
        <v>SEO</v>
      </c>
      <c r="K5591" s="65" t="str">
        <f t="shared" si="1"/>
        <v>In</v>
      </c>
    </row>
    <row r="5592">
      <c r="A5592" s="62" t="s">
        <v>5730</v>
      </c>
      <c r="B5592" s="63">
        <v>44328.0</v>
      </c>
      <c r="C5592" s="62" t="s">
        <v>119</v>
      </c>
      <c r="D5592" s="64">
        <v>47.5</v>
      </c>
      <c r="E5592" s="62" t="s">
        <v>109</v>
      </c>
      <c r="F5592" s="62" t="s">
        <v>115</v>
      </c>
      <c r="G5592" s="64" t="s">
        <v>64</v>
      </c>
      <c r="H5592" s="3" t="s">
        <v>185</v>
      </c>
      <c r="I5592" s="65">
        <f>IFERROR(VLOOKUP(A5592,'3. Call duration'!$A:$C,3,0),"--")</f>
        <v>30.62753804</v>
      </c>
      <c r="J5592" s="65" t="str">
        <f t="array" ref="J5592">XLOOKUP(H5592,'2. Matching'!$A$2:$A$39,'2. Matching'!$B$2:$B$39,"--")</f>
        <v>SEO</v>
      </c>
      <c r="K5592" s="65" t="str">
        <f t="shared" si="1"/>
        <v>In</v>
      </c>
    </row>
    <row r="5593">
      <c r="A5593" s="62" t="s">
        <v>5731</v>
      </c>
      <c r="B5593" s="63">
        <v>44341.0</v>
      </c>
      <c r="C5593" s="62" t="s">
        <v>119</v>
      </c>
      <c r="D5593" s="64">
        <v>47.5</v>
      </c>
      <c r="E5593" s="62" t="s">
        <v>109</v>
      </c>
      <c r="F5593" s="62" t="s">
        <v>115</v>
      </c>
      <c r="G5593" s="64" t="s">
        <v>64</v>
      </c>
      <c r="H5593" s="3" t="s">
        <v>131</v>
      </c>
      <c r="I5593" s="65">
        <f>IFERROR(VLOOKUP(A5593,'3. Call duration'!$A:$C,3,0),"--")</f>
        <v>30.63442797</v>
      </c>
      <c r="J5593" s="65" t="str">
        <f t="array" ref="J5593">XLOOKUP(H5593,'2. Matching'!$A$2:$A$39,'2. Matching'!$B$2:$B$39,"--")</f>
        <v>Acquisition</v>
      </c>
      <c r="K5593" s="65" t="str">
        <f t="shared" si="1"/>
        <v>In</v>
      </c>
    </row>
    <row r="5594">
      <c r="A5594" s="62" t="s">
        <v>5732</v>
      </c>
      <c r="B5594" s="63">
        <v>44335.0</v>
      </c>
      <c r="C5594" s="62" t="s">
        <v>108</v>
      </c>
      <c r="D5594" s="64">
        <v>0.0</v>
      </c>
      <c r="E5594" s="62" t="s">
        <v>109</v>
      </c>
      <c r="F5594" s="62" t="s">
        <v>110</v>
      </c>
      <c r="G5594" s="64" t="s">
        <v>61</v>
      </c>
      <c r="H5594" s="3" t="s">
        <v>69</v>
      </c>
      <c r="I5594" s="65">
        <f>IFERROR(VLOOKUP(A5594,'3. Call duration'!$A:$C,3,0),"--")</f>
        <v>30.635726</v>
      </c>
      <c r="J5594" s="65" t="str">
        <f t="array" ref="J5594">XLOOKUP(H5594,'2. Matching'!$A$2:$A$39,'2. Matching'!$B$2:$B$39,"--")</f>
        <v>Acquisition</v>
      </c>
      <c r="K5594" s="65" t="str">
        <f t="shared" si="1"/>
        <v>In</v>
      </c>
    </row>
    <row r="5595">
      <c r="A5595" s="62" t="s">
        <v>5733</v>
      </c>
      <c r="B5595" s="63">
        <v>44334.0</v>
      </c>
      <c r="C5595" s="62" t="s">
        <v>108</v>
      </c>
      <c r="D5595" s="64">
        <v>0.0</v>
      </c>
      <c r="E5595" s="62" t="s">
        <v>109</v>
      </c>
      <c r="F5595" s="62" t="s">
        <v>115</v>
      </c>
      <c r="G5595" s="64" t="s">
        <v>64</v>
      </c>
      <c r="H5595" s="3" t="s">
        <v>116</v>
      </c>
      <c r="I5595" s="65">
        <f>IFERROR(VLOOKUP(A5595,'3. Call duration'!$A:$C,3,0),"--")</f>
        <v>30.65129208</v>
      </c>
      <c r="J5595" s="65" t="str">
        <f t="array" ref="J5595">XLOOKUP(H5595,'2. Matching'!$A$2:$A$39,'2. Matching'!$B$2:$B$39,"--")</f>
        <v>Acquisition</v>
      </c>
      <c r="K5595" s="65" t="str">
        <f t="shared" si="1"/>
        <v>In</v>
      </c>
    </row>
    <row r="5596">
      <c r="A5596" s="62" t="s">
        <v>5734</v>
      </c>
      <c r="B5596" s="63">
        <v>44364.0</v>
      </c>
      <c r="C5596" s="62" t="s">
        <v>119</v>
      </c>
      <c r="D5596" s="64">
        <v>47.5</v>
      </c>
      <c r="E5596" s="62" t="s">
        <v>109</v>
      </c>
      <c r="F5596" s="62" t="s">
        <v>115</v>
      </c>
      <c r="G5596" s="64" t="s">
        <v>64</v>
      </c>
      <c r="H5596" s="3" t="s">
        <v>145</v>
      </c>
      <c r="I5596" s="65">
        <f>IFERROR(VLOOKUP(A5596,'3. Call duration'!$A:$C,3,0),"--")</f>
        <v>31.11062784</v>
      </c>
      <c r="J5596" s="65" t="str">
        <f t="array" ref="J5596">XLOOKUP(H5596,'2. Matching'!$A$2:$A$39,'2. Matching'!$B$2:$B$39,"--")</f>
        <v>SEO</v>
      </c>
      <c r="K5596" s="65" t="str">
        <f t="shared" si="1"/>
        <v>In</v>
      </c>
    </row>
    <row r="5597">
      <c r="A5597" s="62" t="s">
        <v>5735</v>
      </c>
      <c r="B5597" s="63">
        <v>44373.0</v>
      </c>
      <c r="C5597" s="62" t="s">
        <v>119</v>
      </c>
      <c r="D5597" s="64">
        <v>47.5</v>
      </c>
      <c r="E5597" s="62" t="s">
        <v>109</v>
      </c>
      <c r="F5597" s="62" t="s">
        <v>110</v>
      </c>
      <c r="G5597" s="64" t="s">
        <v>60</v>
      </c>
      <c r="H5597" s="3" t="s">
        <v>67</v>
      </c>
      <c r="I5597" s="65">
        <f>IFERROR(VLOOKUP(A5597,'3. Call duration'!$A:$C,3,0),"--")</f>
        <v>24.07510406</v>
      </c>
      <c r="J5597" s="65" t="str">
        <f t="array" ref="J5597">XLOOKUP(H5597,'2. Matching'!$A$2:$A$39,'2. Matching'!$B$2:$B$39,"--")</f>
        <v>Acquisition</v>
      </c>
      <c r="K5597" s="65" t="str">
        <f t="shared" si="1"/>
        <v>In</v>
      </c>
    </row>
    <row r="5598">
      <c r="A5598" s="62" t="s">
        <v>5736</v>
      </c>
      <c r="B5598" s="63">
        <v>44368.0</v>
      </c>
      <c r="C5598" s="62" t="s">
        <v>119</v>
      </c>
      <c r="D5598" s="64">
        <v>47.5</v>
      </c>
      <c r="E5598" s="62" t="s">
        <v>109</v>
      </c>
      <c r="F5598" s="62" t="s">
        <v>115</v>
      </c>
      <c r="G5598" s="64" t="s">
        <v>64</v>
      </c>
      <c r="H5598" s="3" t="s">
        <v>139</v>
      </c>
      <c r="I5598" s="65">
        <f>IFERROR(VLOOKUP(A5598,'3. Call duration'!$A:$C,3,0),"--")</f>
        <v>27.4424589</v>
      </c>
      <c r="J5598" s="65" t="str">
        <f t="array" ref="J5598">XLOOKUP(H5598,'2. Matching'!$A$2:$A$39,'2. Matching'!$B$2:$B$39,"--")</f>
        <v>Acquisition</v>
      </c>
      <c r="K5598" s="65" t="str">
        <f t="shared" si="1"/>
        <v>In</v>
      </c>
    </row>
    <row r="5599">
      <c r="A5599" s="62" t="s">
        <v>5737</v>
      </c>
      <c r="B5599" s="63">
        <v>44375.0</v>
      </c>
      <c r="C5599" s="62" t="s">
        <v>119</v>
      </c>
      <c r="D5599" s="64">
        <v>47.5</v>
      </c>
      <c r="E5599" s="62" t="s">
        <v>109</v>
      </c>
      <c r="F5599" s="62" t="s">
        <v>115</v>
      </c>
      <c r="G5599" s="64" t="s">
        <v>59</v>
      </c>
      <c r="H5599" s="3" t="s">
        <v>68</v>
      </c>
      <c r="I5599" s="65">
        <f>IFERROR(VLOOKUP(A5599,'3. Call duration'!$A:$C,3,0),"--")</f>
        <v>29.15023422</v>
      </c>
      <c r="J5599" s="65" t="str">
        <f t="array" ref="J5599">XLOOKUP(H5599,'2. Matching'!$A$2:$A$39,'2. Matching'!$B$2:$B$39,"--")</f>
        <v>Acquisition</v>
      </c>
      <c r="K5599" s="65" t="str">
        <f t="shared" si="1"/>
        <v>In</v>
      </c>
    </row>
    <row r="5600">
      <c r="A5600" s="62" t="s">
        <v>5738</v>
      </c>
      <c r="B5600" s="63">
        <v>44319.0</v>
      </c>
      <c r="C5600" s="62" t="s">
        <v>119</v>
      </c>
      <c r="D5600" s="64">
        <v>47.5</v>
      </c>
      <c r="E5600" s="62" t="s">
        <v>109</v>
      </c>
      <c r="F5600" s="62" t="s">
        <v>115</v>
      </c>
      <c r="G5600" s="64" t="s">
        <v>64</v>
      </c>
      <c r="H5600" s="3" t="s">
        <v>141</v>
      </c>
      <c r="I5600" s="65">
        <f>IFERROR(VLOOKUP(A5600,'3. Call duration'!$A:$C,3,0),"--")</f>
        <v>30.68720443</v>
      </c>
      <c r="J5600" s="65" t="str">
        <f t="array" ref="J5600">XLOOKUP(H5600,'2. Matching'!$A$2:$A$39,'2. Matching'!$B$2:$B$39,"--")</f>
        <v>Acquisition</v>
      </c>
      <c r="K5600" s="65" t="str">
        <f t="shared" si="1"/>
        <v>In</v>
      </c>
    </row>
    <row r="5601">
      <c r="A5601" s="62" t="s">
        <v>5739</v>
      </c>
      <c r="B5601" s="63">
        <v>44333.0</v>
      </c>
      <c r="C5601" s="62" t="s">
        <v>119</v>
      </c>
      <c r="D5601" s="64">
        <v>47.5</v>
      </c>
      <c r="E5601" s="62" t="s">
        <v>109</v>
      </c>
      <c r="F5601" s="62" t="s">
        <v>115</v>
      </c>
      <c r="G5601" s="64" t="s">
        <v>64</v>
      </c>
      <c r="H5601" s="3" t="s">
        <v>116</v>
      </c>
      <c r="I5601" s="65">
        <f>IFERROR(VLOOKUP(A5601,'3. Call duration'!$A:$C,3,0),"--")</f>
        <v>30.70845571</v>
      </c>
      <c r="J5601" s="65" t="str">
        <f t="array" ref="J5601">XLOOKUP(H5601,'2. Matching'!$A$2:$A$39,'2. Matching'!$B$2:$B$39,"--")</f>
        <v>Acquisition</v>
      </c>
      <c r="K5601" s="65" t="str">
        <f t="shared" si="1"/>
        <v>In</v>
      </c>
    </row>
    <row r="5602">
      <c r="A5602" s="62" t="s">
        <v>5740</v>
      </c>
      <c r="B5602" s="63">
        <v>44319.0</v>
      </c>
      <c r="C5602" s="62" t="s">
        <v>119</v>
      </c>
      <c r="D5602" s="64">
        <v>47.5</v>
      </c>
      <c r="E5602" s="62" t="s">
        <v>109</v>
      </c>
      <c r="F5602" s="62" t="s">
        <v>115</v>
      </c>
      <c r="G5602" s="64" t="s">
        <v>64</v>
      </c>
      <c r="H5602" s="3" t="s">
        <v>155</v>
      </c>
      <c r="I5602" s="65">
        <f>IFERROR(VLOOKUP(A5602,'3. Call duration'!$A:$C,3,0),"--")</f>
        <v>30.7091447</v>
      </c>
      <c r="J5602" s="65" t="str">
        <f t="array" ref="J5602">XLOOKUP(H5602,'2. Matching'!$A$2:$A$39,'2. Matching'!$B$2:$B$39,"--")</f>
        <v>SEO</v>
      </c>
      <c r="K5602" s="65" t="str">
        <f t="shared" si="1"/>
        <v>In</v>
      </c>
    </row>
    <row r="5603">
      <c r="A5603" s="62" t="s">
        <v>5741</v>
      </c>
      <c r="B5603" s="63">
        <v>44363.0</v>
      </c>
      <c r="C5603" s="62" t="s">
        <v>119</v>
      </c>
      <c r="D5603" s="64">
        <v>47.5</v>
      </c>
      <c r="E5603" s="62" t="s">
        <v>109</v>
      </c>
      <c r="F5603" s="62" t="s">
        <v>115</v>
      </c>
      <c r="G5603" s="64" t="s">
        <v>64</v>
      </c>
      <c r="H5603" s="3" t="s">
        <v>55</v>
      </c>
      <c r="I5603" s="65">
        <f>IFERROR(VLOOKUP(A5603,'3. Call duration'!$A:$C,3,0),"--")</f>
        <v>35.05442527</v>
      </c>
      <c r="J5603" s="65" t="str">
        <f t="array" ref="J5603">XLOOKUP(H5603,'2. Matching'!$A$2:$A$39,'2. Matching'!$B$2:$B$39,"--")</f>
        <v>Partnerships</v>
      </c>
      <c r="K5603" s="65" t="str">
        <f t="shared" si="1"/>
        <v>In</v>
      </c>
    </row>
    <row r="5604">
      <c r="A5604" s="62" t="s">
        <v>5742</v>
      </c>
      <c r="B5604" s="63">
        <v>44349.0</v>
      </c>
      <c r="C5604" s="62" t="s">
        <v>119</v>
      </c>
      <c r="D5604" s="64">
        <v>47.5</v>
      </c>
      <c r="E5604" s="62" t="s">
        <v>109</v>
      </c>
      <c r="F5604" s="62" t="s">
        <v>110</v>
      </c>
      <c r="G5604" s="64" t="s">
        <v>63</v>
      </c>
      <c r="H5604" s="3" t="s">
        <v>189</v>
      </c>
      <c r="I5604" s="65">
        <f>IFERROR(VLOOKUP(A5604,'3. Call duration'!$A:$C,3,0),"--")</f>
        <v>25.67528833</v>
      </c>
      <c r="J5604" s="65" t="str">
        <f t="array" ref="J5604">XLOOKUP(H5604,'2. Matching'!$A$2:$A$39,'2. Matching'!$B$2:$B$39,"--")</f>
        <v>SEO</v>
      </c>
      <c r="K5604" s="65" t="str">
        <f t="shared" si="1"/>
        <v>Out</v>
      </c>
    </row>
    <row r="5605">
      <c r="A5605" s="62" t="s">
        <v>5743</v>
      </c>
      <c r="B5605" s="63">
        <v>44321.0</v>
      </c>
      <c r="C5605" s="62" t="s">
        <v>119</v>
      </c>
      <c r="D5605" s="64">
        <v>47.5</v>
      </c>
      <c r="E5605" s="62" t="s">
        <v>109</v>
      </c>
      <c r="F5605" s="62" t="s">
        <v>115</v>
      </c>
      <c r="G5605" s="64" t="s">
        <v>64</v>
      </c>
      <c r="H5605" s="3" t="s">
        <v>175</v>
      </c>
      <c r="I5605" s="65">
        <f>IFERROR(VLOOKUP(A5605,'3. Call duration'!$A:$C,3,0),"--")</f>
        <v>30.71479503</v>
      </c>
      <c r="J5605" s="65" t="str">
        <f t="array" ref="J5605">XLOOKUP(H5605,'2. Matching'!$A$2:$A$39,'2. Matching'!$B$2:$B$39,"--")</f>
        <v>SEO</v>
      </c>
      <c r="K5605" s="65" t="str">
        <f t="shared" si="1"/>
        <v>In</v>
      </c>
    </row>
    <row r="5606">
      <c r="A5606" s="62" t="s">
        <v>5744</v>
      </c>
      <c r="B5606" s="63">
        <v>44358.0</v>
      </c>
      <c r="C5606" s="62" t="s">
        <v>119</v>
      </c>
      <c r="D5606" s="64">
        <v>47.5</v>
      </c>
      <c r="E5606" s="62" t="s">
        <v>109</v>
      </c>
      <c r="F5606" s="62" t="s">
        <v>110</v>
      </c>
      <c r="G5606" s="64" t="s">
        <v>60</v>
      </c>
      <c r="H5606" s="3" t="s">
        <v>68</v>
      </c>
      <c r="I5606" s="65">
        <f>IFERROR(VLOOKUP(A5606,'3. Call duration'!$A:$C,3,0),"--")</f>
        <v>27.92873161</v>
      </c>
      <c r="J5606" s="65" t="str">
        <f t="array" ref="J5606">XLOOKUP(H5606,'2. Matching'!$A$2:$A$39,'2. Matching'!$B$2:$B$39,"--")</f>
        <v>Acquisition</v>
      </c>
      <c r="K5606" s="65" t="str">
        <f t="shared" si="1"/>
        <v>In</v>
      </c>
    </row>
    <row r="5607">
      <c r="A5607" s="62" t="s">
        <v>5745</v>
      </c>
      <c r="B5607" s="63">
        <v>44364.0</v>
      </c>
      <c r="C5607" s="62" t="s">
        <v>119</v>
      </c>
      <c r="D5607" s="64">
        <v>47.5</v>
      </c>
      <c r="E5607" s="62" t="s">
        <v>109</v>
      </c>
      <c r="F5607" s="62" t="s">
        <v>115</v>
      </c>
      <c r="G5607" s="64" t="s">
        <v>59</v>
      </c>
      <c r="H5607" s="3" t="s">
        <v>68</v>
      </c>
      <c r="I5607" s="65">
        <f>IFERROR(VLOOKUP(A5607,'3. Call duration'!$A:$C,3,0),"--")</f>
        <v>22.72162854</v>
      </c>
      <c r="J5607" s="65" t="str">
        <f t="array" ref="J5607">XLOOKUP(H5607,'2. Matching'!$A$2:$A$39,'2. Matching'!$B$2:$B$39,"--")</f>
        <v>Acquisition</v>
      </c>
      <c r="K5607" s="65" t="str">
        <f t="shared" si="1"/>
        <v>In</v>
      </c>
    </row>
    <row r="5608">
      <c r="A5608" s="62" t="s">
        <v>5746</v>
      </c>
      <c r="B5608" s="63">
        <v>44326.0</v>
      </c>
      <c r="C5608" s="62" t="s">
        <v>119</v>
      </c>
      <c r="D5608" s="64">
        <v>47.5</v>
      </c>
      <c r="E5608" s="62" t="s">
        <v>109</v>
      </c>
      <c r="F5608" s="62" t="s">
        <v>115</v>
      </c>
      <c r="G5608" s="64" t="s">
        <v>64</v>
      </c>
      <c r="H5608" s="3" t="s">
        <v>155</v>
      </c>
      <c r="I5608" s="65">
        <f>IFERROR(VLOOKUP(A5608,'3. Call duration'!$A:$C,3,0),"--")</f>
        <v>30.72937372</v>
      </c>
      <c r="J5608" s="65" t="str">
        <f t="array" ref="J5608">XLOOKUP(H5608,'2. Matching'!$A$2:$A$39,'2. Matching'!$B$2:$B$39,"--")</f>
        <v>SEO</v>
      </c>
      <c r="K5608" s="65" t="str">
        <f t="shared" si="1"/>
        <v>In</v>
      </c>
    </row>
    <row r="5609">
      <c r="A5609" s="62" t="s">
        <v>5747</v>
      </c>
      <c r="B5609" s="63">
        <v>44341.0</v>
      </c>
      <c r="C5609" s="62" t="s">
        <v>119</v>
      </c>
      <c r="D5609" s="64">
        <v>47.5</v>
      </c>
      <c r="E5609" s="62" t="s">
        <v>109</v>
      </c>
      <c r="F5609" s="62" t="s">
        <v>115</v>
      </c>
      <c r="G5609" s="64" t="s">
        <v>64</v>
      </c>
      <c r="H5609" s="3" t="s">
        <v>139</v>
      </c>
      <c r="I5609" s="65">
        <f>IFERROR(VLOOKUP(A5609,'3. Call duration'!$A:$C,3,0),"--")</f>
        <v>30.74894055</v>
      </c>
      <c r="J5609" s="65" t="str">
        <f t="array" ref="J5609">XLOOKUP(H5609,'2. Matching'!$A$2:$A$39,'2. Matching'!$B$2:$B$39,"--")</f>
        <v>Acquisition</v>
      </c>
      <c r="K5609" s="65" t="str">
        <f t="shared" si="1"/>
        <v>In</v>
      </c>
    </row>
    <row r="5610">
      <c r="A5610" s="62" t="s">
        <v>5748</v>
      </c>
      <c r="B5610" s="63">
        <v>44375.0</v>
      </c>
      <c r="C5610" s="62" t="s">
        <v>119</v>
      </c>
      <c r="D5610" s="64">
        <v>47.5</v>
      </c>
      <c r="E5610" s="62" t="s">
        <v>109</v>
      </c>
      <c r="F5610" s="62" t="s">
        <v>115</v>
      </c>
      <c r="G5610" s="64" t="s">
        <v>59</v>
      </c>
      <c r="H5610" s="3" t="s">
        <v>68</v>
      </c>
      <c r="I5610" s="65">
        <f>IFERROR(VLOOKUP(A5610,'3. Call duration'!$A:$C,3,0),"--")</f>
        <v>31.21599684</v>
      </c>
      <c r="J5610" s="65" t="str">
        <f t="array" ref="J5610">XLOOKUP(H5610,'2. Matching'!$A$2:$A$39,'2. Matching'!$B$2:$B$39,"--")</f>
        <v>Acquisition</v>
      </c>
      <c r="K5610" s="65" t="str">
        <f t="shared" si="1"/>
        <v>In</v>
      </c>
    </row>
    <row r="5611">
      <c r="A5611" s="62" t="s">
        <v>5749</v>
      </c>
      <c r="B5611" s="63">
        <v>44337.0</v>
      </c>
      <c r="C5611" s="62" t="s">
        <v>119</v>
      </c>
      <c r="D5611" s="64">
        <v>47.5</v>
      </c>
      <c r="E5611" s="62" t="s">
        <v>109</v>
      </c>
      <c r="F5611" s="62" t="s">
        <v>115</v>
      </c>
      <c r="G5611" s="64" t="s">
        <v>64</v>
      </c>
      <c r="H5611" s="3" t="s">
        <v>297</v>
      </c>
      <c r="I5611" s="65">
        <f>IFERROR(VLOOKUP(A5611,'3. Call duration'!$A:$C,3,0),"--")</f>
        <v>30.76301819</v>
      </c>
      <c r="J5611" s="65" t="str">
        <f t="array" ref="J5611">XLOOKUP(H5611,'2. Matching'!$A$2:$A$39,'2. Matching'!$B$2:$B$39,"--")</f>
        <v>Farming</v>
      </c>
      <c r="K5611" s="65" t="str">
        <f t="shared" si="1"/>
        <v>In</v>
      </c>
    </row>
    <row r="5612">
      <c r="A5612" s="62" t="s">
        <v>5750</v>
      </c>
      <c r="B5612" s="63">
        <v>44351.0</v>
      </c>
      <c r="C5612" s="62" t="s">
        <v>119</v>
      </c>
      <c r="D5612" s="64">
        <v>47.5</v>
      </c>
      <c r="E5612" s="62" t="s">
        <v>109</v>
      </c>
      <c r="F5612" s="62" t="s">
        <v>110</v>
      </c>
      <c r="G5612" s="64" t="s">
        <v>64</v>
      </c>
      <c r="H5612" s="3" t="s">
        <v>175</v>
      </c>
      <c r="I5612" s="65">
        <f>IFERROR(VLOOKUP(A5612,'3. Call duration'!$A:$C,3,0),"--")</f>
        <v>31.02477498</v>
      </c>
      <c r="J5612" s="65" t="str">
        <f t="array" ref="J5612">XLOOKUP(H5612,'2. Matching'!$A$2:$A$39,'2. Matching'!$B$2:$B$39,"--")</f>
        <v>SEO</v>
      </c>
      <c r="K5612" s="65" t="str">
        <f t="shared" si="1"/>
        <v>In</v>
      </c>
    </row>
    <row r="5613">
      <c r="A5613" s="62" t="s">
        <v>5751</v>
      </c>
      <c r="B5613" s="63">
        <v>44357.0</v>
      </c>
      <c r="C5613" s="62" t="s">
        <v>119</v>
      </c>
      <c r="D5613" s="64">
        <v>47.5</v>
      </c>
      <c r="E5613" s="62" t="s">
        <v>109</v>
      </c>
      <c r="F5613" s="62" t="s">
        <v>110</v>
      </c>
      <c r="G5613" s="64" t="s">
        <v>63</v>
      </c>
      <c r="H5613" s="3" t="s">
        <v>128</v>
      </c>
      <c r="I5613" s="65">
        <f>IFERROR(VLOOKUP(A5613,'3. Call duration'!$A:$C,3,0),"--")</f>
        <v>32.88099092</v>
      </c>
      <c r="J5613" s="65" t="str">
        <f t="array" ref="J5613">XLOOKUP(H5613,'2. Matching'!$A$2:$A$39,'2. Matching'!$B$2:$B$39,"--")</f>
        <v>Acquisition</v>
      </c>
      <c r="K5613" s="65" t="str">
        <f t="shared" si="1"/>
        <v>In</v>
      </c>
    </row>
    <row r="5614">
      <c r="A5614" s="62" t="s">
        <v>5752</v>
      </c>
      <c r="B5614" s="63">
        <v>44326.0</v>
      </c>
      <c r="C5614" s="62" t="s">
        <v>119</v>
      </c>
      <c r="D5614" s="64">
        <v>47.5</v>
      </c>
      <c r="E5614" s="62" t="s">
        <v>109</v>
      </c>
      <c r="F5614" s="62" t="s">
        <v>115</v>
      </c>
      <c r="G5614" s="64" t="s">
        <v>64</v>
      </c>
      <c r="H5614" s="3" t="s">
        <v>141</v>
      </c>
      <c r="I5614" s="65">
        <f>IFERROR(VLOOKUP(A5614,'3. Call duration'!$A:$C,3,0),"--")</f>
        <v>30.76448007</v>
      </c>
      <c r="J5614" s="65" t="str">
        <f t="array" ref="J5614">XLOOKUP(H5614,'2. Matching'!$A$2:$A$39,'2. Matching'!$B$2:$B$39,"--")</f>
        <v>Acquisition</v>
      </c>
      <c r="K5614" s="65" t="str">
        <f t="shared" si="1"/>
        <v>In</v>
      </c>
    </row>
    <row r="5615">
      <c r="A5615" s="62" t="s">
        <v>5753</v>
      </c>
      <c r="B5615" s="63">
        <v>44372.0</v>
      </c>
      <c r="C5615" s="62" t="s">
        <v>119</v>
      </c>
      <c r="D5615" s="64">
        <v>47.5</v>
      </c>
      <c r="E5615" s="62" t="s">
        <v>109</v>
      </c>
      <c r="F5615" s="62" t="s">
        <v>115</v>
      </c>
      <c r="G5615" s="64" t="s">
        <v>59</v>
      </c>
      <c r="H5615" s="3" t="s">
        <v>68</v>
      </c>
      <c r="I5615" s="65">
        <f>IFERROR(VLOOKUP(A5615,'3. Call duration'!$A:$C,3,0),"--")</f>
        <v>14.04675196</v>
      </c>
      <c r="J5615" s="65" t="str">
        <f t="array" ref="J5615">XLOOKUP(H5615,'2. Matching'!$A$2:$A$39,'2. Matching'!$B$2:$B$39,"--")</f>
        <v>Acquisition</v>
      </c>
      <c r="K5615" s="65" t="str">
        <f t="shared" si="1"/>
        <v>In</v>
      </c>
    </row>
    <row r="5616">
      <c r="A5616" s="62" t="s">
        <v>5754</v>
      </c>
      <c r="B5616" s="63">
        <v>44375.0</v>
      </c>
      <c r="C5616" s="62" t="s">
        <v>119</v>
      </c>
      <c r="D5616" s="64">
        <v>47.5</v>
      </c>
      <c r="E5616" s="62" t="s">
        <v>109</v>
      </c>
      <c r="F5616" s="62" t="s">
        <v>110</v>
      </c>
      <c r="G5616" s="64" t="s">
        <v>60</v>
      </c>
      <c r="H5616" s="3" t="s">
        <v>67</v>
      </c>
      <c r="I5616" s="65">
        <f>IFERROR(VLOOKUP(A5616,'3. Call duration'!$A:$C,3,0),"--")</f>
        <v>29.26760493</v>
      </c>
      <c r="J5616" s="65" t="str">
        <f t="array" ref="J5616">XLOOKUP(H5616,'2. Matching'!$A$2:$A$39,'2. Matching'!$B$2:$B$39,"--")</f>
        <v>Acquisition</v>
      </c>
      <c r="K5616" s="65" t="str">
        <f t="shared" si="1"/>
        <v>In</v>
      </c>
    </row>
    <row r="5617">
      <c r="A5617" s="62" t="s">
        <v>5755</v>
      </c>
      <c r="B5617" s="63">
        <v>44329.0</v>
      </c>
      <c r="C5617" s="62" t="s">
        <v>119</v>
      </c>
      <c r="D5617" s="64">
        <v>47.5</v>
      </c>
      <c r="E5617" s="62" t="s">
        <v>109</v>
      </c>
      <c r="F5617" s="62" t="s">
        <v>110</v>
      </c>
      <c r="G5617" s="64" t="s">
        <v>64</v>
      </c>
      <c r="H5617" s="3" t="s">
        <v>145</v>
      </c>
      <c r="I5617" s="65">
        <f>IFERROR(VLOOKUP(A5617,'3. Call duration'!$A:$C,3,0),"--")</f>
        <v>30.76852264</v>
      </c>
      <c r="J5617" s="65" t="str">
        <f t="array" ref="J5617">XLOOKUP(H5617,'2. Matching'!$A$2:$A$39,'2. Matching'!$B$2:$B$39,"--")</f>
        <v>SEO</v>
      </c>
      <c r="K5617" s="65" t="str">
        <f t="shared" si="1"/>
        <v>In</v>
      </c>
    </row>
    <row r="5618">
      <c r="A5618" s="62" t="s">
        <v>5756</v>
      </c>
      <c r="B5618" s="63">
        <v>44349.0</v>
      </c>
      <c r="C5618" s="62" t="s">
        <v>119</v>
      </c>
      <c r="D5618" s="64">
        <v>47.5</v>
      </c>
      <c r="E5618" s="62" t="s">
        <v>109</v>
      </c>
      <c r="F5618" s="62" t="s">
        <v>110</v>
      </c>
      <c r="G5618" s="64" t="s">
        <v>64</v>
      </c>
      <c r="H5618" s="3" t="s">
        <v>185</v>
      </c>
      <c r="I5618" s="65">
        <f>IFERROR(VLOOKUP(A5618,'3. Call duration'!$A:$C,3,0),"--")</f>
        <v>32.17179131</v>
      </c>
      <c r="J5618" s="65" t="str">
        <f t="array" ref="J5618">XLOOKUP(H5618,'2. Matching'!$A$2:$A$39,'2. Matching'!$B$2:$B$39,"--")</f>
        <v>SEO</v>
      </c>
      <c r="K5618" s="65" t="str">
        <f t="shared" si="1"/>
        <v>In</v>
      </c>
    </row>
    <row r="5619">
      <c r="A5619" s="62" t="s">
        <v>5757</v>
      </c>
      <c r="B5619" s="63">
        <v>44334.0</v>
      </c>
      <c r="C5619" s="62" t="s">
        <v>119</v>
      </c>
      <c r="D5619" s="64">
        <v>47.5</v>
      </c>
      <c r="E5619" s="62" t="s">
        <v>109</v>
      </c>
      <c r="F5619" s="62" t="s">
        <v>110</v>
      </c>
      <c r="G5619" s="64" t="s">
        <v>64</v>
      </c>
      <c r="H5619" s="3" t="s">
        <v>155</v>
      </c>
      <c r="I5619" s="65">
        <f>IFERROR(VLOOKUP(A5619,'3. Call duration'!$A:$C,3,0),"--")</f>
        <v>30.80889165</v>
      </c>
      <c r="J5619" s="65" t="str">
        <f t="array" ref="J5619">XLOOKUP(H5619,'2. Matching'!$A$2:$A$39,'2. Matching'!$B$2:$B$39,"--")</f>
        <v>SEO</v>
      </c>
      <c r="K5619" s="65" t="str">
        <f t="shared" si="1"/>
        <v>In</v>
      </c>
    </row>
    <row r="5620">
      <c r="A5620" s="62" t="s">
        <v>5758</v>
      </c>
      <c r="B5620" s="63">
        <v>44334.0</v>
      </c>
      <c r="C5620" s="62" t="s">
        <v>119</v>
      </c>
      <c r="D5620" s="64">
        <v>47.5</v>
      </c>
      <c r="E5620" s="62" t="s">
        <v>109</v>
      </c>
      <c r="F5620" s="62" t="s">
        <v>115</v>
      </c>
      <c r="G5620" s="64" t="s">
        <v>64</v>
      </c>
      <c r="H5620" s="3" t="s">
        <v>139</v>
      </c>
      <c r="I5620" s="65">
        <f>IFERROR(VLOOKUP(A5620,'3. Call duration'!$A:$C,3,0),"--")</f>
        <v>30.82903043</v>
      </c>
      <c r="J5620" s="65" t="str">
        <f t="array" ref="J5620">XLOOKUP(H5620,'2. Matching'!$A$2:$A$39,'2. Matching'!$B$2:$B$39,"--")</f>
        <v>Acquisition</v>
      </c>
      <c r="K5620" s="65" t="str">
        <f t="shared" si="1"/>
        <v>In</v>
      </c>
    </row>
    <row r="5621">
      <c r="A5621" s="62" t="s">
        <v>5759</v>
      </c>
      <c r="B5621" s="63">
        <v>44369.0</v>
      </c>
      <c r="C5621" s="62" t="s">
        <v>119</v>
      </c>
      <c r="D5621" s="64">
        <v>47.5</v>
      </c>
      <c r="E5621" s="62" t="s">
        <v>109</v>
      </c>
      <c r="F5621" s="62" t="s">
        <v>110</v>
      </c>
      <c r="G5621" s="64" t="s">
        <v>63</v>
      </c>
      <c r="H5621" s="3" t="s">
        <v>228</v>
      </c>
      <c r="I5621" s="65">
        <f>IFERROR(VLOOKUP(A5621,'3. Call duration'!$A:$C,3,0),"--")</f>
        <v>27.67617243</v>
      </c>
      <c r="J5621" s="65" t="str">
        <f t="array" ref="J5621">XLOOKUP(H5621,'2. Matching'!$A$2:$A$39,'2. Matching'!$B$2:$B$39,"--")</f>
        <v>Farming</v>
      </c>
      <c r="K5621" s="65" t="str">
        <f t="shared" si="1"/>
        <v>In</v>
      </c>
    </row>
    <row r="5622">
      <c r="A5622" s="62" t="s">
        <v>5760</v>
      </c>
      <c r="B5622" s="63">
        <v>44343.0</v>
      </c>
      <c r="C5622" s="62" t="s">
        <v>119</v>
      </c>
      <c r="D5622" s="64">
        <v>47.5</v>
      </c>
      <c r="E5622" s="62" t="s">
        <v>109</v>
      </c>
      <c r="F5622" s="62" t="s">
        <v>115</v>
      </c>
      <c r="G5622" s="64" t="s">
        <v>112</v>
      </c>
      <c r="H5622" s="3"/>
      <c r="I5622" s="65">
        <f>IFERROR(VLOOKUP(A5622,'3. Call duration'!$A:$C,3,0),"--")</f>
        <v>30.90704648</v>
      </c>
      <c r="J5622" s="65" t="str">
        <f t="array" ref="J5622">XLOOKUP(H5622,'2. Matching'!$A$2:$A$39,'2. Matching'!$B$2:$B$39,"--")</f>
        <v>--</v>
      </c>
      <c r="K5622" s="65" t="str">
        <f t="shared" si="1"/>
        <v>In</v>
      </c>
    </row>
    <row r="5623">
      <c r="A5623" s="62" t="s">
        <v>5761</v>
      </c>
      <c r="B5623" s="63">
        <v>44363.0</v>
      </c>
      <c r="C5623" s="62" t="s">
        <v>119</v>
      </c>
      <c r="D5623" s="64">
        <v>47.5</v>
      </c>
      <c r="E5623" s="62" t="s">
        <v>109</v>
      </c>
      <c r="F5623" s="62" t="s">
        <v>115</v>
      </c>
      <c r="G5623" s="64" t="s">
        <v>63</v>
      </c>
      <c r="H5623" s="3" t="s">
        <v>189</v>
      </c>
      <c r="I5623" s="65">
        <f>IFERROR(VLOOKUP(A5623,'3. Call duration'!$A:$C,3,0),"--")</f>
        <v>14.68606261</v>
      </c>
      <c r="J5623" s="65" t="str">
        <f t="array" ref="J5623">XLOOKUP(H5623,'2. Matching'!$A$2:$A$39,'2. Matching'!$B$2:$B$39,"--")</f>
        <v>SEO</v>
      </c>
      <c r="K5623" s="65" t="str">
        <f t="shared" si="1"/>
        <v>Out</v>
      </c>
    </row>
    <row r="5624">
      <c r="A5624" s="62" t="s">
        <v>5762</v>
      </c>
      <c r="B5624" s="63">
        <v>44320.0</v>
      </c>
      <c r="C5624" s="62" t="s">
        <v>119</v>
      </c>
      <c r="D5624" s="64">
        <v>47.5</v>
      </c>
      <c r="E5624" s="62" t="s">
        <v>109</v>
      </c>
      <c r="F5624" s="62" t="s">
        <v>115</v>
      </c>
      <c r="G5624" s="64" t="s">
        <v>64</v>
      </c>
      <c r="H5624" s="3" t="s">
        <v>116</v>
      </c>
      <c r="I5624" s="65">
        <f>IFERROR(VLOOKUP(A5624,'3. Call duration'!$A:$C,3,0),"--")</f>
        <v>30.92953738</v>
      </c>
      <c r="J5624" s="65" t="str">
        <f t="array" ref="J5624">XLOOKUP(H5624,'2. Matching'!$A$2:$A$39,'2. Matching'!$B$2:$B$39,"--")</f>
        <v>Acquisition</v>
      </c>
      <c r="K5624" s="65" t="str">
        <f t="shared" si="1"/>
        <v>In</v>
      </c>
    </row>
    <row r="5625">
      <c r="A5625" s="62" t="s">
        <v>5763</v>
      </c>
      <c r="B5625" s="63">
        <v>44354.0</v>
      </c>
      <c r="C5625" s="62" t="s">
        <v>119</v>
      </c>
      <c r="D5625" s="64">
        <v>47.5</v>
      </c>
      <c r="E5625" s="62" t="s">
        <v>109</v>
      </c>
      <c r="F5625" s="62" t="s">
        <v>110</v>
      </c>
      <c r="G5625" s="64" t="s">
        <v>60</v>
      </c>
      <c r="H5625" s="3" t="s">
        <v>67</v>
      </c>
      <c r="I5625" s="65">
        <f>IFERROR(VLOOKUP(A5625,'3. Call duration'!$A:$C,3,0),"--")</f>
        <v>15.78682385</v>
      </c>
      <c r="J5625" s="65" t="str">
        <f t="array" ref="J5625">XLOOKUP(H5625,'2. Matching'!$A$2:$A$39,'2. Matching'!$B$2:$B$39,"--")</f>
        <v>Acquisition</v>
      </c>
      <c r="K5625" s="65" t="str">
        <f t="shared" si="1"/>
        <v>In</v>
      </c>
    </row>
    <row r="5626">
      <c r="A5626" s="62" t="s">
        <v>5764</v>
      </c>
      <c r="B5626" s="63">
        <v>44358.0</v>
      </c>
      <c r="C5626" s="62" t="s">
        <v>119</v>
      </c>
      <c r="D5626" s="64">
        <v>47.5</v>
      </c>
      <c r="E5626" s="62" t="s">
        <v>109</v>
      </c>
      <c r="F5626" s="62" t="s">
        <v>115</v>
      </c>
      <c r="G5626" s="64" t="s">
        <v>63</v>
      </c>
      <c r="H5626" s="3" t="s">
        <v>183</v>
      </c>
      <c r="I5626" s="65">
        <f>IFERROR(VLOOKUP(A5626,'3. Call duration'!$A:$C,3,0),"--")</f>
        <v>26.8913997</v>
      </c>
      <c r="J5626" s="65" t="str">
        <f t="array" ref="J5626">XLOOKUP(H5626,'2. Matching'!$A$2:$A$39,'2. Matching'!$B$2:$B$39,"--")</f>
        <v>SEO</v>
      </c>
      <c r="K5626" s="65" t="str">
        <f t="shared" si="1"/>
        <v>In</v>
      </c>
    </row>
    <row r="5627">
      <c r="A5627" s="62" t="s">
        <v>5765</v>
      </c>
      <c r="B5627" s="63">
        <v>44362.0</v>
      </c>
      <c r="C5627" s="62" t="s">
        <v>119</v>
      </c>
      <c r="D5627" s="64">
        <v>47.5</v>
      </c>
      <c r="E5627" s="62" t="s">
        <v>109</v>
      </c>
      <c r="F5627" s="62" t="s">
        <v>110</v>
      </c>
      <c r="G5627" s="64" t="s">
        <v>61</v>
      </c>
      <c r="H5627" s="3" t="s">
        <v>69</v>
      </c>
      <c r="I5627" s="65">
        <f>IFERROR(VLOOKUP(A5627,'3. Call duration'!$A:$C,3,0),"--")</f>
        <v>32.57819176</v>
      </c>
      <c r="J5627" s="65" t="str">
        <f t="array" ref="J5627">XLOOKUP(H5627,'2. Matching'!$A$2:$A$39,'2. Matching'!$B$2:$B$39,"--")</f>
        <v>Acquisition</v>
      </c>
      <c r="K5627" s="65" t="str">
        <f t="shared" si="1"/>
        <v>In</v>
      </c>
    </row>
    <row r="5628">
      <c r="A5628" s="62" t="s">
        <v>5766</v>
      </c>
      <c r="B5628" s="63">
        <v>44321.0</v>
      </c>
      <c r="C5628" s="62" t="s">
        <v>119</v>
      </c>
      <c r="D5628" s="64">
        <v>47.5</v>
      </c>
      <c r="E5628" s="62" t="s">
        <v>109</v>
      </c>
      <c r="F5628" s="62" t="s">
        <v>115</v>
      </c>
      <c r="G5628" s="64" t="s">
        <v>64</v>
      </c>
      <c r="H5628" s="3" t="s">
        <v>131</v>
      </c>
      <c r="I5628" s="65">
        <f>IFERROR(VLOOKUP(A5628,'3. Call duration'!$A:$C,3,0),"--")</f>
        <v>30.95106496</v>
      </c>
      <c r="J5628" s="65" t="str">
        <f t="array" ref="J5628">XLOOKUP(H5628,'2. Matching'!$A$2:$A$39,'2. Matching'!$B$2:$B$39,"--")</f>
        <v>Acquisition</v>
      </c>
      <c r="K5628" s="65" t="str">
        <f t="shared" si="1"/>
        <v>In</v>
      </c>
    </row>
    <row r="5629">
      <c r="A5629" s="62" t="s">
        <v>5767</v>
      </c>
      <c r="B5629" s="63">
        <v>44341.0</v>
      </c>
      <c r="C5629" s="62" t="s">
        <v>119</v>
      </c>
      <c r="D5629" s="64">
        <v>47.5</v>
      </c>
      <c r="E5629" s="62" t="s">
        <v>109</v>
      </c>
      <c r="F5629" s="62" t="s">
        <v>110</v>
      </c>
      <c r="G5629" s="64" t="s">
        <v>64</v>
      </c>
      <c r="H5629" s="3" t="s">
        <v>155</v>
      </c>
      <c r="I5629" s="65">
        <f>IFERROR(VLOOKUP(A5629,'3. Call duration'!$A:$C,3,0),"--")</f>
        <v>30.96101227</v>
      </c>
      <c r="J5629" s="65" t="str">
        <f t="array" ref="J5629">XLOOKUP(H5629,'2. Matching'!$A$2:$A$39,'2. Matching'!$B$2:$B$39,"--")</f>
        <v>SEO</v>
      </c>
      <c r="K5629" s="65" t="str">
        <f t="shared" si="1"/>
        <v>In</v>
      </c>
    </row>
    <row r="5630">
      <c r="A5630" s="62" t="s">
        <v>5768</v>
      </c>
      <c r="B5630" s="63">
        <v>44377.0</v>
      </c>
      <c r="C5630" s="62" t="s">
        <v>119</v>
      </c>
      <c r="D5630" s="64">
        <v>47.5</v>
      </c>
      <c r="E5630" s="62" t="s">
        <v>109</v>
      </c>
      <c r="F5630" s="62" t="s">
        <v>115</v>
      </c>
      <c r="G5630" s="64" t="s">
        <v>59</v>
      </c>
      <c r="H5630" s="3" t="s">
        <v>68</v>
      </c>
      <c r="I5630" s="65">
        <f>IFERROR(VLOOKUP(A5630,'3. Call duration'!$A:$C,3,0),"--")</f>
        <v>21.08044996</v>
      </c>
      <c r="J5630" s="65" t="str">
        <f t="array" ref="J5630">XLOOKUP(H5630,'2. Matching'!$A$2:$A$39,'2. Matching'!$B$2:$B$39,"--")</f>
        <v>Acquisition</v>
      </c>
      <c r="K5630" s="65" t="str">
        <f t="shared" si="1"/>
        <v>In</v>
      </c>
    </row>
    <row r="5631">
      <c r="A5631" s="62" t="s">
        <v>5769</v>
      </c>
      <c r="B5631" s="63">
        <v>44362.0</v>
      </c>
      <c r="C5631" s="62" t="s">
        <v>119</v>
      </c>
      <c r="D5631" s="64">
        <v>47.5</v>
      </c>
      <c r="E5631" s="62" t="s">
        <v>109</v>
      </c>
      <c r="F5631" s="62" t="s">
        <v>115</v>
      </c>
      <c r="G5631" s="64" t="s">
        <v>64</v>
      </c>
      <c r="H5631" s="3" t="s">
        <v>175</v>
      </c>
      <c r="I5631" s="65">
        <f>IFERROR(VLOOKUP(A5631,'3. Call duration'!$A:$C,3,0),"--")</f>
        <v>33.27453994</v>
      </c>
      <c r="J5631" s="65" t="str">
        <f t="array" ref="J5631">XLOOKUP(H5631,'2. Matching'!$A$2:$A$39,'2. Matching'!$B$2:$B$39,"--")</f>
        <v>SEO</v>
      </c>
      <c r="K5631" s="65" t="str">
        <f t="shared" si="1"/>
        <v>In</v>
      </c>
    </row>
    <row r="5632">
      <c r="A5632" s="62" t="s">
        <v>5770</v>
      </c>
      <c r="B5632" s="63">
        <v>44350.0</v>
      </c>
      <c r="C5632" s="62" t="s">
        <v>119</v>
      </c>
      <c r="D5632" s="64">
        <v>47.5</v>
      </c>
      <c r="E5632" s="62" t="s">
        <v>109</v>
      </c>
      <c r="F5632" s="62" t="s">
        <v>115</v>
      </c>
      <c r="G5632" s="64" t="s">
        <v>64</v>
      </c>
      <c r="H5632" s="3" t="s">
        <v>139</v>
      </c>
      <c r="I5632" s="65">
        <f>IFERROR(VLOOKUP(A5632,'3. Call duration'!$A:$C,3,0),"--")</f>
        <v>29.4844582</v>
      </c>
      <c r="J5632" s="65" t="str">
        <f t="array" ref="J5632">XLOOKUP(H5632,'2. Matching'!$A$2:$A$39,'2. Matching'!$B$2:$B$39,"--")</f>
        <v>Acquisition</v>
      </c>
      <c r="K5632" s="65" t="str">
        <f t="shared" si="1"/>
        <v>In</v>
      </c>
    </row>
    <row r="5633">
      <c r="A5633" s="62" t="s">
        <v>5771</v>
      </c>
      <c r="B5633" s="63">
        <v>44375.0</v>
      </c>
      <c r="C5633" s="62" t="s">
        <v>119</v>
      </c>
      <c r="D5633" s="64">
        <v>47.5</v>
      </c>
      <c r="E5633" s="62" t="s">
        <v>109</v>
      </c>
      <c r="F5633" s="62" t="s">
        <v>110</v>
      </c>
      <c r="G5633" s="64" t="s">
        <v>64</v>
      </c>
      <c r="H5633" s="3" t="s">
        <v>52</v>
      </c>
      <c r="I5633" s="65">
        <f>IFERROR(VLOOKUP(A5633,'3. Call duration'!$A:$C,3,0),"--")</f>
        <v>18.63283691</v>
      </c>
      <c r="J5633" s="65" t="str">
        <f t="array" ref="J5633">XLOOKUP(H5633,'2. Matching'!$A$2:$A$39,'2. Matching'!$B$2:$B$39,"--")</f>
        <v>Partnerships</v>
      </c>
      <c r="K5633" s="65" t="str">
        <f t="shared" si="1"/>
        <v>In</v>
      </c>
    </row>
    <row r="5634">
      <c r="A5634" s="62" t="s">
        <v>5772</v>
      </c>
      <c r="B5634" s="63">
        <v>44330.0</v>
      </c>
      <c r="C5634" s="62" t="s">
        <v>119</v>
      </c>
      <c r="D5634" s="64">
        <v>95.0</v>
      </c>
      <c r="E5634" s="62" t="s">
        <v>114</v>
      </c>
      <c r="F5634" s="62" t="s">
        <v>115</v>
      </c>
      <c r="G5634" s="64" t="s">
        <v>64</v>
      </c>
      <c r="H5634" s="3" t="s">
        <v>116</v>
      </c>
      <c r="I5634" s="65">
        <f>IFERROR(VLOOKUP(A5634,'3. Call duration'!$A:$C,3,0),"--")</f>
        <v>30.98930982</v>
      </c>
      <c r="J5634" s="65" t="str">
        <f t="array" ref="J5634">XLOOKUP(H5634,'2. Matching'!$A$2:$A$39,'2. Matching'!$B$2:$B$39,"--")</f>
        <v>Acquisition</v>
      </c>
      <c r="K5634" s="65" t="str">
        <f t="shared" si="1"/>
        <v>In</v>
      </c>
    </row>
    <row r="5635">
      <c r="A5635" s="62" t="s">
        <v>5773</v>
      </c>
      <c r="B5635" s="63">
        <v>44336.0</v>
      </c>
      <c r="C5635" s="62" t="s">
        <v>119</v>
      </c>
      <c r="D5635" s="64">
        <v>47.5</v>
      </c>
      <c r="E5635" s="62" t="s">
        <v>109</v>
      </c>
      <c r="F5635" s="62" t="s">
        <v>115</v>
      </c>
      <c r="G5635" s="64" t="s">
        <v>59</v>
      </c>
      <c r="H5635" s="3" t="s">
        <v>68</v>
      </c>
      <c r="I5635" s="65">
        <f>IFERROR(VLOOKUP(A5635,'3. Call duration'!$A:$C,3,0),"--")</f>
        <v>31.00691192</v>
      </c>
      <c r="J5635" s="65" t="str">
        <f t="array" ref="J5635">XLOOKUP(H5635,'2. Matching'!$A$2:$A$39,'2. Matching'!$B$2:$B$39,"--")</f>
        <v>Acquisition</v>
      </c>
      <c r="K5635" s="65" t="str">
        <f t="shared" si="1"/>
        <v>In</v>
      </c>
    </row>
    <row r="5636">
      <c r="A5636" s="62" t="s">
        <v>5774</v>
      </c>
      <c r="B5636" s="63">
        <v>44326.0</v>
      </c>
      <c r="C5636" s="62" t="s">
        <v>119</v>
      </c>
      <c r="D5636" s="64">
        <v>47.5</v>
      </c>
      <c r="E5636" s="62" t="s">
        <v>109</v>
      </c>
      <c r="F5636" s="62" t="s">
        <v>115</v>
      </c>
      <c r="G5636" s="64" t="s">
        <v>64</v>
      </c>
      <c r="H5636" s="3" t="s">
        <v>141</v>
      </c>
      <c r="I5636" s="65">
        <f>IFERROR(VLOOKUP(A5636,'3. Call duration'!$A:$C,3,0),"--")</f>
        <v>31.01802884</v>
      </c>
      <c r="J5636" s="65" t="str">
        <f t="array" ref="J5636">XLOOKUP(H5636,'2. Matching'!$A$2:$A$39,'2. Matching'!$B$2:$B$39,"--")</f>
        <v>Acquisition</v>
      </c>
      <c r="K5636" s="65" t="str">
        <f t="shared" si="1"/>
        <v>In</v>
      </c>
    </row>
    <row r="5637">
      <c r="A5637" s="62" t="s">
        <v>5775</v>
      </c>
      <c r="B5637" s="63">
        <v>44375.0</v>
      </c>
      <c r="C5637" s="62" t="s">
        <v>119</v>
      </c>
      <c r="D5637" s="64">
        <v>47.5</v>
      </c>
      <c r="E5637" s="62" t="s">
        <v>109</v>
      </c>
      <c r="F5637" s="62" t="s">
        <v>115</v>
      </c>
      <c r="G5637" s="64" t="s">
        <v>63</v>
      </c>
      <c r="H5637" s="3" t="s">
        <v>189</v>
      </c>
      <c r="I5637" s="65">
        <f>IFERROR(VLOOKUP(A5637,'3. Call duration'!$A:$C,3,0),"--")</f>
        <v>29.57159108</v>
      </c>
      <c r="J5637" s="65" t="str">
        <f t="array" ref="J5637">XLOOKUP(H5637,'2. Matching'!$A$2:$A$39,'2. Matching'!$B$2:$B$39,"--")</f>
        <v>SEO</v>
      </c>
      <c r="K5637" s="65" t="str">
        <f t="shared" si="1"/>
        <v>Out</v>
      </c>
    </row>
    <row r="5638">
      <c r="A5638" s="62" t="s">
        <v>5776</v>
      </c>
      <c r="B5638" s="63">
        <v>44327.0</v>
      </c>
      <c r="C5638" s="62" t="s">
        <v>119</v>
      </c>
      <c r="D5638" s="64">
        <v>47.5</v>
      </c>
      <c r="E5638" s="62" t="s">
        <v>109</v>
      </c>
      <c r="F5638" s="62" t="s">
        <v>115</v>
      </c>
      <c r="G5638" s="64" t="s">
        <v>64</v>
      </c>
      <c r="H5638" s="3" t="s">
        <v>185</v>
      </c>
      <c r="I5638" s="65">
        <f>IFERROR(VLOOKUP(A5638,'3. Call duration'!$A:$C,3,0),"--")</f>
        <v>31.02085827</v>
      </c>
      <c r="J5638" s="65" t="str">
        <f t="array" ref="J5638">XLOOKUP(H5638,'2. Matching'!$A$2:$A$39,'2. Matching'!$B$2:$B$39,"--")</f>
        <v>SEO</v>
      </c>
      <c r="K5638" s="65" t="str">
        <f t="shared" si="1"/>
        <v>In</v>
      </c>
    </row>
    <row r="5639">
      <c r="A5639" s="62" t="s">
        <v>5777</v>
      </c>
      <c r="B5639" s="63">
        <v>44368.0</v>
      </c>
      <c r="C5639" s="62" t="s">
        <v>119</v>
      </c>
      <c r="D5639" s="64">
        <v>47.5</v>
      </c>
      <c r="E5639" s="62" t="s">
        <v>109</v>
      </c>
      <c r="F5639" s="62" t="s">
        <v>110</v>
      </c>
      <c r="G5639" s="64" t="s">
        <v>60</v>
      </c>
      <c r="H5639" s="3" t="s">
        <v>68</v>
      </c>
      <c r="I5639" s="65">
        <f>IFERROR(VLOOKUP(A5639,'3. Call duration'!$A:$C,3,0),"--")</f>
        <v>15.93770182</v>
      </c>
      <c r="J5639" s="65" t="str">
        <f t="array" ref="J5639">XLOOKUP(H5639,'2. Matching'!$A$2:$A$39,'2. Matching'!$B$2:$B$39,"--")</f>
        <v>Acquisition</v>
      </c>
      <c r="K5639" s="65" t="str">
        <f t="shared" si="1"/>
        <v>In</v>
      </c>
    </row>
    <row r="5640">
      <c r="A5640" s="62" t="s">
        <v>5778</v>
      </c>
      <c r="B5640" s="63">
        <v>44340.0</v>
      </c>
      <c r="C5640" s="62" t="s">
        <v>119</v>
      </c>
      <c r="D5640" s="64">
        <v>47.5</v>
      </c>
      <c r="E5640" s="62" t="s">
        <v>109</v>
      </c>
      <c r="F5640" s="62" t="s">
        <v>115</v>
      </c>
      <c r="G5640" s="64" t="s">
        <v>64</v>
      </c>
      <c r="H5640" s="3" t="s">
        <v>116</v>
      </c>
      <c r="I5640" s="65">
        <f>IFERROR(VLOOKUP(A5640,'3. Call duration'!$A:$C,3,0),"--")</f>
        <v>31.0330361</v>
      </c>
      <c r="J5640" s="65" t="str">
        <f t="array" ref="J5640">XLOOKUP(H5640,'2. Matching'!$A$2:$A$39,'2. Matching'!$B$2:$B$39,"--")</f>
        <v>Acquisition</v>
      </c>
      <c r="K5640" s="65" t="str">
        <f t="shared" si="1"/>
        <v>In</v>
      </c>
    </row>
    <row r="5641">
      <c r="A5641" s="62" t="s">
        <v>5779</v>
      </c>
      <c r="B5641" s="63">
        <v>44323.0</v>
      </c>
      <c r="C5641" s="62" t="s">
        <v>119</v>
      </c>
      <c r="D5641" s="64">
        <v>47.5</v>
      </c>
      <c r="E5641" s="62" t="s">
        <v>109</v>
      </c>
      <c r="F5641" s="62" t="s">
        <v>115</v>
      </c>
      <c r="G5641" s="64" t="s">
        <v>64</v>
      </c>
      <c r="H5641" s="3" t="s">
        <v>55</v>
      </c>
      <c r="I5641" s="65">
        <f>IFERROR(VLOOKUP(A5641,'3. Call duration'!$A:$C,3,0),"--")</f>
        <v>31.04438084</v>
      </c>
      <c r="J5641" s="65" t="str">
        <f t="array" ref="J5641">XLOOKUP(H5641,'2. Matching'!$A$2:$A$39,'2. Matching'!$B$2:$B$39,"--")</f>
        <v>Partnerships</v>
      </c>
      <c r="K5641" s="65" t="str">
        <f t="shared" si="1"/>
        <v>In</v>
      </c>
    </row>
    <row r="5642">
      <c r="A5642" s="62" t="s">
        <v>5780</v>
      </c>
      <c r="B5642" s="63">
        <v>44322.0</v>
      </c>
      <c r="C5642" s="62" t="s">
        <v>119</v>
      </c>
      <c r="D5642" s="64">
        <v>47.5</v>
      </c>
      <c r="E5642" s="62" t="s">
        <v>109</v>
      </c>
      <c r="F5642" s="62" t="s">
        <v>110</v>
      </c>
      <c r="G5642" s="64" t="s">
        <v>64</v>
      </c>
      <c r="H5642" s="3" t="s">
        <v>175</v>
      </c>
      <c r="I5642" s="65">
        <f>IFERROR(VLOOKUP(A5642,'3. Call duration'!$A:$C,3,0),"--")</f>
        <v>31.06150728</v>
      </c>
      <c r="J5642" s="65" t="str">
        <f t="array" ref="J5642">XLOOKUP(H5642,'2. Matching'!$A$2:$A$39,'2. Matching'!$B$2:$B$39,"--")</f>
        <v>SEO</v>
      </c>
      <c r="K5642" s="65" t="str">
        <f t="shared" si="1"/>
        <v>In</v>
      </c>
    </row>
    <row r="5643">
      <c r="A5643" s="62" t="s">
        <v>5781</v>
      </c>
      <c r="B5643" s="63">
        <v>44335.0</v>
      </c>
      <c r="C5643" s="62" t="s">
        <v>108</v>
      </c>
      <c r="D5643" s="64">
        <v>0.0</v>
      </c>
      <c r="E5643" s="62" t="s">
        <v>109</v>
      </c>
      <c r="F5643" s="62" t="s">
        <v>115</v>
      </c>
      <c r="G5643" s="64" t="s">
        <v>59</v>
      </c>
      <c r="H5643" s="3" t="s">
        <v>68</v>
      </c>
      <c r="I5643" s="65">
        <f>IFERROR(VLOOKUP(A5643,'3. Call duration'!$A:$C,3,0),"--")</f>
        <v>31.08410446</v>
      </c>
      <c r="J5643" s="65" t="str">
        <f t="array" ref="J5643">XLOOKUP(H5643,'2. Matching'!$A$2:$A$39,'2. Matching'!$B$2:$B$39,"--")</f>
        <v>Acquisition</v>
      </c>
      <c r="K5643" s="65" t="str">
        <f t="shared" si="1"/>
        <v>In</v>
      </c>
    </row>
    <row r="5644">
      <c r="A5644" s="62" t="s">
        <v>5782</v>
      </c>
      <c r="B5644" s="63">
        <v>44334.0</v>
      </c>
      <c r="C5644" s="62" t="s">
        <v>119</v>
      </c>
      <c r="D5644" s="64">
        <v>47.5</v>
      </c>
      <c r="E5644" s="62" t="s">
        <v>109</v>
      </c>
      <c r="F5644" s="62" t="s">
        <v>115</v>
      </c>
      <c r="G5644" s="64" t="s">
        <v>64</v>
      </c>
      <c r="H5644" s="3" t="s">
        <v>116</v>
      </c>
      <c r="I5644" s="65">
        <f>IFERROR(VLOOKUP(A5644,'3. Call duration'!$A:$C,3,0),"--")</f>
        <v>31.14559592</v>
      </c>
      <c r="J5644" s="65" t="str">
        <f t="array" ref="J5644">XLOOKUP(H5644,'2. Matching'!$A$2:$A$39,'2. Matching'!$B$2:$B$39,"--")</f>
        <v>Acquisition</v>
      </c>
      <c r="K5644" s="65" t="str">
        <f t="shared" si="1"/>
        <v>In</v>
      </c>
    </row>
    <row r="5645">
      <c r="A5645" s="62" t="s">
        <v>5783</v>
      </c>
      <c r="B5645" s="63">
        <v>44377.0</v>
      </c>
      <c r="C5645" s="62" t="s">
        <v>119</v>
      </c>
      <c r="D5645" s="64">
        <v>47.5</v>
      </c>
      <c r="E5645" s="62" t="s">
        <v>109</v>
      </c>
      <c r="F5645" s="62" t="s">
        <v>110</v>
      </c>
      <c r="G5645" s="64" t="s">
        <v>59</v>
      </c>
      <c r="H5645" s="3" t="s">
        <v>68</v>
      </c>
      <c r="I5645" s="65">
        <f>IFERROR(VLOOKUP(A5645,'3. Call duration'!$A:$C,3,0),"--")</f>
        <v>32.36275057</v>
      </c>
      <c r="J5645" s="65" t="str">
        <f t="array" ref="J5645">XLOOKUP(H5645,'2. Matching'!$A$2:$A$39,'2. Matching'!$B$2:$B$39,"--")</f>
        <v>Acquisition</v>
      </c>
      <c r="K5645" s="65" t="str">
        <f t="shared" si="1"/>
        <v>In</v>
      </c>
    </row>
    <row r="5646">
      <c r="A5646" s="62" t="s">
        <v>5784</v>
      </c>
      <c r="B5646" s="63">
        <v>44319.0</v>
      </c>
      <c r="C5646" s="62" t="s">
        <v>119</v>
      </c>
      <c r="D5646" s="64">
        <v>47.5</v>
      </c>
      <c r="E5646" s="62" t="s">
        <v>109</v>
      </c>
      <c r="F5646" s="62" t="s">
        <v>115</v>
      </c>
      <c r="G5646" s="64" t="s">
        <v>64</v>
      </c>
      <c r="H5646" s="3" t="s">
        <v>185</v>
      </c>
      <c r="I5646" s="65">
        <f>IFERROR(VLOOKUP(A5646,'3. Call duration'!$A:$C,3,0),"--")</f>
        <v>31.15025767</v>
      </c>
      <c r="J5646" s="65" t="str">
        <f t="array" ref="J5646">XLOOKUP(H5646,'2. Matching'!$A$2:$A$39,'2. Matching'!$B$2:$B$39,"--")</f>
        <v>SEO</v>
      </c>
      <c r="K5646" s="65" t="str">
        <f t="shared" si="1"/>
        <v>In</v>
      </c>
    </row>
    <row r="5647">
      <c r="A5647" s="62" t="s">
        <v>5785</v>
      </c>
      <c r="B5647" s="63">
        <v>44337.0</v>
      </c>
      <c r="C5647" s="62" t="s">
        <v>119</v>
      </c>
      <c r="D5647" s="64">
        <v>47.5</v>
      </c>
      <c r="E5647" s="62" t="s">
        <v>109</v>
      </c>
      <c r="F5647" s="62" t="s">
        <v>110</v>
      </c>
      <c r="G5647" s="64" t="s">
        <v>63</v>
      </c>
      <c r="H5647" s="3" t="s">
        <v>128</v>
      </c>
      <c r="I5647" s="65">
        <f>IFERROR(VLOOKUP(A5647,'3. Call duration'!$A:$C,3,0),"--")</f>
        <v>31.15747241</v>
      </c>
      <c r="J5647" s="65" t="str">
        <f t="array" ref="J5647">XLOOKUP(H5647,'2. Matching'!$A$2:$A$39,'2. Matching'!$B$2:$B$39,"--")</f>
        <v>Acquisition</v>
      </c>
      <c r="K5647" s="65" t="str">
        <f t="shared" si="1"/>
        <v>In</v>
      </c>
    </row>
    <row r="5648">
      <c r="A5648" s="62" t="s">
        <v>5786</v>
      </c>
      <c r="B5648" s="63">
        <v>44347.0</v>
      </c>
      <c r="C5648" s="62" t="s">
        <v>119</v>
      </c>
      <c r="D5648" s="64">
        <v>47.5</v>
      </c>
      <c r="E5648" s="62" t="s">
        <v>109</v>
      </c>
      <c r="F5648" s="62" t="s">
        <v>115</v>
      </c>
      <c r="G5648" s="64" t="s">
        <v>64</v>
      </c>
      <c r="H5648" s="3" t="s">
        <v>155</v>
      </c>
      <c r="I5648" s="65">
        <f>IFERROR(VLOOKUP(A5648,'3. Call duration'!$A:$C,3,0),"--")</f>
        <v>31.19731649</v>
      </c>
      <c r="J5648" s="65" t="str">
        <f t="array" ref="J5648">XLOOKUP(H5648,'2. Matching'!$A$2:$A$39,'2. Matching'!$B$2:$B$39,"--")</f>
        <v>SEO</v>
      </c>
      <c r="K5648" s="65" t="str">
        <f t="shared" si="1"/>
        <v>In</v>
      </c>
    </row>
    <row r="5649">
      <c r="A5649" s="62" t="s">
        <v>5787</v>
      </c>
      <c r="B5649" s="63">
        <v>44328.0</v>
      </c>
      <c r="C5649" s="62" t="s">
        <v>119</v>
      </c>
      <c r="D5649" s="64">
        <v>47.5</v>
      </c>
      <c r="E5649" s="62" t="s">
        <v>109</v>
      </c>
      <c r="F5649" s="62" t="s">
        <v>115</v>
      </c>
      <c r="G5649" s="64" t="s">
        <v>64</v>
      </c>
      <c r="H5649" s="3" t="s">
        <v>155</v>
      </c>
      <c r="I5649" s="65">
        <f>IFERROR(VLOOKUP(A5649,'3. Call duration'!$A:$C,3,0),"--")</f>
        <v>31.20014191</v>
      </c>
      <c r="J5649" s="65" t="str">
        <f t="array" ref="J5649">XLOOKUP(H5649,'2. Matching'!$A$2:$A$39,'2. Matching'!$B$2:$B$39,"--")</f>
        <v>SEO</v>
      </c>
      <c r="K5649" s="65" t="str">
        <f t="shared" si="1"/>
        <v>In</v>
      </c>
    </row>
    <row r="5650">
      <c r="A5650" s="62" t="s">
        <v>5788</v>
      </c>
      <c r="B5650" s="63">
        <v>44331.0</v>
      </c>
      <c r="C5650" s="62" t="s">
        <v>108</v>
      </c>
      <c r="D5650" s="64">
        <v>0.0</v>
      </c>
      <c r="E5650" s="62" t="s">
        <v>109</v>
      </c>
      <c r="F5650" s="62" t="s">
        <v>115</v>
      </c>
      <c r="G5650" s="64" t="s">
        <v>64</v>
      </c>
      <c r="H5650" s="3" t="s">
        <v>155</v>
      </c>
      <c r="I5650" s="65">
        <f>IFERROR(VLOOKUP(A5650,'3. Call duration'!$A:$C,3,0),"--")</f>
        <v>31.20552533</v>
      </c>
      <c r="J5650" s="65" t="str">
        <f t="array" ref="J5650">XLOOKUP(H5650,'2. Matching'!$A$2:$A$39,'2. Matching'!$B$2:$B$39,"--")</f>
        <v>SEO</v>
      </c>
      <c r="K5650" s="65" t="str">
        <f t="shared" si="1"/>
        <v>In</v>
      </c>
    </row>
    <row r="5651">
      <c r="A5651" s="62" t="s">
        <v>5789</v>
      </c>
      <c r="B5651" s="63">
        <v>44341.0</v>
      </c>
      <c r="C5651" s="62" t="s">
        <v>119</v>
      </c>
      <c r="D5651" s="64">
        <v>47.5</v>
      </c>
      <c r="E5651" s="62" t="s">
        <v>109</v>
      </c>
      <c r="F5651" s="62" t="s">
        <v>115</v>
      </c>
      <c r="G5651" s="64" t="s">
        <v>64</v>
      </c>
      <c r="H5651" s="3" t="s">
        <v>141</v>
      </c>
      <c r="I5651" s="65">
        <f>IFERROR(VLOOKUP(A5651,'3. Call duration'!$A:$C,3,0),"--")</f>
        <v>31.22946604</v>
      </c>
      <c r="J5651" s="65" t="str">
        <f t="array" ref="J5651">XLOOKUP(H5651,'2. Matching'!$A$2:$A$39,'2. Matching'!$B$2:$B$39,"--")</f>
        <v>Acquisition</v>
      </c>
      <c r="K5651" s="65" t="str">
        <f t="shared" si="1"/>
        <v>In</v>
      </c>
    </row>
    <row r="5652">
      <c r="A5652" s="62" t="s">
        <v>5790</v>
      </c>
      <c r="B5652" s="63">
        <v>44343.0</v>
      </c>
      <c r="C5652" s="62" t="s">
        <v>108</v>
      </c>
      <c r="D5652" s="64">
        <v>0.0</v>
      </c>
      <c r="E5652" s="62" t="s">
        <v>109</v>
      </c>
      <c r="F5652" s="62" t="s">
        <v>115</v>
      </c>
      <c r="G5652" s="64" t="s">
        <v>63</v>
      </c>
      <c r="H5652" s="3" t="s">
        <v>128</v>
      </c>
      <c r="I5652" s="65">
        <f>IFERROR(VLOOKUP(A5652,'3. Call duration'!$A:$C,3,0),"--")</f>
        <v>31.23492513</v>
      </c>
      <c r="J5652" s="65" t="str">
        <f t="array" ref="J5652">XLOOKUP(H5652,'2. Matching'!$A$2:$A$39,'2. Matching'!$B$2:$B$39,"--")</f>
        <v>Acquisition</v>
      </c>
      <c r="K5652" s="65" t="str">
        <f t="shared" si="1"/>
        <v>In</v>
      </c>
    </row>
    <row r="5653">
      <c r="A5653" s="62" t="s">
        <v>5791</v>
      </c>
      <c r="B5653" s="63">
        <v>44342.0</v>
      </c>
      <c r="C5653" s="62" t="s">
        <v>119</v>
      </c>
      <c r="D5653" s="64">
        <v>47.5</v>
      </c>
      <c r="E5653" s="62" t="s">
        <v>109</v>
      </c>
      <c r="F5653" s="62" t="s">
        <v>110</v>
      </c>
      <c r="G5653" s="64" t="s">
        <v>64</v>
      </c>
      <c r="H5653" s="3" t="s">
        <v>297</v>
      </c>
      <c r="I5653" s="65">
        <f>IFERROR(VLOOKUP(A5653,'3. Call duration'!$A:$C,3,0),"--")</f>
        <v>31.24583588</v>
      </c>
      <c r="J5653" s="65" t="str">
        <f t="array" ref="J5653">XLOOKUP(H5653,'2. Matching'!$A$2:$A$39,'2. Matching'!$B$2:$B$39,"--")</f>
        <v>Farming</v>
      </c>
      <c r="K5653" s="65" t="str">
        <f t="shared" si="1"/>
        <v>In</v>
      </c>
    </row>
    <row r="5654">
      <c r="A5654" s="62" t="s">
        <v>5792</v>
      </c>
      <c r="B5654" s="63">
        <v>44363.0</v>
      </c>
      <c r="C5654" s="62" t="s">
        <v>119</v>
      </c>
      <c r="D5654" s="64">
        <v>47.5</v>
      </c>
      <c r="E5654" s="62" t="s">
        <v>109</v>
      </c>
      <c r="F5654" s="62" t="s">
        <v>115</v>
      </c>
      <c r="G5654" s="64" t="s">
        <v>64</v>
      </c>
      <c r="H5654" s="3" t="s">
        <v>155</v>
      </c>
      <c r="I5654" s="65">
        <f>IFERROR(VLOOKUP(A5654,'3. Call duration'!$A:$C,3,0),"--")</f>
        <v>15.61123925</v>
      </c>
      <c r="J5654" s="65" t="str">
        <f t="array" ref="J5654">XLOOKUP(H5654,'2. Matching'!$A$2:$A$39,'2. Matching'!$B$2:$B$39,"--")</f>
        <v>SEO</v>
      </c>
      <c r="K5654" s="65" t="str">
        <f t="shared" si="1"/>
        <v>In</v>
      </c>
    </row>
    <row r="5655">
      <c r="A5655" s="62" t="s">
        <v>5793</v>
      </c>
      <c r="B5655" s="63">
        <v>44329.0</v>
      </c>
      <c r="C5655" s="62" t="s">
        <v>119</v>
      </c>
      <c r="D5655" s="64">
        <v>47.5</v>
      </c>
      <c r="E5655" s="62" t="s">
        <v>109</v>
      </c>
      <c r="F5655" s="62" t="s">
        <v>110</v>
      </c>
      <c r="G5655" s="64" t="s">
        <v>64</v>
      </c>
      <c r="H5655" s="3" t="s">
        <v>145</v>
      </c>
      <c r="I5655" s="65">
        <f>IFERROR(VLOOKUP(A5655,'3. Call duration'!$A:$C,3,0),"--")</f>
        <v>31.24593266</v>
      </c>
      <c r="J5655" s="65" t="str">
        <f t="array" ref="J5655">XLOOKUP(H5655,'2. Matching'!$A$2:$A$39,'2. Matching'!$B$2:$B$39,"--")</f>
        <v>SEO</v>
      </c>
      <c r="K5655" s="65" t="str">
        <f t="shared" si="1"/>
        <v>In</v>
      </c>
    </row>
    <row r="5656">
      <c r="A5656" s="62" t="s">
        <v>5794</v>
      </c>
      <c r="B5656" s="63">
        <v>44376.0</v>
      </c>
      <c r="C5656" s="62" t="s">
        <v>119</v>
      </c>
      <c r="D5656" s="64">
        <v>47.5</v>
      </c>
      <c r="E5656" s="62" t="s">
        <v>109</v>
      </c>
      <c r="F5656" s="62" t="s">
        <v>115</v>
      </c>
      <c r="G5656" s="64" t="s">
        <v>64</v>
      </c>
      <c r="H5656" s="3" t="s">
        <v>155</v>
      </c>
      <c r="I5656" s="65">
        <f>IFERROR(VLOOKUP(A5656,'3. Call duration'!$A:$C,3,0),"--")</f>
        <v>16.53416927</v>
      </c>
      <c r="J5656" s="65" t="str">
        <f t="array" ref="J5656">XLOOKUP(H5656,'2. Matching'!$A$2:$A$39,'2. Matching'!$B$2:$B$39,"--")</f>
        <v>SEO</v>
      </c>
      <c r="K5656" s="65" t="str">
        <f t="shared" si="1"/>
        <v>In</v>
      </c>
    </row>
    <row r="5657">
      <c r="A5657" s="62" t="s">
        <v>5795</v>
      </c>
      <c r="B5657" s="63">
        <v>44342.0</v>
      </c>
      <c r="C5657" s="62" t="s">
        <v>119</v>
      </c>
      <c r="D5657" s="64">
        <v>47.5</v>
      </c>
      <c r="E5657" s="62" t="s">
        <v>109</v>
      </c>
      <c r="F5657" s="62" t="s">
        <v>115</v>
      </c>
      <c r="G5657" s="64" t="s">
        <v>64</v>
      </c>
      <c r="H5657" s="3" t="s">
        <v>139</v>
      </c>
      <c r="I5657" s="65">
        <f>IFERROR(VLOOKUP(A5657,'3. Call duration'!$A:$C,3,0),"--")</f>
        <v>31.27951272</v>
      </c>
      <c r="J5657" s="65" t="str">
        <f t="array" ref="J5657">XLOOKUP(H5657,'2. Matching'!$A$2:$A$39,'2. Matching'!$B$2:$B$39,"--")</f>
        <v>Acquisition</v>
      </c>
      <c r="K5657" s="65" t="str">
        <f t="shared" si="1"/>
        <v>In</v>
      </c>
    </row>
    <row r="5658">
      <c r="A5658" s="62" t="s">
        <v>5796</v>
      </c>
      <c r="B5658" s="63">
        <v>44340.0</v>
      </c>
      <c r="C5658" s="62" t="s">
        <v>119</v>
      </c>
      <c r="D5658" s="64">
        <v>47.5</v>
      </c>
      <c r="E5658" s="62" t="s">
        <v>109</v>
      </c>
      <c r="F5658" s="62" t="s">
        <v>115</v>
      </c>
      <c r="G5658" s="64" t="s">
        <v>64</v>
      </c>
      <c r="H5658" s="3" t="s">
        <v>185</v>
      </c>
      <c r="I5658" s="65">
        <f>IFERROR(VLOOKUP(A5658,'3. Call duration'!$A:$C,3,0),"--")</f>
        <v>31.30950826</v>
      </c>
      <c r="J5658" s="65" t="str">
        <f t="array" ref="J5658">XLOOKUP(H5658,'2. Matching'!$A$2:$A$39,'2. Matching'!$B$2:$B$39,"--")</f>
        <v>SEO</v>
      </c>
      <c r="K5658" s="65" t="str">
        <f t="shared" si="1"/>
        <v>In</v>
      </c>
    </row>
    <row r="5659">
      <c r="A5659" s="62" t="s">
        <v>5797</v>
      </c>
      <c r="B5659" s="63">
        <v>44329.0</v>
      </c>
      <c r="C5659" s="62" t="s">
        <v>119</v>
      </c>
      <c r="D5659" s="64">
        <v>47.5</v>
      </c>
      <c r="E5659" s="62" t="s">
        <v>109</v>
      </c>
      <c r="F5659" s="62" t="s">
        <v>115</v>
      </c>
      <c r="G5659" s="64" t="s">
        <v>59</v>
      </c>
      <c r="H5659" s="3" t="s">
        <v>68</v>
      </c>
      <c r="I5659" s="65">
        <f>IFERROR(VLOOKUP(A5659,'3. Call duration'!$A:$C,3,0),"--")</f>
        <v>31.32156061</v>
      </c>
      <c r="J5659" s="65" t="str">
        <f t="array" ref="J5659">XLOOKUP(H5659,'2. Matching'!$A$2:$A$39,'2. Matching'!$B$2:$B$39,"--")</f>
        <v>Acquisition</v>
      </c>
      <c r="K5659" s="65" t="str">
        <f t="shared" si="1"/>
        <v>In</v>
      </c>
    </row>
    <row r="5660">
      <c r="A5660" s="62" t="s">
        <v>5798</v>
      </c>
      <c r="B5660" s="63">
        <v>44363.0</v>
      </c>
      <c r="C5660" s="62" t="s">
        <v>119</v>
      </c>
      <c r="D5660" s="64">
        <v>47.5</v>
      </c>
      <c r="E5660" s="62" t="s">
        <v>109</v>
      </c>
      <c r="F5660" s="62" t="s">
        <v>115</v>
      </c>
      <c r="G5660" s="64" t="s">
        <v>64</v>
      </c>
      <c r="H5660" s="3" t="s">
        <v>155</v>
      </c>
      <c r="I5660" s="65">
        <f>IFERROR(VLOOKUP(A5660,'3. Call duration'!$A:$C,3,0),"--")</f>
        <v>13.7012511</v>
      </c>
      <c r="J5660" s="65" t="str">
        <f t="array" ref="J5660">XLOOKUP(H5660,'2. Matching'!$A$2:$A$39,'2. Matching'!$B$2:$B$39,"--")</f>
        <v>SEO</v>
      </c>
      <c r="K5660" s="65" t="str">
        <f t="shared" si="1"/>
        <v>In</v>
      </c>
    </row>
    <row r="5661">
      <c r="A5661" s="62" t="s">
        <v>5799</v>
      </c>
      <c r="B5661" s="63">
        <v>44320.0</v>
      </c>
      <c r="C5661" s="62" t="s">
        <v>119</v>
      </c>
      <c r="D5661" s="64">
        <v>47.5</v>
      </c>
      <c r="E5661" s="62" t="s">
        <v>109</v>
      </c>
      <c r="F5661" s="62" t="s">
        <v>110</v>
      </c>
      <c r="G5661" s="64" t="s">
        <v>61</v>
      </c>
      <c r="H5661" s="3" t="s">
        <v>69</v>
      </c>
      <c r="I5661" s="65">
        <f>IFERROR(VLOOKUP(A5661,'3. Call duration'!$A:$C,3,0),"--")</f>
        <v>31.36574144</v>
      </c>
      <c r="J5661" s="65" t="str">
        <f t="array" ref="J5661">XLOOKUP(H5661,'2. Matching'!$A$2:$A$39,'2. Matching'!$B$2:$B$39,"--")</f>
        <v>Acquisition</v>
      </c>
      <c r="K5661" s="65" t="str">
        <f t="shared" si="1"/>
        <v>In</v>
      </c>
    </row>
    <row r="5662">
      <c r="A5662" s="62" t="s">
        <v>5800</v>
      </c>
      <c r="B5662" s="63">
        <v>44375.0</v>
      </c>
      <c r="C5662" s="62" t="s">
        <v>119</v>
      </c>
      <c r="D5662" s="64">
        <v>47.5</v>
      </c>
      <c r="E5662" s="62" t="s">
        <v>109</v>
      </c>
      <c r="F5662" s="62" t="s">
        <v>115</v>
      </c>
      <c r="G5662" s="64" t="s">
        <v>59</v>
      </c>
      <c r="H5662" s="3" t="s">
        <v>68</v>
      </c>
      <c r="I5662" s="65">
        <f>IFERROR(VLOOKUP(A5662,'3. Call duration'!$A:$C,3,0),"--")</f>
        <v>30.58034542</v>
      </c>
      <c r="J5662" s="65" t="str">
        <f t="array" ref="J5662">XLOOKUP(H5662,'2. Matching'!$A$2:$A$39,'2. Matching'!$B$2:$B$39,"--")</f>
        <v>Acquisition</v>
      </c>
      <c r="K5662" s="65" t="str">
        <f t="shared" si="1"/>
        <v>In</v>
      </c>
    </row>
    <row r="5663">
      <c r="A5663" s="62" t="s">
        <v>5801</v>
      </c>
      <c r="B5663" s="63">
        <v>44362.0</v>
      </c>
      <c r="C5663" s="62" t="s">
        <v>119</v>
      </c>
      <c r="D5663" s="64">
        <v>47.5</v>
      </c>
      <c r="E5663" s="62" t="s">
        <v>109</v>
      </c>
      <c r="F5663" s="62" t="s">
        <v>115</v>
      </c>
      <c r="G5663" s="64" t="s">
        <v>64</v>
      </c>
      <c r="H5663" s="3" t="s">
        <v>131</v>
      </c>
      <c r="I5663" s="65">
        <f>IFERROR(VLOOKUP(A5663,'3. Call duration'!$A:$C,3,0),"--")</f>
        <v>31.97292602</v>
      </c>
      <c r="J5663" s="65" t="str">
        <f t="array" ref="J5663">XLOOKUP(H5663,'2. Matching'!$A$2:$A$39,'2. Matching'!$B$2:$B$39,"--")</f>
        <v>Acquisition</v>
      </c>
      <c r="K5663" s="65" t="str">
        <f t="shared" si="1"/>
        <v>In</v>
      </c>
    </row>
    <row r="5664">
      <c r="A5664" s="62" t="s">
        <v>5802</v>
      </c>
      <c r="B5664" s="63">
        <v>44364.0</v>
      </c>
      <c r="C5664" s="62" t="s">
        <v>119</v>
      </c>
      <c r="D5664" s="64">
        <v>47.5</v>
      </c>
      <c r="E5664" s="62" t="s">
        <v>109</v>
      </c>
      <c r="F5664" s="62" t="s">
        <v>115</v>
      </c>
      <c r="G5664" s="64" t="s">
        <v>59</v>
      </c>
      <c r="H5664" s="3" t="s">
        <v>68</v>
      </c>
      <c r="I5664" s="65">
        <f>IFERROR(VLOOKUP(A5664,'3. Call duration'!$A:$C,3,0),"--")</f>
        <v>32.57569659</v>
      </c>
      <c r="J5664" s="65" t="str">
        <f t="array" ref="J5664">XLOOKUP(H5664,'2. Matching'!$A$2:$A$39,'2. Matching'!$B$2:$B$39,"--")</f>
        <v>Acquisition</v>
      </c>
      <c r="K5664" s="65" t="str">
        <f t="shared" si="1"/>
        <v>In</v>
      </c>
    </row>
    <row r="5665">
      <c r="A5665" s="62" t="s">
        <v>5803</v>
      </c>
      <c r="B5665" s="63">
        <v>44341.0</v>
      </c>
      <c r="C5665" s="62" t="s">
        <v>119</v>
      </c>
      <c r="D5665" s="64">
        <v>47.5</v>
      </c>
      <c r="E5665" s="62" t="s">
        <v>109</v>
      </c>
      <c r="F5665" s="62" t="s">
        <v>115</v>
      </c>
      <c r="G5665" s="64" t="s">
        <v>64</v>
      </c>
      <c r="H5665" s="3" t="s">
        <v>139</v>
      </c>
      <c r="I5665" s="65">
        <f>IFERROR(VLOOKUP(A5665,'3. Call duration'!$A:$C,3,0),"--")</f>
        <v>31.39167738</v>
      </c>
      <c r="J5665" s="65" t="str">
        <f t="array" ref="J5665">XLOOKUP(H5665,'2. Matching'!$A$2:$A$39,'2. Matching'!$B$2:$B$39,"--")</f>
        <v>Acquisition</v>
      </c>
      <c r="K5665" s="65" t="str">
        <f t="shared" si="1"/>
        <v>In</v>
      </c>
    </row>
    <row r="5666">
      <c r="A5666" s="62" t="s">
        <v>5804</v>
      </c>
      <c r="B5666" s="63">
        <v>44371.0</v>
      </c>
      <c r="C5666" s="62" t="s">
        <v>119</v>
      </c>
      <c r="D5666" s="64">
        <v>47.5</v>
      </c>
      <c r="E5666" s="62" t="s">
        <v>109</v>
      </c>
      <c r="F5666" s="62" t="s">
        <v>110</v>
      </c>
      <c r="G5666" s="64" t="s">
        <v>63</v>
      </c>
      <c r="H5666" s="3" t="s">
        <v>228</v>
      </c>
      <c r="I5666" s="65">
        <f>IFERROR(VLOOKUP(A5666,'3. Call duration'!$A:$C,3,0),"--")</f>
        <v>31.58320886</v>
      </c>
      <c r="J5666" s="65" t="str">
        <f t="array" ref="J5666">XLOOKUP(H5666,'2. Matching'!$A$2:$A$39,'2. Matching'!$B$2:$B$39,"--")</f>
        <v>Farming</v>
      </c>
      <c r="K5666" s="65" t="str">
        <f t="shared" si="1"/>
        <v>In</v>
      </c>
    </row>
    <row r="5667">
      <c r="A5667" s="62" t="s">
        <v>5805</v>
      </c>
      <c r="B5667" s="63">
        <v>44347.0</v>
      </c>
      <c r="C5667" s="62" t="s">
        <v>108</v>
      </c>
      <c r="D5667" s="64">
        <v>0.0</v>
      </c>
      <c r="E5667" s="62" t="s">
        <v>109</v>
      </c>
      <c r="F5667" s="62" t="s">
        <v>115</v>
      </c>
      <c r="G5667" s="64" t="s">
        <v>63</v>
      </c>
      <c r="H5667" s="3" t="s">
        <v>183</v>
      </c>
      <c r="I5667" s="65">
        <f>IFERROR(VLOOKUP(A5667,'3. Call duration'!$A:$C,3,0),"--")</f>
        <v>31.41941882</v>
      </c>
      <c r="J5667" s="65" t="str">
        <f t="array" ref="J5667">XLOOKUP(H5667,'2. Matching'!$A$2:$A$39,'2. Matching'!$B$2:$B$39,"--")</f>
        <v>SEO</v>
      </c>
      <c r="K5667" s="65" t="str">
        <f t="shared" si="1"/>
        <v>In</v>
      </c>
    </row>
    <row r="5668">
      <c r="A5668" s="62" t="s">
        <v>5806</v>
      </c>
      <c r="B5668" s="63">
        <v>44361.0</v>
      </c>
      <c r="C5668" s="62" t="s">
        <v>119</v>
      </c>
      <c r="D5668" s="64">
        <v>47.5</v>
      </c>
      <c r="E5668" s="62" t="s">
        <v>109</v>
      </c>
      <c r="F5668" s="62" t="s">
        <v>110</v>
      </c>
      <c r="G5668" s="64" t="s">
        <v>61</v>
      </c>
      <c r="H5668" s="3" t="s">
        <v>68</v>
      </c>
      <c r="I5668" s="65">
        <f>IFERROR(VLOOKUP(A5668,'3. Call duration'!$A:$C,3,0),"--")</f>
        <v>25.52552345</v>
      </c>
      <c r="J5668" s="65" t="str">
        <f t="array" ref="J5668">XLOOKUP(H5668,'2. Matching'!$A$2:$A$39,'2. Matching'!$B$2:$B$39,"--")</f>
        <v>Acquisition</v>
      </c>
      <c r="K5668" s="65" t="str">
        <f t="shared" si="1"/>
        <v>In</v>
      </c>
    </row>
    <row r="5669">
      <c r="A5669" s="62" t="s">
        <v>5807</v>
      </c>
      <c r="B5669" s="63">
        <v>44375.0</v>
      </c>
      <c r="C5669" s="62" t="s">
        <v>119</v>
      </c>
      <c r="D5669" s="64">
        <v>47.5</v>
      </c>
      <c r="E5669" s="62" t="s">
        <v>109</v>
      </c>
      <c r="F5669" s="62" t="s">
        <v>110</v>
      </c>
      <c r="G5669" s="64" t="s">
        <v>63</v>
      </c>
      <c r="H5669" s="3" t="s">
        <v>183</v>
      </c>
      <c r="I5669" s="65">
        <f>IFERROR(VLOOKUP(A5669,'3. Call duration'!$A:$C,3,0),"--")</f>
        <v>28.05743902</v>
      </c>
      <c r="J5669" s="65" t="str">
        <f t="array" ref="J5669">XLOOKUP(H5669,'2. Matching'!$A$2:$A$39,'2. Matching'!$B$2:$B$39,"--")</f>
        <v>SEO</v>
      </c>
      <c r="K5669" s="65" t="str">
        <f t="shared" si="1"/>
        <v>In</v>
      </c>
    </row>
    <row r="5670">
      <c r="A5670" s="62" t="s">
        <v>5808</v>
      </c>
      <c r="B5670" s="63">
        <v>44342.0</v>
      </c>
      <c r="C5670" s="62" t="s">
        <v>108</v>
      </c>
      <c r="D5670" s="64">
        <v>0.0</v>
      </c>
      <c r="E5670" s="62" t="s">
        <v>114</v>
      </c>
      <c r="F5670" s="62" t="s">
        <v>110</v>
      </c>
      <c r="G5670" s="64" t="s">
        <v>63</v>
      </c>
      <c r="H5670" s="3" t="s">
        <v>189</v>
      </c>
      <c r="I5670" s="65">
        <f>IFERROR(VLOOKUP(A5670,'3. Call duration'!$A:$C,3,0),"--")</f>
        <v>31.42374734</v>
      </c>
      <c r="J5670" s="65" t="str">
        <f t="array" ref="J5670">XLOOKUP(H5670,'2. Matching'!$A$2:$A$39,'2. Matching'!$B$2:$B$39,"--")</f>
        <v>SEO</v>
      </c>
      <c r="K5670" s="65" t="str">
        <f t="shared" si="1"/>
        <v>Out</v>
      </c>
    </row>
    <row r="5671">
      <c r="A5671" s="62" t="s">
        <v>5809</v>
      </c>
      <c r="B5671" s="63">
        <v>44377.0</v>
      </c>
      <c r="C5671" s="62" t="s">
        <v>119</v>
      </c>
      <c r="D5671" s="64">
        <v>47.5</v>
      </c>
      <c r="E5671" s="62" t="s">
        <v>109</v>
      </c>
      <c r="F5671" s="62" t="s">
        <v>115</v>
      </c>
      <c r="G5671" s="64" t="s">
        <v>64</v>
      </c>
      <c r="H5671" s="3" t="s">
        <v>141</v>
      </c>
      <c r="I5671" s="65">
        <f>IFERROR(VLOOKUP(A5671,'3. Call duration'!$A:$C,3,0),"--")</f>
        <v>22.61137593</v>
      </c>
      <c r="J5671" s="65" t="str">
        <f t="array" ref="J5671">XLOOKUP(H5671,'2. Matching'!$A$2:$A$39,'2. Matching'!$B$2:$B$39,"--")</f>
        <v>Acquisition</v>
      </c>
      <c r="K5671" s="65" t="str">
        <f t="shared" si="1"/>
        <v>In</v>
      </c>
    </row>
    <row r="5672">
      <c r="A5672" s="62" t="s">
        <v>5810</v>
      </c>
      <c r="B5672" s="63">
        <v>44334.0</v>
      </c>
      <c r="C5672" s="62" t="s">
        <v>119</v>
      </c>
      <c r="D5672" s="64">
        <v>47.5</v>
      </c>
      <c r="E5672" s="62" t="s">
        <v>109</v>
      </c>
      <c r="F5672" s="62" t="s">
        <v>110</v>
      </c>
      <c r="G5672" s="64" t="s">
        <v>64</v>
      </c>
      <c r="H5672" s="3" t="s">
        <v>171</v>
      </c>
      <c r="I5672" s="65">
        <f>IFERROR(VLOOKUP(A5672,'3. Call duration'!$A:$C,3,0),"--")</f>
        <v>31.4312702</v>
      </c>
      <c r="J5672" s="65" t="str">
        <f t="array" ref="J5672">XLOOKUP(H5672,'2. Matching'!$A$2:$A$39,'2. Matching'!$B$2:$B$39,"--")</f>
        <v>SEO</v>
      </c>
      <c r="K5672" s="65" t="str">
        <f t="shared" si="1"/>
        <v>In</v>
      </c>
    </row>
    <row r="5673">
      <c r="A5673" s="62" t="s">
        <v>5811</v>
      </c>
      <c r="B5673" s="63">
        <v>44338.0</v>
      </c>
      <c r="C5673" s="62" t="s">
        <v>119</v>
      </c>
      <c r="D5673" s="64">
        <v>47.5</v>
      </c>
      <c r="E5673" s="62" t="s">
        <v>109</v>
      </c>
      <c r="F5673" s="62" t="s">
        <v>110</v>
      </c>
      <c r="G5673" s="64" t="s">
        <v>64</v>
      </c>
      <c r="H5673" s="3" t="s">
        <v>175</v>
      </c>
      <c r="I5673" s="65">
        <f>IFERROR(VLOOKUP(A5673,'3. Call duration'!$A:$C,3,0),"--")</f>
        <v>31.44968924</v>
      </c>
      <c r="J5673" s="65" t="str">
        <f t="array" ref="J5673">XLOOKUP(H5673,'2. Matching'!$A$2:$A$39,'2. Matching'!$B$2:$B$39,"--")</f>
        <v>SEO</v>
      </c>
      <c r="K5673" s="65" t="str">
        <f t="shared" si="1"/>
        <v>In</v>
      </c>
    </row>
    <row r="5674">
      <c r="A5674" s="62" t="s">
        <v>5812</v>
      </c>
      <c r="B5674" s="63">
        <v>44368.0</v>
      </c>
      <c r="C5674" s="62" t="s">
        <v>119</v>
      </c>
      <c r="D5674" s="64">
        <v>47.5</v>
      </c>
      <c r="E5674" s="62" t="s">
        <v>109</v>
      </c>
      <c r="F5674" s="62" t="s">
        <v>115</v>
      </c>
      <c r="G5674" s="64" t="s">
        <v>59</v>
      </c>
      <c r="H5674" s="3" t="s">
        <v>68</v>
      </c>
      <c r="I5674" s="65">
        <f>IFERROR(VLOOKUP(A5674,'3. Call duration'!$A:$C,3,0),"--")</f>
        <v>30.73538697</v>
      </c>
      <c r="J5674" s="65" t="str">
        <f t="array" ref="J5674">XLOOKUP(H5674,'2. Matching'!$A$2:$A$39,'2. Matching'!$B$2:$B$39,"--")</f>
        <v>Acquisition</v>
      </c>
      <c r="K5674" s="65" t="str">
        <f t="shared" si="1"/>
        <v>In</v>
      </c>
    </row>
    <row r="5675">
      <c r="A5675" s="62" t="s">
        <v>5813</v>
      </c>
      <c r="B5675" s="63">
        <v>44351.0</v>
      </c>
      <c r="C5675" s="62" t="s">
        <v>119</v>
      </c>
      <c r="D5675" s="64">
        <v>47.5</v>
      </c>
      <c r="E5675" s="62" t="s">
        <v>109</v>
      </c>
      <c r="F5675" s="62" t="s">
        <v>115</v>
      </c>
      <c r="G5675" s="64" t="s">
        <v>64</v>
      </c>
      <c r="H5675" s="3" t="s">
        <v>141</v>
      </c>
      <c r="I5675" s="65">
        <f>IFERROR(VLOOKUP(A5675,'3. Call duration'!$A:$C,3,0),"--")</f>
        <v>25.43895621</v>
      </c>
      <c r="J5675" s="65" t="str">
        <f t="array" ref="J5675">XLOOKUP(H5675,'2. Matching'!$A$2:$A$39,'2. Matching'!$B$2:$B$39,"--")</f>
        <v>Acquisition</v>
      </c>
      <c r="K5675" s="65" t="str">
        <f t="shared" si="1"/>
        <v>In</v>
      </c>
    </row>
    <row r="5676">
      <c r="A5676" s="62" t="s">
        <v>5814</v>
      </c>
      <c r="B5676" s="63">
        <v>44337.0</v>
      </c>
      <c r="C5676" s="62" t="s">
        <v>119</v>
      </c>
      <c r="D5676" s="64">
        <v>95.0</v>
      </c>
      <c r="E5676" s="62" t="s">
        <v>114</v>
      </c>
      <c r="F5676" s="62" t="s">
        <v>115</v>
      </c>
      <c r="G5676" s="64" t="s">
        <v>63</v>
      </c>
      <c r="H5676" s="3" t="s">
        <v>183</v>
      </c>
      <c r="I5676" s="65">
        <f>IFERROR(VLOOKUP(A5676,'3. Call duration'!$A:$C,3,0),"--")</f>
        <v>31.5887799</v>
      </c>
      <c r="J5676" s="65" t="str">
        <f t="array" ref="J5676">XLOOKUP(H5676,'2. Matching'!$A$2:$A$39,'2. Matching'!$B$2:$B$39,"--")</f>
        <v>SEO</v>
      </c>
      <c r="K5676" s="65" t="str">
        <f t="shared" si="1"/>
        <v>In</v>
      </c>
    </row>
    <row r="5677">
      <c r="A5677" s="62" t="s">
        <v>5815</v>
      </c>
      <c r="B5677" s="63">
        <v>44351.0</v>
      </c>
      <c r="C5677" s="62" t="s">
        <v>119</v>
      </c>
      <c r="D5677" s="64">
        <v>47.5</v>
      </c>
      <c r="E5677" s="62" t="s">
        <v>109</v>
      </c>
      <c r="F5677" s="62" t="s">
        <v>115</v>
      </c>
      <c r="G5677" s="64" t="s">
        <v>64</v>
      </c>
      <c r="H5677" s="3" t="s">
        <v>185</v>
      </c>
      <c r="I5677" s="65">
        <f>IFERROR(VLOOKUP(A5677,'3. Call duration'!$A:$C,3,0),"--")</f>
        <v>27.9562278</v>
      </c>
      <c r="J5677" s="65" t="str">
        <f t="array" ref="J5677">XLOOKUP(H5677,'2. Matching'!$A$2:$A$39,'2. Matching'!$B$2:$B$39,"--")</f>
        <v>SEO</v>
      </c>
      <c r="K5677" s="65" t="str">
        <f t="shared" si="1"/>
        <v>In</v>
      </c>
    </row>
    <row r="5678">
      <c r="A5678" s="62" t="s">
        <v>5816</v>
      </c>
      <c r="B5678" s="63">
        <v>44368.0</v>
      </c>
      <c r="C5678" s="62" t="s">
        <v>119</v>
      </c>
      <c r="D5678" s="64">
        <v>47.5</v>
      </c>
      <c r="E5678" s="62" t="s">
        <v>109</v>
      </c>
      <c r="F5678" s="62" t="s">
        <v>115</v>
      </c>
      <c r="G5678" s="64" t="s">
        <v>64</v>
      </c>
      <c r="H5678" s="3" t="s">
        <v>139</v>
      </c>
      <c r="I5678" s="65">
        <f>IFERROR(VLOOKUP(A5678,'3. Call duration'!$A:$C,3,0),"--")</f>
        <v>29.12353297</v>
      </c>
      <c r="J5678" s="65" t="str">
        <f t="array" ref="J5678">XLOOKUP(H5678,'2. Matching'!$A$2:$A$39,'2. Matching'!$B$2:$B$39,"--")</f>
        <v>Acquisition</v>
      </c>
      <c r="K5678" s="65" t="str">
        <f t="shared" si="1"/>
        <v>In</v>
      </c>
    </row>
    <row r="5679">
      <c r="A5679" s="62" t="s">
        <v>5817</v>
      </c>
      <c r="B5679" s="63">
        <v>44336.0</v>
      </c>
      <c r="C5679" s="62" t="s">
        <v>119</v>
      </c>
      <c r="D5679" s="64">
        <v>95.0</v>
      </c>
      <c r="E5679" s="62" t="s">
        <v>114</v>
      </c>
      <c r="F5679" s="62" t="s">
        <v>110</v>
      </c>
      <c r="G5679" s="64" t="s">
        <v>64</v>
      </c>
      <c r="H5679" s="3" t="s">
        <v>145</v>
      </c>
      <c r="I5679" s="65">
        <f>IFERROR(VLOOKUP(A5679,'3. Call duration'!$A:$C,3,0),"--")</f>
        <v>31.60051683</v>
      </c>
      <c r="J5679" s="65" t="str">
        <f t="array" ref="J5679">XLOOKUP(H5679,'2. Matching'!$A$2:$A$39,'2. Matching'!$B$2:$B$39,"--")</f>
        <v>SEO</v>
      </c>
      <c r="K5679" s="65" t="str">
        <f t="shared" si="1"/>
        <v>In</v>
      </c>
    </row>
    <row r="5680">
      <c r="A5680" s="62" t="s">
        <v>5818</v>
      </c>
      <c r="B5680" s="63">
        <v>44351.0</v>
      </c>
      <c r="C5680" s="62" t="s">
        <v>119</v>
      </c>
      <c r="D5680" s="64">
        <v>47.5</v>
      </c>
      <c r="E5680" s="62" t="s">
        <v>109</v>
      </c>
      <c r="F5680" s="62" t="s">
        <v>110</v>
      </c>
      <c r="G5680" s="64" t="s">
        <v>64</v>
      </c>
      <c r="H5680" s="3" t="s">
        <v>185</v>
      </c>
      <c r="I5680" s="65">
        <f>IFERROR(VLOOKUP(A5680,'3. Call duration'!$A:$C,3,0),"--")</f>
        <v>31.5966845</v>
      </c>
      <c r="J5680" s="65" t="str">
        <f t="array" ref="J5680">XLOOKUP(H5680,'2. Matching'!$A$2:$A$39,'2. Matching'!$B$2:$B$39,"--")</f>
        <v>SEO</v>
      </c>
      <c r="K5680" s="65" t="str">
        <f t="shared" si="1"/>
        <v>In</v>
      </c>
    </row>
    <row r="5681">
      <c r="A5681" s="62" t="s">
        <v>5819</v>
      </c>
      <c r="B5681" s="63">
        <v>44375.0</v>
      </c>
      <c r="C5681" s="62" t="s">
        <v>119</v>
      </c>
      <c r="D5681" s="64">
        <v>47.5</v>
      </c>
      <c r="E5681" s="62" t="s">
        <v>109</v>
      </c>
      <c r="F5681" s="62" t="s">
        <v>115</v>
      </c>
      <c r="G5681" s="64" t="s">
        <v>64</v>
      </c>
      <c r="H5681" s="3" t="s">
        <v>185</v>
      </c>
      <c r="I5681" s="65">
        <f>IFERROR(VLOOKUP(A5681,'3. Call duration'!$A:$C,3,0),"--")</f>
        <v>43.09472308</v>
      </c>
      <c r="J5681" s="65" t="str">
        <f t="array" ref="J5681">XLOOKUP(H5681,'2. Matching'!$A$2:$A$39,'2. Matching'!$B$2:$B$39,"--")</f>
        <v>SEO</v>
      </c>
      <c r="K5681" s="65" t="str">
        <f t="shared" si="1"/>
        <v>In</v>
      </c>
    </row>
    <row r="5682">
      <c r="A5682" s="62" t="s">
        <v>5820</v>
      </c>
      <c r="B5682" s="63">
        <v>44356.0</v>
      </c>
      <c r="C5682" s="62" t="s">
        <v>119</v>
      </c>
      <c r="D5682" s="64">
        <v>47.5</v>
      </c>
      <c r="E5682" s="62" t="s">
        <v>109</v>
      </c>
      <c r="F5682" s="62" t="s">
        <v>115</v>
      </c>
      <c r="G5682" s="64" t="s">
        <v>59</v>
      </c>
      <c r="H5682" s="3" t="s">
        <v>68</v>
      </c>
      <c r="I5682" s="65">
        <f>IFERROR(VLOOKUP(A5682,'3. Call duration'!$A:$C,3,0),"--")</f>
        <v>26.13782025</v>
      </c>
      <c r="J5682" s="65" t="str">
        <f t="array" ref="J5682">XLOOKUP(H5682,'2. Matching'!$A$2:$A$39,'2. Matching'!$B$2:$B$39,"--")</f>
        <v>Acquisition</v>
      </c>
      <c r="K5682" s="65" t="str">
        <f t="shared" si="1"/>
        <v>In</v>
      </c>
    </row>
    <row r="5683">
      <c r="A5683" s="62" t="s">
        <v>5821</v>
      </c>
      <c r="B5683" s="63">
        <v>44341.0</v>
      </c>
      <c r="C5683" s="62" t="s">
        <v>119</v>
      </c>
      <c r="D5683" s="64">
        <v>47.5</v>
      </c>
      <c r="E5683" s="62" t="s">
        <v>109</v>
      </c>
      <c r="F5683" s="62" t="s">
        <v>110</v>
      </c>
      <c r="G5683" s="64" t="s">
        <v>63</v>
      </c>
      <c r="H5683" s="3" t="s">
        <v>183</v>
      </c>
      <c r="I5683" s="65">
        <f>IFERROR(VLOOKUP(A5683,'3. Call duration'!$A:$C,3,0),"--")</f>
        <v>31.60963958</v>
      </c>
      <c r="J5683" s="65" t="str">
        <f t="array" ref="J5683">XLOOKUP(H5683,'2. Matching'!$A$2:$A$39,'2. Matching'!$B$2:$B$39,"--")</f>
        <v>SEO</v>
      </c>
      <c r="K5683" s="65" t="str">
        <f t="shared" si="1"/>
        <v>In</v>
      </c>
    </row>
    <row r="5684">
      <c r="A5684" s="62" t="s">
        <v>5822</v>
      </c>
      <c r="B5684" s="63">
        <v>44321.0</v>
      </c>
      <c r="C5684" s="62" t="s">
        <v>119</v>
      </c>
      <c r="D5684" s="64">
        <v>47.5</v>
      </c>
      <c r="E5684" s="62" t="s">
        <v>109</v>
      </c>
      <c r="F5684" s="62" t="s">
        <v>115</v>
      </c>
      <c r="G5684" s="64" t="s">
        <v>64</v>
      </c>
      <c r="H5684" s="3" t="s">
        <v>169</v>
      </c>
      <c r="I5684" s="65">
        <f>IFERROR(VLOOKUP(A5684,'3. Call duration'!$A:$C,3,0),"--")</f>
        <v>31.62022611</v>
      </c>
      <c r="J5684" s="65" t="str">
        <f t="array" ref="J5684">XLOOKUP(H5684,'2. Matching'!$A$2:$A$39,'2. Matching'!$B$2:$B$39,"--")</f>
        <v>SEO</v>
      </c>
      <c r="K5684" s="65" t="str">
        <f t="shared" si="1"/>
        <v>In</v>
      </c>
    </row>
    <row r="5685">
      <c r="A5685" s="62" t="s">
        <v>5823</v>
      </c>
      <c r="B5685" s="63">
        <v>44321.0</v>
      </c>
      <c r="C5685" s="62" t="s">
        <v>119</v>
      </c>
      <c r="D5685" s="64">
        <v>47.5</v>
      </c>
      <c r="E5685" s="62" t="s">
        <v>109</v>
      </c>
      <c r="F5685" s="62" t="s">
        <v>115</v>
      </c>
      <c r="G5685" s="64" t="s">
        <v>64</v>
      </c>
      <c r="H5685" s="3" t="s">
        <v>175</v>
      </c>
      <c r="I5685" s="65">
        <f>IFERROR(VLOOKUP(A5685,'3. Call duration'!$A:$C,3,0),"--")</f>
        <v>31.65377728</v>
      </c>
      <c r="J5685" s="65" t="str">
        <f t="array" ref="J5685">XLOOKUP(H5685,'2. Matching'!$A$2:$A$39,'2. Matching'!$B$2:$B$39,"--")</f>
        <v>SEO</v>
      </c>
      <c r="K5685" s="65" t="str">
        <f t="shared" si="1"/>
        <v>In</v>
      </c>
    </row>
    <row r="5686">
      <c r="A5686" s="62" t="s">
        <v>5824</v>
      </c>
      <c r="B5686" s="63">
        <v>44366.0</v>
      </c>
      <c r="C5686" s="62" t="s">
        <v>119</v>
      </c>
      <c r="D5686" s="64">
        <v>47.5</v>
      </c>
      <c r="E5686" s="62" t="s">
        <v>109</v>
      </c>
      <c r="F5686" s="62" t="s">
        <v>110</v>
      </c>
      <c r="G5686" s="64" t="s">
        <v>60</v>
      </c>
      <c r="H5686" s="3" t="s">
        <v>68</v>
      </c>
      <c r="I5686" s="65">
        <f>IFERROR(VLOOKUP(A5686,'3. Call duration'!$A:$C,3,0),"--")</f>
        <v>33.47792879</v>
      </c>
      <c r="J5686" s="65" t="str">
        <f t="array" ref="J5686">XLOOKUP(H5686,'2. Matching'!$A$2:$A$39,'2. Matching'!$B$2:$B$39,"--")</f>
        <v>Acquisition</v>
      </c>
      <c r="K5686" s="65" t="str">
        <f t="shared" si="1"/>
        <v>In</v>
      </c>
    </row>
    <row r="5687">
      <c r="A5687" s="62" t="s">
        <v>5825</v>
      </c>
      <c r="B5687" s="63">
        <v>44358.0</v>
      </c>
      <c r="C5687" s="62" t="s">
        <v>119</v>
      </c>
      <c r="D5687" s="64">
        <v>47.5</v>
      </c>
      <c r="E5687" s="62" t="s">
        <v>109</v>
      </c>
      <c r="F5687" s="62" t="s">
        <v>115</v>
      </c>
      <c r="G5687" s="64" t="s">
        <v>64</v>
      </c>
      <c r="H5687" s="3" t="s">
        <v>55</v>
      </c>
      <c r="I5687" s="65">
        <f>IFERROR(VLOOKUP(A5687,'3. Call duration'!$A:$C,3,0),"--")</f>
        <v>17.10821092</v>
      </c>
      <c r="J5687" s="65" t="str">
        <f t="array" ref="J5687">XLOOKUP(H5687,'2. Matching'!$A$2:$A$39,'2. Matching'!$B$2:$B$39,"--")</f>
        <v>Partnerships</v>
      </c>
      <c r="K5687" s="65" t="str">
        <f t="shared" si="1"/>
        <v>In</v>
      </c>
    </row>
    <row r="5688">
      <c r="A5688" s="62" t="s">
        <v>5826</v>
      </c>
      <c r="B5688" s="63">
        <v>44327.0</v>
      </c>
      <c r="C5688" s="62" t="s">
        <v>119</v>
      </c>
      <c r="D5688" s="64">
        <v>47.5</v>
      </c>
      <c r="E5688" s="62" t="s">
        <v>109</v>
      </c>
      <c r="F5688" s="62" t="s">
        <v>115</v>
      </c>
      <c r="G5688" s="64" t="s">
        <v>64</v>
      </c>
      <c r="H5688" s="3" t="s">
        <v>145</v>
      </c>
      <c r="I5688" s="65">
        <f>IFERROR(VLOOKUP(A5688,'3. Call duration'!$A:$C,3,0),"--")</f>
        <v>31.65765361</v>
      </c>
      <c r="J5688" s="65" t="str">
        <f t="array" ref="J5688">XLOOKUP(H5688,'2. Matching'!$A$2:$A$39,'2. Matching'!$B$2:$B$39,"--")</f>
        <v>SEO</v>
      </c>
      <c r="K5688" s="65" t="str">
        <f t="shared" si="1"/>
        <v>In</v>
      </c>
    </row>
    <row r="5689">
      <c r="A5689" s="62" t="s">
        <v>5827</v>
      </c>
      <c r="B5689" s="63">
        <v>44372.0</v>
      </c>
      <c r="C5689" s="62" t="s">
        <v>119</v>
      </c>
      <c r="D5689" s="64">
        <v>47.5</v>
      </c>
      <c r="E5689" s="62" t="s">
        <v>109</v>
      </c>
      <c r="F5689" s="62" t="s">
        <v>115</v>
      </c>
      <c r="G5689" s="64" t="s">
        <v>59</v>
      </c>
      <c r="H5689" s="3" t="s">
        <v>68</v>
      </c>
      <c r="I5689" s="65">
        <f>IFERROR(VLOOKUP(A5689,'3. Call duration'!$A:$C,3,0),"--")</f>
        <v>29.48735372</v>
      </c>
      <c r="J5689" s="65" t="str">
        <f t="array" ref="J5689">XLOOKUP(H5689,'2. Matching'!$A$2:$A$39,'2. Matching'!$B$2:$B$39,"--")</f>
        <v>Acquisition</v>
      </c>
      <c r="K5689" s="65" t="str">
        <f t="shared" si="1"/>
        <v>In</v>
      </c>
    </row>
    <row r="5690">
      <c r="A5690" s="62" t="s">
        <v>5828</v>
      </c>
      <c r="B5690" s="63">
        <v>44343.0</v>
      </c>
      <c r="C5690" s="62" t="s">
        <v>119</v>
      </c>
      <c r="D5690" s="64">
        <v>47.5</v>
      </c>
      <c r="E5690" s="62" t="s">
        <v>109</v>
      </c>
      <c r="F5690" s="62" t="s">
        <v>115</v>
      </c>
      <c r="G5690" s="64" t="s">
        <v>64</v>
      </c>
      <c r="H5690" s="3" t="s">
        <v>185</v>
      </c>
      <c r="I5690" s="65">
        <f>IFERROR(VLOOKUP(A5690,'3. Call duration'!$A:$C,3,0),"--")</f>
        <v>31.68223432</v>
      </c>
      <c r="J5690" s="65" t="str">
        <f t="array" ref="J5690">XLOOKUP(H5690,'2. Matching'!$A$2:$A$39,'2. Matching'!$B$2:$B$39,"--")</f>
        <v>SEO</v>
      </c>
      <c r="K5690" s="65" t="str">
        <f t="shared" si="1"/>
        <v>In</v>
      </c>
    </row>
    <row r="5691">
      <c r="A5691" s="62" t="s">
        <v>5829</v>
      </c>
      <c r="B5691" s="63">
        <v>44376.0</v>
      </c>
      <c r="C5691" s="62" t="s">
        <v>119</v>
      </c>
      <c r="D5691" s="64">
        <v>47.5</v>
      </c>
      <c r="E5691" s="62" t="s">
        <v>109</v>
      </c>
      <c r="F5691" s="62" t="s">
        <v>110</v>
      </c>
      <c r="G5691" s="64" t="s">
        <v>59</v>
      </c>
      <c r="H5691" s="3" t="s">
        <v>68</v>
      </c>
      <c r="I5691" s="65">
        <f>IFERROR(VLOOKUP(A5691,'3. Call duration'!$A:$C,3,0),"--")</f>
        <v>25.95496266</v>
      </c>
      <c r="J5691" s="65" t="str">
        <f t="array" ref="J5691">XLOOKUP(H5691,'2. Matching'!$A$2:$A$39,'2. Matching'!$B$2:$B$39,"--")</f>
        <v>Acquisition</v>
      </c>
      <c r="K5691" s="65" t="str">
        <f t="shared" si="1"/>
        <v>In</v>
      </c>
    </row>
    <row r="5692">
      <c r="A5692" s="62" t="s">
        <v>5830</v>
      </c>
      <c r="B5692" s="63">
        <v>44352.0</v>
      </c>
      <c r="C5692" s="62" t="s">
        <v>119</v>
      </c>
      <c r="D5692" s="64">
        <v>47.5</v>
      </c>
      <c r="E5692" s="62" t="s">
        <v>109</v>
      </c>
      <c r="F5692" s="62" t="s">
        <v>115</v>
      </c>
      <c r="G5692" s="64" t="s">
        <v>64</v>
      </c>
      <c r="H5692" s="3" t="s">
        <v>139</v>
      </c>
      <c r="I5692" s="65">
        <f>IFERROR(VLOOKUP(A5692,'3. Call duration'!$A:$C,3,0),"--")</f>
        <v>33.08813144</v>
      </c>
      <c r="J5692" s="65" t="str">
        <f t="array" ref="J5692">XLOOKUP(H5692,'2. Matching'!$A$2:$A$39,'2. Matching'!$B$2:$B$39,"--")</f>
        <v>Acquisition</v>
      </c>
      <c r="K5692" s="65" t="str">
        <f t="shared" si="1"/>
        <v>In</v>
      </c>
    </row>
    <row r="5693">
      <c r="A5693" s="62" t="s">
        <v>5831</v>
      </c>
      <c r="B5693" s="63">
        <v>44326.0</v>
      </c>
      <c r="C5693" s="62" t="s">
        <v>119</v>
      </c>
      <c r="D5693" s="64">
        <v>47.5</v>
      </c>
      <c r="E5693" s="62" t="s">
        <v>109</v>
      </c>
      <c r="F5693" s="62" t="s">
        <v>115</v>
      </c>
      <c r="G5693" s="64" t="s">
        <v>64</v>
      </c>
      <c r="H5693" s="3" t="s">
        <v>141</v>
      </c>
      <c r="I5693" s="65">
        <f>IFERROR(VLOOKUP(A5693,'3. Call duration'!$A:$C,3,0),"--")</f>
        <v>31.68802806</v>
      </c>
      <c r="J5693" s="65" t="str">
        <f t="array" ref="J5693">XLOOKUP(H5693,'2. Matching'!$A$2:$A$39,'2. Matching'!$B$2:$B$39,"--")</f>
        <v>Acquisition</v>
      </c>
      <c r="K5693" s="65" t="str">
        <f t="shared" si="1"/>
        <v>In</v>
      </c>
    </row>
    <row r="5694">
      <c r="A5694" s="62" t="s">
        <v>5832</v>
      </c>
      <c r="B5694" s="63">
        <v>44323.0</v>
      </c>
      <c r="C5694" s="62" t="s">
        <v>119</v>
      </c>
      <c r="D5694" s="64">
        <v>95.0</v>
      </c>
      <c r="E5694" s="62" t="s">
        <v>114</v>
      </c>
      <c r="F5694" s="62" t="s">
        <v>110</v>
      </c>
      <c r="G5694" s="64" t="s">
        <v>64</v>
      </c>
      <c r="H5694" s="3" t="s">
        <v>175</v>
      </c>
      <c r="I5694" s="65">
        <f>IFERROR(VLOOKUP(A5694,'3. Call duration'!$A:$C,3,0),"--")</f>
        <v>31.69227006</v>
      </c>
      <c r="J5694" s="65" t="str">
        <f t="array" ref="J5694">XLOOKUP(H5694,'2. Matching'!$A$2:$A$39,'2. Matching'!$B$2:$B$39,"--")</f>
        <v>SEO</v>
      </c>
      <c r="K5694" s="65" t="str">
        <f t="shared" si="1"/>
        <v>In</v>
      </c>
    </row>
    <row r="5695">
      <c r="A5695" s="62" t="s">
        <v>5833</v>
      </c>
      <c r="B5695" s="63">
        <v>44362.0</v>
      </c>
      <c r="C5695" s="62" t="s">
        <v>119</v>
      </c>
      <c r="D5695" s="64">
        <v>47.5</v>
      </c>
      <c r="E5695" s="62" t="s">
        <v>109</v>
      </c>
      <c r="F5695" s="62" t="s">
        <v>110</v>
      </c>
      <c r="G5695" s="64" t="s">
        <v>64</v>
      </c>
      <c r="H5695" s="3" t="s">
        <v>116</v>
      </c>
      <c r="I5695" s="65">
        <f>IFERROR(VLOOKUP(A5695,'3. Call duration'!$A:$C,3,0),"--")</f>
        <v>32.33888645</v>
      </c>
      <c r="J5695" s="65" t="str">
        <f t="array" ref="J5695">XLOOKUP(H5695,'2. Matching'!$A$2:$A$39,'2. Matching'!$B$2:$B$39,"--")</f>
        <v>Acquisition</v>
      </c>
      <c r="K5695" s="65" t="str">
        <f t="shared" si="1"/>
        <v>In</v>
      </c>
    </row>
    <row r="5696">
      <c r="A5696" s="62" t="s">
        <v>5834</v>
      </c>
      <c r="B5696" s="63">
        <v>44328.0</v>
      </c>
      <c r="C5696" s="62" t="s">
        <v>108</v>
      </c>
      <c r="D5696" s="64">
        <v>0.0</v>
      </c>
      <c r="E5696" s="62" t="s">
        <v>109</v>
      </c>
      <c r="F5696" s="62" t="s">
        <v>115</v>
      </c>
      <c r="G5696" s="64" t="s">
        <v>64</v>
      </c>
      <c r="H5696" s="3" t="s">
        <v>164</v>
      </c>
      <c r="I5696" s="65">
        <f>IFERROR(VLOOKUP(A5696,'3. Call duration'!$A:$C,3,0),"--")</f>
        <v>31.7125336</v>
      </c>
      <c r="J5696" s="65" t="str">
        <f t="array" ref="J5696">XLOOKUP(H5696,'2. Matching'!$A$2:$A$39,'2. Matching'!$B$2:$B$39,"--")</f>
        <v>SEO</v>
      </c>
      <c r="K5696" s="65" t="str">
        <f t="shared" si="1"/>
        <v>In</v>
      </c>
    </row>
    <row r="5697">
      <c r="A5697" s="62" t="s">
        <v>5835</v>
      </c>
      <c r="B5697" s="63">
        <v>44319.0</v>
      </c>
      <c r="C5697" s="62" t="s">
        <v>119</v>
      </c>
      <c r="D5697" s="64">
        <v>47.5</v>
      </c>
      <c r="E5697" s="62" t="s">
        <v>109</v>
      </c>
      <c r="F5697" s="62" t="s">
        <v>115</v>
      </c>
      <c r="G5697" s="64" t="s">
        <v>63</v>
      </c>
      <c r="H5697" s="3" t="s">
        <v>128</v>
      </c>
      <c r="I5697" s="65">
        <f>IFERROR(VLOOKUP(A5697,'3. Call duration'!$A:$C,3,0),"--")</f>
        <v>31.7197993</v>
      </c>
      <c r="J5697" s="65" t="str">
        <f t="array" ref="J5697">XLOOKUP(H5697,'2. Matching'!$A$2:$A$39,'2. Matching'!$B$2:$B$39,"--")</f>
        <v>Acquisition</v>
      </c>
      <c r="K5697" s="65" t="str">
        <f t="shared" si="1"/>
        <v>In</v>
      </c>
    </row>
    <row r="5698">
      <c r="A5698" s="62" t="s">
        <v>5836</v>
      </c>
      <c r="B5698" s="63">
        <v>44355.0</v>
      </c>
      <c r="C5698" s="62" t="s">
        <v>119</v>
      </c>
      <c r="D5698" s="64">
        <v>47.5</v>
      </c>
      <c r="E5698" s="62" t="s">
        <v>109</v>
      </c>
      <c r="F5698" s="62" t="s">
        <v>110</v>
      </c>
      <c r="G5698" s="64" t="s">
        <v>63</v>
      </c>
      <c r="H5698" s="3" t="s">
        <v>189</v>
      </c>
      <c r="I5698" s="65">
        <f>IFERROR(VLOOKUP(A5698,'3. Call duration'!$A:$C,3,0),"--")</f>
        <v>24.59145991</v>
      </c>
      <c r="J5698" s="65" t="str">
        <f t="array" ref="J5698">XLOOKUP(H5698,'2. Matching'!$A$2:$A$39,'2. Matching'!$B$2:$B$39,"--")</f>
        <v>SEO</v>
      </c>
      <c r="K5698" s="65" t="str">
        <f t="shared" si="1"/>
        <v>Out</v>
      </c>
    </row>
    <row r="5699">
      <c r="A5699" s="62" t="s">
        <v>5837</v>
      </c>
      <c r="B5699" s="63">
        <v>44326.0</v>
      </c>
      <c r="C5699" s="62" t="s">
        <v>119</v>
      </c>
      <c r="D5699" s="64">
        <v>95.0</v>
      </c>
      <c r="E5699" s="62" t="s">
        <v>114</v>
      </c>
      <c r="F5699" s="62" t="s">
        <v>110</v>
      </c>
      <c r="G5699" s="64" t="s">
        <v>64</v>
      </c>
      <c r="H5699" s="3" t="s">
        <v>131</v>
      </c>
      <c r="I5699" s="65">
        <f>IFERROR(VLOOKUP(A5699,'3. Call duration'!$A:$C,3,0),"--")</f>
        <v>31.73705554</v>
      </c>
      <c r="J5699" s="65" t="str">
        <f t="array" ref="J5699">XLOOKUP(H5699,'2. Matching'!$A$2:$A$39,'2. Matching'!$B$2:$B$39,"--")</f>
        <v>Acquisition</v>
      </c>
      <c r="K5699" s="65" t="str">
        <f t="shared" si="1"/>
        <v>In</v>
      </c>
    </row>
    <row r="5700">
      <c r="A5700" s="62" t="s">
        <v>5838</v>
      </c>
      <c r="B5700" s="63">
        <v>44363.0</v>
      </c>
      <c r="C5700" s="62" t="s">
        <v>119</v>
      </c>
      <c r="D5700" s="64">
        <v>47.5</v>
      </c>
      <c r="E5700" s="62" t="s">
        <v>109</v>
      </c>
      <c r="F5700" s="62" t="s">
        <v>115</v>
      </c>
      <c r="G5700" s="64" t="s">
        <v>64</v>
      </c>
      <c r="H5700" s="3" t="s">
        <v>164</v>
      </c>
      <c r="I5700" s="65">
        <f>IFERROR(VLOOKUP(A5700,'3. Call duration'!$A:$C,3,0),"--")</f>
        <v>31.09851889</v>
      </c>
      <c r="J5700" s="65" t="str">
        <f t="array" ref="J5700">XLOOKUP(H5700,'2. Matching'!$A$2:$A$39,'2. Matching'!$B$2:$B$39,"--")</f>
        <v>SEO</v>
      </c>
      <c r="K5700" s="65" t="str">
        <f t="shared" si="1"/>
        <v>In</v>
      </c>
    </row>
    <row r="5701">
      <c r="A5701" s="62" t="s">
        <v>5839</v>
      </c>
      <c r="B5701" s="63">
        <v>44375.0</v>
      </c>
      <c r="C5701" s="62" t="s">
        <v>119</v>
      </c>
      <c r="D5701" s="64">
        <v>47.5</v>
      </c>
      <c r="E5701" s="62" t="s">
        <v>109</v>
      </c>
      <c r="F5701" s="62" t="s">
        <v>115</v>
      </c>
      <c r="G5701" s="64" t="s">
        <v>64</v>
      </c>
      <c r="H5701" s="3" t="s">
        <v>141</v>
      </c>
      <c r="I5701" s="65">
        <f>IFERROR(VLOOKUP(A5701,'3. Call duration'!$A:$C,3,0),"--")</f>
        <v>39.36232097</v>
      </c>
      <c r="J5701" s="65" t="str">
        <f t="array" ref="J5701">XLOOKUP(H5701,'2. Matching'!$A$2:$A$39,'2. Matching'!$B$2:$B$39,"--")</f>
        <v>Acquisition</v>
      </c>
      <c r="K5701" s="65" t="str">
        <f t="shared" si="1"/>
        <v>In</v>
      </c>
    </row>
    <row r="5702">
      <c r="A5702" s="62" t="s">
        <v>5840</v>
      </c>
      <c r="B5702" s="63">
        <v>44364.0</v>
      </c>
      <c r="C5702" s="62" t="s">
        <v>119</v>
      </c>
      <c r="D5702" s="64">
        <v>47.5</v>
      </c>
      <c r="E5702" s="62" t="s">
        <v>109</v>
      </c>
      <c r="F5702" s="62" t="s">
        <v>110</v>
      </c>
      <c r="G5702" s="64" t="s">
        <v>63</v>
      </c>
      <c r="H5702" s="3" t="s">
        <v>183</v>
      </c>
      <c r="I5702" s="65">
        <f>IFERROR(VLOOKUP(A5702,'3. Call duration'!$A:$C,3,0),"--")</f>
        <v>33.25731634</v>
      </c>
      <c r="J5702" s="65" t="str">
        <f t="array" ref="J5702">XLOOKUP(H5702,'2. Matching'!$A$2:$A$39,'2. Matching'!$B$2:$B$39,"--")</f>
        <v>SEO</v>
      </c>
      <c r="K5702" s="65" t="str">
        <f t="shared" si="1"/>
        <v>In</v>
      </c>
    </row>
    <row r="5703">
      <c r="A5703" s="62" t="s">
        <v>5841</v>
      </c>
      <c r="B5703" s="63">
        <v>44362.0</v>
      </c>
      <c r="C5703" s="62" t="s">
        <v>119</v>
      </c>
      <c r="D5703" s="64">
        <v>47.5</v>
      </c>
      <c r="E5703" s="62" t="s">
        <v>109</v>
      </c>
      <c r="F5703" s="62" t="s">
        <v>115</v>
      </c>
      <c r="G5703" s="64" t="s">
        <v>59</v>
      </c>
      <c r="H5703" s="3" t="s">
        <v>68</v>
      </c>
      <c r="I5703" s="65">
        <f>IFERROR(VLOOKUP(A5703,'3. Call duration'!$A:$C,3,0),"--")</f>
        <v>24.44203562</v>
      </c>
      <c r="J5703" s="65" t="str">
        <f t="array" ref="J5703">XLOOKUP(H5703,'2. Matching'!$A$2:$A$39,'2. Matching'!$B$2:$B$39,"--")</f>
        <v>Acquisition</v>
      </c>
      <c r="K5703" s="65" t="str">
        <f t="shared" si="1"/>
        <v>In</v>
      </c>
    </row>
    <row r="5704">
      <c r="A5704" s="62" t="s">
        <v>5842</v>
      </c>
      <c r="B5704" s="63">
        <v>44347.0</v>
      </c>
      <c r="C5704" s="62" t="s">
        <v>119</v>
      </c>
      <c r="D5704" s="64">
        <v>47.5</v>
      </c>
      <c r="E5704" s="62" t="s">
        <v>109</v>
      </c>
      <c r="F5704" s="62" t="s">
        <v>115</v>
      </c>
      <c r="G5704" s="64" t="s">
        <v>64</v>
      </c>
      <c r="H5704" s="3" t="s">
        <v>155</v>
      </c>
      <c r="I5704" s="65">
        <f>IFERROR(VLOOKUP(A5704,'3. Call duration'!$A:$C,3,0),"--")</f>
        <v>31.74126561</v>
      </c>
      <c r="J5704" s="65" t="str">
        <f t="array" ref="J5704">XLOOKUP(H5704,'2. Matching'!$A$2:$A$39,'2. Matching'!$B$2:$B$39,"--")</f>
        <v>SEO</v>
      </c>
      <c r="K5704" s="65" t="str">
        <f t="shared" si="1"/>
        <v>In</v>
      </c>
    </row>
    <row r="5705">
      <c r="A5705" s="62" t="s">
        <v>5843</v>
      </c>
      <c r="B5705" s="63">
        <v>44321.0</v>
      </c>
      <c r="C5705" s="62" t="s">
        <v>119</v>
      </c>
      <c r="D5705" s="64">
        <v>47.5</v>
      </c>
      <c r="E5705" s="62" t="s">
        <v>109</v>
      </c>
      <c r="F5705" s="62" t="s">
        <v>115</v>
      </c>
      <c r="G5705" s="64" t="s">
        <v>64</v>
      </c>
      <c r="H5705" s="3" t="s">
        <v>139</v>
      </c>
      <c r="I5705" s="65">
        <f>IFERROR(VLOOKUP(A5705,'3. Call duration'!$A:$C,3,0),"--")</f>
        <v>31.74831174</v>
      </c>
      <c r="J5705" s="65" t="str">
        <f t="array" ref="J5705">XLOOKUP(H5705,'2. Matching'!$A$2:$A$39,'2. Matching'!$B$2:$B$39,"--")</f>
        <v>Acquisition</v>
      </c>
      <c r="K5705" s="65" t="str">
        <f t="shared" si="1"/>
        <v>In</v>
      </c>
    </row>
    <row r="5706">
      <c r="A5706" s="62" t="s">
        <v>5844</v>
      </c>
      <c r="B5706" s="63">
        <v>44320.0</v>
      </c>
      <c r="C5706" s="62" t="s">
        <v>119</v>
      </c>
      <c r="D5706" s="64">
        <v>47.5</v>
      </c>
      <c r="E5706" s="62" t="s">
        <v>109</v>
      </c>
      <c r="F5706" s="62" t="s">
        <v>110</v>
      </c>
      <c r="G5706" s="64" t="s">
        <v>63</v>
      </c>
      <c r="H5706" s="3" t="s">
        <v>128</v>
      </c>
      <c r="I5706" s="65">
        <f>IFERROR(VLOOKUP(A5706,'3. Call duration'!$A:$C,3,0),"--")</f>
        <v>31.79457625</v>
      </c>
      <c r="J5706" s="65" t="str">
        <f t="array" ref="J5706">XLOOKUP(H5706,'2. Matching'!$A$2:$A$39,'2. Matching'!$B$2:$B$39,"--")</f>
        <v>Acquisition</v>
      </c>
      <c r="K5706" s="65" t="str">
        <f t="shared" si="1"/>
        <v>In</v>
      </c>
    </row>
    <row r="5707">
      <c r="A5707" s="62" t="s">
        <v>5845</v>
      </c>
      <c r="B5707" s="63">
        <v>44363.0</v>
      </c>
      <c r="C5707" s="62" t="s">
        <v>119</v>
      </c>
      <c r="D5707" s="64">
        <v>47.5</v>
      </c>
      <c r="E5707" s="62" t="s">
        <v>109</v>
      </c>
      <c r="F5707" s="62" t="s">
        <v>110</v>
      </c>
      <c r="G5707" s="64" t="s">
        <v>60</v>
      </c>
      <c r="H5707" s="3" t="s">
        <v>67</v>
      </c>
      <c r="I5707" s="65">
        <f>IFERROR(VLOOKUP(A5707,'3. Call duration'!$A:$C,3,0),"--")</f>
        <v>24.28029973</v>
      </c>
      <c r="J5707" s="65" t="str">
        <f t="array" ref="J5707">XLOOKUP(H5707,'2. Matching'!$A$2:$A$39,'2. Matching'!$B$2:$B$39,"--")</f>
        <v>Acquisition</v>
      </c>
      <c r="K5707" s="65" t="str">
        <f t="shared" si="1"/>
        <v>In</v>
      </c>
    </row>
    <row r="5708">
      <c r="A5708" s="62" t="s">
        <v>5846</v>
      </c>
      <c r="B5708" s="63">
        <v>44351.0</v>
      </c>
      <c r="C5708" s="62" t="s">
        <v>119</v>
      </c>
      <c r="D5708" s="64">
        <v>47.5</v>
      </c>
      <c r="E5708" s="62" t="s">
        <v>109</v>
      </c>
      <c r="F5708" s="62" t="s">
        <v>115</v>
      </c>
      <c r="G5708" s="64" t="s">
        <v>64</v>
      </c>
      <c r="H5708" s="3" t="s">
        <v>141</v>
      </c>
      <c r="I5708" s="65">
        <f>IFERROR(VLOOKUP(A5708,'3. Call duration'!$A:$C,3,0),"--")</f>
        <v>21.41347053</v>
      </c>
      <c r="J5708" s="65" t="str">
        <f t="array" ref="J5708">XLOOKUP(H5708,'2. Matching'!$A$2:$A$39,'2. Matching'!$B$2:$B$39,"--")</f>
        <v>Acquisition</v>
      </c>
      <c r="K5708" s="65" t="str">
        <f t="shared" si="1"/>
        <v>In</v>
      </c>
    </row>
    <row r="5709">
      <c r="A5709" s="62" t="s">
        <v>5847</v>
      </c>
      <c r="B5709" s="63">
        <v>44341.0</v>
      </c>
      <c r="C5709" s="62" t="s">
        <v>119</v>
      </c>
      <c r="D5709" s="64">
        <v>47.5</v>
      </c>
      <c r="E5709" s="62" t="s">
        <v>109</v>
      </c>
      <c r="F5709" s="62" t="s">
        <v>110</v>
      </c>
      <c r="G5709" s="64" t="s">
        <v>61</v>
      </c>
      <c r="H5709" s="3" t="s">
        <v>69</v>
      </c>
      <c r="I5709" s="65">
        <f>IFERROR(VLOOKUP(A5709,'3. Call duration'!$A:$C,3,0),"--")</f>
        <v>31.8014189</v>
      </c>
      <c r="J5709" s="65" t="str">
        <f t="array" ref="J5709">XLOOKUP(H5709,'2. Matching'!$A$2:$A$39,'2. Matching'!$B$2:$B$39,"--")</f>
        <v>Acquisition</v>
      </c>
      <c r="K5709" s="65" t="str">
        <f t="shared" si="1"/>
        <v>In</v>
      </c>
    </row>
    <row r="5710">
      <c r="A5710" s="62" t="s">
        <v>5848</v>
      </c>
      <c r="B5710" s="63">
        <v>44336.0</v>
      </c>
      <c r="C5710" s="62" t="s">
        <v>119</v>
      </c>
      <c r="D5710" s="64">
        <v>47.5</v>
      </c>
      <c r="E5710" s="62" t="s">
        <v>109</v>
      </c>
      <c r="F5710" s="62" t="s">
        <v>115</v>
      </c>
      <c r="G5710" s="64" t="s">
        <v>59</v>
      </c>
      <c r="H5710" s="3" t="s">
        <v>68</v>
      </c>
      <c r="I5710" s="65">
        <f>IFERROR(VLOOKUP(A5710,'3. Call duration'!$A:$C,3,0),"--")</f>
        <v>31.82957181</v>
      </c>
      <c r="J5710" s="65" t="str">
        <f t="array" ref="J5710">XLOOKUP(H5710,'2. Matching'!$A$2:$A$39,'2. Matching'!$B$2:$B$39,"--")</f>
        <v>Acquisition</v>
      </c>
      <c r="K5710" s="65" t="str">
        <f t="shared" si="1"/>
        <v>In</v>
      </c>
    </row>
    <row r="5711">
      <c r="A5711" s="62" t="s">
        <v>5849</v>
      </c>
      <c r="B5711" s="63">
        <v>44328.0</v>
      </c>
      <c r="C5711" s="62" t="s">
        <v>119</v>
      </c>
      <c r="D5711" s="64">
        <v>47.5</v>
      </c>
      <c r="E5711" s="62" t="s">
        <v>109</v>
      </c>
      <c r="F5711" s="62" t="s">
        <v>115</v>
      </c>
      <c r="G5711" s="64" t="s">
        <v>64</v>
      </c>
      <c r="H5711" s="3" t="s">
        <v>169</v>
      </c>
      <c r="I5711" s="65">
        <f>IFERROR(VLOOKUP(A5711,'3. Call duration'!$A:$C,3,0),"--")</f>
        <v>31.83171758</v>
      </c>
      <c r="J5711" s="65" t="str">
        <f t="array" ref="J5711">XLOOKUP(H5711,'2. Matching'!$A$2:$A$39,'2. Matching'!$B$2:$B$39,"--")</f>
        <v>SEO</v>
      </c>
      <c r="K5711" s="65" t="str">
        <f t="shared" si="1"/>
        <v>In</v>
      </c>
    </row>
    <row r="5712">
      <c r="A5712" s="62" t="s">
        <v>5850</v>
      </c>
      <c r="B5712" s="63">
        <v>44322.0</v>
      </c>
      <c r="C5712" s="62" t="s">
        <v>119</v>
      </c>
      <c r="D5712" s="64">
        <v>47.5</v>
      </c>
      <c r="E5712" s="62" t="s">
        <v>109</v>
      </c>
      <c r="F5712" s="62" t="s">
        <v>115</v>
      </c>
      <c r="G5712" s="64" t="s">
        <v>64</v>
      </c>
      <c r="H5712" s="3" t="s">
        <v>145</v>
      </c>
      <c r="I5712" s="65">
        <f>IFERROR(VLOOKUP(A5712,'3. Call duration'!$A:$C,3,0),"--")</f>
        <v>31.84532558</v>
      </c>
      <c r="J5712" s="65" t="str">
        <f t="array" ref="J5712">XLOOKUP(H5712,'2. Matching'!$A$2:$A$39,'2. Matching'!$B$2:$B$39,"--")</f>
        <v>SEO</v>
      </c>
      <c r="K5712" s="65" t="str">
        <f t="shared" si="1"/>
        <v>In</v>
      </c>
    </row>
    <row r="5713">
      <c r="A5713" s="62" t="s">
        <v>5851</v>
      </c>
      <c r="B5713" s="63">
        <v>44376.0</v>
      </c>
      <c r="C5713" s="62" t="s">
        <v>119</v>
      </c>
      <c r="D5713" s="64">
        <v>47.5</v>
      </c>
      <c r="E5713" s="62" t="s">
        <v>109</v>
      </c>
      <c r="F5713" s="62" t="s">
        <v>115</v>
      </c>
      <c r="G5713" s="64" t="s">
        <v>59</v>
      </c>
      <c r="H5713" s="3" t="s">
        <v>68</v>
      </c>
      <c r="I5713" s="65">
        <f>IFERROR(VLOOKUP(A5713,'3. Call duration'!$A:$C,3,0),"--")</f>
        <v>33.51996444</v>
      </c>
      <c r="J5713" s="65" t="str">
        <f t="array" ref="J5713">XLOOKUP(H5713,'2. Matching'!$A$2:$A$39,'2. Matching'!$B$2:$B$39,"--")</f>
        <v>Acquisition</v>
      </c>
      <c r="K5713" s="65" t="str">
        <f t="shared" si="1"/>
        <v>In</v>
      </c>
    </row>
    <row r="5714">
      <c r="A5714" s="62" t="s">
        <v>5852</v>
      </c>
      <c r="B5714" s="63">
        <v>44343.0</v>
      </c>
      <c r="C5714" s="62" t="s">
        <v>119</v>
      </c>
      <c r="D5714" s="64">
        <v>95.0</v>
      </c>
      <c r="E5714" s="62" t="s">
        <v>114</v>
      </c>
      <c r="F5714" s="62" t="s">
        <v>110</v>
      </c>
      <c r="G5714" s="64" t="s">
        <v>64</v>
      </c>
      <c r="H5714" s="3" t="s">
        <v>297</v>
      </c>
      <c r="I5714" s="65">
        <f>IFERROR(VLOOKUP(A5714,'3. Call duration'!$A:$C,3,0),"--")</f>
        <v>31.86853919</v>
      </c>
      <c r="J5714" s="65" t="str">
        <f t="array" ref="J5714">XLOOKUP(H5714,'2. Matching'!$A$2:$A$39,'2. Matching'!$B$2:$B$39,"--")</f>
        <v>Farming</v>
      </c>
      <c r="K5714" s="65" t="str">
        <f t="shared" si="1"/>
        <v>In</v>
      </c>
    </row>
    <row r="5715">
      <c r="A5715" s="62" t="s">
        <v>5853</v>
      </c>
      <c r="B5715" s="63">
        <v>44349.0</v>
      </c>
      <c r="C5715" s="62" t="s">
        <v>119</v>
      </c>
      <c r="D5715" s="64">
        <v>47.5</v>
      </c>
      <c r="E5715" s="62" t="s">
        <v>109</v>
      </c>
      <c r="F5715" s="62" t="s">
        <v>110</v>
      </c>
      <c r="G5715" s="64" t="s">
        <v>64</v>
      </c>
      <c r="H5715" s="3" t="s">
        <v>175</v>
      </c>
      <c r="I5715" s="65">
        <f>IFERROR(VLOOKUP(A5715,'3. Call duration'!$A:$C,3,0),"--")</f>
        <v>32.46643586</v>
      </c>
      <c r="J5715" s="65" t="str">
        <f t="array" ref="J5715">XLOOKUP(H5715,'2. Matching'!$A$2:$A$39,'2. Matching'!$B$2:$B$39,"--")</f>
        <v>SEO</v>
      </c>
      <c r="K5715" s="65" t="str">
        <f t="shared" si="1"/>
        <v>In</v>
      </c>
    </row>
    <row r="5716">
      <c r="A5716" s="62" t="s">
        <v>5854</v>
      </c>
      <c r="B5716" s="63">
        <v>44365.0</v>
      </c>
      <c r="C5716" s="62" t="s">
        <v>119</v>
      </c>
      <c r="D5716" s="64">
        <v>47.5</v>
      </c>
      <c r="E5716" s="62" t="s">
        <v>109</v>
      </c>
      <c r="F5716" s="62" t="s">
        <v>115</v>
      </c>
      <c r="G5716" s="64" t="s">
        <v>64</v>
      </c>
      <c r="H5716" s="3" t="s">
        <v>164</v>
      </c>
      <c r="I5716" s="65" t="str">
        <f>IFERROR(VLOOKUP(A5716,'3. Call duration'!$A:$C,3,0),"--")</f>
        <v>--</v>
      </c>
      <c r="J5716" s="65" t="str">
        <f t="array" ref="J5716">XLOOKUP(H5716,'2. Matching'!$A$2:$A$39,'2. Matching'!$B$2:$B$39,"--")</f>
        <v>SEO</v>
      </c>
      <c r="K5716" s="65" t="str">
        <f t="shared" si="1"/>
        <v>In</v>
      </c>
    </row>
    <row r="5717">
      <c r="A5717" s="62" t="s">
        <v>5855</v>
      </c>
      <c r="B5717" s="63">
        <v>44351.0</v>
      </c>
      <c r="C5717" s="62" t="s">
        <v>119</v>
      </c>
      <c r="D5717" s="64">
        <v>47.5</v>
      </c>
      <c r="E5717" s="62" t="s">
        <v>109</v>
      </c>
      <c r="F5717" s="62" t="s">
        <v>115</v>
      </c>
      <c r="G5717" s="64" t="s">
        <v>64</v>
      </c>
      <c r="H5717" s="3" t="s">
        <v>175</v>
      </c>
      <c r="I5717" s="65">
        <f>IFERROR(VLOOKUP(A5717,'3. Call duration'!$A:$C,3,0),"--")</f>
        <v>31.30877542</v>
      </c>
      <c r="J5717" s="65" t="str">
        <f t="array" ref="J5717">XLOOKUP(H5717,'2. Matching'!$A$2:$A$39,'2. Matching'!$B$2:$B$39,"--")</f>
        <v>SEO</v>
      </c>
      <c r="K5717" s="65" t="str">
        <f t="shared" si="1"/>
        <v>In</v>
      </c>
    </row>
    <row r="5718">
      <c r="A5718" s="62" t="s">
        <v>5856</v>
      </c>
      <c r="B5718" s="63">
        <v>44327.0</v>
      </c>
      <c r="C5718" s="62" t="s">
        <v>119</v>
      </c>
      <c r="D5718" s="64">
        <v>95.0</v>
      </c>
      <c r="E5718" s="62" t="s">
        <v>114</v>
      </c>
      <c r="F5718" s="62" t="s">
        <v>110</v>
      </c>
      <c r="G5718" s="64" t="s">
        <v>59</v>
      </c>
      <c r="H5718" s="3" t="s">
        <v>68</v>
      </c>
      <c r="I5718" s="65">
        <f>IFERROR(VLOOKUP(A5718,'3. Call duration'!$A:$C,3,0),"--")</f>
        <v>31.89277429</v>
      </c>
      <c r="J5718" s="65" t="str">
        <f t="array" ref="J5718">XLOOKUP(H5718,'2. Matching'!$A$2:$A$39,'2. Matching'!$B$2:$B$39,"--")</f>
        <v>Acquisition</v>
      </c>
      <c r="K5718" s="65" t="str">
        <f t="shared" si="1"/>
        <v>In</v>
      </c>
    </row>
    <row r="5719">
      <c r="A5719" s="62" t="s">
        <v>5857</v>
      </c>
      <c r="B5719" s="63">
        <v>44363.0</v>
      </c>
      <c r="C5719" s="62" t="s">
        <v>119</v>
      </c>
      <c r="D5719" s="64">
        <v>47.5</v>
      </c>
      <c r="E5719" s="62" t="s">
        <v>109</v>
      </c>
      <c r="F5719" s="62" t="s">
        <v>115</v>
      </c>
      <c r="G5719" s="64" t="s">
        <v>64</v>
      </c>
      <c r="H5719" s="3" t="s">
        <v>145</v>
      </c>
      <c r="I5719" s="65">
        <f>IFERROR(VLOOKUP(A5719,'3. Call duration'!$A:$C,3,0),"--")</f>
        <v>29.55488673</v>
      </c>
      <c r="J5719" s="65" t="str">
        <f t="array" ref="J5719">XLOOKUP(H5719,'2. Matching'!$A$2:$A$39,'2. Matching'!$B$2:$B$39,"--")</f>
        <v>SEO</v>
      </c>
      <c r="K5719" s="65" t="str">
        <f t="shared" si="1"/>
        <v>In</v>
      </c>
    </row>
    <row r="5720">
      <c r="A5720" s="62" t="s">
        <v>5858</v>
      </c>
      <c r="B5720" s="63">
        <v>44355.0</v>
      </c>
      <c r="C5720" s="62" t="s">
        <v>119</v>
      </c>
      <c r="D5720" s="64">
        <v>47.5</v>
      </c>
      <c r="E5720" s="62" t="s">
        <v>109</v>
      </c>
      <c r="F5720" s="62" t="s">
        <v>110</v>
      </c>
      <c r="G5720" s="64" t="s">
        <v>64</v>
      </c>
      <c r="H5720" s="3" t="s">
        <v>55</v>
      </c>
      <c r="I5720" s="65">
        <f>IFERROR(VLOOKUP(A5720,'3. Call duration'!$A:$C,3,0),"--")</f>
        <v>22.67662927</v>
      </c>
      <c r="J5720" s="65" t="str">
        <f t="array" ref="J5720">XLOOKUP(H5720,'2. Matching'!$A$2:$A$39,'2. Matching'!$B$2:$B$39,"--")</f>
        <v>Partnerships</v>
      </c>
      <c r="K5720" s="65" t="str">
        <f t="shared" si="1"/>
        <v>In</v>
      </c>
    </row>
    <row r="5721">
      <c r="A5721" s="62" t="s">
        <v>5859</v>
      </c>
      <c r="B5721" s="63">
        <v>44370.0</v>
      </c>
      <c r="C5721" s="62" t="s">
        <v>119</v>
      </c>
      <c r="D5721" s="64">
        <v>47.5</v>
      </c>
      <c r="E5721" s="62" t="s">
        <v>109</v>
      </c>
      <c r="F5721" s="62" t="s">
        <v>110</v>
      </c>
      <c r="G5721" s="64" t="s">
        <v>60</v>
      </c>
      <c r="H5721" s="3" t="s">
        <v>67</v>
      </c>
      <c r="I5721" s="65">
        <f>IFERROR(VLOOKUP(A5721,'3. Call duration'!$A:$C,3,0),"--")</f>
        <v>11.8759631</v>
      </c>
      <c r="J5721" s="65" t="str">
        <f t="array" ref="J5721">XLOOKUP(H5721,'2. Matching'!$A$2:$A$39,'2. Matching'!$B$2:$B$39,"--")</f>
        <v>Acquisition</v>
      </c>
      <c r="K5721" s="65" t="str">
        <f t="shared" si="1"/>
        <v>In</v>
      </c>
    </row>
    <row r="5722">
      <c r="A5722" s="62" t="s">
        <v>5860</v>
      </c>
      <c r="B5722" s="63">
        <v>44329.0</v>
      </c>
      <c r="C5722" s="62" t="s">
        <v>119</v>
      </c>
      <c r="D5722" s="64">
        <v>47.5</v>
      </c>
      <c r="E5722" s="62" t="s">
        <v>109</v>
      </c>
      <c r="F5722" s="62" t="s">
        <v>115</v>
      </c>
      <c r="G5722" s="64" t="s">
        <v>64</v>
      </c>
      <c r="H5722" s="3" t="s">
        <v>169</v>
      </c>
      <c r="I5722" s="65">
        <f>IFERROR(VLOOKUP(A5722,'3. Call duration'!$A:$C,3,0),"--")</f>
        <v>31.90514648</v>
      </c>
      <c r="J5722" s="65" t="str">
        <f t="array" ref="J5722">XLOOKUP(H5722,'2. Matching'!$A$2:$A$39,'2. Matching'!$B$2:$B$39,"--")</f>
        <v>SEO</v>
      </c>
      <c r="K5722" s="65" t="str">
        <f t="shared" si="1"/>
        <v>In</v>
      </c>
    </row>
    <row r="5723">
      <c r="A5723" s="62" t="s">
        <v>5861</v>
      </c>
      <c r="B5723" s="63">
        <v>44345.0</v>
      </c>
      <c r="C5723" s="62" t="s">
        <v>108</v>
      </c>
      <c r="D5723" s="64">
        <v>0.0</v>
      </c>
      <c r="E5723" s="62" t="s">
        <v>109</v>
      </c>
      <c r="F5723" s="62" t="s">
        <v>115</v>
      </c>
      <c r="G5723" s="64" t="s">
        <v>59</v>
      </c>
      <c r="H5723" s="3" t="s">
        <v>68</v>
      </c>
      <c r="I5723" s="65">
        <f>IFERROR(VLOOKUP(A5723,'3. Call duration'!$A:$C,3,0),"--")</f>
        <v>31.91992194</v>
      </c>
      <c r="J5723" s="65" t="str">
        <f t="array" ref="J5723">XLOOKUP(H5723,'2. Matching'!$A$2:$A$39,'2. Matching'!$B$2:$B$39,"--")</f>
        <v>Acquisition</v>
      </c>
      <c r="K5723" s="65" t="str">
        <f t="shared" si="1"/>
        <v>In</v>
      </c>
    </row>
    <row r="5724">
      <c r="A5724" s="62" t="s">
        <v>5862</v>
      </c>
      <c r="B5724" s="63">
        <v>44333.0</v>
      </c>
      <c r="C5724" s="62" t="s">
        <v>119</v>
      </c>
      <c r="D5724" s="64">
        <v>47.5</v>
      </c>
      <c r="E5724" s="62" t="s">
        <v>109</v>
      </c>
      <c r="F5724" s="62" t="s">
        <v>115</v>
      </c>
      <c r="G5724" s="64" t="s">
        <v>64</v>
      </c>
      <c r="H5724" s="3" t="s">
        <v>164</v>
      </c>
      <c r="I5724" s="65">
        <f>IFERROR(VLOOKUP(A5724,'3. Call duration'!$A:$C,3,0),"--")</f>
        <v>31.93533211</v>
      </c>
      <c r="J5724" s="65" t="str">
        <f t="array" ref="J5724">XLOOKUP(H5724,'2. Matching'!$A$2:$A$39,'2. Matching'!$B$2:$B$39,"--")</f>
        <v>SEO</v>
      </c>
      <c r="K5724" s="65" t="str">
        <f t="shared" si="1"/>
        <v>In</v>
      </c>
    </row>
    <row r="5725">
      <c r="A5725" s="62" t="s">
        <v>5863</v>
      </c>
      <c r="B5725" s="63">
        <v>44347.0</v>
      </c>
      <c r="C5725" s="62" t="s">
        <v>108</v>
      </c>
      <c r="D5725" s="64">
        <v>0.0</v>
      </c>
      <c r="E5725" s="62" t="s">
        <v>109</v>
      </c>
      <c r="F5725" s="62" t="s">
        <v>110</v>
      </c>
      <c r="G5725" s="64" t="s">
        <v>64</v>
      </c>
      <c r="H5725" s="3" t="s">
        <v>175</v>
      </c>
      <c r="I5725" s="65">
        <f>IFERROR(VLOOKUP(A5725,'3. Call duration'!$A:$C,3,0),"--")</f>
        <v>31.94773265</v>
      </c>
      <c r="J5725" s="65" t="str">
        <f t="array" ref="J5725">XLOOKUP(H5725,'2. Matching'!$A$2:$A$39,'2. Matching'!$B$2:$B$39,"--")</f>
        <v>SEO</v>
      </c>
      <c r="K5725" s="65" t="str">
        <f t="shared" si="1"/>
        <v>In</v>
      </c>
    </row>
    <row r="5726">
      <c r="A5726" s="62" t="s">
        <v>5864</v>
      </c>
      <c r="B5726" s="63">
        <v>44340.0</v>
      </c>
      <c r="C5726" s="62" t="s">
        <v>119</v>
      </c>
      <c r="D5726" s="64">
        <v>47.5</v>
      </c>
      <c r="E5726" s="62" t="s">
        <v>109</v>
      </c>
      <c r="F5726" s="62" t="s">
        <v>110</v>
      </c>
      <c r="G5726" s="64" t="s">
        <v>63</v>
      </c>
      <c r="H5726" s="3" t="s">
        <v>183</v>
      </c>
      <c r="I5726" s="65">
        <f>IFERROR(VLOOKUP(A5726,'3. Call duration'!$A:$C,3,0),"--")</f>
        <v>31.9477881</v>
      </c>
      <c r="J5726" s="65" t="str">
        <f t="array" ref="J5726">XLOOKUP(H5726,'2. Matching'!$A$2:$A$39,'2. Matching'!$B$2:$B$39,"--")</f>
        <v>SEO</v>
      </c>
      <c r="K5726" s="65" t="str">
        <f t="shared" si="1"/>
        <v>In</v>
      </c>
    </row>
    <row r="5727">
      <c r="A5727" s="62" t="s">
        <v>5865</v>
      </c>
      <c r="B5727" s="63">
        <v>44338.0</v>
      </c>
      <c r="C5727" s="62" t="s">
        <v>119</v>
      </c>
      <c r="D5727" s="64">
        <v>47.5</v>
      </c>
      <c r="E5727" s="62" t="s">
        <v>109</v>
      </c>
      <c r="F5727" s="62" t="s">
        <v>110</v>
      </c>
      <c r="G5727" s="64" t="s">
        <v>59</v>
      </c>
      <c r="H5727" s="3" t="s">
        <v>68</v>
      </c>
      <c r="I5727" s="65">
        <f>IFERROR(VLOOKUP(A5727,'3. Call duration'!$A:$C,3,0),"--")</f>
        <v>31.94950485</v>
      </c>
      <c r="J5727" s="65" t="str">
        <f t="array" ref="J5727">XLOOKUP(H5727,'2. Matching'!$A$2:$A$39,'2. Matching'!$B$2:$B$39,"--")</f>
        <v>Acquisition</v>
      </c>
      <c r="K5727" s="65" t="str">
        <f t="shared" si="1"/>
        <v>In</v>
      </c>
    </row>
    <row r="5728">
      <c r="A5728" s="62" t="s">
        <v>5866</v>
      </c>
      <c r="B5728" s="63">
        <v>44323.0</v>
      </c>
      <c r="C5728" s="62" t="s">
        <v>119</v>
      </c>
      <c r="D5728" s="64">
        <v>47.5</v>
      </c>
      <c r="E5728" s="62" t="s">
        <v>109</v>
      </c>
      <c r="F5728" s="62" t="s">
        <v>115</v>
      </c>
      <c r="G5728" s="64" t="s">
        <v>64</v>
      </c>
      <c r="H5728" s="3" t="s">
        <v>141</v>
      </c>
      <c r="I5728" s="65">
        <f>IFERROR(VLOOKUP(A5728,'3. Call duration'!$A:$C,3,0),"--")</f>
        <v>31.97222731</v>
      </c>
      <c r="J5728" s="65" t="str">
        <f t="array" ref="J5728">XLOOKUP(H5728,'2. Matching'!$A$2:$A$39,'2. Matching'!$B$2:$B$39,"--")</f>
        <v>Acquisition</v>
      </c>
      <c r="K5728" s="65" t="str">
        <f t="shared" si="1"/>
        <v>In</v>
      </c>
    </row>
    <row r="5729">
      <c r="A5729" s="62" t="s">
        <v>5867</v>
      </c>
      <c r="B5729" s="63">
        <v>44363.0</v>
      </c>
      <c r="C5729" s="62" t="s">
        <v>119</v>
      </c>
      <c r="D5729" s="64">
        <v>47.5</v>
      </c>
      <c r="E5729" s="62" t="s">
        <v>109</v>
      </c>
      <c r="F5729" s="62" t="s">
        <v>110</v>
      </c>
      <c r="G5729" s="64" t="s">
        <v>64</v>
      </c>
      <c r="H5729" s="3" t="s">
        <v>141</v>
      </c>
      <c r="I5729" s="65">
        <f>IFERROR(VLOOKUP(A5729,'3. Call duration'!$A:$C,3,0),"--")</f>
        <v>32.98514023</v>
      </c>
      <c r="J5729" s="65" t="str">
        <f t="array" ref="J5729">XLOOKUP(H5729,'2. Matching'!$A$2:$A$39,'2. Matching'!$B$2:$B$39,"--")</f>
        <v>Acquisition</v>
      </c>
      <c r="K5729" s="65" t="str">
        <f t="shared" si="1"/>
        <v>In</v>
      </c>
    </row>
    <row r="5730">
      <c r="A5730" s="62" t="s">
        <v>5868</v>
      </c>
      <c r="B5730" s="63">
        <v>44321.0</v>
      </c>
      <c r="C5730" s="62" t="s">
        <v>119</v>
      </c>
      <c r="D5730" s="64">
        <v>47.5</v>
      </c>
      <c r="E5730" s="62" t="s">
        <v>109</v>
      </c>
      <c r="F5730" s="62" t="s">
        <v>115</v>
      </c>
      <c r="G5730" s="64" t="s">
        <v>63</v>
      </c>
      <c r="H5730" s="3" t="s">
        <v>189</v>
      </c>
      <c r="I5730" s="65">
        <f>IFERROR(VLOOKUP(A5730,'3. Call duration'!$A:$C,3,0),"--")</f>
        <v>31.97759894</v>
      </c>
      <c r="J5730" s="65" t="str">
        <f t="array" ref="J5730">XLOOKUP(H5730,'2. Matching'!$A$2:$A$39,'2. Matching'!$B$2:$B$39,"--")</f>
        <v>SEO</v>
      </c>
      <c r="K5730" s="65" t="str">
        <f t="shared" si="1"/>
        <v>Out</v>
      </c>
    </row>
    <row r="5731">
      <c r="A5731" s="62" t="s">
        <v>5869</v>
      </c>
      <c r="B5731" s="63">
        <v>44335.0</v>
      </c>
      <c r="C5731" s="62" t="s">
        <v>119</v>
      </c>
      <c r="D5731" s="64">
        <v>95.0</v>
      </c>
      <c r="E5731" s="62" t="s">
        <v>114</v>
      </c>
      <c r="F5731" s="62" t="s">
        <v>110</v>
      </c>
      <c r="G5731" s="64" t="s">
        <v>63</v>
      </c>
      <c r="H5731" s="3" t="s">
        <v>189</v>
      </c>
      <c r="I5731" s="65">
        <f>IFERROR(VLOOKUP(A5731,'3. Call duration'!$A:$C,3,0),"--")</f>
        <v>31.97768081</v>
      </c>
      <c r="J5731" s="65" t="str">
        <f t="array" ref="J5731">XLOOKUP(H5731,'2. Matching'!$A$2:$A$39,'2. Matching'!$B$2:$B$39,"--")</f>
        <v>SEO</v>
      </c>
      <c r="K5731" s="65" t="str">
        <f t="shared" si="1"/>
        <v>Out</v>
      </c>
    </row>
    <row r="5732">
      <c r="A5732" s="62" t="s">
        <v>5870</v>
      </c>
      <c r="B5732" s="63">
        <v>44363.0</v>
      </c>
      <c r="C5732" s="62" t="s">
        <v>119</v>
      </c>
      <c r="D5732" s="64">
        <v>47.5</v>
      </c>
      <c r="E5732" s="62" t="s">
        <v>109</v>
      </c>
      <c r="F5732" s="62" t="s">
        <v>115</v>
      </c>
      <c r="G5732" s="64" t="s">
        <v>59</v>
      </c>
      <c r="H5732" s="3" t="s">
        <v>68</v>
      </c>
      <c r="I5732" s="65" t="str">
        <f>IFERROR(VLOOKUP(A5732,'3. Call duration'!$A:$C,3,0),"--")</f>
        <v>--</v>
      </c>
      <c r="J5732" s="65" t="str">
        <f t="array" ref="J5732">XLOOKUP(H5732,'2. Matching'!$A$2:$A$39,'2. Matching'!$B$2:$B$39,"--")</f>
        <v>Acquisition</v>
      </c>
      <c r="K5732" s="65" t="str">
        <f t="shared" si="1"/>
        <v>In</v>
      </c>
    </row>
    <row r="5733">
      <c r="A5733" s="62" t="s">
        <v>5871</v>
      </c>
      <c r="B5733" s="63">
        <v>44377.0</v>
      </c>
      <c r="C5733" s="62" t="s">
        <v>119</v>
      </c>
      <c r="D5733" s="64">
        <v>47.5</v>
      </c>
      <c r="E5733" s="62" t="s">
        <v>109</v>
      </c>
      <c r="F5733" s="62" t="s">
        <v>115</v>
      </c>
      <c r="G5733" s="64" t="s">
        <v>60</v>
      </c>
      <c r="H5733" s="3" t="s">
        <v>68</v>
      </c>
      <c r="I5733" s="65">
        <f>IFERROR(VLOOKUP(A5733,'3. Call duration'!$A:$C,3,0),"--")</f>
        <v>12.26986896</v>
      </c>
      <c r="J5733" s="65" t="str">
        <f t="array" ref="J5733">XLOOKUP(H5733,'2. Matching'!$A$2:$A$39,'2. Matching'!$B$2:$B$39,"--")</f>
        <v>Acquisition</v>
      </c>
      <c r="K5733" s="65" t="str">
        <f t="shared" si="1"/>
        <v>In</v>
      </c>
    </row>
    <row r="5734">
      <c r="A5734" s="62" t="s">
        <v>5872</v>
      </c>
      <c r="B5734" s="63">
        <v>44327.0</v>
      </c>
      <c r="C5734" s="62" t="s">
        <v>119</v>
      </c>
      <c r="D5734" s="64">
        <v>47.5</v>
      </c>
      <c r="E5734" s="62" t="s">
        <v>109</v>
      </c>
      <c r="F5734" s="62" t="s">
        <v>115</v>
      </c>
      <c r="G5734" s="64" t="s">
        <v>64</v>
      </c>
      <c r="H5734" s="3" t="s">
        <v>141</v>
      </c>
      <c r="I5734" s="65">
        <f>IFERROR(VLOOKUP(A5734,'3. Call duration'!$A:$C,3,0),"--")</f>
        <v>31.98566389</v>
      </c>
      <c r="J5734" s="65" t="str">
        <f t="array" ref="J5734">XLOOKUP(H5734,'2. Matching'!$A$2:$A$39,'2. Matching'!$B$2:$B$39,"--")</f>
        <v>Acquisition</v>
      </c>
      <c r="K5734" s="65" t="str">
        <f t="shared" si="1"/>
        <v>In</v>
      </c>
    </row>
    <row r="5735">
      <c r="A5735" s="62" t="s">
        <v>5873</v>
      </c>
      <c r="B5735" s="63">
        <v>44340.0</v>
      </c>
      <c r="C5735" s="62" t="s">
        <v>119</v>
      </c>
      <c r="D5735" s="64">
        <v>95.0</v>
      </c>
      <c r="E5735" s="62" t="s">
        <v>114</v>
      </c>
      <c r="F5735" s="62" t="s">
        <v>110</v>
      </c>
      <c r="G5735" s="64" t="s">
        <v>64</v>
      </c>
      <c r="H5735" s="3" t="s">
        <v>171</v>
      </c>
      <c r="I5735" s="65">
        <f>IFERROR(VLOOKUP(A5735,'3. Call duration'!$A:$C,3,0),"--")</f>
        <v>32.02150877</v>
      </c>
      <c r="J5735" s="65" t="str">
        <f t="array" ref="J5735">XLOOKUP(H5735,'2. Matching'!$A$2:$A$39,'2. Matching'!$B$2:$B$39,"--")</f>
        <v>SEO</v>
      </c>
      <c r="K5735" s="65" t="str">
        <f t="shared" si="1"/>
        <v>In</v>
      </c>
    </row>
    <row r="5736">
      <c r="A5736" s="62" t="s">
        <v>5874</v>
      </c>
      <c r="B5736" s="63">
        <v>44326.0</v>
      </c>
      <c r="C5736" s="62" t="s">
        <v>119</v>
      </c>
      <c r="D5736" s="64">
        <v>47.5</v>
      </c>
      <c r="E5736" s="62" t="s">
        <v>109</v>
      </c>
      <c r="F5736" s="62" t="s">
        <v>110</v>
      </c>
      <c r="G5736" s="64" t="s">
        <v>63</v>
      </c>
      <c r="H5736" s="3" t="s">
        <v>183</v>
      </c>
      <c r="I5736" s="65">
        <f>IFERROR(VLOOKUP(A5736,'3. Call duration'!$A:$C,3,0),"--")</f>
        <v>32.02173465</v>
      </c>
      <c r="J5736" s="65" t="str">
        <f t="array" ref="J5736">XLOOKUP(H5736,'2. Matching'!$A$2:$A$39,'2. Matching'!$B$2:$B$39,"--")</f>
        <v>SEO</v>
      </c>
      <c r="K5736" s="65" t="str">
        <f t="shared" si="1"/>
        <v>In</v>
      </c>
    </row>
    <row r="5737">
      <c r="A5737" s="62" t="s">
        <v>5875</v>
      </c>
      <c r="B5737" s="63">
        <v>44334.0</v>
      </c>
      <c r="C5737" s="62" t="s">
        <v>119</v>
      </c>
      <c r="D5737" s="64">
        <v>47.5</v>
      </c>
      <c r="E5737" s="62" t="s">
        <v>109</v>
      </c>
      <c r="F5737" s="62" t="s">
        <v>115</v>
      </c>
      <c r="G5737" s="64" t="s">
        <v>64</v>
      </c>
      <c r="H5737" s="3" t="s">
        <v>116</v>
      </c>
      <c r="I5737" s="65">
        <f>IFERROR(VLOOKUP(A5737,'3. Call duration'!$A:$C,3,0),"--")</f>
        <v>32.04959686</v>
      </c>
      <c r="J5737" s="65" t="str">
        <f t="array" ref="J5737">XLOOKUP(H5737,'2. Matching'!$A$2:$A$39,'2. Matching'!$B$2:$B$39,"--")</f>
        <v>Acquisition</v>
      </c>
      <c r="K5737" s="65" t="str">
        <f t="shared" si="1"/>
        <v>In</v>
      </c>
    </row>
    <row r="5738">
      <c r="A5738" s="62" t="s">
        <v>5876</v>
      </c>
      <c r="B5738" s="63">
        <v>44344.0</v>
      </c>
      <c r="C5738" s="62" t="s">
        <v>119</v>
      </c>
      <c r="D5738" s="64">
        <v>47.5</v>
      </c>
      <c r="E5738" s="62" t="s">
        <v>109</v>
      </c>
      <c r="F5738" s="62" t="s">
        <v>115</v>
      </c>
      <c r="G5738" s="64" t="s">
        <v>64</v>
      </c>
      <c r="H5738" s="3" t="s">
        <v>131</v>
      </c>
      <c r="I5738" s="65">
        <f>IFERROR(VLOOKUP(A5738,'3. Call duration'!$A:$C,3,0),"--")</f>
        <v>32.05626324</v>
      </c>
      <c r="J5738" s="65" t="str">
        <f t="array" ref="J5738">XLOOKUP(H5738,'2. Matching'!$A$2:$A$39,'2. Matching'!$B$2:$B$39,"--")</f>
        <v>Acquisition</v>
      </c>
      <c r="K5738" s="65" t="str">
        <f t="shared" si="1"/>
        <v>In</v>
      </c>
    </row>
    <row r="5739">
      <c r="A5739" s="62" t="s">
        <v>5877</v>
      </c>
      <c r="B5739" s="63">
        <v>44347.0</v>
      </c>
      <c r="C5739" s="62" t="s">
        <v>119</v>
      </c>
      <c r="D5739" s="64">
        <v>47.5</v>
      </c>
      <c r="E5739" s="62" t="s">
        <v>109</v>
      </c>
      <c r="F5739" s="62" t="s">
        <v>110</v>
      </c>
      <c r="G5739" s="64" t="s">
        <v>60</v>
      </c>
      <c r="H5739" s="3" t="s">
        <v>67</v>
      </c>
      <c r="I5739" s="65">
        <f>IFERROR(VLOOKUP(A5739,'3. Call duration'!$A:$C,3,0),"--")</f>
        <v>32.05839128</v>
      </c>
      <c r="J5739" s="65" t="str">
        <f t="array" ref="J5739">XLOOKUP(H5739,'2. Matching'!$A$2:$A$39,'2. Matching'!$B$2:$B$39,"--")</f>
        <v>Acquisition</v>
      </c>
      <c r="K5739" s="65" t="str">
        <f t="shared" si="1"/>
        <v>In</v>
      </c>
    </row>
    <row r="5740">
      <c r="A5740" s="62" t="s">
        <v>5878</v>
      </c>
      <c r="B5740" s="63">
        <v>44342.0</v>
      </c>
      <c r="C5740" s="62" t="s">
        <v>119</v>
      </c>
      <c r="D5740" s="64">
        <v>47.5</v>
      </c>
      <c r="E5740" s="62" t="s">
        <v>109</v>
      </c>
      <c r="F5740" s="62" t="s">
        <v>110</v>
      </c>
      <c r="G5740" s="64" t="s">
        <v>64</v>
      </c>
      <c r="H5740" s="3" t="s">
        <v>297</v>
      </c>
      <c r="I5740" s="65">
        <f>IFERROR(VLOOKUP(A5740,'3. Call duration'!$A:$C,3,0),"--")</f>
        <v>32.05987447</v>
      </c>
      <c r="J5740" s="65" t="str">
        <f t="array" ref="J5740">XLOOKUP(H5740,'2. Matching'!$A$2:$A$39,'2. Matching'!$B$2:$B$39,"--")</f>
        <v>Farming</v>
      </c>
      <c r="K5740" s="65" t="str">
        <f t="shared" si="1"/>
        <v>In</v>
      </c>
    </row>
    <row r="5741">
      <c r="A5741" s="62" t="s">
        <v>5879</v>
      </c>
      <c r="B5741" s="63">
        <v>44344.0</v>
      </c>
      <c r="C5741" s="62" t="s">
        <v>119</v>
      </c>
      <c r="D5741" s="64">
        <v>47.5</v>
      </c>
      <c r="E5741" s="62" t="s">
        <v>109</v>
      </c>
      <c r="F5741" s="62" t="s">
        <v>110</v>
      </c>
      <c r="G5741" s="64" t="s">
        <v>64</v>
      </c>
      <c r="H5741" s="3" t="s">
        <v>171</v>
      </c>
      <c r="I5741" s="65">
        <f>IFERROR(VLOOKUP(A5741,'3. Call duration'!$A:$C,3,0),"--")</f>
        <v>32.08395082</v>
      </c>
      <c r="J5741" s="65" t="str">
        <f t="array" ref="J5741">XLOOKUP(H5741,'2. Matching'!$A$2:$A$39,'2. Matching'!$B$2:$B$39,"--")</f>
        <v>SEO</v>
      </c>
      <c r="K5741" s="65" t="str">
        <f t="shared" si="1"/>
        <v>In</v>
      </c>
    </row>
    <row r="5742">
      <c r="A5742" s="62" t="s">
        <v>5880</v>
      </c>
      <c r="B5742" s="63">
        <v>44327.0</v>
      </c>
      <c r="C5742" s="62" t="s">
        <v>119</v>
      </c>
      <c r="D5742" s="64">
        <v>95.0</v>
      </c>
      <c r="E5742" s="62" t="s">
        <v>114</v>
      </c>
      <c r="F5742" s="62" t="s">
        <v>110</v>
      </c>
      <c r="G5742" s="64" t="s">
        <v>64</v>
      </c>
      <c r="H5742" s="3" t="s">
        <v>145</v>
      </c>
      <c r="I5742" s="65">
        <f>IFERROR(VLOOKUP(A5742,'3. Call duration'!$A:$C,3,0),"--")</f>
        <v>32.0872863</v>
      </c>
      <c r="J5742" s="65" t="str">
        <f t="array" ref="J5742">XLOOKUP(H5742,'2. Matching'!$A$2:$A$39,'2. Matching'!$B$2:$B$39,"--")</f>
        <v>SEO</v>
      </c>
      <c r="K5742" s="65" t="str">
        <f t="shared" si="1"/>
        <v>In</v>
      </c>
    </row>
    <row r="5743">
      <c r="A5743" s="62" t="s">
        <v>5881</v>
      </c>
      <c r="B5743" s="63">
        <v>44343.0</v>
      </c>
      <c r="C5743" s="62" t="s">
        <v>119</v>
      </c>
      <c r="D5743" s="64">
        <v>47.5</v>
      </c>
      <c r="E5743" s="62" t="s">
        <v>109</v>
      </c>
      <c r="F5743" s="62" t="s">
        <v>115</v>
      </c>
      <c r="G5743" s="64" t="s">
        <v>64</v>
      </c>
      <c r="H5743" s="3" t="s">
        <v>141</v>
      </c>
      <c r="I5743" s="65">
        <f>IFERROR(VLOOKUP(A5743,'3. Call duration'!$A:$C,3,0),"--")</f>
        <v>32.11423169</v>
      </c>
      <c r="J5743" s="65" t="str">
        <f t="array" ref="J5743">XLOOKUP(H5743,'2. Matching'!$A$2:$A$39,'2. Matching'!$B$2:$B$39,"--")</f>
        <v>Acquisition</v>
      </c>
      <c r="K5743" s="65" t="str">
        <f t="shared" si="1"/>
        <v>In</v>
      </c>
    </row>
    <row r="5744">
      <c r="A5744" s="62" t="s">
        <v>5882</v>
      </c>
      <c r="B5744" s="63">
        <v>44330.0</v>
      </c>
      <c r="C5744" s="62" t="s">
        <v>119</v>
      </c>
      <c r="D5744" s="64">
        <v>47.5</v>
      </c>
      <c r="E5744" s="62" t="s">
        <v>109</v>
      </c>
      <c r="F5744" s="62" t="s">
        <v>115</v>
      </c>
      <c r="G5744" s="64" t="s">
        <v>59</v>
      </c>
      <c r="H5744" s="3" t="s">
        <v>68</v>
      </c>
      <c r="I5744" s="65">
        <f>IFERROR(VLOOKUP(A5744,'3. Call duration'!$A:$C,3,0),"--")</f>
        <v>32.11828969</v>
      </c>
      <c r="J5744" s="65" t="str">
        <f t="array" ref="J5744">XLOOKUP(H5744,'2. Matching'!$A$2:$A$39,'2. Matching'!$B$2:$B$39,"--")</f>
        <v>Acquisition</v>
      </c>
      <c r="K5744" s="65" t="str">
        <f t="shared" si="1"/>
        <v>In</v>
      </c>
    </row>
    <row r="5745">
      <c r="A5745" s="62" t="s">
        <v>5883</v>
      </c>
      <c r="B5745" s="63">
        <v>44348.0</v>
      </c>
      <c r="C5745" s="62" t="s">
        <v>119</v>
      </c>
      <c r="D5745" s="64">
        <v>47.5</v>
      </c>
      <c r="E5745" s="62" t="s">
        <v>109</v>
      </c>
      <c r="F5745" s="62" t="s">
        <v>115</v>
      </c>
      <c r="G5745" s="64" t="s">
        <v>64</v>
      </c>
      <c r="H5745" s="3" t="s">
        <v>185</v>
      </c>
      <c r="I5745" s="65">
        <f>IFERROR(VLOOKUP(A5745,'3. Call duration'!$A:$C,3,0),"--")</f>
        <v>10.42243137</v>
      </c>
      <c r="J5745" s="65" t="str">
        <f t="array" ref="J5745">XLOOKUP(H5745,'2. Matching'!$A$2:$A$39,'2. Matching'!$B$2:$B$39,"--")</f>
        <v>SEO</v>
      </c>
      <c r="K5745" s="65" t="str">
        <f t="shared" si="1"/>
        <v>In</v>
      </c>
    </row>
    <row r="5746">
      <c r="A5746" s="62" t="s">
        <v>5884</v>
      </c>
      <c r="B5746" s="63">
        <v>44336.0</v>
      </c>
      <c r="C5746" s="62" t="s">
        <v>119</v>
      </c>
      <c r="D5746" s="64">
        <v>47.5</v>
      </c>
      <c r="E5746" s="62" t="s">
        <v>109</v>
      </c>
      <c r="F5746" s="62" t="s">
        <v>115</v>
      </c>
      <c r="G5746" s="64" t="s">
        <v>59</v>
      </c>
      <c r="H5746" s="3" t="s">
        <v>68</v>
      </c>
      <c r="I5746" s="65">
        <f>IFERROR(VLOOKUP(A5746,'3. Call duration'!$A:$C,3,0),"--")</f>
        <v>32.15493733</v>
      </c>
      <c r="J5746" s="65" t="str">
        <f t="array" ref="J5746">XLOOKUP(H5746,'2. Matching'!$A$2:$A$39,'2. Matching'!$B$2:$B$39,"--")</f>
        <v>Acquisition</v>
      </c>
      <c r="K5746" s="65" t="str">
        <f t="shared" si="1"/>
        <v>In</v>
      </c>
    </row>
    <row r="5747">
      <c r="A5747" s="62" t="s">
        <v>5885</v>
      </c>
      <c r="B5747" s="63">
        <v>44356.0</v>
      </c>
      <c r="C5747" s="62" t="s">
        <v>119</v>
      </c>
      <c r="D5747" s="64">
        <v>47.5</v>
      </c>
      <c r="E5747" s="62" t="s">
        <v>109</v>
      </c>
      <c r="F5747" s="62" t="s">
        <v>110</v>
      </c>
      <c r="G5747" s="64" t="s">
        <v>60</v>
      </c>
      <c r="H5747" s="3" t="s">
        <v>67</v>
      </c>
      <c r="I5747" s="65">
        <f>IFERROR(VLOOKUP(A5747,'3. Call duration'!$A:$C,3,0),"--")</f>
        <v>26.25162232</v>
      </c>
      <c r="J5747" s="65" t="str">
        <f t="array" ref="J5747">XLOOKUP(H5747,'2. Matching'!$A$2:$A$39,'2. Matching'!$B$2:$B$39,"--")</f>
        <v>Acquisition</v>
      </c>
      <c r="K5747" s="65" t="str">
        <f t="shared" si="1"/>
        <v>In</v>
      </c>
    </row>
    <row r="5748">
      <c r="A5748" s="62" t="s">
        <v>5886</v>
      </c>
      <c r="B5748" s="63">
        <v>44341.0</v>
      </c>
      <c r="C5748" s="62" t="s">
        <v>119</v>
      </c>
      <c r="D5748" s="64">
        <v>47.5</v>
      </c>
      <c r="E5748" s="62" t="s">
        <v>109</v>
      </c>
      <c r="F5748" s="62" t="s">
        <v>115</v>
      </c>
      <c r="G5748" s="64" t="s">
        <v>63</v>
      </c>
      <c r="H5748" s="3" t="s">
        <v>183</v>
      </c>
      <c r="I5748" s="65">
        <f>IFERROR(VLOOKUP(A5748,'3. Call duration'!$A:$C,3,0),"--")</f>
        <v>32.18954898</v>
      </c>
      <c r="J5748" s="65" t="str">
        <f t="array" ref="J5748">XLOOKUP(H5748,'2. Matching'!$A$2:$A$39,'2. Matching'!$B$2:$B$39,"--")</f>
        <v>SEO</v>
      </c>
      <c r="K5748" s="65" t="str">
        <f t="shared" si="1"/>
        <v>In</v>
      </c>
    </row>
    <row r="5749">
      <c r="A5749" s="62" t="s">
        <v>5887</v>
      </c>
      <c r="B5749" s="63">
        <v>44376.0</v>
      </c>
      <c r="C5749" s="62" t="s">
        <v>119</v>
      </c>
      <c r="D5749" s="64">
        <v>47.5</v>
      </c>
      <c r="E5749" s="62" t="s">
        <v>109</v>
      </c>
      <c r="F5749" s="62" t="s">
        <v>115</v>
      </c>
      <c r="G5749" s="64" t="s">
        <v>64</v>
      </c>
      <c r="H5749" s="3" t="s">
        <v>145</v>
      </c>
      <c r="I5749" s="65">
        <f>IFERROR(VLOOKUP(A5749,'3. Call duration'!$A:$C,3,0),"--")</f>
        <v>24.38580604</v>
      </c>
      <c r="J5749" s="65" t="str">
        <f t="array" ref="J5749">XLOOKUP(H5749,'2. Matching'!$A$2:$A$39,'2. Matching'!$B$2:$B$39,"--")</f>
        <v>SEO</v>
      </c>
      <c r="K5749" s="65" t="str">
        <f t="shared" si="1"/>
        <v>In</v>
      </c>
    </row>
    <row r="5750">
      <c r="A5750" s="62" t="s">
        <v>5888</v>
      </c>
      <c r="B5750" s="63">
        <v>44341.0</v>
      </c>
      <c r="C5750" s="62" t="s">
        <v>108</v>
      </c>
      <c r="D5750" s="64">
        <v>0.0</v>
      </c>
      <c r="E5750" s="62" t="s">
        <v>109</v>
      </c>
      <c r="F5750" s="62" t="s">
        <v>110</v>
      </c>
      <c r="G5750" s="64" t="s">
        <v>64</v>
      </c>
      <c r="H5750" s="3" t="s">
        <v>155</v>
      </c>
      <c r="I5750" s="65">
        <f>IFERROR(VLOOKUP(A5750,'3. Call duration'!$A:$C,3,0),"--")</f>
        <v>32.23655442</v>
      </c>
      <c r="J5750" s="65" t="str">
        <f t="array" ref="J5750">XLOOKUP(H5750,'2. Matching'!$A$2:$A$39,'2. Matching'!$B$2:$B$39,"--")</f>
        <v>SEO</v>
      </c>
      <c r="K5750" s="65" t="str">
        <f t="shared" si="1"/>
        <v>In</v>
      </c>
    </row>
    <row r="5751">
      <c r="A5751" s="62" t="s">
        <v>5889</v>
      </c>
      <c r="B5751" s="63">
        <v>44334.0</v>
      </c>
      <c r="C5751" s="62" t="s">
        <v>119</v>
      </c>
      <c r="D5751" s="64">
        <v>47.5</v>
      </c>
      <c r="E5751" s="62" t="s">
        <v>109</v>
      </c>
      <c r="F5751" s="62" t="s">
        <v>115</v>
      </c>
      <c r="G5751" s="64" t="s">
        <v>64</v>
      </c>
      <c r="H5751" s="3" t="s">
        <v>169</v>
      </c>
      <c r="I5751" s="65">
        <f>IFERROR(VLOOKUP(A5751,'3. Call duration'!$A:$C,3,0),"--")</f>
        <v>32.25319397</v>
      </c>
      <c r="J5751" s="65" t="str">
        <f t="array" ref="J5751">XLOOKUP(H5751,'2. Matching'!$A$2:$A$39,'2. Matching'!$B$2:$B$39,"--")</f>
        <v>SEO</v>
      </c>
      <c r="K5751" s="65" t="str">
        <f t="shared" si="1"/>
        <v>In</v>
      </c>
    </row>
    <row r="5752">
      <c r="A5752" s="62" t="s">
        <v>5890</v>
      </c>
      <c r="B5752" s="63">
        <v>44348.0</v>
      </c>
      <c r="C5752" s="62" t="s">
        <v>119</v>
      </c>
      <c r="D5752" s="64">
        <v>47.5</v>
      </c>
      <c r="E5752" s="62" t="s">
        <v>109</v>
      </c>
      <c r="F5752" s="62" t="s">
        <v>110</v>
      </c>
      <c r="G5752" s="64" t="s">
        <v>64</v>
      </c>
      <c r="H5752" s="3" t="s">
        <v>297</v>
      </c>
      <c r="I5752" s="65">
        <f>IFERROR(VLOOKUP(A5752,'3. Call duration'!$A:$C,3,0),"--")</f>
        <v>30.56627565</v>
      </c>
      <c r="J5752" s="65" t="str">
        <f t="array" ref="J5752">XLOOKUP(H5752,'2. Matching'!$A$2:$A$39,'2. Matching'!$B$2:$B$39,"--")</f>
        <v>Farming</v>
      </c>
      <c r="K5752" s="65" t="str">
        <f t="shared" si="1"/>
        <v>In</v>
      </c>
    </row>
    <row r="5753">
      <c r="A5753" s="62" t="s">
        <v>5891</v>
      </c>
      <c r="B5753" s="63">
        <v>44319.0</v>
      </c>
      <c r="C5753" s="62" t="s">
        <v>119</v>
      </c>
      <c r="D5753" s="64">
        <v>95.0</v>
      </c>
      <c r="E5753" s="62" t="s">
        <v>114</v>
      </c>
      <c r="F5753" s="62" t="s">
        <v>110</v>
      </c>
      <c r="G5753" s="64" t="s">
        <v>64</v>
      </c>
      <c r="H5753" s="3" t="s">
        <v>139</v>
      </c>
      <c r="I5753" s="65">
        <f>IFERROR(VLOOKUP(A5753,'3. Call duration'!$A:$C,3,0),"--")</f>
        <v>32.25362816</v>
      </c>
      <c r="J5753" s="65" t="str">
        <f t="array" ref="J5753">XLOOKUP(H5753,'2. Matching'!$A$2:$A$39,'2. Matching'!$B$2:$B$39,"--")</f>
        <v>Acquisition</v>
      </c>
      <c r="K5753" s="65" t="str">
        <f t="shared" si="1"/>
        <v>In</v>
      </c>
    </row>
    <row r="5754">
      <c r="A5754" s="62" t="s">
        <v>5892</v>
      </c>
      <c r="B5754" s="63">
        <v>44335.0</v>
      </c>
      <c r="C5754" s="62" t="s">
        <v>119</v>
      </c>
      <c r="D5754" s="64">
        <v>47.5</v>
      </c>
      <c r="E5754" s="62" t="s">
        <v>109</v>
      </c>
      <c r="F5754" s="62" t="s">
        <v>115</v>
      </c>
      <c r="G5754" s="64" t="s">
        <v>64</v>
      </c>
      <c r="H5754" s="3" t="s">
        <v>164</v>
      </c>
      <c r="I5754" s="65">
        <f>IFERROR(VLOOKUP(A5754,'3. Call duration'!$A:$C,3,0),"--")</f>
        <v>32.26958018</v>
      </c>
      <c r="J5754" s="65" t="str">
        <f t="array" ref="J5754">XLOOKUP(H5754,'2. Matching'!$A$2:$A$39,'2. Matching'!$B$2:$B$39,"--")</f>
        <v>SEO</v>
      </c>
      <c r="K5754" s="65" t="str">
        <f t="shared" si="1"/>
        <v>In</v>
      </c>
    </row>
    <row r="5755">
      <c r="A5755" s="62" t="s">
        <v>5893</v>
      </c>
      <c r="B5755" s="63">
        <v>44377.0</v>
      </c>
      <c r="C5755" s="62" t="s">
        <v>119</v>
      </c>
      <c r="D5755" s="64">
        <v>47.5</v>
      </c>
      <c r="E5755" s="62" t="s">
        <v>109</v>
      </c>
      <c r="F5755" s="62" t="s">
        <v>115</v>
      </c>
      <c r="G5755" s="64" t="s">
        <v>64</v>
      </c>
      <c r="H5755" s="3" t="s">
        <v>175</v>
      </c>
      <c r="I5755" s="65">
        <f>IFERROR(VLOOKUP(A5755,'3. Call duration'!$A:$C,3,0),"--")</f>
        <v>23.87806491</v>
      </c>
      <c r="J5755" s="65" t="str">
        <f t="array" ref="J5755">XLOOKUP(H5755,'2. Matching'!$A$2:$A$39,'2. Matching'!$B$2:$B$39,"--")</f>
        <v>SEO</v>
      </c>
      <c r="K5755" s="65" t="str">
        <f t="shared" si="1"/>
        <v>In</v>
      </c>
    </row>
    <row r="5756">
      <c r="A5756" s="62" t="s">
        <v>5894</v>
      </c>
      <c r="B5756" s="63">
        <v>44351.0</v>
      </c>
      <c r="C5756" s="62" t="s">
        <v>119</v>
      </c>
      <c r="D5756" s="64">
        <v>47.5</v>
      </c>
      <c r="E5756" s="62" t="s">
        <v>109</v>
      </c>
      <c r="F5756" s="62" t="s">
        <v>115</v>
      </c>
      <c r="G5756" s="64" t="s">
        <v>64</v>
      </c>
      <c r="H5756" s="3" t="s">
        <v>141</v>
      </c>
      <c r="I5756" s="65">
        <f>IFERROR(VLOOKUP(A5756,'3. Call duration'!$A:$C,3,0),"--")</f>
        <v>33.32921391</v>
      </c>
      <c r="J5756" s="65" t="str">
        <f t="array" ref="J5756">XLOOKUP(H5756,'2. Matching'!$A$2:$A$39,'2. Matching'!$B$2:$B$39,"--")</f>
        <v>Acquisition</v>
      </c>
      <c r="K5756" s="65" t="str">
        <f t="shared" si="1"/>
        <v>In</v>
      </c>
    </row>
    <row r="5757">
      <c r="A5757" s="62" t="s">
        <v>5895</v>
      </c>
      <c r="B5757" s="63">
        <v>44373.0</v>
      </c>
      <c r="C5757" s="62" t="s">
        <v>119</v>
      </c>
      <c r="D5757" s="64">
        <v>47.5</v>
      </c>
      <c r="E5757" s="62" t="s">
        <v>109</v>
      </c>
      <c r="F5757" s="62" t="s">
        <v>115</v>
      </c>
      <c r="G5757" s="64" t="s">
        <v>64</v>
      </c>
      <c r="H5757" s="3" t="s">
        <v>49</v>
      </c>
      <c r="I5757" s="65">
        <f>IFERROR(VLOOKUP(A5757,'3. Call duration'!$A:$C,3,0),"--")</f>
        <v>17.68441343</v>
      </c>
      <c r="J5757" s="65" t="str">
        <f t="array" ref="J5757">XLOOKUP(H5757,'2. Matching'!$A$2:$A$39,'2. Matching'!$B$2:$B$39,"--")</f>
        <v>Partnerships</v>
      </c>
      <c r="K5757" s="65" t="str">
        <f t="shared" si="1"/>
        <v>In</v>
      </c>
    </row>
    <row r="5758">
      <c r="A5758" s="62" t="s">
        <v>5896</v>
      </c>
      <c r="B5758" s="63">
        <v>44369.0</v>
      </c>
      <c r="C5758" s="62" t="s">
        <v>119</v>
      </c>
      <c r="D5758" s="64">
        <v>47.5</v>
      </c>
      <c r="E5758" s="62" t="s">
        <v>109</v>
      </c>
      <c r="F5758" s="62" t="s">
        <v>110</v>
      </c>
      <c r="G5758" s="64" t="s">
        <v>64</v>
      </c>
      <c r="H5758" s="3" t="s">
        <v>116</v>
      </c>
      <c r="I5758" s="65">
        <f>IFERROR(VLOOKUP(A5758,'3. Call duration'!$A:$C,3,0),"--")</f>
        <v>14.20923793</v>
      </c>
      <c r="J5758" s="65" t="str">
        <f t="array" ref="J5758">XLOOKUP(H5758,'2. Matching'!$A$2:$A$39,'2. Matching'!$B$2:$B$39,"--")</f>
        <v>Acquisition</v>
      </c>
      <c r="K5758" s="65" t="str">
        <f t="shared" si="1"/>
        <v>In</v>
      </c>
    </row>
    <row r="5759">
      <c r="A5759" s="62" t="s">
        <v>5897</v>
      </c>
      <c r="B5759" s="63">
        <v>44364.0</v>
      </c>
      <c r="C5759" s="62" t="s">
        <v>119</v>
      </c>
      <c r="D5759" s="64">
        <v>47.5</v>
      </c>
      <c r="E5759" s="62" t="s">
        <v>109</v>
      </c>
      <c r="F5759" s="62" t="s">
        <v>115</v>
      </c>
      <c r="G5759" s="64" t="s">
        <v>64</v>
      </c>
      <c r="H5759" s="3" t="s">
        <v>139</v>
      </c>
      <c r="I5759" s="65">
        <f>IFERROR(VLOOKUP(A5759,'3. Call duration'!$A:$C,3,0),"--")</f>
        <v>30.79477882</v>
      </c>
      <c r="J5759" s="65" t="str">
        <f t="array" ref="J5759">XLOOKUP(H5759,'2. Matching'!$A$2:$A$39,'2. Matching'!$B$2:$B$39,"--")</f>
        <v>Acquisition</v>
      </c>
      <c r="K5759" s="65" t="str">
        <f t="shared" si="1"/>
        <v>In</v>
      </c>
    </row>
    <row r="5760">
      <c r="A5760" s="62" t="s">
        <v>5898</v>
      </c>
      <c r="B5760" s="63">
        <v>44350.0</v>
      </c>
      <c r="C5760" s="62" t="s">
        <v>119</v>
      </c>
      <c r="D5760" s="64">
        <v>47.5</v>
      </c>
      <c r="E5760" s="62" t="s">
        <v>109</v>
      </c>
      <c r="F5760" s="62" t="s">
        <v>115</v>
      </c>
      <c r="G5760" s="64" t="s">
        <v>64</v>
      </c>
      <c r="H5760" s="3" t="s">
        <v>185</v>
      </c>
      <c r="I5760" s="65">
        <f>IFERROR(VLOOKUP(A5760,'3. Call duration'!$A:$C,3,0),"--")</f>
        <v>32.33747235</v>
      </c>
      <c r="J5760" s="65" t="str">
        <f t="array" ref="J5760">XLOOKUP(H5760,'2. Matching'!$A$2:$A$39,'2. Matching'!$B$2:$B$39,"--")</f>
        <v>SEO</v>
      </c>
      <c r="K5760" s="65" t="str">
        <f t="shared" si="1"/>
        <v>In</v>
      </c>
    </row>
    <row r="5761">
      <c r="A5761" s="62" t="s">
        <v>5899</v>
      </c>
      <c r="B5761" s="63">
        <v>44348.0</v>
      </c>
      <c r="C5761" s="62" t="s">
        <v>119</v>
      </c>
      <c r="D5761" s="64">
        <v>47.5</v>
      </c>
      <c r="E5761" s="62" t="s">
        <v>109</v>
      </c>
      <c r="F5761" s="62" t="s">
        <v>115</v>
      </c>
      <c r="G5761" s="64" t="s">
        <v>60</v>
      </c>
      <c r="H5761" s="3" t="s">
        <v>67</v>
      </c>
      <c r="I5761" s="65">
        <f>IFERROR(VLOOKUP(A5761,'3. Call duration'!$A:$C,3,0),"--")</f>
        <v>31.90660097</v>
      </c>
      <c r="J5761" s="65" t="str">
        <f t="array" ref="J5761">XLOOKUP(H5761,'2. Matching'!$A$2:$A$39,'2. Matching'!$B$2:$B$39,"--")</f>
        <v>Acquisition</v>
      </c>
      <c r="K5761" s="65" t="str">
        <f t="shared" si="1"/>
        <v>In</v>
      </c>
    </row>
    <row r="5762">
      <c r="A5762" s="62" t="s">
        <v>5900</v>
      </c>
      <c r="B5762" s="63">
        <v>44336.0</v>
      </c>
      <c r="C5762" s="62" t="s">
        <v>119</v>
      </c>
      <c r="D5762" s="64">
        <v>47.5</v>
      </c>
      <c r="E5762" s="62" t="s">
        <v>109</v>
      </c>
      <c r="F5762" s="62" t="s">
        <v>115</v>
      </c>
      <c r="G5762" s="64" t="s">
        <v>64</v>
      </c>
      <c r="H5762" s="3" t="s">
        <v>164</v>
      </c>
      <c r="I5762" s="65">
        <f>IFERROR(VLOOKUP(A5762,'3. Call duration'!$A:$C,3,0),"--")</f>
        <v>32.2825739</v>
      </c>
      <c r="J5762" s="65" t="str">
        <f t="array" ref="J5762">XLOOKUP(H5762,'2. Matching'!$A$2:$A$39,'2. Matching'!$B$2:$B$39,"--")</f>
        <v>SEO</v>
      </c>
      <c r="K5762" s="65" t="str">
        <f t="shared" si="1"/>
        <v>In</v>
      </c>
    </row>
    <row r="5763">
      <c r="A5763" s="62" t="s">
        <v>5901</v>
      </c>
      <c r="B5763" s="63">
        <v>44375.0</v>
      </c>
      <c r="C5763" s="62" t="s">
        <v>119</v>
      </c>
      <c r="D5763" s="64">
        <v>47.5</v>
      </c>
      <c r="E5763" s="62" t="s">
        <v>109</v>
      </c>
      <c r="F5763" s="62" t="s">
        <v>110</v>
      </c>
      <c r="G5763" s="64" t="s">
        <v>60</v>
      </c>
      <c r="H5763" s="3" t="s">
        <v>68</v>
      </c>
      <c r="I5763" s="65">
        <f>IFERROR(VLOOKUP(A5763,'3. Call duration'!$A:$C,3,0),"--")</f>
        <v>27.11772098</v>
      </c>
      <c r="J5763" s="65" t="str">
        <f t="array" ref="J5763">XLOOKUP(H5763,'2. Matching'!$A$2:$A$39,'2. Matching'!$B$2:$B$39,"--")</f>
        <v>Acquisition</v>
      </c>
      <c r="K5763" s="65" t="str">
        <f t="shared" si="1"/>
        <v>In</v>
      </c>
    </row>
    <row r="5764">
      <c r="A5764" s="62" t="s">
        <v>5902</v>
      </c>
      <c r="B5764" s="63">
        <v>44354.0</v>
      </c>
      <c r="C5764" s="62" t="s">
        <v>119</v>
      </c>
      <c r="D5764" s="64">
        <v>47.5</v>
      </c>
      <c r="E5764" s="62" t="s">
        <v>109</v>
      </c>
      <c r="F5764" s="62" t="s">
        <v>115</v>
      </c>
      <c r="G5764" s="64" t="s">
        <v>64</v>
      </c>
      <c r="H5764" s="3" t="s">
        <v>145</v>
      </c>
      <c r="I5764" s="65">
        <f>IFERROR(VLOOKUP(A5764,'3. Call duration'!$A:$C,3,0),"--")</f>
        <v>27.93265617</v>
      </c>
      <c r="J5764" s="65" t="str">
        <f t="array" ref="J5764">XLOOKUP(H5764,'2. Matching'!$A$2:$A$39,'2. Matching'!$B$2:$B$39,"--")</f>
        <v>SEO</v>
      </c>
      <c r="K5764" s="65" t="str">
        <f t="shared" si="1"/>
        <v>In</v>
      </c>
    </row>
    <row r="5765">
      <c r="A5765" s="62" t="s">
        <v>5903</v>
      </c>
      <c r="B5765" s="63">
        <v>44319.0</v>
      </c>
      <c r="C5765" s="62" t="s">
        <v>119</v>
      </c>
      <c r="D5765" s="64">
        <v>47.5</v>
      </c>
      <c r="E5765" s="62" t="s">
        <v>109</v>
      </c>
      <c r="F5765" s="62" t="s">
        <v>115</v>
      </c>
      <c r="G5765" s="64" t="s">
        <v>63</v>
      </c>
      <c r="H5765" s="3" t="s">
        <v>128</v>
      </c>
      <c r="I5765" s="65">
        <f>IFERROR(VLOOKUP(A5765,'3. Call duration'!$A:$C,3,0),"--")</f>
        <v>32.29066669</v>
      </c>
      <c r="J5765" s="65" t="str">
        <f t="array" ref="J5765">XLOOKUP(H5765,'2. Matching'!$A$2:$A$39,'2. Matching'!$B$2:$B$39,"--")</f>
        <v>Acquisition</v>
      </c>
      <c r="K5765" s="65" t="str">
        <f t="shared" si="1"/>
        <v>In</v>
      </c>
    </row>
    <row r="5766">
      <c r="A5766" s="62" t="s">
        <v>5904</v>
      </c>
      <c r="B5766" s="63">
        <v>44356.0</v>
      </c>
      <c r="C5766" s="62" t="s">
        <v>119</v>
      </c>
      <c r="D5766" s="64">
        <v>47.5</v>
      </c>
      <c r="E5766" s="62" t="s">
        <v>109</v>
      </c>
      <c r="F5766" s="62" t="s">
        <v>110</v>
      </c>
      <c r="G5766" s="64" t="s">
        <v>60</v>
      </c>
      <c r="H5766" s="3" t="s">
        <v>68</v>
      </c>
      <c r="I5766" s="65">
        <f>IFERROR(VLOOKUP(A5766,'3. Call duration'!$A:$C,3,0),"--")</f>
        <v>20.96156501</v>
      </c>
      <c r="J5766" s="65" t="str">
        <f t="array" ref="J5766">XLOOKUP(H5766,'2. Matching'!$A$2:$A$39,'2. Matching'!$B$2:$B$39,"--")</f>
        <v>Acquisition</v>
      </c>
      <c r="K5766" s="65" t="str">
        <f t="shared" si="1"/>
        <v>In</v>
      </c>
    </row>
    <row r="5767">
      <c r="A5767" s="62" t="s">
        <v>5905</v>
      </c>
      <c r="B5767" s="63">
        <v>44335.0</v>
      </c>
      <c r="C5767" s="62" t="s">
        <v>119</v>
      </c>
      <c r="D5767" s="64">
        <v>47.5</v>
      </c>
      <c r="E5767" s="62" t="s">
        <v>109</v>
      </c>
      <c r="F5767" s="62" t="s">
        <v>115</v>
      </c>
      <c r="G5767" s="64" t="s">
        <v>64</v>
      </c>
      <c r="H5767" s="3" t="s">
        <v>185</v>
      </c>
      <c r="I5767" s="65">
        <f>IFERROR(VLOOKUP(A5767,'3. Call duration'!$A:$C,3,0),"--")</f>
        <v>32.29456694</v>
      </c>
      <c r="J5767" s="65" t="str">
        <f t="array" ref="J5767">XLOOKUP(H5767,'2. Matching'!$A$2:$A$39,'2. Matching'!$B$2:$B$39,"--")</f>
        <v>SEO</v>
      </c>
      <c r="K5767" s="65" t="str">
        <f t="shared" si="1"/>
        <v>In</v>
      </c>
    </row>
    <row r="5768">
      <c r="A5768" s="62" t="s">
        <v>5906</v>
      </c>
      <c r="B5768" s="63">
        <v>44343.0</v>
      </c>
      <c r="C5768" s="62" t="s">
        <v>119</v>
      </c>
      <c r="D5768" s="64">
        <v>47.5</v>
      </c>
      <c r="E5768" s="62" t="s">
        <v>109</v>
      </c>
      <c r="F5768" s="62" t="s">
        <v>115</v>
      </c>
      <c r="G5768" s="64" t="s">
        <v>64</v>
      </c>
      <c r="H5768" s="3" t="s">
        <v>164</v>
      </c>
      <c r="I5768" s="65">
        <f>IFERROR(VLOOKUP(A5768,'3. Call duration'!$A:$C,3,0),"--")</f>
        <v>32.34081938</v>
      </c>
      <c r="J5768" s="65" t="str">
        <f t="array" ref="J5768">XLOOKUP(H5768,'2. Matching'!$A$2:$A$39,'2. Matching'!$B$2:$B$39,"--")</f>
        <v>SEO</v>
      </c>
      <c r="K5768" s="65" t="str">
        <f t="shared" si="1"/>
        <v>In</v>
      </c>
    </row>
    <row r="5769">
      <c r="A5769" s="62" t="s">
        <v>5907</v>
      </c>
      <c r="B5769" s="63">
        <v>44341.0</v>
      </c>
      <c r="C5769" s="62" t="s">
        <v>108</v>
      </c>
      <c r="D5769" s="64">
        <v>0.0</v>
      </c>
      <c r="E5769" s="62" t="s">
        <v>109</v>
      </c>
      <c r="F5769" s="62" t="s">
        <v>115</v>
      </c>
      <c r="G5769" s="64" t="s">
        <v>63</v>
      </c>
      <c r="H5769" s="3" t="s">
        <v>183</v>
      </c>
      <c r="I5769" s="65">
        <f>IFERROR(VLOOKUP(A5769,'3. Call duration'!$A:$C,3,0),"--")</f>
        <v>32.34545778</v>
      </c>
      <c r="J5769" s="65" t="str">
        <f t="array" ref="J5769">XLOOKUP(H5769,'2. Matching'!$A$2:$A$39,'2. Matching'!$B$2:$B$39,"--")</f>
        <v>SEO</v>
      </c>
      <c r="K5769" s="65" t="str">
        <f t="shared" si="1"/>
        <v>In</v>
      </c>
    </row>
    <row r="5770">
      <c r="A5770" s="62" t="s">
        <v>5908</v>
      </c>
      <c r="B5770" s="63">
        <v>44331.0</v>
      </c>
      <c r="C5770" s="62" t="s">
        <v>119</v>
      </c>
      <c r="D5770" s="64">
        <v>47.5</v>
      </c>
      <c r="E5770" s="62" t="s">
        <v>109</v>
      </c>
      <c r="F5770" s="62" t="s">
        <v>115</v>
      </c>
      <c r="G5770" s="64" t="s">
        <v>59</v>
      </c>
      <c r="H5770" s="3" t="s">
        <v>68</v>
      </c>
      <c r="I5770" s="65">
        <f>IFERROR(VLOOKUP(A5770,'3. Call duration'!$A:$C,3,0),"--")</f>
        <v>32.35242872</v>
      </c>
      <c r="J5770" s="65" t="str">
        <f t="array" ref="J5770">XLOOKUP(H5770,'2. Matching'!$A$2:$A$39,'2. Matching'!$B$2:$B$39,"--")</f>
        <v>Acquisition</v>
      </c>
      <c r="K5770" s="65" t="str">
        <f t="shared" si="1"/>
        <v>In</v>
      </c>
    </row>
    <row r="5771">
      <c r="A5771" s="62" t="s">
        <v>5909</v>
      </c>
      <c r="B5771" s="63">
        <v>44372.0</v>
      </c>
      <c r="C5771" s="62" t="s">
        <v>119</v>
      </c>
      <c r="D5771" s="64">
        <v>47.5</v>
      </c>
      <c r="E5771" s="62" t="s">
        <v>109</v>
      </c>
      <c r="F5771" s="62" t="s">
        <v>115</v>
      </c>
      <c r="G5771" s="64" t="s">
        <v>59</v>
      </c>
      <c r="H5771" s="3" t="s">
        <v>68</v>
      </c>
      <c r="I5771" s="65">
        <f>IFERROR(VLOOKUP(A5771,'3. Call duration'!$A:$C,3,0),"--")</f>
        <v>29.97077389</v>
      </c>
      <c r="J5771" s="65" t="str">
        <f t="array" ref="J5771">XLOOKUP(H5771,'2. Matching'!$A$2:$A$39,'2. Matching'!$B$2:$B$39,"--")</f>
        <v>Acquisition</v>
      </c>
      <c r="K5771" s="65" t="str">
        <f t="shared" si="1"/>
        <v>In</v>
      </c>
    </row>
    <row r="5772">
      <c r="A5772" s="62" t="s">
        <v>5910</v>
      </c>
      <c r="B5772" s="63">
        <v>44328.0</v>
      </c>
      <c r="C5772" s="62" t="s">
        <v>119</v>
      </c>
      <c r="D5772" s="64">
        <v>47.5</v>
      </c>
      <c r="E5772" s="62" t="s">
        <v>109</v>
      </c>
      <c r="F5772" s="62" t="s">
        <v>110</v>
      </c>
      <c r="G5772" s="64" t="s">
        <v>64</v>
      </c>
      <c r="H5772" s="3" t="s">
        <v>185</v>
      </c>
      <c r="I5772" s="65">
        <f>IFERROR(VLOOKUP(A5772,'3. Call duration'!$A:$C,3,0),"--")</f>
        <v>32.37655793</v>
      </c>
      <c r="J5772" s="65" t="str">
        <f t="array" ref="J5772">XLOOKUP(H5772,'2. Matching'!$A$2:$A$39,'2. Matching'!$B$2:$B$39,"--")</f>
        <v>SEO</v>
      </c>
      <c r="K5772" s="65" t="str">
        <f t="shared" si="1"/>
        <v>In</v>
      </c>
    </row>
    <row r="5773">
      <c r="A5773" s="62" t="s">
        <v>5911</v>
      </c>
      <c r="B5773" s="63">
        <v>44376.0</v>
      </c>
      <c r="C5773" s="62" t="s">
        <v>119</v>
      </c>
      <c r="D5773" s="64">
        <v>47.5</v>
      </c>
      <c r="E5773" s="62" t="s">
        <v>109</v>
      </c>
      <c r="F5773" s="62" t="s">
        <v>115</v>
      </c>
      <c r="G5773" s="64" t="s">
        <v>64</v>
      </c>
      <c r="H5773" s="3" t="s">
        <v>139</v>
      </c>
      <c r="I5773" s="65">
        <f>IFERROR(VLOOKUP(A5773,'3. Call duration'!$A:$C,3,0),"--")</f>
        <v>23.34491741</v>
      </c>
      <c r="J5773" s="65" t="str">
        <f t="array" ref="J5773">XLOOKUP(H5773,'2. Matching'!$A$2:$A$39,'2. Matching'!$B$2:$B$39,"--")</f>
        <v>Acquisition</v>
      </c>
      <c r="K5773" s="65" t="str">
        <f t="shared" si="1"/>
        <v>In</v>
      </c>
    </row>
    <row r="5774">
      <c r="A5774" s="62" t="s">
        <v>5912</v>
      </c>
      <c r="B5774" s="63">
        <v>44342.0</v>
      </c>
      <c r="C5774" s="62" t="s">
        <v>119</v>
      </c>
      <c r="D5774" s="64">
        <v>47.5</v>
      </c>
      <c r="E5774" s="62" t="s">
        <v>109</v>
      </c>
      <c r="F5774" s="62" t="s">
        <v>110</v>
      </c>
      <c r="G5774" s="64" t="s">
        <v>64</v>
      </c>
      <c r="H5774" s="3" t="s">
        <v>116</v>
      </c>
      <c r="I5774" s="65">
        <f>IFERROR(VLOOKUP(A5774,'3. Call duration'!$A:$C,3,0),"--")</f>
        <v>32.38951504</v>
      </c>
      <c r="J5774" s="65" t="str">
        <f t="array" ref="J5774">XLOOKUP(H5774,'2. Matching'!$A$2:$A$39,'2. Matching'!$B$2:$B$39,"--")</f>
        <v>Acquisition</v>
      </c>
      <c r="K5774" s="65" t="str">
        <f t="shared" si="1"/>
        <v>In</v>
      </c>
    </row>
    <row r="5775">
      <c r="A5775" s="62" t="s">
        <v>5913</v>
      </c>
      <c r="B5775" s="63">
        <v>44370.0</v>
      </c>
      <c r="C5775" s="62" t="s">
        <v>119</v>
      </c>
      <c r="D5775" s="64">
        <v>47.5</v>
      </c>
      <c r="E5775" s="62" t="s">
        <v>109</v>
      </c>
      <c r="F5775" s="62" t="s">
        <v>115</v>
      </c>
      <c r="G5775" s="64" t="s">
        <v>60</v>
      </c>
      <c r="H5775" s="3" t="s">
        <v>68</v>
      </c>
      <c r="I5775" s="65">
        <f>IFERROR(VLOOKUP(A5775,'3. Call duration'!$A:$C,3,0),"--")</f>
        <v>21.77944691</v>
      </c>
      <c r="J5775" s="65" t="str">
        <f t="array" ref="J5775">XLOOKUP(H5775,'2. Matching'!$A$2:$A$39,'2. Matching'!$B$2:$B$39,"--")</f>
        <v>Acquisition</v>
      </c>
      <c r="K5775" s="65" t="str">
        <f t="shared" si="1"/>
        <v>In</v>
      </c>
    </row>
    <row r="5776">
      <c r="A5776" s="62" t="s">
        <v>5914</v>
      </c>
      <c r="B5776" s="63">
        <v>44347.0</v>
      </c>
      <c r="C5776" s="62" t="s">
        <v>108</v>
      </c>
      <c r="D5776" s="64">
        <v>0.0</v>
      </c>
      <c r="E5776" s="62" t="s">
        <v>114</v>
      </c>
      <c r="F5776" s="62" t="s">
        <v>110</v>
      </c>
      <c r="G5776" s="64" t="s">
        <v>63</v>
      </c>
      <c r="H5776" s="3" t="s">
        <v>128</v>
      </c>
      <c r="I5776" s="65">
        <f>IFERROR(VLOOKUP(A5776,'3. Call duration'!$A:$C,3,0),"--")</f>
        <v>32.41514089</v>
      </c>
      <c r="J5776" s="65" t="str">
        <f t="array" ref="J5776">XLOOKUP(H5776,'2. Matching'!$A$2:$A$39,'2. Matching'!$B$2:$B$39,"--")</f>
        <v>Acquisition</v>
      </c>
      <c r="K5776" s="65" t="str">
        <f t="shared" si="1"/>
        <v>In</v>
      </c>
    </row>
    <row r="5777">
      <c r="A5777" s="62" t="s">
        <v>5915</v>
      </c>
      <c r="B5777" s="63">
        <v>44350.0</v>
      </c>
      <c r="C5777" s="62" t="s">
        <v>119</v>
      </c>
      <c r="D5777" s="64">
        <v>47.5</v>
      </c>
      <c r="E5777" s="62" t="s">
        <v>109</v>
      </c>
      <c r="F5777" s="62" t="s">
        <v>115</v>
      </c>
      <c r="G5777" s="64" t="s">
        <v>64</v>
      </c>
      <c r="H5777" s="3" t="s">
        <v>54</v>
      </c>
      <c r="I5777" s="65">
        <f>IFERROR(VLOOKUP(A5777,'3. Call duration'!$A:$C,3,0),"--")</f>
        <v>27.07166581</v>
      </c>
      <c r="J5777" s="65" t="str">
        <f t="array" ref="J5777">XLOOKUP(H5777,'2. Matching'!$A$2:$A$39,'2. Matching'!$B$2:$B$39,"--")</f>
        <v>Partnerships</v>
      </c>
      <c r="K5777" s="65" t="str">
        <f t="shared" si="1"/>
        <v>In</v>
      </c>
    </row>
    <row r="5778">
      <c r="A5778" s="62" t="s">
        <v>5916</v>
      </c>
      <c r="B5778" s="63">
        <v>44347.0</v>
      </c>
      <c r="C5778" s="62" t="s">
        <v>119</v>
      </c>
      <c r="D5778" s="64">
        <v>47.5</v>
      </c>
      <c r="E5778" s="62" t="s">
        <v>109</v>
      </c>
      <c r="F5778" s="62" t="s">
        <v>115</v>
      </c>
      <c r="G5778" s="64" t="s">
        <v>64</v>
      </c>
      <c r="H5778" s="3" t="s">
        <v>164</v>
      </c>
      <c r="I5778" s="65">
        <f>IFERROR(VLOOKUP(A5778,'3. Call duration'!$A:$C,3,0),"--")</f>
        <v>32.43233699</v>
      </c>
      <c r="J5778" s="65" t="str">
        <f t="array" ref="J5778">XLOOKUP(H5778,'2. Matching'!$A$2:$A$39,'2. Matching'!$B$2:$B$39,"--")</f>
        <v>SEO</v>
      </c>
      <c r="K5778" s="65" t="str">
        <f t="shared" si="1"/>
        <v>In</v>
      </c>
    </row>
    <row r="5779">
      <c r="A5779" s="62" t="s">
        <v>5917</v>
      </c>
      <c r="B5779" s="63">
        <v>44351.0</v>
      </c>
      <c r="C5779" s="62" t="s">
        <v>119</v>
      </c>
      <c r="D5779" s="64">
        <v>47.5</v>
      </c>
      <c r="E5779" s="62" t="s">
        <v>109</v>
      </c>
      <c r="F5779" s="62" t="s">
        <v>115</v>
      </c>
      <c r="G5779" s="64" t="s">
        <v>63</v>
      </c>
      <c r="H5779" s="3" t="s">
        <v>189</v>
      </c>
      <c r="I5779" s="65">
        <f>IFERROR(VLOOKUP(A5779,'3. Call duration'!$A:$C,3,0),"--")</f>
        <v>33.61598378</v>
      </c>
      <c r="J5779" s="65" t="str">
        <f t="array" ref="J5779">XLOOKUP(H5779,'2. Matching'!$A$2:$A$39,'2. Matching'!$B$2:$B$39,"--")</f>
        <v>SEO</v>
      </c>
      <c r="K5779" s="65" t="str">
        <f t="shared" si="1"/>
        <v>Out</v>
      </c>
    </row>
    <row r="5780">
      <c r="A5780" s="62" t="s">
        <v>5918</v>
      </c>
      <c r="B5780" s="63">
        <v>44336.0</v>
      </c>
      <c r="C5780" s="62" t="s">
        <v>119</v>
      </c>
      <c r="D5780" s="64">
        <v>47.5</v>
      </c>
      <c r="E5780" s="62" t="s">
        <v>109</v>
      </c>
      <c r="F5780" s="62" t="s">
        <v>115</v>
      </c>
      <c r="G5780" s="64" t="s">
        <v>64</v>
      </c>
      <c r="H5780" s="3" t="s">
        <v>169</v>
      </c>
      <c r="I5780" s="65">
        <f>IFERROR(VLOOKUP(A5780,'3. Call duration'!$A:$C,3,0),"--")</f>
        <v>32.43276285</v>
      </c>
      <c r="J5780" s="65" t="str">
        <f t="array" ref="J5780">XLOOKUP(H5780,'2. Matching'!$A$2:$A$39,'2. Matching'!$B$2:$B$39,"--")</f>
        <v>SEO</v>
      </c>
      <c r="K5780" s="65" t="str">
        <f t="shared" si="1"/>
        <v>In</v>
      </c>
    </row>
    <row r="5781">
      <c r="A5781" s="62" t="s">
        <v>5919</v>
      </c>
      <c r="B5781" s="63">
        <v>44371.0</v>
      </c>
      <c r="C5781" s="62" t="s">
        <v>119</v>
      </c>
      <c r="D5781" s="64">
        <v>47.5</v>
      </c>
      <c r="E5781" s="62" t="s">
        <v>109</v>
      </c>
      <c r="F5781" s="62" t="s">
        <v>110</v>
      </c>
      <c r="G5781" s="64" t="s">
        <v>60</v>
      </c>
      <c r="H5781" s="3" t="s">
        <v>67</v>
      </c>
      <c r="I5781" s="65">
        <f>IFERROR(VLOOKUP(A5781,'3. Call duration'!$A:$C,3,0),"--")</f>
        <v>25.44026015</v>
      </c>
      <c r="J5781" s="65" t="str">
        <f t="array" ref="J5781">XLOOKUP(H5781,'2. Matching'!$A$2:$A$39,'2. Matching'!$B$2:$B$39,"--")</f>
        <v>Acquisition</v>
      </c>
      <c r="K5781" s="65" t="str">
        <f t="shared" si="1"/>
        <v>In</v>
      </c>
    </row>
    <row r="5782">
      <c r="A5782" s="62" t="s">
        <v>5920</v>
      </c>
      <c r="B5782" s="63">
        <v>44356.0</v>
      </c>
      <c r="C5782" s="62" t="s">
        <v>119</v>
      </c>
      <c r="D5782" s="64">
        <v>47.5</v>
      </c>
      <c r="E5782" s="62" t="s">
        <v>109</v>
      </c>
      <c r="F5782" s="62" t="s">
        <v>115</v>
      </c>
      <c r="G5782" s="64" t="s">
        <v>64</v>
      </c>
      <c r="H5782" s="3" t="s">
        <v>185</v>
      </c>
      <c r="I5782" s="65">
        <f>IFERROR(VLOOKUP(A5782,'3. Call duration'!$A:$C,3,0),"--")</f>
        <v>26.70753662</v>
      </c>
      <c r="J5782" s="65" t="str">
        <f t="array" ref="J5782">XLOOKUP(H5782,'2. Matching'!$A$2:$A$39,'2. Matching'!$B$2:$B$39,"--")</f>
        <v>SEO</v>
      </c>
      <c r="K5782" s="65" t="str">
        <f t="shared" si="1"/>
        <v>In</v>
      </c>
    </row>
    <row r="5783">
      <c r="A5783" s="62" t="s">
        <v>5921</v>
      </c>
      <c r="B5783" s="63">
        <v>44343.0</v>
      </c>
      <c r="C5783" s="62" t="s">
        <v>119</v>
      </c>
      <c r="D5783" s="64">
        <v>47.5</v>
      </c>
      <c r="E5783" s="62" t="s">
        <v>109</v>
      </c>
      <c r="F5783" s="62" t="s">
        <v>110</v>
      </c>
      <c r="G5783" s="64" t="s">
        <v>64</v>
      </c>
      <c r="H5783" s="3" t="s">
        <v>297</v>
      </c>
      <c r="I5783" s="65">
        <f>IFERROR(VLOOKUP(A5783,'3. Call duration'!$A:$C,3,0),"--")</f>
        <v>32.43704798</v>
      </c>
      <c r="J5783" s="65" t="str">
        <f t="array" ref="J5783">XLOOKUP(H5783,'2. Matching'!$A$2:$A$39,'2. Matching'!$B$2:$B$39,"--")</f>
        <v>Farming</v>
      </c>
      <c r="K5783" s="65" t="str">
        <f t="shared" si="1"/>
        <v>In</v>
      </c>
    </row>
    <row r="5784">
      <c r="A5784" s="62" t="s">
        <v>5922</v>
      </c>
      <c r="B5784" s="63">
        <v>44377.0</v>
      </c>
      <c r="C5784" s="62" t="s">
        <v>119</v>
      </c>
      <c r="D5784" s="64">
        <v>47.5</v>
      </c>
      <c r="E5784" s="62" t="s">
        <v>109</v>
      </c>
      <c r="F5784" s="62" t="s">
        <v>115</v>
      </c>
      <c r="G5784" s="64" t="s">
        <v>60</v>
      </c>
      <c r="H5784" s="3" t="s">
        <v>68</v>
      </c>
      <c r="I5784" s="65">
        <f>IFERROR(VLOOKUP(A5784,'3. Call duration'!$A:$C,3,0),"--")</f>
        <v>23.37211131</v>
      </c>
      <c r="J5784" s="65" t="str">
        <f t="array" ref="J5784">XLOOKUP(H5784,'2. Matching'!$A$2:$A$39,'2. Matching'!$B$2:$B$39,"--")</f>
        <v>Acquisition</v>
      </c>
      <c r="K5784" s="65" t="str">
        <f t="shared" si="1"/>
        <v>In</v>
      </c>
    </row>
    <row r="5785">
      <c r="A5785" s="62" t="s">
        <v>5923</v>
      </c>
      <c r="B5785" s="63">
        <v>44343.0</v>
      </c>
      <c r="C5785" s="62" t="s">
        <v>119</v>
      </c>
      <c r="D5785" s="64">
        <v>47.5</v>
      </c>
      <c r="E5785" s="62" t="s">
        <v>109</v>
      </c>
      <c r="F5785" s="62" t="s">
        <v>110</v>
      </c>
      <c r="G5785" s="64" t="s">
        <v>63</v>
      </c>
      <c r="H5785" s="3" t="s">
        <v>128</v>
      </c>
      <c r="I5785" s="65">
        <f>IFERROR(VLOOKUP(A5785,'3. Call duration'!$A:$C,3,0),"--")</f>
        <v>32.4462775</v>
      </c>
      <c r="J5785" s="65" t="str">
        <f t="array" ref="J5785">XLOOKUP(H5785,'2. Matching'!$A$2:$A$39,'2. Matching'!$B$2:$B$39,"--")</f>
        <v>Acquisition</v>
      </c>
      <c r="K5785" s="65" t="str">
        <f t="shared" si="1"/>
        <v>In</v>
      </c>
    </row>
    <row r="5786">
      <c r="A5786" s="62" t="s">
        <v>5924</v>
      </c>
      <c r="B5786" s="63">
        <v>44371.0</v>
      </c>
      <c r="C5786" s="62" t="s">
        <v>119</v>
      </c>
      <c r="D5786" s="64">
        <v>47.5</v>
      </c>
      <c r="E5786" s="62" t="s">
        <v>109</v>
      </c>
      <c r="F5786" s="62" t="s">
        <v>115</v>
      </c>
      <c r="G5786" s="64" t="s">
        <v>64</v>
      </c>
      <c r="H5786" s="3" t="s">
        <v>139</v>
      </c>
      <c r="I5786" s="65" t="str">
        <f>IFERROR(VLOOKUP(A5786,'3. Call duration'!$A:$C,3,0),"--")</f>
        <v>--</v>
      </c>
      <c r="J5786" s="65" t="str">
        <f t="array" ref="J5786">XLOOKUP(H5786,'2. Matching'!$A$2:$A$39,'2. Matching'!$B$2:$B$39,"--")</f>
        <v>Acquisition</v>
      </c>
      <c r="K5786" s="65" t="str">
        <f t="shared" si="1"/>
        <v>In</v>
      </c>
    </row>
    <row r="5787">
      <c r="A5787" s="62" t="s">
        <v>5925</v>
      </c>
      <c r="B5787" s="63">
        <v>44364.0</v>
      </c>
      <c r="C5787" s="62" t="s">
        <v>119</v>
      </c>
      <c r="D5787" s="64">
        <v>47.5</v>
      </c>
      <c r="E5787" s="62" t="s">
        <v>109</v>
      </c>
      <c r="F5787" s="62" t="s">
        <v>110</v>
      </c>
      <c r="G5787" s="64" t="s">
        <v>60</v>
      </c>
      <c r="H5787" s="3" t="s">
        <v>67</v>
      </c>
      <c r="I5787" s="65">
        <f>IFERROR(VLOOKUP(A5787,'3. Call duration'!$A:$C,3,0),"--")</f>
        <v>24.30677536</v>
      </c>
      <c r="J5787" s="65" t="str">
        <f t="array" ref="J5787">XLOOKUP(H5787,'2. Matching'!$A$2:$A$39,'2. Matching'!$B$2:$B$39,"--")</f>
        <v>Acquisition</v>
      </c>
      <c r="K5787" s="65" t="str">
        <f t="shared" si="1"/>
        <v>In</v>
      </c>
    </row>
    <row r="5788">
      <c r="A5788" s="62" t="s">
        <v>5926</v>
      </c>
      <c r="B5788" s="63">
        <v>44322.0</v>
      </c>
      <c r="C5788" s="62" t="s">
        <v>119</v>
      </c>
      <c r="D5788" s="64">
        <v>47.5</v>
      </c>
      <c r="E5788" s="62" t="s">
        <v>109</v>
      </c>
      <c r="F5788" s="62" t="s">
        <v>110</v>
      </c>
      <c r="G5788" s="64" t="s">
        <v>63</v>
      </c>
      <c r="H5788" s="3" t="s">
        <v>128</v>
      </c>
      <c r="I5788" s="65">
        <f>IFERROR(VLOOKUP(A5788,'3. Call duration'!$A:$C,3,0),"--")</f>
        <v>32.447529</v>
      </c>
      <c r="J5788" s="65" t="str">
        <f t="array" ref="J5788">XLOOKUP(H5788,'2. Matching'!$A$2:$A$39,'2. Matching'!$B$2:$B$39,"--")</f>
        <v>Acquisition</v>
      </c>
      <c r="K5788" s="65" t="str">
        <f t="shared" si="1"/>
        <v>In</v>
      </c>
    </row>
    <row r="5789">
      <c r="A5789" s="62" t="s">
        <v>5927</v>
      </c>
      <c r="B5789" s="63">
        <v>44351.0</v>
      </c>
      <c r="C5789" s="62" t="s">
        <v>119</v>
      </c>
      <c r="D5789" s="64">
        <v>47.5</v>
      </c>
      <c r="E5789" s="62" t="s">
        <v>109</v>
      </c>
      <c r="F5789" s="62" t="s">
        <v>115</v>
      </c>
      <c r="G5789" s="64" t="s">
        <v>64</v>
      </c>
      <c r="H5789" s="3" t="s">
        <v>164</v>
      </c>
      <c r="I5789" s="65" t="str">
        <f>IFERROR(VLOOKUP(A5789,'3. Call duration'!$A:$C,3,0),"--")</f>
        <v>--</v>
      </c>
      <c r="J5789" s="65" t="str">
        <f t="array" ref="J5789">XLOOKUP(H5789,'2. Matching'!$A$2:$A$39,'2. Matching'!$B$2:$B$39,"--")</f>
        <v>SEO</v>
      </c>
      <c r="K5789" s="65" t="str">
        <f t="shared" si="1"/>
        <v>In</v>
      </c>
    </row>
    <row r="5790">
      <c r="A5790" s="62" t="s">
        <v>5928</v>
      </c>
      <c r="B5790" s="63">
        <v>44368.0</v>
      </c>
      <c r="C5790" s="62" t="s">
        <v>119</v>
      </c>
      <c r="D5790" s="64">
        <v>47.5</v>
      </c>
      <c r="E5790" s="62" t="s">
        <v>109</v>
      </c>
      <c r="F5790" s="62" t="s">
        <v>115</v>
      </c>
      <c r="G5790" s="64" t="s">
        <v>63</v>
      </c>
      <c r="H5790" s="3" t="s">
        <v>183</v>
      </c>
      <c r="I5790" s="65">
        <f>IFERROR(VLOOKUP(A5790,'3. Call duration'!$A:$C,3,0),"--")</f>
        <v>24.62055743</v>
      </c>
      <c r="J5790" s="65" t="str">
        <f t="array" ref="J5790">XLOOKUP(H5790,'2. Matching'!$A$2:$A$39,'2. Matching'!$B$2:$B$39,"--")</f>
        <v>SEO</v>
      </c>
      <c r="K5790" s="65" t="str">
        <f t="shared" si="1"/>
        <v>In</v>
      </c>
    </row>
    <row r="5791">
      <c r="A5791" s="62" t="s">
        <v>5929</v>
      </c>
      <c r="B5791" s="63">
        <v>44375.0</v>
      </c>
      <c r="C5791" s="62" t="s">
        <v>119</v>
      </c>
      <c r="D5791" s="64">
        <v>47.5</v>
      </c>
      <c r="E5791" s="62" t="s">
        <v>109</v>
      </c>
      <c r="F5791" s="62" t="s">
        <v>110</v>
      </c>
      <c r="G5791" s="64" t="s">
        <v>60</v>
      </c>
      <c r="H5791" s="3" t="s">
        <v>68</v>
      </c>
      <c r="I5791" s="65">
        <f>IFERROR(VLOOKUP(A5791,'3. Call duration'!$A:$C,3,0),"--")</f>
        <v>30.00554948</v>
      </c>
      <c r="J5791" s="65" t="str">
        <f t="array" ref="J5791">XLOOKUP(H5791,'2. Matching'!$A$2:$A$39,'2. Matching'!$B$2:$B$39,"--")</f>
        <v>Acquisition</v>
      </c>
      <c r="K5791" s="65" t="str">
        <f t="shared" si="1"/>
        <v>In</v>
      </c>
    </row>
    <row r="5792">
      <c r="A5792" s="62" t="s">
        <v>5930</v>
      </c>
      <c r="B5792" s="63">
        <v>44327.0</v>
      </c>
      <c r="C5792" s="62" t="s">
        <v>119</v>
      </c>
      <c r="D5792" s="64">
        <v>95.0</v>
      </c>
      <c r="E5792" s="62" t="s">
        <v>114</v>
      </c>
      <c r="F5792" s="62" t="s">
        <v>110</v>
      </c>
      <c r="G5792" s="64" t="s">
        <v>59</v>
      </c>
      <c r="H5792" s="3" t="s">
        <v>68</v>
      </c>
      <c r="I5792" s="65">
        <f>IFERROR(VLOOKUP(A5792,'3. Call duration'!$A:$C,3,0),"--")</f>
        <v>32.45470191</v>
      </c>
      <c r="J5792" s="65" t="str">
        <f t="array" ref="J5792">XLOOKUP(H5792,'2. Matching'!$A$2:$A$39,'2. Matching'!$B$2:$B$39,"--")</f>
        <v>Acquisition</v>
      </c>
      <c r="K5792" s="65" t="str">
        <f t="shared" si="1"/>
        <v>In</v>
      </c>
    </row>
    <row r="5793">
      <c r="A5793" s="62" t="s">
        <v>5931</v>
      </c>
      <c r="B5793" s="63">
        <v>44362.0</v>
      </c>
      <c r="C5793" s="62" t="s">
        <v>119</v>
      </c>
      <c r="D5793" s="64">
        <v>47.5</v>
      </c>
      <c r="E5793" s="62" t="s">
        <v>109</v>
      </c>
      <c r="F5793" s="62" t="s">
        <v>110</v>
      </c>
      <c r="G5793" s="64" t="s">
        <v>60</v>
      </c>
      <c r="H5793" s="3" t="s">
        <v>68</v>
      </c>
      <c r="I5793" s="65">
        <f>IFERROR(VLOOKUP(A5793,'3. Call duration'!$A:$C,3,0),"--")</f>
        <v>30.1001776</v>
      </c>
      <c r="J5793" s="65" t="str">
        <f t="array" ref="J5793">XLOOKUP(H5793,'2. Matching'!$A$2:$A$39,'2. Matching'!$B$2:$B$39,"--")</f>
        <v>Acquisition</v>
      </c>
      <c r="K5793" s="65" t="str">
        <f t="shared" si="1"/>
        <v>In</v>
      </c>
    </row>
    <row r="5794">
      <c r="A5794" s="62" t="s">
        <v>5932</v>
      </c>
      <c r="B5794" s="63">
        <v>44320.0</v>
      </c>
      <c r="C5794" s="62" t="s">
        <v>119</v>
      </c>
      <c r="D5794" s="64">
        <v>47.5</v>
      </c>
      <c r="E5794" s="62" t="s">
        <v>109</v>
      </c>
      <c r="F5794" s="62" t="s">
        <v>115</v>
      </c>
      <c r="G5794" s="64" t="s">
        <v>64</v>
      </c>
      <c r="H5794" s="3" t="s">
        <v>131</v>
      </c>
      <c r="I5794" s="65">
        <f>IFERROR(VLOOKUP(A5794,'3. Call duration'!$A:$C,3,0),"--")</f>
        <v>32.52736383</v>
      </c>
      <c r="J5794" s="65" t="str">
        <f t="array" ref="J5794">XLOOKUP(H5794,'2. Matching'!$A$2:$A$39,'2. Matching'!$B$2:$B$39,"--")</f>
        <v>Acquisition</v>
      </c>
      <c r="K5794" s="65" t="str">
        <f t="shared" si="1"/>
        <v>In</v>
      </c>
    </row>
    <row r="5795">
      <c r="A5795" s="62" t="s">
        <v>5933</v>
      </c>
      <c r="B5795" s="63">
        <v>44365.0</v>
      </c>
      <c r="C5795" s="62" t="s">
        <v>119</v>
      </c>
      <c r="D5795" s="64">
        <v>47.5</v>
      </c>
      <c r="E5795" s="62" t="s">
        <v>109</v>
      </c>
      <c r="F5795" s="62" t="s">
        <v>115</v>
      </c>
      <c r="G5795" s="64" t="s">
        <v>59</v>
      </c>
      <c r="H5795" s="3" t="s">
        <v>68</v>
      </c>
      <c r="I5795" s="65">
        <f>IFERROR(VLOOKUP(A5795,'3. Call duration'!$A:$C,3,0),"--")</f>
        <v>24.7214215</v>
      </c>
      <c r="J5795" s="65" t="str">
        <f t="array" ref="J5795">XLOOKUP(H5795,'2. Matching'!$A$2:$A$39,'2. Matching'!$B$2:$B$39,"--")</f>
        <v>Acquisition</v>
      </c>
      <c r="K5795" s="65" t="str">
        <f t="shared" si="1"/>
        <v>In</v>
      </c>
    </row>
    <row r="5796">
      <c r="A5796" s="62" t="s">
        <v>5934</v>
      </c>
      <c r="B5796" s="63">
        <v>44375.0</v>
      </c>
      <c r="C5796" s="62" t="s">
        <v>119</v>
      </c>
      <c r="D5796" s="64">
        <v>47.5</v>
      </c>
      <c r="E5796" s="62" t="s">
        <v>109</v>
      </c>
      <c r="F5796" s="62" t="s">
        <v>115</v>
      </c>
      <c r="G5796" s="64" t="s">
        <v>64</v>
      </c>
      <c r="H5796" s="3" t="s">
        <v>169</v>
      </c>
      <c r="I5796" s="65">
        <f>IFERROR(VLOOKUP(A5796,'3. Call duration'!$A:$C,3,0),"--")</f>
        <v>35.88562095</v>
      </c>
      <c r="J5796" s="65" t="str">
        <f t="array" ref="J5796">XLOOKUP(H5796,'2. Matching'!$A$2:$A$39,'2. Matching'!$B$2:$B$39,"--")</f>
        <v>SEO</v>
      </c>
      <c r="K5796" s="65" t="str">
        <f t="shared" si="1"/>
        <v>In</v>
      </c>
    </row>
    <row r="5797">
      <c r="A5797" s="62" t="s">
        <v>5935</v>
      </c>
      <c r="B5797" s="63">
        <v>44341.0</v>
      </c>
      <c r="C5797" s="62" t="s">
        <v>119</v>
      </c>
      <c r="D5797" s="64">
        <v>47.5</v>
      </c>
      <c r="E5797" s="62" t="s">
        <v>109</v>
      </c>
      <c r="F5797" s="62" t="s">
        <v>110</v>
      </c>
      <c r="G5797" s="64" t="s">
        <v>59</v>
      </c>
      <c r="H5797" s="3" t="s">
        <v>68</v>
      </c>
      <c r="I5797" s="65">
        <f>IFERROR(VLOOKUP(A5797,'3. Call duration'!$A:$C,3,0),"--")</f>
        <v>32.59187249</v>
      </c>
      <c r="J5797" s="65" t="str">
        <f t="array" ref="J5797">XLOOKUP(H5797,'2. Matching'!$A$2:$A$39,'2. Matching'!$B$2:$B$39,"--")</f>
        <v>Acquisition</v>
      </c>
      <c r="K5797" s="65" t="str">
        <f t="shared" si="1"/>
        <v>In</v>
      </c>
    </row>
    <row r="5798">
      <c r="A5798" s="62" t="s">
        <v>5936</v>
      </c>
      <c r="B5798" s="63">
        <v>44377.0</v>
      </c>
      <c r="C5798" s="62" t="s">
        <v>119</v>
      </c>
      <c r="D5798" s="64">
        <v>47.5</v>
      </c>
      <c r="E5798" s="62" t="s">
        <v>109</v>
      </c>
      <c r="F5798" s="62" t="s">
        <v>115</v>
      </c>
      <c r="G5798" s="64" t="s">
        <v>64</v>
      </c>
      <c r="H5798" s="3" t="s">
        <v>55</v>
      </c>
      <c r="I5798" s="65">
        <f>IFERROR(VLOOKUP(A5798,'3. Call duration'!$A:$C,3,0),"--")</f>
        <v>14.83469874</v>
      </c>
      <c r="J5798" s="65" t="str">
        <f t="array" ref="J5798">XLOOKUP(H5798,'2. Matching'!$A$2:$A$39,'2. Matching'!$B$2:$B$39,"--")</f>
        <v>Partnerships</v>
      </c>
      <c r="K5798" s="65" t="str">
        <f t="shared" si="1"/>
        <v>In</v>
      </c>
    </row>
    <row r="5799">
      <c r="A5799" s="62" t="s">
        <v>5937</v>
      </c>
      <c r="B5799" s="63">
        <v>44323.0</v>
      </c>
      <c r="C5799" s="62" t="s">
        <v>119</v>
      </c>
      <c r="D5799" s="64">
        <v>47.5</v>
      </c>
      <c r="E5799" s="62" t="s">
        <v>109</v>
      </c>
      <c r="F5799" s="62" t="s">
        <v>115</v>
      </c>
      <c r="G5799" s="64" t="s">
        <v>64</v>
      </c>
      <c r="H5799" s="3" t="s">
        <v>141</v>
      </c>
      <c r="I5799" s="65">
        <f>IFERROR(VLOOKUP(A5799,'3. Call duration'!$A:$C,3,0),"--")</f>
        <v>32.62301637</v>
      </c>
      <c r="J5799" s="65" t="str">
        <f t="array" ref="J5799">XLOOKUP(H5799,'2. Matching'!$A$2:$A$39,'2. Matching'!$B$2:$B$39,"--")</f>
        <v>Acquisition</v>
      </c>
      <c r="K5799" s="65" t="str">
        <f t="shared" si="1"/>
        <v>In</v>
      </c>
    </row>
    <row r="5800">
      <c r="A5800" s="62" t="s">
        <v>5938</v>
      </c>
      <c r="B5800" s="63">
        <v>44376.0</v>
      </c>
      <c r="C5800" s="62" t="s">
        <v>119</v>
      </c>
      <c r="D5800" s="64">
        <v>47.5</v>
      </c>
      <c r="E5800" s="62" t="s">
        <v>109</v>
      </c>
      <c r="F5800" s="62" t="s">
        <v>115</v>
      </c>
      <c r="G5800" s="64" t="s">
        <v>64</v>
      </c>
      <c r="H5800" s="3" t="s">
        <v>116</v>
      </c>
      <c r="I5800" s="65">
        <f>IFERROR(VLOOKUP(A5800,'3. Call duration'!$A:$C,3,0),"--")</f>
        <v>26.87156243</v>
      </c>
      <c r="J5800" s="65" t="str">
        <f t="array" ref="J5800">XLOOKUP(H5800,'2. Matching'!$A$2:$A$39,'2. Matching'!$B$2:$B$39,"--")</f>
        <v>Acquisition</v>
      </c>
      <c r="K5800" s="65" t="str">
        <f t="shared" si="1"/>
        <v>In</v>
      </c>
    </row>
    <row r="5801">
      <c r="A5801" s="62" t="s">
        <v>5939</v>
      </c>
      <c r="B5801" s="63">
        <v>44343.0</v>
      </c>
      <c r="C5801" s="62" t="s">
        <v>119</v>
      </c>
      <c r="D5801" s="64">
        <v>47.5</v>
      </c>
      <c r="E5801" s="62" t="s">
        <v>109</v>
      </c>
      <c r="F5801" s="62" t="s">
        <v>115</v>
      </c>
      <c r="G5801" s="64" t="s">
        <v>59</v>
      </c>
      <c r="H5801" s="3" t="s">
        <v>68</v>
      </c>
      <c r="I5801" s="65">
        <f>IFERROR(VLOOKUP(A5801,'3. Call duration'!$A:$C,3,0),"--")</f>
        <v>32.62428221</v>
      </c>
      <c r="J5801" s="65" t="str">
        <f t="array" ref="J5801">XLOOKUP(H5801,'2. Matching'!$A$2:$A$39,'2. Matching'!$B$2:$B$39,"--")</f>
        <v>Acquisition</v>
      </c>
      <c r="K5801" s="65" t="str">
        <f t="shared" si="1"/>
        <v>In</v>
      </c>
    </row>
    <row r="5802">
      <c r="A5802" s="62" t="s">
        <v>5940</v>
      </c>
      <c r="B5802" s="63">
        <v>44355.0</v>
      </c>
      <c r="C5802" s="62" t="s">
        <v>119</v>
      </c>
      <c r="D5802" s="64">
        <v>47.5</v>
      </c>
      <c r="E5802" s="62" t="s">
        <v>109</v>
      </c>
      <c r="F5802" s="62" t="s">
        <v>110</v>
      </c>
      <c r="G5802" s="64" t="s">
        <v>64</v>
      </c>
      <c r="H5802" s="3" t="s">
        <v>52</v>
      </c>
      <c r="I5802" s="65">
        <f>IFERROR(VLOOKUP(A5802,'3. Call duration'!$A:$C,3,0),"--")</f>
        <v>10.07425176</v>
      </c>
      <c r="J5802" s="65" t="str">
        <f t="array" ref="J5802">XLOOKUP(H5802,'2. Matching'!$A$2:$A$39,'2. Matching'!$B$2:$B$39,"--")</f>
        <v>Partnerships</v>
      </c>
      <c r="K5802" s="65" t="str">
        <f t="shared" si="1"/>
        <v>In</v>
      </c>
    </row>
    <row r="5803">
      <c r="A5803" s="62" t="s">
        <v>5941</v>
      </c>
      <c r="B5803" s="63">
        <v>44377.0</v>
      </c>
      <c r="C5803" s="62" t="s">
        <v>119</v>
      </c>
      <c r="D5803" s="64">
        <v>47.5</v>
      </c>
      <c r="E5803" s="62" t="s">
        <v>109</v>
      </c>
      <c r="F5803" s="62" t="s">
        <v>115</v>
      </c>
      <c r="G5803" s="64" t="s">
        <v>60</v>
      </c>
      <c r="H5803" s="3" t="s">
        <v>68</v>
      </c>
      <c r="I5803" s="65">
        <f>IFERROR(VLOOKUP(A5803,'3. Call duration'!$A:$C,3,0),"--")</f>
        <v>10.84054113</v>
      </c>
      <c r="J5803" s="65" t="str">
        <f t="array" ref="J5803">XLOOKUP(H5803,'2. Matching'!$A$2:$A$39,'2. Matching'!$B$2:$B$39,"--")</f>
        <v>Acquisition</v>
      </c>
      <c r="K5803" s="65" t="str">
        <f t="shared" si="1"/>
        <v>In</v>
      </c>
    </row>
    <row r="5804">
      <c r="A5804" s="62" t="s">
        <v>5942</v>
      </c>
      <c r="B5804" s="63">
        <v>44329.0</v>
      </c>
      <c r="C5804" s="62" t="s">
        <v>119</v>
      </c>
      <c r="D5804" s="64">
        <v>47.5</v>
      </c>
      <c r="E5804" s="62" t="s">
        <v>109</v>
      </c>
      <c r="F5804" s="62" t="s">
        <v>115</v>
      </c>
      <c r="G5804" s="64" t="s">
        <v>64</v>
      </c>
      <c r="H5804" s="3" t="s">
        <v>145</v>
      </c>
      <c r="I5804" s="65">
        <f>IFERROR(VLOOKUP(A5804,'3. Call duration'!$A:$C,3,0),"--")</f>
        <v>32.63147396</v>
      </c>
      <c r="J5804" s="65" t="str">
        <f t="array" ref="J5804">XLOOKUP(H5804,'2. Matching'!$A$2:$A$39,'2. Matching'!$B$2:$B$39,"--")</f>
        <v>SEO</v>
      </c>
      <c r="K5804" s="65" t="str">
        <f t="shared" si="1"/>
        <v>In</v>
      </c>
    </row>
    <row r="5805">
      <c r="A5805" s="62" t="s">
        <v>5943</v>
      </c>
      <c r="B5805" s="63">
        <v>44361.0</v>
      </c>
      <c r="C5805" s="62" t="s">
        <v>119</v>
      </c>
      <c r="D5805" s="64">
        <v>47.5</v>
      </c>
      <c r="E5805" s="62" t="s">
        <v>109</v>
      </c>
      <c r="F5805" s="62" t="s">
        <v>115</v>
      </c>
      <c r="G5805" s="64" t="s">
        <v>64</v>
      </c>
      <c r="H5805" s="3" t="s">
        <v>221</v>
      </c>
      <c r="I5805" s="65">
        <f>IFERROR(VLOOKUP(A5805,'3. Call duration'!$A:$C,3,0),"--")</f>
        <v>15.86213324</v>
      </c>
      <c r="J5805" s="65" t="str">
        <f t="array" ref="J5805">XLOOKUP(H5805,'2. Matching'!$A$2:$A$39,'2. Matching'!$B$2:$B$39,"--")</f>
        <v>Farming</v>
      </c>
      <c r="K5805" s="65" t="str">
        <f t="shared" si="1"/>
        <v>In</v>
      </c>
    </row>
    <row r="5806">
      <c r="A5806" s="62" t="s">
        <v>5944</v>
      </c>
      <c r="B5806" s="63">
        <v>44376.0</v>
      </c>
      <c r="C5806" s="62" t="s">
        <v>119</v>
      </c>
      <c r="D5806" s="64">
        <v>47.5</v>
      </c>
      <c r="E5806" s="62" t="s">
        <v>109</v>
      </c>
      <c r="F5806" s="62" t="s">
        <v>115</v>
      </c>
      <c r="G5806" s="64" t="s">
        <v>61</v>
      </c>
      <c r="H5806" s="3" t="s">
        <v>69</v>
      </c>
      <c r="I5806" s="65">
        <f>IFERROR(VLOOKUP(A5806,'3. Call duration'!$A:$C,3,0),"--")</f>
        <v>30.51763196</v>
      </c>
      <c r="J5806" s="65" t="str">
        <f t="array" ref="J5806">XLOOKUP(H5806,'2. Matching'!$A$2:$A$39,'2. Matching'!$B$2:$B$39,"--")</f>
        <v>Acquisition</v>
      </c>
      <c r="K5806" s="65" t="str">
        <f t="shared" si="1"/>
        <v>In</v>
      </c>
    </row>
    <row r="5807">
      <c r="A5807" s="62" t="s">
        <v>5945</v>
      </c>
      <c r="B5807" s="63">
        <v>44357.0</v>
      </c>
      <c r="C5807" s="62" t="s">
        <v>119</v>
      </c>
      <c r="D5807" s="64">
        <v>47.5</v>
      </c>
      <c r="E5807" s="62" t="s">
        <v>109</v>
      </c>
      <c r="F5807" s="62" t="s">
        <v>115</v>
      </c>
      <c r="G5807" s="64" t="s">
        <v>64</v>
      </c>
      <c r="H5807" s="3" t="s">
        <v>169</v>
      </c>
      <c r="I5807" s="65">
        <f>IFERROR(VLOOKUP(A5807,'3. Call duration'!$A:$C,3,0),"--")</f>
        <v>16.76712729</v>
      </c>
      <c r="J5807" s="65" t="str">
        <f t="array" ref="J5807">XLOOKUP(H5807,'2. Matching'!$A$2:$A$39,'2. Matching'!$B$2:$B$39,"--")</f>
        <v>SEO</v>
      </c>
      <c r="K5807" s="65" t="str">
        <f t="shared" si="1"/>
        <v>In</v>
      </c>
    </row>
    <row r="5808">
      <c r="A5808" s="62" t="s">
        <v>5946</v>
      </c>
      <c r="B5808" s="63">
        <v>44322.0</v>
      </c>
      <c r="C5808" s="62" t="s">
        <v>108</v>
      </c>
      <c r="D5808" s="64">
        <v>0.0</v>
      </c>
      <c r="E5808" s="62" t="s">
        <v>109</v>
      </c>
      <c r="F5808" s="62" t="s">
        <v>115</v>
      </c>
      <c r="G5808" s="64" t="s">
        <v>64</v>
      </c>
      <c r="H5808" s="3" t="s">
        <v>175</v>
      </c>
      <c r="I5808" s="65">
        <f>IFERROR(VLOOKUP(A5808,'3. Call duration'!$A:$C,3,0),"--")</f>
        <v>32.64267577</v>
      </c>
      <c r="J5808" s="65" t="str">
        <f t="array" ref="J5808">XLOOKUP(H5808,'2. Matching'!$A$2:$A$39,'2. Matching'!$B$2:$B$39,"--")</f>
        <v>SEO</v>
      </c>
      <c r="K5808" s="65" t="str">
        <f t="shared" si="1"/>
        <v>In</v>
      </c>
    </row>
    <row r="5809">
      <c r="A5809" s="62" t="s">
        <v>5947</v>
      </c>
      <c r="B5809" s="63">
        <v>44372.0</v>
      </c>
      <c r="C5809" s="62" t="s">
        <v>119</v>
      </c>
      <c r="D5809" s="64">
        <v>47.5</v>
      </c>
      <c r="E5809" s="62" t="s">
        <v>109</v>
      </c>
      <c r="F5809" s="62" t="s">
        <v>115</v>
      </c>
      <c r="G5809" s="64" t="s">
        <v>64</v>
      </c>
      <c r="H5809" s="3" t="s">
        <v>171</v>
      </c>
      <c r="I5809" s="65">
        <f>IFERROR(VLOOKUP(A5809,'3. Call duration'!$A:$C,3,0),"--")</f>
        <v>32.72086838</v>
      </c>
      <c r="J5809" s="65" t="str">
        <f t="array" ref="J5809">XLOOKUP(H5809,'2. Matching'!$A$2:$A$39,'2. Matching'!$B$2:$B$39,"--")</f>
        <v>SEO</v>
      </c>
      <c r="K5809" s="65" t="str">
        <f t="shared" si="1"/>
        <v>In</v>
      </c>
    </row>
    <row r="5810">
      <c r="A5810" s="62" t="s">
        <v>5948</v>
      </c>
      <c r="B5810" s="63">
        <v>44340.0</v>
      </c>
      <c r="C5810" s="62" t="s">
        <v>119</v>
      </c>
      <c r="D5810" s="64">
        <v>47.5</v>
      </c>
      <c r="E5810" s="62" t="s">
        <v>109</v>
      </c>
      <c r="F5810" s="62" t="s">
        <v>110</v>
      </c>
      <c r="G5810" s="64" t="s">
        <v>64</v>
      </c>
      <c r="H5810" s="3" t="s">
        <v>175</v>
      </c>
      <c r="I5810" s="65">
        <f>IFERROR(VLOOKUP(A5810,'3. Call duration'!$A:$C,3,0),"--")</f>
        <v>32.72943799</v>
      </c>
      <c r="J5810" s="65" t="str">
        <f t="array" ref="J5810">XLOOKUP(H5810,'2. Matching'!$A$2:$A$39,'2. Matching'!$B$2:$B$39,"--")</f>
        <v>SEO</v>
      </c>
      <c r="K5810" s="65" t="str">
        <f t="shared" si="1"/>
        <v>In</v>
      </c>
    </row>
    <row r="5811">
      <c r="A5811" s="62" t="s">
        <v>5949</v>
      </c>
      <c r="B5811" s="63">
        <v>44368.0</v>
      </c>
      <c r="C5811" s="62" t="s">
        <v>119</v>
      </c>
      <c r="D5811" s="64">
        <v>47.5</v>
      </c>
      <c r="E5811" s="62" t="s">
        <v>109</v>
      </c>
      <c r="F5811" s="62" t="s">
        <v>110</v>
      </c>
      <c r="G5811" s="64" t="s">
        <v>63</v>
      </c>
      <c r="H5811" s="3" t="s">
        <v>228</v>
      </c>
      <c r="I5811" s="65">
        <f>IFERROR(VLOOKUP(A5811,'3. Call duration'!$A:$C,3,0),"--")</f>
        <v>28.07079683</v>
      </c>
      <c r="J5811" s="65" t="str">
        <f t="array" ref="J5811">XLOOKUP(H5811,'2. Matching'!$A$2:$A$39,'2. Matching'!$B$2:$B$39,"--")</f>
        <v>Farming</v>
      </c>
      <c r="K5811" s="65" t="str">
        <f t="shared" si="1"/>
        <v>In</v>
      </c>
    </row>
    <row r="5812">
      <c r="A5812" s="62" t="s">
        <v>5950</v>
      </c>
      <c r="B5812" s="63">
        <v>44357.0</v>
      </c>
      <c r="C5812" s="62" t="s">
        <v>119</v>
      </c>
      <c r="D5812" s="64">
        <v>47.5</v>
      </c>
      <c r="E5812" s="62" t="s">
        <v>109</v>
      </c>
      <c r="F5812" s="62" t="s">
        <v>115</v>
      </c>
      <c r="G5812" s="64" t="s">
        <v>64</v>
      </c>
      <c r="H5812" s="3" t="s">
        <v>169</v>
      </c>
      <c r="I5812" s="65">
        <f>IFERROR(VLOOKUP(A5812,'3. Call duration'!$A:$C,3,0),"--")</f>
        <v>20.64561891</v>
      </c>
      <c r="J5812" s="65" t="str">
        <f t="array" ref="J5812">XLOOKUP(H5812,'2. Matching'!$A$2:$A$39,'2. Matching'!$B$2:$B$39,"--")</f>
        <v>SEO</v>
      </c>
      <c r="K5812" s="65" t="str">
        <f t="shared" si="1"/>
        <v>In</v>
      </c>
    </row>
    <row r="5813">
      <c r="A5813" s="62" t="s">
        <v>5951</v>
      </c>
      <c r="B5813" s="63">
        <v>44323.0</v>
      </c>
      <c r="C5813" s="62" t="s">
        <v>119</v>
      </c>
      <c r="D5813" s="64">
        <v>47.5</v>
      </c>
      <c r="E5813" s="62" t="s">
        <v>109</v>
      </c>
      <c r="F5813" s="62" t="s">
        <v>115</v>
      </c>
      <c r="G5813" s="64" t="s">
        <v>64</v>
      </c>
      <c r="H5813" s="3" t="s">
        <v>141</v>
      </c>
      <c r="I5813" s="65">
        <f>IFERROR(VLOOKUP(A5813,'3. Call duration'!$A:$C,3,0),"--")</f>
        <v>32.73216542</v>
      </c>
      <c r="J5813" s="65" t="str">
        <f t="array" ref="J5813">XLOOKUP(H5813,'2. Matching'!$A$2:$A$39,'2. Matching'!$B$2:$B$39,"--")</f>
        <v>Acquisition</v>
      </c>
      <c r="K5813" s="65" t="str">
        <f t="shared" si="1"/>
        <v>In</v>
      </c>
    </row>
    <row r="5814">
      <c r="A5814" s="62" t="s">
        <v>5952</v>
      </c>
      <c r="B5814" s="63">
        <v>44368.0</v>
      </c>
      <c r="C5814" s="62" t="s">
        <v>119</v>
      </c>
      <c r="D5814" s="64">
        <v>47.5</v>
      </c>
      <c r="E5814" s="62" t="s">
        <v>109</v>
      </c>
      <c r="F5814" s="62" t="s">
        <v>115</v>
      </c>
      <c r="G5814" s="64" t="s">
        <v>60</v>
      </c>
      <c r="H5814" s="3" t="s">
        <v>67</v>
      </c>
      <c r="I5814" s="65">
        <f>IFERROR(VLOOKUP(A5814,'3. Call duration'!$A:$C,3,0),"--")</f>
        <v>15.35994232</v>
      </c>
      <c r="J5814" s="65" t="str">
        <f t="array" ref="J5814">XLOOKUP(H5814,'2. Matching'!$A$2:$A$39,'2. Matching'!$B$2:$B$39,"--")</f>
        <v>Acquisition</v>
      </c>
      <c r="K5814" s="65" t="str">
        <f t="shared" si="1"/>
        <v>In</v>
      </c>
    </row>
    <row r="5815">
      <c r="A5815" s="62" t="s">
        <v>5953</v>
      </c>
      <c r="B5815" s="63">
        <v>44365.0</v>
      </c>
      <c r="C5815" s="62" t="s">
        <v>119</v>
      </c>
      <c r="D5815" s="64">
        <v>47.5</v>
      </c>
      <c r="E5815" s="62" t="s">
        <v>109</v>
      </c>
      <c r="F5815" s="62" t="s">
        <v>110</v>
      </c>
      <c r="G5815" s="64" t="s">
        <v>60</v>
      </c>
      <c r="H5815" s="3" t="s">
        <v>68</v>
      </c>
      <c r="I5815" s="65">
        <f>IFERROR(VLOOKUP(A5815,'3. Call duration'!$A:$C,3,0),"--")</f>
        <v>44.92891861</v>
      </c>
      <c r="J5815" s="65" t="str">
        <f t="array" ref="J5815">XLOOKUP(H5815,'2. Matching'!$A$2:$A$39,'2. Matching'!$B$2:$B$39,"--")</f>
        <v>Acquisition</v>
      </c>
      <c r="K5815" s="65" t="str">
        <f t="shared" si="1"/>
        <v>In</v>
      </c>
    </row>
    <row r="5816">
      <c r="A5816" s="62" t="s">
        <v>5954</v>
      </c>
      <c r="B5816" s="63">
        <v>44323.0</v>
      </c>
      <c r="C5816" s="62" t="s">
        <v>119</v>
      </c>
      <c r="D5816" s="64">
        <v>95.0</v>
      </c>
      <c r="E5816" s="62" t="s">
        <v>114</v>
      </c>
      <c r="F5816" s="62" t="s">
        <v>110</v>
      </c>
      <c r="G5816" s="64" t="s">
        <v>64</v>
      </c>
      <c r="H5816" s="3" t="s">
        <v>141</v>
      </c>
      <c r="I5816" s="65">
        <f>IFERROR(VLOOKUP(A5816,'3. Call duration'!$A:$C,3,0),"--")</f>
        <v>32.77580091</v>
      </c>
      <c r="J5816" s="65" t="str">
        <f t="array" ref="J5816">XLOOKUP(H5816,'2. Matching'!$A$2:$A$39,'2. Matching'!$B$2:$B$39,"--")</f>
        <v>Acquisition</v>
      </c>
      <c r="K5816" s="65" t="str">
        <f t="shared" si="1"/>
        <v>In</v>
      </c>
    </row>
    <row r="5817">
      <c r="A5817" s="62" t="s">
        <v>5955</v>
      </c>
      <c r="B5817" s="63">
        <v>44375.0</v>
      </c>
      <c r="C5817" s="62" t="s">
        <v>119</v>
      </c>
      <c r="D5817" s="64">
        <v>47.5</v>
      </c>
      <c r="E5817" s="62" t="s">
        <v>109</v>
      </c>
      <c r="F5817" s="62" t="s">
        <v>115</v>
      </c>
      <c r="G5817" s="64" t="s">
        <v>64</v>
      </c>
      <c r="H5817" s="3" t="s">
        <v>171</v>
      </c>
      <c r="I5817" s="65">
        <f>IFERROR(VLOOKUP(A5817,'3. Call duration'!$A:$C,3,0),"--")</f>
        <v>33.43545142</v>
      </c>
      <c r="J5817" s="65" t="str">
        <f t="array" ref="J5817">XLOOKUP(H5817,'2. Matching'!$A$2:$A$39,'2. Matching'!$B$2:$B$39,"--")</f>
        <v>SEO</v>
      </c>
      <c r="K5817" s="65" t="str">
        <f t="shared" si="1"/>
        <v>In</v>
      </c>
    </row>
    <row r="5818">
      <c r="A5818" s="62" t="s">
        <v>5956</v>
      </c>
      <c r="B5818" s="63">
        <v>44357.0</v>
      </c>
      <c r="C5818" s="62" t="s">
        <v>119</v>
      </c>
      <c r="D5818" s="64">
        <v>47.5</v>
      </c>
      <c r="E5818" s="62" t="s">
        <v>109</v>
      </c>
      <c r="F5818" s="62" t="s">
        <v>110</v>
      </c>
      <c r="G5818" s="64" t="s">
        <v>60</v>
      </c>
      <c r="H5818" s="3" t="s">
        <v>67</v>
      </c>
      <c r="I5818" s="65">
        <f>IFERROR(VLOOKUP(A5818,'3. Call duration'!$A:$C,3,0),"--")</f>
        <v>30.18333724</v>
      </c>
      <c r="J5818" s="65" t="str">
        <f t="array" ref="J5818">XLOOKUP(H5818,'2. Matching'!$A$2:$A$39,'2. Matching'!$B$2:$B$39,"--")</f>
        <v>Acquisition</v>
      </c>
      <c r="K5818" s="65" t="str">
        <f t="shared" si="1"/>
        <v>In</v>
      </c>
    </row>
    <row r="5819">
      <c r="A5819" s="62" t="s">
        <v>5957</v>
      </c>
      <c r="B5819" s="63">
        <v>44334.0</v>
      </c>
      <c r="C5819" s="62" t="s">
        <v>119</v>
      </c>
      <c r="D5819" s="64">
        <v>95.0</v>
      </c>
      <c r="E5819" s="62" t="s">
        <v>114</v>
      </c>
      <c r="F5819" s="62" t="s">
        <v>110</v>
      </c>
      <c r="G5819" s="64" t="s">
        <v>64</v>
      </c>
      <c r="H5819" s="3" t="s">
        <v>139</v>
      </c>
      <c r="I5819" s="65">
        <f>IFERROR(VLOOKUP(A5819,'3. Call duration'!$A:$C,3,0),"--")</f>
        <v>32.79071503</v>
      </c>
      <c r="J5819" s="65" t="str">
        <f t="array" ref="J5819">XLOOKUP(H5819,'2. Matching'!$A$2:$A$39,'2. Matching'!$B$2:$B$39,"--")</f>
        <v>Acquisition</v>
      </c>
      <c r="K5819" s="65" t="str">
        <f t="shared" si="1"/>
        <v>In</v>
      </c>
    </row>
    <row r="5820">
      <c r="A5820" s="62" t="s">
        <v>5958</v>
      </c>
      <c r="B5820" s="63">
        <v>44376.0</v>
      </c>
      <c r="C5820" s="62" t="s">
        <v>119</v>
      </c>
      <c r="D5820" s="64">
        <v>47.5</v>
      </c>
      <c r="E5820" s="62" t="s">
        <v>109</v>
      </c>
      <c r="F5820" s="62" t="s">
        <v>110</v>
      </c>
      <c r="G5820" s="64" t="s">
        <v>63</v>
      </c>
      <c r="H5820" s="3" t="s">
        <v>124</v>
      </c>
      <c r="I5820" s="65">
        <f>IFERROR(VLOOKUP(A5820,'3. Call duration'!$A:$C,3,0),"--")</f>
        <v>26.7777936</v>
      </c>
      <c r="J5820" s="65" t="str">
        <f t="array" ref="J5820">XLOOKUP(H5820,'2. Matching'!$A$2:$A$39,'2. Matching'!$B$2:$B$39,"--")</f>
        <v>Acquisition</v>
      </c>
      <c r="K5820" s="65" t="str">
        <f t="shared" si="1"/>
        <v>In</v>
      </c>
    </row>
    <row r="5821">
      <c r="A5821" s="62" t="s">
        <v>5959</v>
      </c>
      <c r="B5821" s="63">
        <v>44333.0</v>
      </c>
      <c r="C5821" s="62" t="s">
        <v>119</v>
      </c>
      <c r="D5821" s="64">
        <v>47.5</v>
      </c>
      <c r="E5821" s="62" t="s">
        <v>109</v>
      </c>
      <c r="F5821" s="62" t="s">
        <v>110</v>
      </c>
      <c r="G5821" s="64" t="s">
        <v>59</v>
      </c>
      <c r="H5821" s="3" t="s">
        <v>68</v>
      </c>
      <c r="I5821" s="65">
        <f>IFERROR(VLOOKUP(A5821,'3. Call duration'!$A:$C,3,0),"--")</f>
        <v>32.87499343</v>
      </c>
      <c r="J5821" s="65" t="str">
        <f t="array" ref="J5821">XLOOKUP(H5821,'2. Matching'!$A$2:$A$39,'2. Matching'!$B$2:$B$39,"--")</f>
        <v>Acquisition</v>
      </c>
      <c r="K5821" s="65" t="str">
        <f t="shared" si="1"/>
        <v>In</v>
      </c>
    </row>
    <row r="5822">
      <c r="A5822" s="62" t="s">
        <v>5960</v>
      </c>
      <c r="B5822" s="63">
        <v>44342.0</v>
      </c>
      <c r="C5822" s="62" t="s">
        <v>119</v>
      </c>
      <c r="D5822" s="64">
        <v>47.5</v>
      </c>
      <c r="E5822" s="62" t="s">
        <v>109</v>
      </c>
      <c r="F5822" s="62" t="s">
        <v>110</v>
      </c>
      <c r="G5822" s="64" t="s">
        <v>64</v>
      </c>
      <c r="H5822" s="3" t="s">
        <v>297</v>
      </c>
      <c r="I5822" s="65">
        <f>IFERROR(VLOOKUP(A5822,'3. Call duration'!$A:$C,3,0),"--")</f>
        <v>32.90812879</v>
      </c>
      <c r="J5822" s="65" t="str">
        <f t="array" ref="J5822">XLOOKUP(H5822,'2. Matching'!$A$2:$A$39,'2. Matching'!$B$2:$B$39,"--")</f>
        <v>Farming</v>
      </c>
      <c r="K5822" s="65" t="str">
        <f t="shared" si="1"/>
        <v>In</v>
      </c>
    </row>
    <row r="5823">
      <c r="A5823" s="62" t="s">
        <v>5961</v>
      </c>
      <c r="B5823" s="63">
        <v>44371.0</v>
      </c>
      <c r="C5823" s="62" t="s">
        <v>119</v>
      </c>
      <c r="D5823" s="64">
        <v>47.5</v>
      </c>
      <c r="E5823" s="62" t="s">
        <v>109</v>
      </c>
      <c r="F5823" s="62" t="s">
        <v>110</v>
      </c>
      <c r="G5823" s="64" t="s">
        <v>60</v>
      </c>
      <c r="H5823" s="3" t="s">
        <v>67</v>
      </c>
      <c r="I5823" s="65">
        <f>IFERROR(VLOOKUP(A5823,'3. Call duration'!$A:$C,3,0),"--")</f>
        <v>28.72481729</v>
      </c>
      <c r="J5823" s="65" t="str">
        <f t="array" ref="J5823">XLOOKUP(H5823,'2. Matching'!$A$2:$A$39,'2. Matching'!$B$2:$B$39,"--")</f>
        <v>Acquisition</v>
      </c>
      <c r="K5823" s="65" t="str">
        <f t="shared" si="1"/>
        <v>In</v>
      </c>
    </row>
    <row r="5824">
      <c r="A5824" s="62" t="s">
        <v>5962</v>
      </c>
      <c r="B5824" s="63">
        <v>44370.0</v>
      </c>
      <c r="C5824" s="62" t="s">
        <v>119</v>
      </c>
      <c r="D5824" s="64">
        <v>47.5</v>
      </c>
      <c r="E5824" s="62" t="s">
        <v>109</v>
      </c>
      <c r="F5824" s="62" t="s">
        <v>110</v>
      </c>
      <c r="G5824" s="64" t="s">
        <v>60</v>
      </c>
      <c r="H5824" s="3" t="s">
        <v>68</v>
      </c>
      <c r="I5824" s="65">
        <f>IFERROR(VLOOKUP(A5824,'3. Call duration'!$A:$C,3,0),"--")</f>
        <v>29.86242131</v>
      </c>
      <c r="J5824" s="65" t="str">
        <f t="array" ref="J5824">XLOOKUP(H5824,'2. Matching'!$A$2:$A$39,'2. Matching'!$B$2:$B$39,"--")</f>
        <v>Acquisition</v>
      </c>
      <c r="K5824" s="65" t="str">
        <f t="shared" si="1"/>
        <v>In</v>
      </c>
    </row>
    <row r="5825">
      <c r="A5825" s="62" t="s">
        <v>5963</v>
      </c>
      <c r="B5825" s="63">
        <v>44330.0</v>
      </c>
      <c r="C5825" s="62" t="s">
        <v>119</v>
      </c>
      <c r="D5825" s="64">
        <v>47.5</v>
      </c>
      <c r="E5825" s="62" t="s">
        <v>109</v>
      </c>
      <c r="F5825" s="62" t="s">
        <v>115</v>
      </c>
      <c r="G5825" s="64" t="s">
        <v>64</v>
      </c>
      <c r="H5825" s="3" t="s">
        <v>175</v>
      </c>
      <c r="I5825" s="65">
        <f>IFERROR(VLOOKUP(A5825,'3. Call duration'!$A:$C,3,0),"--")</f>
        <v>32.91048498</v>
      </c>
      <c r="J5825" s="65" t="str">
        <f t="array" ref="J5825">XLOOKUP(H5825,'2. Matching'!$A$2:$A$39,'2. Matching'!$B$2:$B$39,"--")</f>
        <v>SEO</v>
      </c>
      <c r="K5825" s="65" t="str">
        <f t="shared" si="1"/>
        <v>In</v>
      </c>
    </row>
    <row r="5826">
      <c r="A5826" s="62" t="s">
        <v>5964</v>
      </c>
      <c r="B5826" s="63">
        <v>44348.0</v>
      </c>
      <c r="C5826" s="62" t="s">
        <v>119</v>
      </c>
      <c r="D5826" s="64">
        <v>47.5</v>
      </c>
      <c r="E5826" s="62" t="s">
        <v>109</v>
      </c>
      <c r="F5826" s="62" t="s">
        <v>110</v>
      </c>
      <c r="G5826" s="64" t="s">
        <v>64</v>
      </c>
      <c r="H5826" s="3" t="s">
        <v>116</v>
      </c>
      <c r="I5826" s="65">
        <f>IFERROR(VLOOKUP(A5826,'3. Call duration'!$A:$C,3,0),"--")</f>
        <v>30.9121485</v>
      </c>
      <c r="J5826" s="65" t="str">
        <f t="array" ref="J5826">XLOOKUP(H5826,'2. Matching'!$A$2:$A$39,'2. Matching'!$B$2:$B$39,"--")</f>
        <v>Acquisition</v>
      </c>
      <c r="K5826" s="65" t="str">
        <f t="shared" si="1"/>
        <v>In</v>
      </c>
    </row>
    <row r="5827">
      <c r="A5827" s="62" t="s">
        <v>5965</v>
      </c>
      <c r="B5827" s="63">
        <v>44349.0</v>
      </c>
      <c r="C5827" s="62" t="s">
        <v>119</v>
      </c>
      <c r="D5827" s="64">
        <v>47.5</v>
      </c>
      <c r="E5827" s="62" t="s">
        <v>109</v>
      </c>
      <c r="F5827" s="62" t="s">
        <v>110</v>
      </c>
      <c r="G5827" s="64" t="s">
        <v>64</v>
      </c>
      <c r="H5827" s="3" t="s">
        <v>139</v>
      </c>
      <c r="I5827" s="65">
        <f>IFERROR(VLOOKUP(A5827,'3. Call duration'!$A:$C,3,0),"--")</f>
        <v>30.25353411</v>
      </c>
      <c r="J5827" s="65" t="str">
        <f t="array" ref="J5827">XLOOKUP(H5827,'2. Matching'!$A$2:$A$39,'2. Matching'!$B$2:$B$39,"--")</f>
        <v>Acquisition</v>
      </c>
      <c r="K5827" s="65" t="str">
        <f t="shared" si="1"/>
        <v>In</v>
      </c>
    </row>
    <row r="5828">
      <c r="A5828" s="62" t="s">
        <v>5966</v>
      </c>
      <c r="B5828" s="63">
        <v>44376.0</v>
      </c>
      <c r="C5828" s="62" t="s">
        <v>119</v>
      </c>
      <c r="D5828" s="64">
        <v>47.5</v>
      </c>
      <c r="E5828" s="62" t="s">
        <v>109</v>
      </c>
      <c r="F5828" s="62" t="s">
        <v>115</v>
      </c>
      <c r="G5828" s="64" t="s">
        <v>64</v>
      </c>
      <c r="H5828" s="3" t="s">
        <v>175</v>
      </c>
      <c r="I5828" s="65">
        <f>IFERROR(VLOOKUP(A5828,'3. Call duration'!$A:$C,3,0),"--")</f>
        <v>14.72519172</v>
      </c>
      <c r="J5828" s="65" t="str">
        <f t="array" ref="J5828">XLOOKUP(H5828,'2. Matching'!$A$2:$A$39,'2. Matching'!$B$2:$B$39,"--")</f>
        <v>SEO</v>
      </c>
      <c r="K5828" s="65" t="str">
        <f t="shared" si="1"/>
        <v>In</v>
      </c>
    </row>
    <row r="5829">
      <c r="A5829" s="62" t="s">
        <v>5967</v>
      </c>
      <c r="B5829" s="63">
        <v>44323.0</v>
      </c>
      <c r="C5829" s="62" t="s">
        <v>119</v>
      </c>
      <c r="D5829" s="64">
        <v>47.5</v>
      </c>
      <c r="E5829" s="62" t="s">
        <v>109</v>
      </c>
      <c r="F5829" s="62" t="s">
        <v>115</v>
      </c>
      <c r="G5829" s="64" t="s">
        <v>64</v>
      </c>
      <c r="H5829" s="3" t="s">
        <v>155</v>
      </c>
      <c r="I5829" s="65">
        <f>IFERROR(VLOOKUP(A5829,'3. Call duration'!$A:$C,3,0),"--")</f>
        <v>32.91992074</v>
      </c>
      <c r="J5829" s="65" t="str">
        <f t="array" ref="J5829">XLOOKUP(H5829,'2. Matching'!$A$2:$A$39,'2. Matching'!$B$2:$B$39,"--")</f>
        <v>SEO</v>
      </c>
      <c r="K5829" s="65" t="str">
        <f t="shared" si="1"/>
        <v>In</v>
      </c>
    </row>
    <row r="5830">
      <c r="A5830" s="62" t="s">
        <v>5968</v>
      </c>
      <c r="B5830" s="63">
        <v>44376.0</v>
      </c>
      <c r="C5830" s="62" t="s">
        <v>119</v>
      </c>
      <c r="D5830" s="64">
        <v>47.5</v>
      </c>
      <c r="E5830" s="62" t="s">
        <v>109</v>
      </c>
      <c r="F5830" s="62" t="s">
        <v>115</v>
      </c>
      <c r="G5830" s="64" t="s">
        <v>64</v>
      </c>
      <c r="H5830" s="3" t="s">
        <v>139</v>
      </c>
      <c r="I5830" s="65">
        <f>IFERROR(VLOOKUP(A5830,'3. Call duration'!$A:$C,3,0),"--")</f>
        <v>12.90863809</v>
      </c>
      <c r="J5830" s="65" t="str">
        <f t="array" ref="J5830">XLOOKUP(H5830,'2. Matching'!$A$2:$A$39,'2. Matching'!$B$2:$B$39,"--")</f>
        <v>Acquisition</v>
      </c>
      <c r="K5830" s="65" t="str">
        <f t="shared" si="1"/>
        <v>In</v>
      </c>
    </row>
    <row r="5831">
      <c r="A5831" s="62" t="s">
        <v>5969</v>
      </c>
      <c r="B5831" s="63">
        <v>44376.0</v>
      </c>
      <c r="C5831" s="62" t="s">
        <v>119</v>
      </c>
      <c r="D5831" s="64">
        <v>47.5</v>
      </c>
      <c r="E5831" s="62" t="s">
        <v>109</v>
      </c>
      <c r="F5831" s="62" t="s">
        <v>110</v>
      </c>
      <c r="G5831" s="64" t="s">
        <v>60</v>
      </c>
      <c r="H5831" s="3" t="s">
        <v>68</v>
      </c>
      <c r="I5831" s="65">
        <f>IFERROR(VLOOKUP(A5831,'3. Call duration'!$A:$C,3,0),"--")</f>
        <v>31.67704035</v>
      </c>
      <c r="J5831" s="65" t="str">
        <f t="array" ref="J5831">XLOOKUP(H5831,'2. Matching'!$A$2:$A$39,'2. Matching'!$B$2:$B$39,"--")</f>
        <v>Acquisition</v>
      </c>
      <c r="K5831" s="65" t="str">
        <f t="shared" si="1"/>
        <v>In</v>
      </c>
    </row>
    <row r="5832">
      <c r="A5832" s="62" t="s">
        <v>5970</v>
      </c>
      <c r="B5832" s="63">
        <v>44354.0</v>
      </c>
      <c r="C5832" s="62" t="s">
        <v>119</v>
      </c>
      <c r="D5832" s="64">
        <v>47.5</v>
      </c>
      <c r="E5832" s="62" t="s">
        <v>109</v>
      </c>
      <c r="F5832" s="62" t="s">
        <v>115</v>
      </c>
      <c r="G5832" s="64" t="s">
        <v>64</v>
      </c>
      <c r="H5832" s="3" t="s">
        <v>297</v>
      </c>
      <c r="I5832" s="65">
        <f>IFERROR(VLOOKUP(A5832,'3. Call duration'!$A:$C,3,0),"--")</f>
        <v>21.7868641</v>
      </c>
      <c r="J5832" s="65" t="str">
        <f t="array" ref="J5832">XLOOKUP(H5832,'2. Matching'!$A$2:$A$39,'2. Matching'!$B$2:$B$39,"--")</f>
        <v>Farming</v>
      </c>
      <c r="K5832" s="65" t="str">
        <f t="shared" si="1"/>
        <v>In</v>
      </c>
    </row>
    <row r="5833">
      <c r="A5833" s="62" t="s">
        <v>5971</v>
      </c>
      <c r="B5833" s="63">
        <v>44368.0</v>
      </c>
      <c r="C5833" s="62" t="s">
        <v>119</v>
      </c>
      <c r="D5833" s="64">
        <v>47.5</v>
      </c>
      <c r="E5833" s="62" t="s">
        <v>109</v>
      </c>
      <c r="F5833" s="62" t="s">
        <v>110</v>
      </c>
      <c r="G5833" s="64" t="s">
        <v>64</v>
      </c>
      <c r="H5833" s="3" t="s">
        <v>297</v>
      </c>
      <c r="I5833" s="65">
        <f>IFERROR(VLOOKUP(A5833,'3. Call duration'!$A:$C,3,0),"--")</f>
        <v>22.83197984</v>
      </c>
      <c r="J5833" s="65" t="str">
        <f t="array" ref="J5833">XLOOKUP(H5833,'2. Matching'!$A$2:$A$39,'2. Matching'!$B$2:$B$39,"--")</f>
        <v>Farming</v>
      </c>
      <c r="K5833" s="65" t="str">
        <f t="shared" si="1"/>
        <v>In</v>
      </c>
    </row>
    <row r="5834">
      <c r="A5834" s="62" t="s">
        <v>5972</v>
      </c>
      <c r="B5834" s="63">
        <v>44354.0</v>
      </c>
      <c r="C5834" s="62" t="s">
        <v>119</v>
      </c>
      <c r="D5834" s="64">
        <v>47.5</v>
      </c>
      <c r="E5834" s="62" t="s">
        <v>109</v>
      </c>
      <c r="F5834" s="62" t="s">
        <v>115</v>
      </c>
      <c r="G5834" s="64" t="s">
        <v>64</v>
      </c>
      <c r="H5834" s="3" t="s">
        <v>155</v>
      </c>
      <c r="I5834" s="65">
        <f>IFERROR(VLOOKUP(A5834,'3. Call duration'!$A:$C,3,0),"--")</f>
        <v>26.37918553</v>
      </c>
      <c r="J5834" s="65" t="str">
        <f t="array" ref="J5834">XLOOKUP(H5834,'2. Matching'!$A$2:$A$39,'2. Matching'!$B$2:$B$39,"--")</f>
        <v>SEO</v>
      </c>
      <c r="K5834" s="65" t="str">
        <f t="shared" si="1"/>
        <v>In</v>
      </c>
    </row>
    <row r="5835">
      <c r="A5835" s="62" t="s">
        <v>5973</v>
      </c>
      <c r="B5835" s="63">
        <v>44359.0</v>
      </c>
      <c r="C5835" s="62" t="s">
        <v>119</v>
      </c>
      <c r="D5835" s="64">
        <v>47.5</v>
      </c>
      <c r="E5835" s="62" t="s">
        <v>109</v>
      </c>
      <c r="F5835" s="62" t="s">
        <v>110</v>
      </c>
      <c r="G5835" s="64" t="s">
        <v>60</v>
      </c>
      <c r="H5835" s="3" t="s">
        <v>67</v>
      </c>
      <c r="I5835" s="65">
        <f>IFERROR(VLOOKUP(A5835,'3. Call duration'!$A:$C,3,0),"--")</f>
        <v>31.95486752</v>
      </c>
      <c r="J5835" s="65" t="str">
        <f t="array" ref="J5835">XLOOKUP(H5835,'2. Matching'!$A$2:$A$39,'2. Matching'!$B$2:$B$39,"--")</f>
        <v>Acquisition</v>
      </c>
      <c r="K5835" s="65" t="str">
        <f t="shared" si="1"/>
        <v>In</v>
      </c>
    </row>
    <row r="5836">
      <c r="A5836" s="62" t="s">
        <v>5974</v>
      </c>
      <c r="B5836" s="63">
        <v>44329.0</v>
      </c>
      <c r="C5836" s="62" t="s">
        <v>119</v>
      </c>
      <c r="D5836" s="64">
        <v>47.5</v>
      </c>
      <c r="E5836" s="62" t="s">
        <v>109</v>
      </c>
      <c r="F5836" s="62" t="s">
        <v>110</v>
      </c>
      <c r="G5836" s="64" t="s">
        <v>64</v>
      </c>
      <c r="H5836" s="3" t="s">
        <v>175</v>
      </c>
      <c r="I5836" s="65">
        <f>IFERROR(VLOOKUP(A5836,'3. Call duration'!$A:$C,3,0),"--")</f>
        <v>32.98241093</v>
      </c>
      <c r="J5836" s="65" t="str">
        <f t="array" ref="J5836">XLOOKUP(H5836,'2. Matching'!$A$2:$A$39,'2. Matching'!$B$2:$B$39,"--")</f>
        <v>SEO</v>
      </c>
      <c r="K5836" s="65" t="str">
        <f t="shared" si="1"/>
        <v>In</v>
      </c>
    </row>
    <row r="5837">
      <c r="A5837" s="62" t="s">
        <v>5975</v>
      </c>
      <c r="B5837" s="63">
        <v>44327.0</v>
      </c>
      <c r="C5837" s="62" t="s">
        <v>119</v>
      </c>
      <c r="D5837" s="64">
        <v>95.0</v>
      </c>
      <c r="E5837" s="62" t="s">
        <v>114</v>
      </c>
      <c r="F5837" s="62" t="s">
        <v>110</v>
      </c>
      <c r="G5837" s="64" t="s">
        <v>59</v>
      </c>
      <c r="H5837" s="3" t="s">
        <v>68</v>
      </c>
      <c r="I5837" s="65">
        <f>IFERROR(VLOOKUP(A5837,'3. Call duration'!$A:$C,3,0),"--")</f>
        <v>32.987261</v>
      </c>
      <c r="J5837" s="65" t="str">
        <f t="array" ref="J5837">XLOOKUP(H5837,'2. Matching'!$A$2:$A$39,'2. Matching'!$B$2:$B$39,"--")</f>
        <v>Acquisition</v>
      </c>
      <c r="K5837" s="65" t="str">
        <f t="shared" si="1"/>
        <v>In</v>
      </c>
    </row>
    <row r="5838">
      <c r="A5838" s="62" t="s">
        <v>5976</v>
      </c>
      <c r="B5838" s="63">
        <v>44365.0</v>
      </c>
      <c r="C5838" s="62" t="s">
        <v>119</v>
      </c>
      <c r="D5838" s="64">
        <v>47.5</v>
      </c>
      <c r="E5838" s="62" t="s">
        <v>109</v>
      </c>
      <c r="F5838" s="62" t="s">
        <v>115</v>
      </c>
      <c r="G5838" s="64" t="s">
        <v>64</v>
      </c>
      <c r="H5838" s="3" t="s">
        <v>145</v>
      </c>
      <c r="I5838" s="65">
        <f>IFERROR(VLOOKUP(A5838,'3. Call duration'!$A:$C,3,0),"--")</f>
        <v>26.60436613</v>
      </c>
      <c r="J5838" s="65" t="str">
        <f t="array" ref="J5838">XLOOKUP(H5838,'2. Matching'!$A$2:$A$39,'2. Matching'!$B$2:$B$39,"--")</f>
        <v>SEO</v>
      </c>
      <c r="K5838" s="65" t="str">
        <f t="shared" si="1"/>
        <v>In</v>
      </c>
    </row>
    <row r="5839">
      <c r="A5839" s="62" t="s">
        <v>5977</v>
      </c>
      <c r="B5839" s="63">
        <v>44327.0</v>
      </c>
      <c r="C5839" s="62" t="s">
        <v>108</v>
      </c>
      <c r="D5839" s="64">
        <v>0.0</v>
      </c>
      <c r="E5839" s="62" t="s">
        <v>109</v>
      </c>
      <c r="F5839" s="62" t="s">
        <v>110</v>
      </c>
      <c r="G5839" s="64" t="s">
        <v>64</v>
      </c>
      <c r="H5839" s="3" t="s">
        <v>145</v>
      </c>
      <c r="I5839" s="65">
        <f>IFERROR(VLOOKUP(A5839,'3. Call duration'!$A:$C,3,0),"--")</f>
        <v>33.03447418</v>
      </c>
      <c r="J5839" s="65" t="str">
        <f t="array" ref="J5839">XLOOKUP(H5839,'2. Matching'!$A$2:$A$39,'2. Matching'!$B$2:$B$39,"--")</f>
        <v>SEO</v>
      </c>
      <c r="K5839" s="65" t="str">
        <f t="shared" si="1"/>
        <v>In</v>
      </c>
    </row>
    <row r="5840">
      <c r="A5840" s="62" t="s">
        <v>5978</v>
      </c>
      <c r="B5840" s="63">
        <v>44347.0</v>
      </c>
      <c r="C5840" s="62" t="s">
        <v>119</v>
      </c>
      <c r="D5840" s="64">
        <v>47.5</v>
      </c>
      <c r="E5840" s="62" t="s">
        <v>109</v>
      </c>
      <c r="F5840" s="62" t="s">
        <v>110</v>
      </c>
      <c r="G5840" s="64" t="s">
        <v>60</v>
      </c>
      <c r="H5840" s="3" t="s">
        <v>68</v>
      </c>
      <c r="I5840" s="65">
        <f>IFERROR(VLOOKUP(A5840,'3. Call duration'!$A:$C,3,0),"--")</f>
        <v>33.06966654</v>
      </c>
      <c r="J5840" s="65" t="str">
        <f t="array" ref="J5840">XLOOKUP(H5840,'2. Matching'!$A$2:$A$39,'2. Matching'!$B$2:$B$39,"--")</f>
        <v>Acquisition</v>
      </c>
      <c r="K5840" s="65" t="str">
        <f t="shared" si="1"/>
        <v>In</v>
      </c>
    </row>
    <row r="5841">
      <c r="A5841" s="62" t="s">
        <v>5979</v>
      </c>
      <c r="B5841" s="63">
        <v>44371.0</v>
      </c>
      <c r="C5841" s="62" t="s">
        <v>119</v>
      </c>
      <c r="D5841" s="64">
        <v>47.5</v>
      </c>
      <c r="E5841" s="62" t="s">
        <v>109</v>
      </c>
      <c r="F5841" s="62" t="s">
        <v>115</v>
      </c>
      <c r="G5841" s="64" t="s">
        <v>64</v>
      </c>
      <c r="H5841" s="3" t="s">
        <v>155</v>
      </c>
      <c r="I5841" s="65">
        <f>IFERROR(VLOOKUP(A5841,'3. Call duration'!$A:$C,3,0),"--")</f>
        <v>31.88828319</v>
      </c>
      <c r="J5841" s="65" t="str">
        <f t="array" ref="J5841">XLOOKUP(H5841,'2. Matching'!$A$2:$A$39,'2. Matching'!$B$2:$B$39,"--")</f>
        <v>SEO</v>
      </c>
      <c r="K5841" s="65" t="str">
        <f t="shared" si="1"/>
        <v>In</v>
      </c>
    </row>
    <row r="5842">
      <c r="A5842" s="62" t="s">
        <v>5980</v>
      </c>
      <c r="B5842" s="63">
        <v>44341.0</v>
      </c>
      <c r="C5842" s="62" t="s">
        <v>108</v>
      </c>
      <c r="D5842" s="64">
        <v>0.0</v>
      </c>
      <c r="E5842" s="62" t="s">
        <v>109</v>
      </c>
      <c r="F5842" s="62" t="s">
        <v>115</v>
      </c>
      <c r="G5842" s="64" t="s">
        <v>63</v>
      </c>
      <c r="H5842" s="3" t="s">
        <v>183</v>
      </c>
      <c r="I5842" s="65">
        <f>IFERROR(VLOOKUP(A5842,'3. Call duration'!$A:$C,3,0),"--")</f>
        <v>33.08705759</v>
      </c>
      <c r="J5842" s="65" t="str">
        <f t="array" ref="J5842">XLOOKUP(H5842,'2. Matching'!$A$2:$A$39,'2. Matching'!$B$2:$B$39,"--")</f>
        <v>SEO</v>
      </c>
      <c r="K5842" s="65" t="str">
        <f t="shared" si="1"/>
        <v>In</v>
      </c>
    </row>
    <row r="5843">
      <c r="A5843" s="62" t="s">
        <v>5981</v>
      </c>
      <c r="B5843" s="63">
        <v>44349.0</v>
      </c>
      <c r="C5843" s="62" t="s">
        <v>119</v>
      </c>
      <c r="D5843" s="64">
        <v>47.5</v>
      </c>
      <c r="E5843" s="62" t="s">
        <v>109</v>
      </c>
      <c r="F5843" s="62" t="s">
        <v>115</v>
      </c>
      <c r="G5843" s="64" t="s">
        <v>64</v>
      </c>
      <c r="H5843" s="3" t="s">
        <v>164</v>
      </c>
      <c r="I5843" s="65">
        <f>IFERROR(VLOOKUP(A5843,'3. Call duration'!$A:$C,3,0),"--")</f>
        <v>27.97496319</v>
      </c>
      <c r="J5843" s="65" t="str">
        <f t="array" ref="J5843">XLOOKUP(H5843,'2. Matching'!$A$2:$A$39,'2. Matching'!$B$2:$B$39,"--")</f>
        <v>SEO</v>
      </c>
      <c r="K5843" s="65" t="str">
        <f t="shared" si="1"/>
        <v>In</v>
      </c>
    </row>
    <row r="5844">
      <c r="A5844" s="62" t="s">
        <v>5982</v>
      </c>
      <c r="B5844" s="63">
        <v>44377.0</v>
      </c>
      <c r="C5844" s="62" t="s">
        <v>119</v>
      </c>
      <c r="D5844" s="64">
        <v>47.5</v>
      </c>
      <c r="E5844" s="62" t="s">
        <v>109</v>
      </c>
      <c r="F5844" s="62" t="s">
        <v>115</v>
      </c>
      <c r="G5844" s="64" t="s">
        <v>59</v>
      </c>
      <c r="H5844" s="3" t="s">
        <v>68</v>
      </c>
      <c r="I5844" s="65">
        <f>IFERROR(VLOOKUP(A5844,'3. Call duration'!$A:$C,3,0),"--")</f>
        <v>28.34519877</v>
      </c>
      <c r="J5844" s="65" t="str">
        <f t="array" ref="J5844">XLOOKUP(H5844,'2. Matching'!$A$2:$A$39,'2. Matching'!$B$2:$B$39,"--")</f>
        <v>Acquisition</v>
      </c>
      <c r="K5844" s="65" t="str">
        <f t="shared" si="1"/>
        <v>In</v>
      </c>
    </row>
    <row r="5845">
      <c r="A5845" s="62" t="s">
        <v>5983</v>
      </c>
      <c r="B5845" s="63">
        <v>44341.0</v>
      </c>
      <c r="C5845" s="62" t="s">
        <v>119</v>
      </c>
      <c r="D5845" s="64">
        <v>47.5</v>
      </c>
      <c r="E5845" s="62" t="s">
        <v>109</v>
      </c>
      <c r="F5845" s="62" t="s">
        <v>110</v>
      </c>
      <c r="G5845" s="64" t="s">
        <v>63</v>
      </c>
      <c r="H5845" s="3" t="s">
        <v>189</v>
      </c>
      <c r="I5845" s="65">
        <f>IFERROR(VLOOKUP(A5845,'3. Call duration'!$A:$C,3,0),"--")</f>
        <v>33.14782397</v>
      </c>
      <c r="J5845" s="65" t="str">
        <f t="array" ref="J5845">XLOOKUP(H5845,'2. Matching'!$A$2:$A$39,'2. Matching'!$B$2:$B$39,"--")</f>
        <v>SEO</v>
      </c>
      <c r="K5845" s="65" t="str">
        <f t="shared" si="1"/>
        <v>Out</v>
      </c>
    </row>
    <row r="5846">
      <c r="A5846" s="62" t="s">
        <v>5984</v>
      </c>
      <c r="B5846" s="63">
        <v>44351.0</v>
      </c>
      <c r="C5846" s="62" t="s">
        <v>119</v>
      </c>
      <c r="D5846" s="64">
        <v>47.5</v>
      </c>
      <c r="E5846" s="62" t="s">
        <v>109</v>
      </c>
      <c r="F5846" s="62" t="s">
        <v>110</v>
      </c>
      <c r="G5846" s="64" t="s">
        <v>60</v>
      </c>
      <c r="H5846" s="3" t="s">
        <v>67</v>
      </c>
      <c r="I5846" s="65">
        <f>IFERROR(VLOOKUP(A5846,'3. Call duration'!$A:$C,3,0),"--")</f>
        <v>30.63514722</v>
      </c>
      <c r="J5846" s="65" t="str">
        <f t="array" ref="J5846">XLOOKUP(H5846,'2. Matching'!$A$2:$A$39,'2. Matching'!$B$2:$B$39,"--")</f>
        <v>Acquisition</v>
      </c>
      <c r="K5846" s="65" t="str">
        <f t="shared" si="1"/>
        <v>In</v>
      </c>
    </row>
    <row r="5847">
      <c r="A5847" s="62" t="s">
        <v>5985</v>
      </c>
      <c r="B5847" s="63">
        <v>44326.0</v>
      </c>
      <c r="C5847" s="62" t="s">
        <v>119</v>
      </c>
      <c r="D5847" s="64">
        <v>47.5</v>
      </c>
      <c r="E5847" s="62" t="s">
        <v>109</v>
      </c>
      <c r="F5847" s="62" t="s">
        <v>115</v>
      </c>
      <c r="G5847" s="64" t="s">
        <v>63</v>
      </c>
      <c r="H5847" s="3" t="s">
        <v>189</v>
      </c>
      <c r="I5847" s="65">
        <f>IFERROR(VLOOKUP(A5847,'3. Call duration'!$A:$C,3,0),"--")</f>
        <v>33.16942702</v>
      </c>
      <c r="J5847" s="65" t="str">
        <f t="array" ref="J5847">XLOOKUP(H5847,'2. Matching'!$A$2:$A$39,'2. Matching'!$B$2:$B$39,"--")</f>
        <v>SEO</v>
      </c>
      <c r="K5847" s="65" t="str">
        <f t="shared" si="1"/>
        <v>Out</v>
      </c>
    </row>
    <row r="5848">
      <c r="A5848" s="62" t="s">
        <v>5986</v>
      </c>
      <c r="B5848" s="63">
        <v>44326.0</v>
      </c>
      <c r="C5848" s="62" t="s">
        <v>108</v>
      </c>
      <c r="D5848" s="64">
        <v>0.0</v>
      </c>
      <c r="E5848" s="62" t="s">
        <v>109</v>
      </c>
      <c r="F5848" s="62" t="s">
        <v>115</v>
      </c>
      <c r="G5848" s="64" t="s">
        <v>59</v>
      </c>
      <c r="H5848" s="3" t="s">
        <v>68</v>
      </c>
      <c r="I5848" s="65">
        <f>IFERROR(VLOOKUP(A5848,'3. Call duration'!$A:$C,3,0),"--")</f>
        <v>33.1750537</v>
      </c>
      <c r="J5848" s="65" t="str">
        <f t="array" ref="J5848">XLOOKUP(H5848,'2. Matching'!$A$2:$A$39,'2. Matching'!$B$2:$B$39,"--")</f>
        <v>Acquisition</v>
      </c>
      <c r="K5848" s="65" t="str">
        <f t="shared" si="1"/>
        <v>In</v>
      </c>
    </row>
    <row r="5849">
      <c r="A5849" s="62" t="s">
        <v>5987</v>
      </c>
      <c r="B5849" s="63">
        <v>44343.0</v>
      </c>
      <c r="C5849" s="62" t="s">
        <v>119</v>
      </c>
      <c r="D5849" s="64">
        <v>47.5</v>
      </c>
      <c r="E5849" s="62" t="s">
        <v>109</v>
      </c>
      <c r="F5849" s="62" t="s">
        <v>115</v>
      </c>
      <c r="G5849" s="64" t="s">
        <v>64</v>
      </c>
      <c r="H5849" s="3" t="s">
        <v>139</v>
      </c>
      <c r="I5849" s="65">
        <f>IFERROR(VLOOKUP(A5849,'3. Call duration'!$A:$C,3,0),"--")</f>
        <v>33.18129592</v>
      </c>
      <c r="J5849" s="65" t="str">
        <f t="array" ref="J5849">XLOOKUP(H5849,'2. Matching'!$A$2:$A$39,'2. Matching'!$B$2:$B$39,"--")</f>
        <v>Acquisition</v>
      </c>
      <c r="K5849" s="65" t="str">
        <f t="shared" si="1"/>
        <v>In</v>
      </c>
    </row>
    <row r="5850">
      <c r="A5850" s="62" t="s">
        <v>5988</v>
      </c>
      <c r="B5850" s="63">
        <v>44321.0</v>
      </c>
      <c r="C5850" s="62" t="s">
        <v>119</v>
      </c>
      <c r="D5850" s="64">
        <v>47.5</v>
      </c>
      <c r="E5850" s="62" t="s">
        <v>109</v>
      </c>
      <c r="F5850" s="62" t="s">
        <v>115</v>
      </c>
      <c r="G5850" s="64" t="s">
        <v>64</v>
      </c>
      <c r="H5850" s="3" t="s">
        <v>155</v>
      </c>
      <c r="I5850" s="65">
        <f>IFERROR(VLOOKUP(A5850,'3. Call duration'!$A:$C,3,0),"--")</f>
        <v>33.18770016</v>
      </c>
      <c r="J5850" s="65" t="str">
        <f t="array" ref="J5850">XLOOKUP(H5850,'2. Matching'!$A$2:$A$39,'2. Matching'!$B$2:$B$39,"--")</f>
        <v>SEO</v>
      </c>
      <c r="K5850" s="65" t="str">
        <f t="shared" si="1"/>
        <v>In</v>
      </c>
    </row>
    <row r="5851">
      <c r="A5851" s="62" t="s">
        <v>5989</v>
      </c>
      <c r="B5851" s="63">
        <v>44377.0</v>
      </c>
      <c r="C5851" s="62" t="s">
        <v>119</v>
      </c>
      <c r="D5851" s="64">
        <v>47.5</v>
      </c>
      <c r="E5851" s="62" t="s">
        <v>109</v>
      </c>
      <c r="F5851" s="62" t="s">
        <v>110</v>
      </c>
      <c r="G5851" s="64" t="s">
        <v>60</v>
      </c>
      <c r="H5851" s="3" t="s">
        <v>68</v>
      </c>
      <c r="I5851" s="65">
        <f>IFERROR(VLOOKUP(A5851,'3. Call duration'!$A:$C,3,0),"--")</f>
        <v>27.06421612</v>
      </c>
      <c r="J5851" s="65" t="str">
        <f t="array" ref="J5851">XLOOKUP(H5851,'2. Matching'!$A$2:$A$39,'2. Matching'!$B$2:$B$39,"--")</f>
        <v>Acquisition</v>
      </c>
      <c r="K5851" s="65" t="str">
        <f t="shared" si="1"/>
        <v>In</v>
      </c>
    </row>
    <row r="5852">
      <c r="A5852" s="62" t="s">
        <v>5990</v>
      </c>
      <c r="B5852" s="63">
        <v>44336.0</v>
      </c>
      <c r="C5852" s="62" t="s">
        <v>119</v>
      </c>
      <c r="D5852" s="64">
        <v>47.5</v>
      </c>
      <c r="E5852" s="62" t="s">
        <v>109</v>
      </c>
      <c r="F5852" s="62" t="s">
        <v>115</v>
      </c>
      <c r="G5852" s="64" t="s">
        <v>64</v>
      </c>
      <c r="H5852" s="3" t="s">
        <v>141</v>
      </c>
      <c r="I5852" s="65">
        <f>IFERROR(VLOOKUP(A5852,'3. Call duration'!$A:$C,3,0),"--")</f>
        <v>33.19732227</v>
      </c>
      <c r="J5852" s="65" t="str">
        <f t="array" ref="J5852">XLOOKUP(H5852,'2. Matching'!$A$2:$A$39,'2. Matching'!$B$2:$B$39,"--")</f>
        <v>Acquisition</v>
      </c>
      <c r="K5852" s="65" t="str">
        <f t="shared" si="1"/>
        <v>In</v>
      </c>
    </row>
    <row r="5853">
      <c r="A5853" s="62" t="s">
        <v>5991</v>
      </c>
      <c r="B5853" s="63">
        <v>44349.0</v>
      </c>
      <c r="C5853" s="62" t="s">
        <v>119</v>
      </c>
      <c r="D5853" s="64">
        <v>47.5</v>
      </c>
      <c r="E5853" s="62" t="s">
        <v>109</v>
      </c>
      <c r="F5853" s="62" t="s">
        <v>115</v>
      </c>
      <c r="G5853" s="64" t="s">
        <v>59</v>
      </c>
      <c r="H5853" s="3" t="s">
        <v>68</v>
      </c>
      <c r="I5853" s="65">
        <f>IFERROR(VLOOKUP(A5853,'3. Call duration'!$A:$C,3,0),"--")</f>
        <v>26.83220417</v>
      </c>
      <c r="J5853" s="65" t="str">
        <f t="array" ref="J5853">XLOOKUP(H5853,'2. Matching'!$A$2:$A$39,'2. Matching'!$B$2:$B$39,"--")</f>
        <v>Acquisition</v>
      </c>
      <c r="K5853" s="65" t="str">
        <f t="shared" si="1"/>
        <v>In</v>
      </c>
    </row>
    <row r="5854">
      <c r="A5854" s="62" t="s">
        <v>5992</v>
      </c>
      <c r="B5854" s="63">
        <v>44358.0</v>
      </c>
      <c r="C5854" s="62" t="s">
        <v>119</v>
      </c>
      <c r="D5854" s="64">
        <v>47.5</v>
      </c>
      <c r="E5854" s="62" t="s">
        <v>109</v>
      </c>
      <c r="F5854" s="62" t="s">
        <v>115</v>
      </c>
      <c r="G5854" s="64" t="s">
        <v>63</v>
      </c>
      <c r="H5854" s="3" t="s">
        <v>183</v>
      </c>
      <c r="I5854" s="65">
        <f>IFERROR(VLOOKUP(A5854,'3. Call duration'!$A:$C,3,0),"--")</f>
        <v>30.25783425</v>
      </c>
      <c r="J5854" s="65" t="str">
        <f t="array" ref="J5854">XLOOKUP(H5854,'2. Matching'!$A$2:$A$39,'2. Matching'!$B$2:$B$39,"--")</f>
        <v>SEO</v>
      </c>
      <c r="K5854" s="65" t="str">
        <f t="shared" si="1"/>
        <v>In</v>
      </c>
    </row>
    <row r="5855">
      <c r="A5855" s="62" t="s">
        <v>5993</v>
      </c>
      <c r="B5855" s="63">
        <v>44361.0</v>
      </c>
      <c r="C5855" s="62" t="s">
        <v>119</v>
      </c>
      <c r="D5855" s="64">
        <v>47.5</v>
      </c>
      <c r="E5855" s="62" t="s">
        <v>109</v>
      </c>
      <c r="F5855" s="62" t="s">
        <v>115</v>
      </c>
      <c r="G5855" s="64" t="s">
        <v>60</v>
      </c>
      <c r="H5855" s="3" t="s">
        <v>68</v>
      </c>
      <c r="I5855" s="65">
        <f>IFERROR(VLOOKUP(A5855,'3. Call duration'!$A:$C,3,0),"--")</f>
        <v>30.68190308</v>
      </c>
      <c r="J5855" s="65" t="str">
        <f t="array" ref="J5855">XLOOKUP(H5855,'2. Matching'!$A$2:$A$39,'2. Matching'!$B$2:$B$39,"--")</f>
        <v>Acquisition</v>
      </c>
      <c r="K5855" s="65" t="str">
        <f t="shared" si="1"/>
        <v>In</v>
      </c>
    </row>
    <row r="5856">
      <c r="A5856" s="62" t="s">
        <v>5994</v>
      </c>
      <c r="B5856" s="63">
        <v>44375.0</v>
      </c>
      <c r="C5856" s="62" t="s">
        <v>119</v>
      </c>
      <c r="D5856" s="64">
        <v>47.5</v>
      </c>
      <c r="E5856" s="62" t="s">
        <v>109</v>
      </c>
      <c r="F5856" s="62" t="s">
        <v>110</v>
      </c>
      <c r="G5856" s="64" t="s">
        <v>64</v>
      </c>
      <c r="H5856" s="3" t="s">
        <v>297</v>
      </c>
      <c r="I5856" s="65">
        <f>IFERROR(VLOOKUP(A5856,'3. Call duration'!$A:$C,3,0),"--")</f>
        <v>28.34698569</v>
      </c>
      <c r="J5856" s="65" t="str">
        <f t="array" ref="J5856">XLOOKUP(H5856,'2. Matching'!$A$2:$A$39,'2. Matching'!$B$2:$B$39,"--")</f>
        <v>Farming</v>
      </c>
      <c r="K5856" s="65" t="str">
        <f t="shared" si="1"/>
        <v>In</v>
      </c>
    </row>
    <row r="5857">
      <c r="A5857" s="62" t="s">
        <v>5995</v>
      </c>
      <c r="B5857" s="63">
        <v>44369.0</v>
      </c>
      <c r="C5857" s="62" t="s">
        <v>119</v>
      </c>
      <c r="D5857" s="64">
        <v>47.5</v>
      </c>
      <c r="E5857" s="62" t="s">
        <v>109</v>
      </c>
      <c r="F5857" s="62" t="s">
        <v>115</v>
      </c>
      <c r="G5857" s="64" t="s">
        <v>59</v>
      </c>
      <c r="H5857" s="3" t="s">
        <v>68</v>
      </c>
      <c r="I5857" s="65">
        <f>IFERROR(VLOOKUP(A5857,'3. Call duration'!$A:$C,3,0),"--")</f>
        <v>33.0795331</v>
      </c>
      <c r="J5857" s="65" t="str">
        <f t="array" ref="J5857">XLOOKUP(H5857,'2. Matching'!$A$2:$A$39,'2. Matching'!$B$2:$B$39,"--")</f>
        <v>Acquisition</v>
      </c>
      <c r="K5857" s="65" t="str">
        <f t="shared" si="1"/>
        <v>In</v>
      </c>
    </row>
    <row r="5858">
      <c r="A5858" s="62" t="s">
        <v>5996</v>
      </c>
      <c r="B5858" s="63">
        <v>44372.0</v>
      </c>
      <c r="C5858" s="62" t="s">
        <v>119</v>
      </c>
      <c r="D5858" s="64">
        <v>47.5</v>
      </c>
      <c r="E5858" s="62" t="s">
        <v>109</v>
      </c>
      <c r="F5858" s="62" t="s">
        <v>115</v>
      </c>
      <c r="G5858" s="64" t="s">
        <v>63</v>
      </c>
      <c r="H5858" s="3" t="s">
        <v>124</v>
      </c>
      <c r="I5858" s="65">
        <f>IFERROR(VLOOKUP(A5858,'3. Call duration'!$A:$C,3,0),"--")</f>
        <v>11.84095742</v>
      </c>
      <c r="J5858" s="65" t="str">
        <f t="array" ref="J5858">XLOOKUP(H5858,'2. Matching'!$A$2:$A$39,'2. Matching'!$B$2:$B$39,"--")</f>
        <v>Acquisition</v>
      </c>
      <c r="K5858" s="65" t="str">
        <f t="shared" si="1"/>
        <v>In</v>
      </c>
    </row>
    <row r="5859">
      <c r="A5859" s="62" t="s">
        <v>5997</v>
      </c>
      <c r="B5859" s="63">
        <v>44336.0</v>
      </c>
      <c r="C5859" s="62" t="s">
        <v>119</v>
      </c>
      <c r="D5859" s="64">
        <v>47.5</v>
      </c>
      <c r="E5859" s="62" t="s">
        <v>109</v>
      </c>
      <c r="F5859" s="62" t="s">
        <v>115</v>
      </c>
      <c r="G5859" s="64" t="s">
        <v>64</v>
      </c>
      <c r="H5859" s="3" t="s">
        <v>139</v>
      </c>
      <c r="I5859" s="65">
        <f>IFERROR(VLOOKUP(A5859,'3. Call duration'!$A:$C,3,0),"--")</f>
        <v>33.2148659</v>
      </c>
      <c r="J5859" s="65" t="str">
        <f t="array" ref="J5859">XLOOKUP(H5859,'2. Matching'!$A$2:$A$39,'2. Matching'!$B$2:$B$39,"--")</f>
        <v>Acquisition</v>
      </c>
      <c r="K5859" s="65" t="str">
        <f t="shared" si="1"/>
        <v>In</v>
      </c>
    </row>
    <row r="5860">
      <c r="A5860" s="62" t="s">
        <v>5998</v>
      </c>
      <c r="B5860" s="63">
        <v>44377.0</v>
      </c>
      <c r="C5860" s="62" t="s">
        <v>119</v>
      </c>
      <c r="D5860" s="64">
        <v>47.5</v>
      </c>
      <c r="E5860" s="62" t="s">
        <v>109</v>
      </c>
      <c r="F5860" s="62" t="s">
        <v>115</v>
      </c>
      <c r="G5860" s="64" t="s">
        <v>59</v>
      </c>
      <c r="H5860" s="3" t="s">
        <v>68</v>
      </c>
      <c r="I5860" s="65">
        <f>IFERROR(VLOOKUP(A5860,'3. Call duration'!$A:$C,3,0),"--")</f>
        <v>37.25867405</v>
      </c>
      <c r="J5860" s="65" t="str">
        <f t="array" ref="J5860">XLOOKUP(H5860,'2. Matching'!$A$2:$A$39,'2. Matching'!$B$2:$B$39,"--")</f>
        <v>Acquisition</v>
      </c>
      <c r="K5860" s="65" t="str">
        <f t="shared" si="1"/>
        <v>In</v>
      </c>
    </row>
    <row r="5861">
      <c r="A5861" s="62" t="s">
        <v>5999</v>
      </c>
      <c r="B5861" s="63">
        <v>44343.0</v>
      </c>
      <c r="C5861" s="62" t="s">
        <v>119</v>
      </c>
      <c r="D5861" s="64">
        <v>47.5</v>
      </c>
      <c r="E5861" s="62" t="s">
        <v>109</v>
      </c>
      <c r="F5861" s="62" t="s">
        <v>115</v>
      </c>
      <c r="G5861" s="64" t="s">
        <v>64</v>
      </c>
      <c r="H5861" s="3" t="s">
        <v>169</v>
      </c>
      <c r="I5861" s="65">
        <f>IFERROR(VLOOKUP(A5861,'3. Call duration'!$A:$C,3,0),"--")</f>
        <v>33.24056327</v>
      </c>
      <c r="J5861" s="65" t="str">
        <f t="array" ref="J5861">XLOOKUP(H5861,'2. Matching'!$A$2:$A$39,'2. Matching'!$B$2:$B$39,"--")</f>
        <v>SEO</v>
      </c>
      <c r="K5861" s="65" t="str">
        <f t="shared" si="1"/>
        <v>In</v>
      </c>
    </row>
    <row r="5862">
      <c r="A5862" s="62" t="s">
        <v>6000</v>
      </c>
      <c r="B5862" s="63">
        <v>44347.0</v>
      </c>
      <c r="C5862" s="62" t="s">
        <v>119</v>
      </c>
      <c r="D5862" s="64">
        <v>47.5</v>
      </c>
      <c r="E5862" s="62" t="s">
        <v>109</v>
      </c>
      <c r="F5862" s="62" t="s">
        <v>115</v>
      </c>
      <c r="G5862" s="64" t="s">
        <v>64</v>
      </c>
      <c r="H5862" s="3" t="s">
        <v>116</v>
      </c>
      <c r="I5862" s="65">
        <f>IFERROR(VLOOKUP(A5862,'3. Call duration'!$A:$C,3,0),"--")</f>
        <v>33.24564642</v>
      </c>
      <c r="J5862" s="65" t="str">
        <f t="array" ref="J5862">XLOOKUP(H5862,'2. Matching'!$A$2:$A$39,'2. Matching'!$B$2:$B$39,"--")</f>
        <v>Acquisition</v>
      </c>
      <c r="K5862" s="65" t="str">
        <f t="shared" si="1"/>
        <v>In</v>
      </c>
    </row>
    <row r="5863">
      <c r="A5863" s="62" t="s">
        <v>6001</v>
      </c>
      <c r="B5863" s="63">
        <v>44363.0</v>
      </c>
      <c r="C5863" s="62" t="s">
        <v>119</v>
      </c>
      <c r="D5863" s="64">
        <v>47.5</v>
      </c>
      <c r="E5863" s="62" t="s">
        <v>109</v>
      </c>
      <c r="F5863" s="62" t="s">
        <v>110</v>
      </c>
      <c r="G5863" s="64" t="s">
        <v>60</v>
      </c>
      <c r="H5863" s="3" t="s">
        <v>67</v>
      </c>
      <c r="I5863" s="65">
        <f>IFERROR(VLOOKUP(A5863,'3. Call duration'!$A:$C,3,0),"--")</f>
        <v>32.52744455</v>
      </c>
      <c r="J5863" s="65" t="str">
        <f t="array" ref="J5863">XLOOKUP(H5863,'2. Matching'!$A$2:$A$39,'2. Matching'!$B$2:$B$39,"--")</f>
        <v>Acquisition</v>
      </c>
      <c r="K5863" s="65" t="str">
        <f t="shared" si="1"/>
        <v>In</v>
      </c>
    </row>
    <row r="5864">
      <c r="A5864" s="62" t="s">
        <v>6002</v>
      </c>
      <c r="B5864" s="63">
        <v>44336.0</v>
      </c>
      <c r="C5864" s="62" t="s">
        <v>119</v>
      </c>
      <c r="D5864" s="64">
        <v>47.5</v>
      </c>
      <c r="E5864" s="62" t="s">
        <v>109</v>
      </c>
      <c r="F5864" s="62" t="s">
        <v>115</v>
      </c>
      <c r="G5864" s="64" t="s">
        <v>64</v>
      </c>
      <c r="H5864" s="3" t="s">
        <v>141</v>
      </c>
      <c r="I5864" s="65">
        <f>IFERROR(VLOOKUP(A5864,'3. Call duration'!$A:$C,3,0),"--")</f>
        <v>33.25241212</v>
      </c>
      <c r="J5864" s="65" t="str">
        <f t="array" ref="J5864">XLOOKUP(H5864,'2. Matching'!$A$2:$A$39,'2. Matching'!$B$2:$B$39,"--")</f>
        <v>Acquisition</v>
      </c>
      <c r="K5864" s="65" t="str">
        <f t="shared" si="1"/>
        <v>In</v>
      </c>
    </row>
    <row r="5865">
      <c r="A5865" s="62" t="s">
        <v>6003</v>
      </c>
      <c r="B5865" s="63">
        <v>44363.0</v>
      </c>
      <c r="C5865" s="62" t="s">
        <v>119</v>
      </c>
      <c r="D5865" s="64">
        <v>47.5</v>
      </c>
      <c r="E5865" s="62" t="s">
        <v>109</v>
      </c>
      <c r="F5865" s="62" t="s">
        <v>110</v>
      </c>
      <c r="G5865" s="64" t="s">
        <v>60</v>
      </c>
      <c r="H5865" s="3" t="s">
        <v>68</v>
      </c>
      <c r="I5865" s="65">
        <f>IFERROR(VLOOKUP(A5865,'3. Call duration'!$A:$C,3,0),"--")</f>
        <v>23.32809081</v>
      </c>
      <c r="J5865" s="65" t="str">
        <f t="array" ref="J5865">XLOOKUP(H5865,'2. Matching'!$A$2:$A$39,'2. Matching'!$B$2:$B$39,"--")</f>
        <v>Acquisition</v>
      </c>
      <c r="K5865" s="65" t="str">
        <f t="shared" si="1"/>
        <v>In</v>
      </c>
    </row>
    <row r="5866">
      <c r="A5866" s="62" t="s">
        <v>6004</v>
      </c>
      <c r="B5866" s="63">
        <v>44358.0</v>
      </c>
      <c r="C5866" s="62" t="s">
        <v>119</v>
      </c>
      <c r="D5866" s="64">
        <v>47.5</v>
      </c>
      <c r="E5866" s="62" t="s">
        <v>109</v>
      </c>
      <c r="F5866" s="62" t="s">
        <v>115</v>
      </c>
      <c r="G5866" s="64" t="s">
        <v>64</v>
      </c>
      <c r="H5866" s="3" t="s">
        <v>139</v>
      </c>
      <c r="I5866" s="65">
        <f>IFERROR(VLOOKUP(A5866,'3. Call duration'!$A:$C,3,0),"--")</f>
        <v>30.50647773</v>
      </c>
      <c r="J5866" s="65" t="str">
        <f t="array" ref="J5866">XLOOKUP(H5866,'2. Matching'!$A$2:$A$39,'2. Matching'!$B$2:$B$39,"--")</f>
        <v>Acquisition</v>
      </c>
      <c r="K5866" s="65" t="str">
        <f t="shared" si="1"/>
        <v>In</v>
      </c>
    </row>
    <row r="5867">
      <c r="A5867" s="62" t="s">
        <v>6005</v>
      </c>
      <c r="B5867" s="63">
        <v>44327.0</v>
      </c>
      <c r="C5867" s="62" t="s">
        <v>119</v>
      </c>
      <c r="D5867" s="64">
        <v>47.5</v>
      </c>
      <c r="E5867" s="62" t="s">
        <v>109</v>
      </c>
      <c r="F5867" s="62" t="s">
        <v>115</v>
      </c>
      <c r="G5867" s="64" t="s">
        <v>64</v>
      </c>
      <c r="H5867" s="3" t="s">
        <v>175</v>
      </c>
      <c r="I5867" s="65">
        <f>IFERROR(VLOOKUP(A5867,'3. Call duration'!$A:$C,3,0),"--")</f>
        <v>33.26097722</v>
      </c>
      <c r="J5867" s="65" t="str">
        <f t="array" ref="J5867">XLOOKUP(H5867,'2. Matching'!$A$2:$A$39,'2. Matching'!$B$2:$B$39,"--")</f>
        <v>SEO</v>
      </c>
      <c r="K5867" s="65" t="str">
        <f t="shared" si="1"/>
        <v>In</v>
      </c>
    </row>
    <row r="5868">
      <c r="A5868" s="62" t="s">
        <v>6006</v>
      </c>
      <c r="B5868" s="63">
        <v>44359.0</v>
      </c>
      <c r="C5868" s="62" t="s">
        <v>119</v>
      </c>
      <c r="D5868" s="64">
        <v>47.5</v>
      </c>
      <c r="E5868" s="62" t="s">
        <v>109</v>
      </c>
      <c r="F5868" s="62" t="s">
        <v>115</v>
      </c>
      <c r="G5868" s="64" t="s">
        <v>64</v>
      </c>
      <c r="H5868" s="3" t="s">
        <v>155</v>
      </c>
      <c r="I5868" s="65">
        <f>IFERROR(VLOOKUP(A5868,'3. Call duration'!$A:$C,3,0),"--")</f>
        <v>46.34718727</v>
      </c>
      <c r="J5868" s="65" t="str">
        <f t="array" ref="J5868">XLOOKUP(H5868,'2. Matching'!$A$2:$A$39,'2. Matching'!$B$2:$B$39,"--")</f>
        <v>SEO</v>
      </c>
      <c r="K5868" s="65" t="str">
        <f t="shared" si="1"/>
        <v>In</v>
      </c>
    </row>
    <row r="5869">
      <c r="A5869" s="62" t="s">
        <v>6007</v>
      </c>
      <c r="B5869" s="63">
        <v>44362.0</v>
      </c>
      <c r="C5869" s="62" t="s">
        <v>119</v>
      </c>
      <c r="D5869" s="64">
        <v>47.5</v>
      </c>
      <c r="E5869" s="62" t="s">
        <v>109</v>
      </c>
      <c r="F5869" s="62" t="s">
        <v>110</v>
      </c>
      <c r="G5869" s="64" t="s">
        <v>61</v>
      </c>
      <c r="H5869" s="3" t="s">
        <v>69</v>
      </c>
      <c r="I5869" s="65">
        <f>IFERROR(VLOOKUP(A5869,'3. Call duration'!$A:$C,3,0),"--")</f>
        <v>22.68024381</v>
      </c>
      <c r="J5869" s="65" t="str">
        <f t="array" ref="J5869">XLOOKUP(H5869,'2. Matching'!$A$2:$A$39,'2. Matching'!$B$2:$B$39,"--")</f>
        <v>Acquisition</v>
      </c>
      <c r="K5869" s="65" t="str">
        <f t="shared" si="1"/>
        <v>In</v>
      </c>
    </row>
    <row r="5870">
      <c r="A5870" s="62" t="s">
        <v>6008</v>
      </c>
      <c r="B5870" s="63">
        <v>44341.0</v>
      </c>
      <c r="C5870" s="62" t="s">
        <v>119</v>
      </c>
      <c r="D5870" s="64">
        <v>47.5</v>
      </c>
      <c r="E5870" s="62" t="s">
        <v>109</v>
      </c>
      <c r="F5870" s="62" t="s">
        <v>110</v>
      </c>
      <c r="G5870" s="64" t="s">
        <v>64</v>
      </c>
      <c r="H5870" s="3" t="s">
        <v>116</v>
      </c>
      <c r="I5870" s="65">
        <f>IFERROR(VLOOKUP(A5870,'3. Call duration'!$A:$C,3,0),"--")</f>
        <v>33.26633217</v>
      </c>
      <c r="J5870" s="65" t="str">
        <f t="array" ref="J5870">XLOOKUP(H5870,'2. Matching'!$A$2:$A$39,'2. Matching'!$B$2:$B$39,"--")</f>
        <v>Acquisition</v>
      </c>
      <c r="K5870" s="65" t="str">
        <f t="shared" si="1"/>
        <v>In</v>
      </c>
    </row>
    <row r="5871">
      <c r="A5871" s="62" t="s">
        <v>6009</v>
      </c>
      <c r="B5871" s="63">
        <v>44362.0</v>
      </c>
      <c r="C5871" s="62" t="s">
        <v>119</v>
      </c>
      <c r="D5871" s="64">
        <v>47.5</v>
      </c>
      <c r="E5871" s="62" t="s">
        <v>109</v>
      </c>
      <c r="F5871" s="62" t="s">
        <v>115</v>
      </c>
      <c r="G5871" s="64" t="s">
        <v>61</v>
      </c>
      <c r="H5871" s="3" t="s">
        <v>69</v>
      </c>
      <c r="I5871" s="65">
        <f>IFERROR(VLOOKUP(A5871,'3. Call duration'!$A:$C,3,0),"--")</f>
        <v>31.49306731</v>
      </c>
      <c r="J5871" s="65" t="str">
        <f t="array" ref="J5871">XLOOKUP(H5871,'2. Matching'!$A$2:$A$39,'2. Matching'!$B$2:$B$39,"--")</f>
        <v>Acquisition</v>
      </c>
      <c r="K5871" s="65" t="str">
        <f t="shared" si="1"/>
        <v>In</v>
      </c>
    </row>
    <row r="5872">
      <c r="A5872" s="62" t="s">
        <v>6010</v>
      </c>
      <c r="B5872" s="63">
        <v>44363.0</v>
      </c>
      <c r="C5872" s="62" t="s">
        <v>119</v>
      </c>
      <c r="D5872" s="64">
        <v>47.5</v>
      </c>
      <c r="E5872" s="62" t="s">
        <v>109</v>
      </c>
      <c r="F5872" s="62" t="s">
        <v>115</v>
      </c>
      <c r="G5872" s="64" t="s">
        <v>59</v>
      </c>
      <c r="H5872" s="3" t="s">
        <v>68</v>
      </c>
      <c r="I5872" s="65">
        <f>IFERROR(VLOOKUP(A5872,'3. Call duration'!$A:$C,3,0),"--")</f>
        <v>21.82928654</v>
      </c>
      <c r="J5872" s="65" t="str">
        <f t="array" ref="J5872">XLOOKUP(H5872,'2. Matching'!$A$2:$A$39,'2. Matching'!$B$2:$B$39,"--")</f>
        <v>Acquisition</v>
      </c>
      <c r="K5872" s="65" t="str">
        <f t="shared" si="1"/>
        <v>In</v>
      </c>
    </row>
    <row r="5873">
      <c r="A5873" s="62" t="s">
        <v>6011</v>
      </c>
      <c r="B5873" s="63">
        <v>44375.0</v>
      </c>
      <c r="C5873" s="62" t="s">
        <v>119</v>
      </c>
      <c r="D5873" s="64">
        <v>47.5</v>
      </c>
      <c r="E5873" s="62" t="s">
        <v>109</v>
      </c>
      <c r="F5873" s="62" t="s">
        <v>115</v>
      </c>
      <c r="G5873" s="64" t="s">
        <v>60</v>
      </c>
      <c r="H5873" s="3" t="s">
        <v>68</v>
      </c>
      <c r="I5873" s="65" t="str">
        <f>IFERROR(VLOOKUP(A5873,'3. Call duration'!$A:$C,3,0),"--")</f>
        <v>--</v>
      </c>
      <c r="J5873" s="65" t="str">
        <f t="array" ref="J5873">XLOOKUP(H5873,'2. Matching'!$A$2:$A$39,'2. Matching'!$B$2:$B$39,"--")</f>
        <v>Acquisition</v>
      </c>
      <c r="K5873" s="65" t="str">
        <f t="shared" si="1"/>
        <v>In</v>
      </c>
    </row>
    <row r="5874">
      <c r="A5874" s="62" t="s">
        <v>6012</v>
      </c>
      <c r="B5874" s="63">
        <v>44347.0</v>
      </c>
      <c r="C5874" s="62" t="s">
        <v>119</v>
      </c>
      <c r="D5874" s="64">
        <v>47.5</v>
      </c>
      <c r="E5874" s="62" t="s">
        <v>109</v>
      </c>
      <c r="F5874" s="62" t="s">
        <v>110</v>
      </c>
      <c r="G5874" s="64" t="s">
        <v>64</v>
      </c>
      <c r="H5874" s="3" t="s">
        <v>145</v>
      </c>
      <c r="I5874" s="65">
        <f>IFERROR(VLOOKUP(A5874,'3. Call duration'!$A:$C,3,0),"--")</f>
        <v>33.27094028</v>
      </c>
      <c r="J5874" s="65" t="str">
        <f t="array" ref="J5874">XLOOKUP(H5874,'2. Matching'!$A$2:$A$39,'2. Matching'!$B$2:$B$39,"--")</f>
        <v>SEO</v>
      </c>
      <c r="K5874" s="65" t="str">
        <f t="shared" si="1"/>
        <v>In</v>
      </c>
    </row>
    <row r="5875">
      <c r="A5875" s="62" t="s">
        <v>6013</v>
      </c>
      <c r="B5875" s="63">
        <v>44373.0</v>
      </c>
      <c r="C5875" s="62" t="s">
        <v>119</v>
      </c>
      <c r="D5875" s="64">
        <v>47.5</v>
      </c>
      <c r="E5875" s="62" t="s">
        <v>109</v>
      </c>
      <c r="F5875" s="62" t="s">
        <v>115</v>
      </c>
      <c r="G5875" s="64" t="s">
        <v>64</v>
      </c>
      <c r="H5875" s="3" t="s">
        <v>169</v>
      </c>
      <c r="I5875" s="65">
        <f>IFERROR(VLOOKUP(A5875,'3. Call duration'!$A:$C,3,0),"--")</f>
        <v>32.19630871</v>
      </c>
      <c r="J5875" s="65" t="str">
        <f t="array" ref="J5875">XLOOKUP(H5875,'2. Matching'!$A$2:$A$39,'2. Matching'!$B$2:$B$39,"--")</f>
        <v>SEO</v>
      </c>
      <c r="K5875" s="65" t="str">
        <f t="shared" si="1"/>
        <v>In</v>
      </c>
    </row>
    <row r="5876">
      <c r="A5876" s="62" t="s">
        <v>6014</v>
      </c>
      <c r="B5876" s="63">
        <v>44376.0</v>
      </c>
      <c r="C5876" s="62" t="s">
        <v>119</v>
      </c>
      <c r="D5876" s="64">
        <v>47.5</v>
      </c>
      <c r="E5876" s="62" t="s">
        <v>109</v>
      </c>
      <c r="F5876" s="62" t="s">
        <v>110</v>
      </c>
      <c r="G5876" s="64" t="s">
        <v>60</v>
      </c>
      <c r="H5876" s="3" t="s">
        <v>68</v>
      </c>
      <c r="I5876" s="65">
        <f>IFERROR(VLOOKUP(A5876,'3. Call duration'!$A:$C,3,0),"--")</f>
        <v>22.26422556</v>
      </c>
      <c r="J5876" s="65" t="str">
        <f t="array" ref="J5876">XLOOKUP(H5876,'2. Matching'!$A$2:$A$39,'2. Matching'!$B$2:$B$39,"--")</f>
        <v>Acquisition</v>
      </c>
      <c r="K5876" s="65" t="str">
        <f t="shared" si="1"/>
        <v>In</v>
      </c>
    </row>
    <row r="5877">
      <c r="A5877" s="62" t="s">
        <v>6015</v>
      </c>
      <c r="B5877" s="63">
        <v>44322.0</v>
      </c>
      <c r="C5877" s="62" t="s">
        <v>119</v>
      </c>
      <c r="D5877" s="64">
        <v>47.5</v>
      </c>
      <c r="E5877" s="62" t="s">
        <v>109</v>
      </c>
      <c r="F5877" s="62" t="s">
        <v>115</v>
      </c>
      <c r="G5877" s="64" t="s">
        <v>64</v>
      </c>
      <c r="H5877" s="3" t="s">
        <v>185</v>
      </c>
      <c r="I5877" s="65">
        <f>IFERROR(VLOOKUP(A5877,'3. Call duration'!$A:$C,3,0),"--")</f>
        <v>33.27386478</v>
      </c>
      <c r="J5877" s="65" t="str">
        <f t="array" ref="J5877">XLOOKUP(H5877,'2. Matching'!$A$2:$A$39,'2. Matching'!$B$2:$B$39,"--")</f>
        <v>SEO</v>
      </c>
      <c r="K5877" s="65" t="str">
        <f t="shared" si="1"/>
        <v>In</v>
      </c>
    </row>
    <row r="5878">
      <c r="A5878" s="62" t="s">
        <v>6016</v>
      </c>
      <c r="B5878" s="63">
        <v>44376.0</v>
      </c>
      <c r="C5878" s="62" t="s">
        <v>119</v>
      </c>
      <c r="D5878" s="64">
        <v>47.5</v>
      </c>
      <c r="E5878" s="62" t="s">
        <v>109</v>
      </c>
      <c r="F5878" s="62" t="s">
        <v>115</v>
      </c>
      <c r="G5878" s="64" t="s">
        <v>64</v>
      </c>
      <c r="H5878" s="3" t="s">
        <v>185</v>
      </c>
      <c r="I5878" s="65">
        <f>IFERROR(VLOOKUP(A5878,'3. Call duration'!$A:$C,3,0),"--")</f>
        <v>23.75707728</v>
      </c>
      <c r="J5878" s="65" t="str">
        <f t="array" ref="J5878">XLOOKUP(H5878,'2. Matching'!$A$2:$A$39,'2. Matching'!$B$2:$B$39,"--")</f>
        <v>SEO</v>
      </c>
      <c r="K5878" s="65" t="str">
        <f t="shared" si="1"/>
        <v>In</v>
      </c>
    </row>
    <row r="5879">
      <c r="A5879" s="62" t="s">
        <v>6017</v>
      </c>
      <c r="B5879" s="63">
        <v>44354.0</v>
      </c>
      <c r="C5879" s="62" t="s">
        <v>119</v>
      </c>
      <c r="D5879" s="64">
        <v>47.5</v>
      </c>
      <c r="E5879" s="62" t="s">
        <v>109</v>
      </c>
      <c r="F5879" s="62" t="s">
        <v>110</v>
      </c>
      <c r="G5879" s="64" t="s">
        <v>60</v>
      </c>
      <c r="H5879" s="3" t="s">
        <v>68</v>
      </c>
      <c r="I5879" s="65">
        <f>IFERROR(VLOOKUP(A5879,'3. Call duration'!$A:$C,3,0),"--")</f>
        <v>50.25559844</v>
      </c>
      <c r="J5879" s="65" t="str">
        <f t="array" ref="J5879">XLOOKUP(H5879,'2. Matching'!$A$2:$A$39,'2. Matching'!$B$2:$B$39,"--")</f>
        <v>Acquisition</v>
      </c>
      <c r="K5879" s="65" t="str">
        <f t="shared" si="1"/>
        <v>In</v>
      </c>
    </row>
    <row r="5880">
      <c r="A5880" s="62" t="s">
        <v>6018</v>
      </c>
      <c r="B5880" s="63">
        <v>44355.0</v>
      </c>
      <c r="C5880" s="62" t="s">
        <v>119</v>
      </c>
      <c r="D5880" s="64">
        <v>47.5</v>
      </c>
      <c r="E5880" s="62" t="s">
        <v>109</v>
      </c>
      <c r="F5880" s="62" t="s">
        <v>115</v>
      </c>
      <c r="G5880" s="64" t="s">
        <v>60</v>
      </c>
      <c r="H5880" s="3" t="s">
        <v>68</v>
      </c>
      <c r="I5880" s="65">
        <f>IFERROR(VLOOKUP(A5880,'3. Call duration'!$A:$C,3,0),"--")</f>
        <v>22.06940857</v>
      </c>
      <c r="J5880" s="65" t="str">
        <f t="array" ref="J5880">XLOOKUP(H5880,'2. Matching'!$A$2:$A$39,'2. Matching'!$B$2:$B$39,"--")</f>
        <v>Acquisition</v>
      </c>
      <c r="K5880" s="65" t="str">
        <f t="shared" si="1"/>
        <v>In</v>
      </c>
    </row>
    <row r="5881">
      <c r="A5881" s="62" t="s">
        <v>6019</v>
      </c>
      <c r="B5881" s="63">
        <v>44361.0</v>
      </c>
      <c r="C5881" s="62" t="s">
        <v>119</v>
      </c>
      <c r="D5881" s="64">
        <v>47.5</v>
      </c>
      <c r="E5881" s="62" t="s">
        <v>109</v>
      </c>
      <c r="F5881" s="62" t="s">
        <v>110</v>
      </c>
      <c r="G5881" s="64" t="s">
        <v>60</v>
      </c>
      <c r="H5881" s="3" t="s">
        <v>67</v>
      </c>
      <c r="I5881" s="65" t="str">
        <f>IFERROR(VLOOKUP(A5881,'3. Call duration'!$A:$C,3,0),"--")</f>
        <v>--</v>
      </c>
      <c r="J5881" s="65" t="str">
        <f t="array" ref="J5881">XLOOKUP(H5881,'2. Matching'!$A$2:$A$39,'2. Matching'!$B$2:$B$39,"--")</f>
        <v>Acquisition</v>
      </c>
      <c r="K5881" s="65" t="str">
        <f t="shared" si="1"/>
        <v>In</v>
      </c>
    </row>
    <row r="5882">
      <c r="A5882" s="62" t="s">
        <v>6020</v>
      </c>
      <c r="B5882" s="63">
        <v>44342.0</v>
      </c>
      <c r="C5882" s="62" t="s">
        <v>119</v>
      </c>
      <c r="D5882" s="64">
        <v>47.5</v>
      </c>
      <c r="E5882" s="62" t="s">
        <v>109</v>
      </c>
      <c r="F5882" s="62" t="s">
        <v>110</v>
      </c>
      <c r="G5882" s="64" t="s">
        <v>63</v>
      </c>
      <c r="H5882" s="3" t="s">
        <v>189</v>
      </c>
      <c r="I5882" s="65">
        <f>IFERROR(VLOOKUP(A5882,'3. Call duration'!$A:$C,3,0),"--")</f>
        <v>33.27966542</v>
      </c>
      <c r="J5882" s="65" t="str">
        <f t="array" ref="J5882">XLOOKUP(H5882,'2. Matching'!$A$2:$A$39,'2. Matching'!$B$2:$B$39,"--")</f>
        <v>SEO</v>
      </c>
      <c r="K5882" s="65" t="str">
        <f t="shared" si="1"/>
        <v>Out</v>
      </c>
    </row>
    <row r="5883">
      <c r="A5883" s="62" t="s">
        <v>6021</v>
      </c>
      <c r="B5883" s="63">
        <v>44353.0</v>
      </c>
      <c r="C5883" s="62" t="s">
        <v>119</v>
      </c>
      <c r="D5883" s="64">
        <v>47.5</v>
      </c>
      <c r="E5883" s="62" t="s">
        <v>109</v>
      </c>
      <c r="F5883" s="62" t="s">
        <v>115</v>
      </c>
      <c r="G5883" s="64" t="s">
        <v>64</v>
      </c>
      <c r="H5883" s="3" t="s">
        <v>135</v>
      </c>
      <c r="I5883" s="65">
        <f>IFERROR(VLOOKUP(A5883,'3. Call duration'!$A:$C,3,0),"--")</f>
        <v>31.66312292</v>
      </c>
      <c r="J5883" s="65" t="str">
        <f t="array" ref="J5883">XLOOKUP(H5883,'2. Matching'!$A$2:$A$39,'2. Matching'!$B$2:$B$39,"--")</f>
        <v>Acquisition</v>
      </c>
      <c r="K5883" s="65" t="str">
        <f t="shared" si="1"/>
        <v>In</v>
      </c>
    </row>
    <row r="5884">
      <c r="A5884" s="62" t="s">
        <v>6022</v>
      </c>
      <c r="B5884" s="63">
        <v>44332.0</v>
      </c>
      <c r="C5884" s="62" t="s">
        <v>108</v>
      </c>
      <c r="D5884" s="64">
        <v>0.0</v>
      </c>
      <c r="E5884" s="62" t="s">
        <v>109</v>
      </c>
      <c r="F5884" s="62" t="s">
        <v>115</v>
      </c>
      <c r="G5884" s="64" t="s">
        <v>64</v>
      </c>
      <c r="H5884" s="3" t="s">
        <v>139</v>
      </c>
      <c r="I5884" s="65">
        <f>IFERROR(VLOOKUP(A5884,'3. Call duration'!$A:$C,3,0),"--")</f>
        <v>33.31117686</v>
      </c>
      <c r="J5884" s="65" t="str">
        <f t="array" ref="J5884">XLOOKUP(H5884,'2. Matching'!$A$2:$A$39,'2. Matching'!$B$2:$B$39,"--")</f>
        <v>Acquisition</v>
      </c>
      <c r="K5884" s="65" t="str">
        <f t="shared" si="1"/>
        <v>In</v>
      </c>
    </row>
    <row r="5885">
      <c r="A5885" s="62" t="s">
        <v>6023</v>
      </c>
      <c r="B5885" s="63">
        <v>44337.0</v>
      </c>
      <c r="C5885" s="62" t="s">
        <v>119</v>
      </c>
      <c r="D5885" s="64">
        <v>47.5</v>
      </c>
      <c r="E5885" s="62" t="s">
        <v>109</v>
      </c>
      <c r="F5885" s="62" t="s">
        <v>115</v>
      </c>
      <c r="G5885" s="64" t="s">
        <v>64</v>
      </c>
      <c r="H5885" s="3" t="s">
        <v>169</v>
      </c>
      <c r="I5885" s="65">
        <f>IFERROR(VLOOKUP(A5885,'3. Call duration'!$A:$C,3,0),"--")</f>
        <v>33.31877671</v>
      </c>
      <c r="J5885" s="65" t="str">
        <f t="array" ref="J5885">XLOOKUP(H5885,'2. Matching'!$A$2:$A$39,'2. Matching'!$B$2:$B$39,"--")</f>
        <v>SEO</v>
      </c>
      <c r="K5885" s="65" t="str">
        <f t="shared" si="1"/>
        <v>In</v>
      </c>
    </row>
    <row r="5886">
      <c r="A5886" s="62" t="s">
        <v>6024</v>
      </c>
      <c r="B5886" s="63">
        <v>44377.0</v>
      </c>
      <c r="C5886" s="62" t="s">
        <v>119</v>
      </c>
      <c r="D5886" s="64">
        <v>47.5</v>
      </c>
      <c r="E5886" s="62" t="s">
        <v>109</v>
      </c>
      <c r="F5886" s="62" t="s">
        <v>115</v>
      </c>
      <c r="G5886" s="64" t="s">
        <v>64</v>
      </c>
      <c r="H5886" s="3" t="s">
        <v>164</v>
      </c>
      <c r="I5886" s="65">
        <f>IFERROR(VLOOKUP(A5886,'3. Call duration'!$A:$C,3,0),"--")</f>
        <v>33.0482637</v>
      </c>
      <c r="J5886" s="65" t="str">
        <f t="array" ref="J5886">XLOOKUP(H5886,'2. Matching'!$A$2:$A$39,'2. Matching'!$B$2:$B$39,"--")</f>
        <v>SEO</v>
      </c>
      <c r="K5886" s="65" t="str">
        <f t="shared" si="1"/>
        <v>In</v>
      </c>
    </row>
    <row r="5887">
      <c r="A5887" s="62" t="s">
        <v>6025</v>
      </c>
      <c r="B5887" s="63">
        <v>44336.0</v>
      </c>
      <c r="C5887" s="62" t="s">
        <v>119</v>
      </c>
      <c r="D5887" s="64">
        <v>47.5</v>
      </c>
      <c r="E5887" s="62" t="s">
        <v>109</v>
      </c>
      <c r="F5887" s="62" t="s">
        <v>115</v>
      </c>
      <c r="G5887" s="64" t="s">
        <v>64</v>
      </c>
      <c r="H5887" s="3" t="s">
        <v>169</v>
      </c>
      <c r="I5887" s="65">
        <f>IFERROR(VLOOKUP(A5887,'3. Call duration'!$A:$C,3,0),"--")</f>
        <v>33.33469055</v>
      </c>
      <c r="J5887" s="65" t="str">
        <f t="array" ref="J5887">XLOOKUP(H5887,'2. Matching'!$A$2:$A$39,'2. Matching'!$B$2:$B$39,"--")</f>
        <v>SEO</v>
      </c>
      <c r="K5887" s="65" t="str">
        <f t="shared" si="1"/>
        <v>In</v>
      </c>
    </row>
    <row r="5888">
      <c r="A5888" s="62" t="s">
        <v>6026</v>
      </c>
      <c r="B5888" s="63">
        <v>44347.0</v>
      </c>
      <c r="C5888" s="62" t="s">
        <v>119</v>
      </c>
      <c r="D5888" s="64">
        <v>47.5</v>
      </c>
      <c r="E5888" s="62" t="s">
        <v>109</v>
      </c>
      <c r="F5888" s="62" t="s">
        <v>110</v>
      </c>
      <c r="G5888" s="64" t="s">
        <v>63</v>
      </c>
      <c r="H5888" s="3" t="s">
        <v>183</v>
      </c>
      <c r="I5888" s="65">
        <f>IFERROR(VLOOKUP(A5888,'3. Call duration'!$A:$C,3,0),"--")</f>
        <v>33.34075999</v>
      </c>
      <c r="J5888" s="65" t="str">
        <f t="array" ref="J5888">XLOOKUP(H5888,'2. Matching'!$A$2:$A$39,'2. Matching'!$B$2:$B$39,"--")</f>
        <v>SEO</v>
      </c>
      <c r="K5888" s="65" t="str">
        <f t="shared" si="1"/>
        <v>In</v>
      </c>
    </row>
    <row r="5889">
      <c r="A5889" s="62" t="s">
        <v>6027</v>
      </c>
      <c r="B5889" s="63">
        <v>44356.0</v>
      </c>
      <c r="C5889" s="62" t="s">
        <v>119</v>
      </c>
      <c r="D5889" s="64">
        <v>47.5</v>
      </c>
      <c r="E5889" s="62" t="s">
        <v>109</v>
      </c>
      <c r="F5889" s="62" t="s">
        <v>110</v>
      </c>
      <c r="G5889" s="64" t="s">
        <v>64</v>
      </c>
      <c r="H5889" s="3" t="s">
        <v>139</v>
      </c>
      <c r="I5889" s="65">
        <f>IFERROR(VLOOKUP(A5889,'3. Call duration'!$A:$C,3,0),"--")</f>
        <v>23.17107857</v>
      </c>
      <c r="J5889" s="65" t="str">
        <f t="array" ref="J5889">XLOOKUP(H5889,'2. Matching'!$A$2:$A$39,'2. Matching'!$B$2:$B$39,"--")</f>
        <v>Acquisition</v>
      </c>
      <c r="K5889" s="65" t="str">
        <f t="shared" si="1"/>
        <v>In</v>
      </c>
    </row>
    <row r="5890">
      <c r="A5890" s="62" t="s">
        <v>6028</v>
      </c>
      <c r="B5890" s="63">
        <v>44357.0</v>
      </c>
      <c r="C5890" s="62" t="s">
        <v>119</v>
      </c>
      <c r="D5890" s="64">
        <v>47.5</v>
      </c>
      <c r="E5890" s="62" t="s">
        <v>109</v>
      </c>
      <c r="F5890" s="62" t="s">
        <v>110</v>
      </c>
      <c r="G5890" s="64" t="s">
        <v>64</v>
      </c>
      <c r="H5890" s="3" t="s">
        <v>175</v>
      </c>
      <c r="I5890" s="65">
        <f>IFERROR(VLOOKUP(A5890,'3. Call duration'!$A:$C,3,0),"--")</f>
        <v>22.87379016</v>
      </c>
      <c r="J5890" s="65" t="str">
        <f t="array" ref="J5890">XLOOKUP(H5890,'2. Matching'!$A$2:$A$39,'2. Matching'!$B$2:$B$39,"--")</f>
        <v>SEO</v>
      </c>
      <c r="K5890" s="65" t="str">
        <f t="shared" si="1"/>
        <v>In</v>
      </c>
    </row>
    <row r="5891">
      <c r="A5891" s="62" t="s">
        <v>6029</v>
      </c>
      <c r="B5891" s="63">
        <v>44328.0</v>
      </c>
      <c r="C5891" s="62" t="s">
        <v>119</v>
      </c>
      <c r="D5891" s="64">
        <v>47.5</v>
      </c>
      <c r="E5891" s="62" t="s">
        <v>109</v>
      </c>
      <c r="F5891" s="62" t="s">
        <v>115</v>
      </c>
      <c r="G5891" s="64" t="s">
        <v>64</v>
      </c>
      <c r="H5891" s="3" t="s">
        <v>185</v>
      </c>
      <c r="I5891" s="65">
        <f>IFERROR(VLOOKUP(A5891,'3. Call duration'!$A:$C,3,0),"--")</f>
        <v>33.3535493</v>
      </c>
      <c r="J5891" s="65" t="str">
        <f t="array" ref="J5891">XLOOKUP(H5891,'2. Matching'!$A$2:$A$39,'2. Matching'!$B$2:$B$39,"--")</f>
        <v>SEO</v>
      </c>
      <c r="K5891" s="65" t="str">
        <f t="shared" si="1"/>
        <v>In</v>
      </c>
    </row>
    <row r="5892">
      <c r="A5892" s="62" t="s">
        <v>6030</v>
      </c>
      <c r="B5892" s="63">
        <v>44331.0</v>
      </c>
      <c r="C5892" s="62" t="s">
        <v>119</v>
      </c>
      <c r="D5892" s="64">
        <v>47.5</v>
      </c>
      <c r="E5892" s="62" t="s">
        <v>109</v>
      </c>
      <c r="F5892" s="62" t="s">
        <v>115</v>
      </c>
      <c r="G5892" s="64" t="s">
        <v>64</v>
      </c>
      <c r="H5892" s="3" t="s">
        <v>141</v>
      </c>
      <c r="I5892" s="65">
        <f>IFERROR(VLOOKUP(A5892,'3. Call duration'!$A:$C,3,0),"--")</f>
        <v>33.37178279</v>
      </c>
      <c r="J5892" s="65" t="str">
        <f t="array" ref="J5892">XLOOKUP(H5892,'2. Matching'!$A$2:$A$39,'2. Matching'!$B$2:$B$39,"--")</f>
        <v>Acquisition</v>
      </c>
      <c r="K5892" s="65" t="str">
        <f t="shared" si="1"/>
        <v>In</v>
      </c>
    </row>
    <row r="5893">
      <c r="A5893" s="62" t="s">
        <v>6031</v>
      </c>
      <c r="B5893" s="63">
        <v>44361.0</v>
      </c>
      <c r="C5893" s="62" t="s">
        <v>119</v>
      </c>
      <c r="D5893" s="64">
        <v>47.5</v>
      </c>
      <c r="E5893" s="62" t="s">
        <v>109</v>
      </c>
      <c r="F5893" s="62" t="s">
        <v>110</v>
      </c>
      <c r="G5893" s="64" t="s">
        <v>64</v>
      </c>
      <c r="H5893" s="3" t="s">
        <v>52</v>
      </c>
      <c r="I5893" s="65">
        <f>IFERROR(VLOOKUP(A5893,'3. Call duration'!$A:$C,3,0),"--")</f>
        <v>16.80137807</v>
      </c>
      <c r="J5893" s="65" t="str">
        <f t="array" ref="J5893">XLOOKUP(H5893,'2. Matching'!$A$2:$A$39,'2. Matching'!$B$2:$B$39,"--")</f>
        <v>Partnerships</v>
      </c>
      <c r="K5893" s="65" t="str">
        <f t="shared" si="1"/>
        <v>In</v>
      </c>
    </row>
    <row r="5894">
      <c r="A5894" s="62" t="s">
        <v>6032</v>
      </c>
      <c r="B5894" s="63">
        <v>44355.0</v>
      </c>
      <c r="C5894" s="62" t="s">
        <v>119</v>
      </c>
      <c r="D5894" s="64">
        <v>47.5</v>
      </c>
      <c r="E5894" s="62" t="s">
        <v>109</v>
      </c>
      <c r="F5894" s="62" t="s">
        <v>110</v>
      </c>
      <c r="G5894" s="64" t="s">
        <v>60</v>
      </c>
      <c r="H5894" s="3" t="s">
        <v>67</v>
      </c>
      <c r="I5894" s="65">
        <f>IFERROR(VLOOKUP(A5894,'3. Call duration'!$A:$C,3,0),"--")</f>
        <v>33.05955663</v>
      </c>
      <c r="J5894" s="65" t="str">
        <f t="array" ref="J5894">XLOOKUP(H5894,'2. Matching'!$A$2:$A$39,'2. Matching'!$B$2:$B$39,"--")</f>
        <v>Acquisition</v>
      </c>
      <c r="K5894" s="65" t="str">
        <f t="shared" si="1"/>
        <v>In</v>
      </c>
    </row>
    <row r="5895">
      <c r="A5895" s="62" t="s">
        <v>6033</v>
      </c>
      <c r="B5895" s="63">
        <v>44362.0</v>
      </c>
      <c r="C5895" s="62" t="s">
        <v>119</v>
      </c>
      <c r="D5895" s="64">
        <v>47.5</v>
      </c>
      <c r="E5895" s="62" t="s">
        <v>109</v>
      </c>
      <c r="F5895" s="62" t="s">
        <v>115</v>
      </c>
      <c r="G5895" s="64" t="s">
        <v>64</v>
      </c>
      <c r="H5895" s="3" t="s">
        <v>185</v>
      </c>
      <c r="I5895" s="65">
        <f>IFERROR(VLOOKUP(A5895,'3. Call duration'!$A:$C,3,0),"--")</f>
        <v>43.24029277</v>
      </c>
      <c r="J5895" s="65" t="str">
        <f t="array" ref="J5895">XLOOKUP(H5895,'2. Matching'!$A$2:$A$39,'2. Matching'!$B$2:$B$39,"--")</f>
        <v>SEO</v>
      </c>
      <c r="K5895" s="65" t="str">
        <f t="shared" si="1"/>
        <v>In</v>
      </c>
    </row>
    <row r="5896">
      <c r="A5896" s="62" t="s">
        <v>6034</v>
      </c>
      <c r="B5896" s="63">
        <v>44377.0</v>
      </c>
      <c r="C5896" s="62" t="s">
        <v>119</v>
      </c>
      <c r="D5896" s="64">
        <v>47.5</v>
      </c>
      <c r="E5896" s="62" t="s">
        <v>109</v>
      </c>
      <c r="F5896" s="62" t="s">
        <v>115</v>
      </c>
      <c r="G5896" s="64" t="s">
        <v>63</v>
      </c>
      <c r="H5896" s="3" t="s">
        <v>128</v>
      </c>
      <c r="I5896" s="65">
        <f>IFERROR(VLOOKUP(A5896,'3. Call duration'!$A:$C,3,0),"--")</f>
        <v>33.26972218</v>
      </c>
      <c r="J5896" s="65" t="str">
        <f t="array" ref="J5896">XLOOKUP(H5896,'2. Matching'!$A$2:$A$39,'2. Matching'!$B$2:$B$39,"--")</f>
        <v>Acquisition</v>
      </c>
      <c r="K5896" s="65" t="str">
        <f t="shared" si="1"/>
        <v>In</v>
      </c>
    </row>
    <row r="5897">
      <c r="A5897" s="62" t="s">
        <v>6035</v>
      </c>
      <c r="B5897" s="63">
        <v>44341.0</v>
      </c>
      <c r="C5897" s="62" t="s">
        <v>119</v>
      </c>
      <c r="D5897" s="64">
        <v>47.5</v>
      </c>
      <c r="E5897" s="62" t="s">
        <v>109</v>
      </c>
      <c r="F5897" s="62" t="s">
        <v>110</v>
      </c>
      <c r="G5897" s="64" t="s">
        <v>64</v>
      </c>
      <c r="H5897" s="3" t="s">
        <v>171</v>
      </c>
      <c r="I5897" s="65">
        <f>IFERROR(VLOOKUP(A5897,'3. Call duration'!$A:$C,3,0),"--")</f>
        <v>33.37987061</v>
      </c>
      <c r="J5897" s="65" t="str">
        <f t="array" ref="J5897">XLOOKUP(H5897,'2. Matching'!$A$2:$A$39,'2. Matching'!$B$2:$B$39,"--")</f>
        <v>SEO</v>
      </c>
      <c r="K5897" s="65" t="str">
        <f t="shared" si="1"/>
        <v>In</v>
      </c>
    </row>
    <row r="5898">
      <c r="A5898" s="62" t="s">
        <v>6036</v>
      </c>
      <c r="B5898" s="63">
        <v>44326.0</v>
      </c>
      <c r="C5898" s="62" t="s">
        <v>119</v>
      </c>
      <c r="D5898" s="64">
        <v>95.0</v>
      </c>
      <c r="E5898" s="62" t="s">
        <v>114</v>
      </c>
      <c r="F5898" s="62" t="s">
        <v>110</v>
      </c>
      <c r="G5898" s="64" t="s">
        <v>64</v>
      </c>
      <c r="H5898" s="3" t="s">
        <v>171</v>
      </c>
      <c r="I5898" s="65">
        <f>IFERROR(VLOOKUP(A5898,'3. Call duration'!$A:$C,3,0),"--")</f>
        <v>33.38208718</v>
      </c>
      <c r="J5898" s="65" t="str">
        <f t="array" ref="J5898">XLOOKUP(H5898,'2. Matching'!$A$2:$A$39,'2. Matching'!$B$2:$B$39,"--")</f>
        <v>SEO</v>
      </c>
      <c r="K5898" s="65" t="str">
        <f t="shared" si="1"/>
        <v>In</v>
      </c>
    </row>
    <row r="5899">
      <c r="A5899" s="62" t="s">
        <v>6037</v>
      </c>
      <c r="B5899" s="63">
        <v>44330.0</v>
      </c>
      <c r="C5899" s="62" t="s">
        <v>119</v>
      </c>
      <c r="D5899" s="64">
        <v>47.5</v>
      </c>
      <c r="E5899" s="62" t="s">
        <v>109</v>
      </c>
      <c r="F5899" s="62" t="s">
        <v>115</v>
      </c>
      <c r="G5899" s="64" t="s">
        <v>64</v>
      </c>
      <c r="H5899" s="3" t="s">
        <v>164</v>
      </c>
      <c r="I5899" s="65">
        <f>IFERROR(VLOOKUP(A5899,'3. Call duration'!$A:$C,3,0),"--")</f>
        <v>33.39063839</v>
      </c>
      <c r="J5899" s="65" t="str">
        <f t="array" ref="J5899">XLOOKUP(H5899,'2. Matching'!$A$2:$A$39,'2. Matching'!$B$2:$B$39,"--")</f>
        <v>SEO</v>
      </c>
      <c r="K5899" s="65" t="str">
        <f t="shared" si="1"/>
        <v>In</v>
      </c>
    </row>
    <row r="5900">
      <c r="A5900" s="62" t="s">
        <v>6038</v>
      </c>
      <c r="B5900" s="63">
        <v>44328.0</v>
      </c>
      <c r="C5900" s="62" t="s">
        <v>119</v>
      </c>
      <c r="D5900" s="64">
        <v>47.5</v>
      </c>
      <c r="E5900" s="62" t="s">
        <v>109</v>
      </c>
      <c r="F5900" s="62" t="s">
        <v>115</v>
      </c>
      <c r="G5900" s="64" t="s">
        <v>64</v>
      </c>
      <c r="H5900" s="3" t="s">
        <v>116</v>
      </c>
      <c r="I5900" s="65">
        <f>IFERROR(VLOOKUP(A5900,'3. Call duration'!$A:$C,3,0),"--")</f>
        <v>33.39545081</v>
      </c>
      <c r="J5900" s="65" t="str">
        <f t="array" ref="J5900">XLOOKUP(H5900,'2. Matching'!$A$2:$A$39,'2. Matching'!$B$2:$B$39,"--")</f>
        <v>Acquisition</v>
      </c>
      <c r="K5900" s="65" t="str">
        <f t="shared" si="1"/>
        <v>In</v>
      </c>
    </row>
    <row r="5901">
      <c r="A5901" s="62" t="s">
        <v>6039</v>
      </c>
      <c r="B5901" s="63">
        <v>44326.0</v>
      </c>
      <c r="C5901" s="62" t="s">
        <v>119</v>
      </c>
      <c r="D5901" s="64">
        <v>95.0</v>
      </c>
      <c r="E5901" s="62" t="s">
        <v>114</v>
      </c>
      <c r="F5901" s="62" t="s">
        <v>115</v>
      </c>
      <c r="G5901" s="64" t="s">
        <v>64</v>
      </c>
      <c r="H5901" s="3" t="s">
        <v>131</v>
      </c>
      <c r="I5901" s="65">
        <f>IFERROR(VLOOKUP(A5901,'3. Call duration'!$A:$C,3,0),"--")</f>
        <v>33.39755222</v>
      </c>
      <c r="J5901" s="65" t="str">
        <f t="array" ref="J5901">XLOOKUP(H5901,'2. Matching'!$A$2:$A$39,'2. Matching'!$B$2:$B$39,"--")</f>
        <v>Acquisition</v>
      </c>
      <c r="K5901" s="65" t="str">
        <f t="shared" si="1"/>
        <v>In</v>
      </c>
    </row>
    <row r="5902">
      <c r="A5902" s="62" t="s">
        <v>6040</v>
      </c>
      <c r="B5902" s="63">
        <v>44326.0</v>
      </c>
      <c r="C5902" s="62" t="s">
        <v>119</v>
      </c>
      <c r="D5902" s="64">
        <v>47.5</v>
      </c>
      <c r="E5902" s="62" t="s">
        <v>109</v>
      </c>
      <c r="F5902" s="62" t="s">
        <v>115</v>
      </c>
      <c r="G5902" s="64" t="s">
        <v>64</v>
      </c>
      <c r="H5902" s="3" t="s">
        <v>116</v>
      </c>
      <c r="I5902" s="65">
        <f>IFERROR(VLOOKUP(A5902,'3. Call duration'!$A:$C,3,0),"--")</f>
        <v>33.40130851</v>
      </c>
      <c r="J5902" s="65" t="str">
        <f t="array" ref="J5902">XLOOKUP(H5902,'2. Matching'!$A$2:$A$39,'2. Matching'!$B$2:$B$39,"--")</f>
        <v>Acquisition</v>
      </c>
      <c r="K5902" s="65" t="str">
        <f t="shared" si="1"/>
        <v>In</v>
      </c>
    </row>
    <row r="5903">
      <c r="A5903" s="62" t="s">
        <v>6041</v>
      </c>
      <c r="B5903" s="63">
        <v>44327.0</v>
      </c>
      <c r="C5903" s="62" t="s">
        <v>119</v>
      </c>
      <c r="D5903" s="64">
        <v>47.5</v>
      </c>
      <c r="E5903" s="62" t="s">
        <v>109</v>
      </c>
      <c r="F5903" s="62" t="s">
        <v>115</v>
      </c>
      <c r="G5903" s="64" t="s">
        <v>64</v>
      </c>
      <c r="H5903" s="3" t="s">
        <v>141</v>
      </c>
      <c r="I5903" s="65">
        <f>IFERROR(VLOOKUP(A5903,'3. Call duration'!$A:$C,3,0),"--")</f>
        <v>33.40596249</v>
      </c>
      <c r="J5903" s="65" t="str">
        <f t="array" ref="J5903">XLOOKUP(H5903,'2. Matching'!$A$2:$A$39,'2. Matching'!$B$2:$B$39,"--")</f>
        <v>Acquisition</v>
      </c>
      <c r="K5903" s="65" t="str">
        <f t="shared" si="1"/>
        <v>In</v>
      </c>
    </row>
    <row r="5904">
      <c r="A5904" s="62" t="s">
        <v>6042</v>
      </c>
      <c r="B5904" s="63">
        <v>44362.0</v>
      </c>
      <c r="C5904" s="62" t="s">
        <v>119</v>
      </c>
      <c r="D5904" s="64">
        <v>47.5</v>
      </c>
      <c r="E5904" s="62" t="s">
        <v>109</v>
      </c>
      <c r="F5904" s="62" t="s">
        <v>115</v>
      </c>
      <c r="G5904" s="64" t="s">
        <v>64</v>
      </c>
      <c r="H5904" s="3" t="s">
        <v>131</v>
      </c>
      <c r="I5904" s="65">
        <f>IFERROR(VLOOKUP(A5904,'3. Call duration'!$A:$C,3,0),"--")</f>
        <v>27.94915665</v>
      </c>
      <c r="J5904" s="65" t="str">
        <f t="array" ref="J5904">XLOOKUP(H5904,'2. Matching'!$A$2:$A$39,'2. Matching'!$B$2:$B$39,"--")</f>
        <v>Acquisition</v>
      </c>
      <c r="K5904" s="65" t="str">
        <f t="shared" si="1"/>
        <v>In</v>
      </c>
    </row>
    <row r="5905">
      <c r="A5905" s="62" t="s">
        <v>6043</v>
      </c>
      <c r="B5905" s="63">
        <v>44341.0</v>
      </c>
      <c r="C5905" s="62" t="s">
        <v>119</v>
      </c>
      <c r="D5905" s="64">
        <v>95.0</v>
      </c>
      <c r="E5905" s="62" t="s">
        <v>114</v>
      </c>
      <c r="F5905" s="62" t="s">
        <v>110</v>
      </c>
      <c r="G5905" s="64" t="s">
        <v>61</v>
      </c>
      <c r="H5905" s="3" t="s">
        <v>69</v>
      </c>
      <c r="I5905" s="65">
        <f>IFERROR(VLOOKUP(A5905,'3. Call duration'!$A:$C,3,0),"--")</f>
        <v>33.43103851</v>
      </c>
      <c r="J5905" s="65" t="str">
        <f t="array" ref="J5905">XLOOKUP(H5905,'2. Matching'!$A$2:$A$39,'2. Matching'!$B$2:$B$39,"--")</f>
        <v>Acquisition</v>
      </c>
      <c r="K5905" s="65" t="str">
        <f t="shared" si="1"/>
        <v>In</v>
      </c>
    </row>
    <row r="5906">
      <c r="A5906" s="62" t="s">
        <v>6044</v>
      </c>
      <c r="B5906" s="63">
        <v>44355.0</v>
      </c>
      <c r="C5906" s="62" t="s">
        <v>119</v>
      </c>
      <c r="D5906" s="64">
        <v>47.5</v>
      </c>
      <c r="E5906" s="62" t="s">
        <v>109</v>
      </c>
      <c r="F5906" s="62" t="s">
        <v>115</v>
      </c>
      <c r="G5906" s="64" t="s">
        <v>64</v>
      </c>
      <c r="H5906" s="3" t="s">
        <v>169</v>
      </c>
      <c r="I5906" s="65">
        <f>IFERROR(VLOOKUP(A5906,'3. Call duration'!$A:$C,3,0),"--")</f>
        <v>29.47903439</v>
      </c>
      <c r="J5906" s="65" t="str">
        <f t="array" ref="J5906">XLOOKUP(H5906,'2. Matching'!$A$2:$A$39,'2. Matching'!$B$2:$B$39,"--")</f>
        <v>SEO</v>
      </c>
      <c r="K5906" s="65" t="str">
        <f t="shared" si="1"/>
        <v>In</v>
      </c>
    </row>
    <row r="5907">
      <c r="A5907" s="62" t="s">
        <v>6045</v>
      </c>
      <c r="B5907" s="63">
        <v>44331.0</v>
      </c>
      <c r="C5907" s="62" t="s">
        <v>119</v>
      </c>
      <c r="D5907" s="64">
        <v>47.5</v>
      </c>
      <c r="E5907" s="62" t="s">
        <v>109</v>
      </c>
      <c r="F5907" s="62" t="s">
        <v>110</v>
      </c>
      <c r="G5907" s="64" t="s">
        <v>63</v>
      </c>
      <c r="H5907" s="3" t="s">
        <v>183</v>
      </c>
      <c r="I5907" s="65">
        <f>IFERROR(VLOOKUP(A5907,'3. Call duration'!$A:$C,3,0),"--")</f>
        <v>33.45148909</v>
      </c>
      <c r="J5907" s="65" t="str">
        <f t="array" ref="J5907">XLOOKUP(H5907,'2. Matching'!$A$2:$A$39,'2. Matching'!$B$2:$B$39,"--")</f>
        <v>SEO</v>
      </c>
      <c r="K5907" s="65" t="str">
        <f t="shared" si="1"/>
        <v>In</v>
      </c>
    </row>
    <row r="5908">
      <c r="A5908" s="62" t="s">
        <v>6046</v>
      </c>
      <c r="B5908" s="63">
        <v>44355.0</v>
      </c>
      <c r="C5908" s="62" t="s">
        <v>119</v>
      </c>
      <c r="D5908" s="64">
        <v>47.5</v>
      </c>
      <c r="E5908" s="62" t="s">
        <v>109</v>
      </c>
      <c r="F5908" s="62" t="s">
        <v>110</v>
      </c>
      <c r="G5908" s="64" t="s">
        <v>64</v>
      </c>
      <c r="H5908" s="3" t="s">
        <v>297</v>
      </c>
      <c r="I5908" s="65">
        <f>IFERROR(VLOOKUP(A5908,'3. Call duration'!$A:$C,3,0),"--")</f>
        <v>40.92578745</v>
      </c>
      <c r="J5908" s="65" t="str">
        <f t="array" ref="J5908">XLOOKUP(H5908,'2. Matching'!$A$2:$A$39,'2. Matching'!$B$2:$B$39,"--")</f>
        <v>Farming</v>
      </c>
      <c r="K5908" s="65" t="str">
        <f t="shared" si="1"/>
        <v>In</v>
      </c>
    </row>
    <row r="5909">
      <c r="A5909" s="62" t="s">
        <v>6047</v>
      </c>
      <c r="B5909" s="63">
        <v>44349.0</v>
      </c>
      <c r="C5909" s="62" t="s">
        <v>119</v>
      </c>
      <c r="D5909" s="64">
        <v>47.5</v>
      </c>
      <c r="E5909" s="62" t="s">
        <v>109</v>
      </c>
      <c r="F5909" s="62" t="s">
        <v>115</v>
      </c>
      <c r="G5909" s="64" t="s">
        <v>64</v>
      </c>
      <c r="H5909" s="3" t="s">
        <v>139</v>
      </c>
      <c r="I5909" s="65">
        <f>IFERROR(VLOOKUP(A5909,'3. Call duration'!$A:$C,3,0),"--")</f>
        <v>25.316225</v>
      </c>
      <c r="J5909" s="65" t="str">
        <f t="array" ref="J5909">XLOOKUP(H5909,'2. Matching'!$A$2:$A$39,'2. Matching'!$B$2:$B$39,"--")</f>
        <v>Acquisition</v>
      </c>
      <c r="K5909" s="65" t="str">
        <f t="shared" si="1"/>
        <v>In</v>
      </c>
    </row>
    <row r="5910">
      <c r="A5910" s="62" t="s">
        <v>6048</v>
      </c>
      <c r="B5910" s="63">
        <v>44336.0</v>
      </c>
      <c r="C5910" s="62" t="s">
        <v>119</v>
      </c>
      <c r="D5910" s="64">
        <v>47.5</v>
      </c>
      <c r="E5910" s="62" t="s">
        <v>109</v>
      </c>
      <c r="F5910" s="62" t="s">
        <v>115</v>
      </c>
      <c r="G5910" s="64" t="s">
        <v>64</v>
      </c>
      <c r="H5910" s="3" t="s">
        <v>141</v>
      </c>
      <c r="I5910" s="65">
        <f>IFERROR(VLOOKUP(A5910,'3. Call duration'!$A:$C,3,0),"--")</f>
        <v>33.45482655</v>
      </c>
      <c r="J5910" s="65" t="str">
        <f t="array" ref="J5910">XLOOKUP(H5910,'2. Matching'!$A$2:$A$39,'2. Matching'!$B$2:$B$39,"--")</f>
        <v>Acquisition</v>
      </c>
      <c r="K5910" s="65" t="str">
        <f t="shared" si="1"/>
        <v>In</v>
      </c>
    </row>
    <row r="5911">
      <c r="A5911" s="62" t="s">
        <v>6049</v>
      </c>
      <c r="B5911" s="63">
        <v>44323.0</v>
      </c>
      <c r="C5911" s="62" t="s">
        <v>119</v>
      </c>
      <c r="D5911" s="64">
        <v>47.5</v>
      </c>
      <c r="E5911" s="62" t="s">
        <v>109</v>
      </c>
      <c r="F5911" s="62" t="s">
        <v>115</v>
      </c>
      <c r="G5911" s="64" t="s">
        <v>64</v>
      </c>
      <c r="H5911" s="3" t="s">
        <v>155</v>
      </c>
      <c r="I5911" s="65">
        <f>IFERROR(VLOOKUP(A5911,'3. Call duration'!$A:$C,3,0),"--")</f>
        <v>33.46081586</v>
      </c>
      <c r="J5911" s="65" t="str">
        <f t="array" ref="J5911">XLOOKUP(H5911,'2. Matching'!$A$2:$A$39,'2. Matching'!$B$2:$B$39,"--")</f>
        <v>SEO</v>
      </c>
      <c r="K5911" s="65" t="str">
        <f t="shared" si="1"/>
        <v>In</v>
      </c>
    </row>
    <row r="5912">
      <c r="A5912" s="62" t="s">
        <v>6050</v>
      </c>
      <c r="B5912" s="63">
        <v>44350.0</v>
      </c>
      <c r="C5912" s="62" t="s">
        <v>119</v>
      </c>
      <c r="D5912" s="64">
        <v>47.5</v>
      </c>
      <c r="E5912" s="62" t="s">
        <v>109</v>
      </c>
      <c r="F5912" s="62" t="s">
        <v>110</v>
      </c>
      <c r="G5912" s="64" t="s">
        <v>63</v>
      </c>
      <c r="H5912" s="3" t="s">
        <v>183</v>
      </c>
      <c r="I5912" s="65">
        <f>IFERROR(VLOOKUP(A5912,'3. Call duration'!$A:$C,3,0),"--")</f>
        <v>15.41760894</v>
      </c>
      <c r="J5912" s="65" t="str">
        <f t="array" ref="J5912">XLOOKUP(H5912,'2. Matching'!$A$2:$A$39,'2. Matching'!$B$2:$B$39,"--")</f>
        <v>SEO</v>
      </c>
      <c r="K5912" s="65" t="str">
        <f t="shared" si="1"/>
        <v>In</v>
      </c>
    </row>
    <row r="5913">
      <c r="A5913" s="62" t="s">
        <v>6051</v>
      </c>
      <c r="B5913" s="63">
        <v>44335.0</v>
      </c>
      <c r="C5913" s="62" t="s">
        <v>119</v>
      </c>
      <c r="D5913" s="64">
        <v>47.5</v>
      </c>
      <c r="E5913" s="62" t="s">
        <v>109</v>
      </c>
      <c r="F5913" s="62" t="s">
        <v>115</v>
      </c>
      <c r="G5913" s="64" t="s">
        <v>64</v>
      </c>
      <c r="H5913" s="3" t="s">
        <v>185</v>
      </c>
      <c r="I5913" s="65">
        <f>IFERROR(VLOOKUP(A5913,'3. Call duration'!$A:$C,3,0),"--")</f>
        <v>33.46531551</v>
      </c>
      <c r="J5913" s="65" t="str">
        <f t="array" ref="J5913">XLOOKUP(H5913,'2. Matching'!$A$2:$A$39,'2. Matching'!$B$2:$B$39,"--")</f>
        <v>SEO</v>
      </c>
      <c r="K5913" s="65" t="str">
        <f t="shared" si="1"/>
        <v>In</v>
      </c>
    </row>
    <row r="5914">
      <c r="A5914" s="62" t="s">
        <v>6052</v>
      </c>
      <c r="B5914" s="63">
        <v>44326.0</v>
      </c>
      <c r="C5914" s="62" t="s">
        <v>108</v>
      </c>
      <c r="D5914" s="64">
        <v>0.0</v>
      </c>
      <c r="E5914" s="62" t="s">
        <v>109</v>
      </c>
      <c r="F5914" s="62" t="s">
        <v>115</v>
      </c>
      <c r="G5914" s="64" t="s">
        <v>59</v>
      </c>
      <c r="H5914" s="3" t="s">
        <v>68</v>
      </c>
      <c r="I5914" s="65">
        <f>IFERROR(VLOOKUP(A5914,'3. Call duration'!$A:$C,3,0),"--")</f>
        <v>33.48089678</v>
      </c>
      <c r="J5914" s="65" t="str">
        <f t="array" ref="J5914">XLOOKUP(H5914,'2. Matching'!$A$2:$A$39,'2. Matching'!$B$2:$B$39,"--")</f>
        <v>Acquisition</v>
      </c>
      <c r="K5914" s="65" t="str">
        <f t="shared" si="1"/>
        <v>In</v>
      </c>
    </row>
    <row r="5915">
      <c r="A5915" s="62" t="s">
        <v>6053</v>
      </c>
      <c r="B5915" s="63">
        <v>44335.0</v>
      </c>
      <c r="C5915" s="62" t="s">
        <v>108</v>
      </c>
      <c r="D5915" s="64">
        <v>0.0</v>
      </c>
      <c r="E5915" s="62" t="s">
        <v>109</v>
      </c>
      <c r="F5915" s="62" t="s">
        <v>110</v>
      </c>
      <c r="G5915" s="64" t="s">
        <v>59</v>
      </c>
      <c r="H5915" s="3" t="s">
        <v>68</v>
      </c>
      <c r="I5915" s="65">
        <f>IFERROR(VLOOKUP(A5915,'3. Call duration'!$A:$C,3,0),"--")</f>
        <v>33.49870034</v>
      </c>
      <c r="J5915" s="65" t="str">
        <f t="array" ref="J5915">XLOOKUP(H5915,'2. Matching'!$A$2:$A$39,'2. Matching'!$B$2:$B$39,"--")</f>
        <v>Acquisition</v>
      </c>
      <c r="K5915" s="65" t="str">
        <f t="shared" si="1"/>
        <v>In</v>
      </c>
    </row>
    <row r="5916">
      <c r="A5916" s="62" t="s">
        <v>6054</v>
      </c>
      <c r="B5916" s="63">
        <v>44328.0</v>
      </c>
      <c r="C5916" s="62" t="s">
        <v>119</v>
      </c>
      <c r="D5916" s="64">
        <v>47.5</v>
      </c>
      <c r="E5916" s="62" t="s">
        <v>109</v>
      </c>
      <c r="F5916" s="62" t="s">
        <v>115</v>
      </c>
      <c r="G5916" s="64" t="s">
        <v>64</v>
      </c>
      <c r="H5916" s="3" t="s">
        <v>131</v>
      </c>
      <c r="I5916" s="65">
        <f>IFERROR(VLOOKUP(A5916,'3. Call duration'!$A:$C,3,0),"--")</f>
        <v>33.50094521</v>
      </c>
      <c r="J5916" s="65" t="str">
        <f t="array" ref="J5916">XLOOKUP(H5916,'2. Matching'!$A$2:$A$39,'2. Matching'!$B$2:$B$39,"--")</f>
        <v>Acquisition</v>
      </c>
      <c r="K5916" s="65" t="str">
        <f t="shared" si="1"/>
        <v>In</v>
      </c>
    </row>
    <row r="5917">
      <c r="A5917" s="62" t="s">
        <v>6055</v>
      </c>
      <c r="B5917" s="63">
        <v>44355.0</v>
      </c>
      <c r="C5917" s="62" t="s">
        <v>119</v>
      </c>
      <c r="D5917" s="64">
        <v>47.5</v>
      </c>
      <c r="E5917" s="62" t="s">
        <v>109</v>
      </c>
      <c r="F5917" s="62" t="s">
        <v>115</v>
      </c>
      <c r="G5917" s="64" t="s">
        <v>63</v>
      </c>
      <c r="H5917" s="3" t="s">
        <v>228</v>
      </c>
      <c r="I5917" s="65">
        <f>IFERROR(VLOOKUP(A5917,'3. Call duration'!$A:$C,3,0),"--")</f>
        <v>23.63867057</v>
      </c>
      <c r="J5917" s="65" t="str">
        <f t="array" ref="J5917">XLOOKUP(H5917,'2. Matching'!$A$2:$A$39,'2. Matching'!$B$2:$B$39,"--")</f>
        <v>Farming</v>
      </c>
      <c r="K5917" s="65" t="str">
        <f t="shared" si="1"/>
        <v>In</v>
      </c>
    </row>
    <row r="5918">
      <c r="A5918" s="62" t="s">
        <v>6056</v>
      </c>
      <c r="B5918" s="63">
        <v>44326.0</v>
      </c>
      <c r="C5918" s="62" t="s">
        <v>119</v>
      </c>
      <c r="D5918" s="64">
        <v>47.5</v>
      </c>
      <c r="E5918" s="62" t="s">
        <v>109</v>
      </c>
      <c r="F5918" s="62" t="s">
        <v>115</v>
      </c>
      <c r="G5918" s="64" t="s">
        <v>59</v>
      </c>
      <c r="H5918" s="3" t="s">
        <v>68</v>
      </c>
      <c r="I5918" s="65">
        <f>IFERROR(VLOOKUP(A5918,'3. Call duration'!$A:$C,3,0),"--")</f>
        <v>33.52761324</v>
      </c>
      <c r="J5918" s="65" t="str">
        <f t="array" ref="J5918">XLOOKUP(H5918,'2. Matching'!$A$2:$A$39,'2. Matching'!$B$2:$B$39,"--")</f>
        <v>Acquisition</v>
      </c>
      <c r="K5918" s="65" t="str">
        <f t="shared" si="1"/>
        <v>In</v>
      </c>
    </row>
    <row r="5919">
      <c r="A5919" s="62" t="s">
        <v>6057</v>
      </c>
      <c r="B5919" s="63">
        <v>44354.0</v>
      </c>
      <c r="C5919" s="62" t="s">
        <v>119</v>
      </c>
      <c r="D5919" s="64">
        <v>47.5</v>
      </c>
      <c r="E5919" s="62" t="s">
        <v>109</v>
      </c>
      <c r="F5919" s="62" t="s">
        <v>110</v>
      </c>
      <c r="G5919" s="64" t="s">
        <v>60</v>
      </c>
      <c r="H5919" s="3" t="s">
        <v>67</v>
      </c>
      <c r="I5919" s="65">
        <f>IFERROR(VLOOKUP(A5919,'3. Call duration'!$A:$C,3,0),"--")</f>
        <v>29.66085751</v>
      </c>
      <c r="J5919" s="65" t="str">
        <f t="array" ref="J5919">XLOOKUP(H5919,'2. Matching'!$A$2:$A$39,'2. Matching'!$B$2:$B$39,"--")</f>
        <v>Acquisition</v>
      </c>
      <c r="K5919" s="65" t="str">
        <f t="shared" si="1"/>
        <v>In</v>
      </c>
    </row>
    <row r="5920">
      <c r="A5920" s="62" t="s">
        <v>6058</v>
      </c>
      <c r="B5920" s="63">
        <v>44335.0</v>
      </c>
      <c r="C5920" s="62" t="s">
        <v>119</v>
      </c>
      <c r="D5920" s="64">
        <v>47.5</v>
      </c>
      <c r="E5920" s="62" t="s">
        <v>109</v>
      </c>
      <c r="F5920" s="62" t="s">
        <v>115</v>
      </c>
      <c r="G5920" s="64" t="s">
        <v>64</v>
      </c>
      <c r="H5920" s="3" t="s">
        <v>185</v>
      </c>
      <c r="I5920" s="65">
        <f>IFERROR(VLOOKUP(A5920,'3. Call duration'!$A:$C,3,0),"--")</f>
        <v>33.54513915</v>
      </c>
      <c r="J5920" s="65" t="str">
        <f t="array" ref="J5920">XLOOKUP(H5920,'2. Matching'!$A$2:$A$39,'2. Matching'!$B$2:$B$39,"--")</f>
        <v>SEO</v>
      </c>
      <c r="K5920" s="65" t="str">
        <f t="shared" si="1"/>
        <v>In</v>
      </c>
    </row>
    <row r="5921">
      <c r="A5921" s="62" t="s">
        <v>6059</v>
      </c>
      <c r="B5921" s="63">
        <v>44321.0</v>
      </c>
      <c r="C5921" s="62" t="s">
        <v>119</v>
      </c>
      <c r="D5921" s="64">
        <v>47.5</v>
      </c>
      <c r="E5921" s="62" t="s">
        <v>109</v>
      </c>
      <c r="F5921" s="62" t="s">
        <v>110</v>
      </c>
      <c r="G5921" s="64" t="s">
        <v>64</v>
      </c>
      <c r="H5921" s="3" t="s">
        <v>297</v>
      </c>
      <c r="I5921" s="65">
        <f>IFERROR(VLOOKUP(A5921,'3. Call duration'!$A:$C,3,0),"--")</f>
        <v>33.55585888</v>
      </c>
      <c r="J5921" s="65" t="str">
        <f t="array" ref="J5921">XLOOKUP(H5921,'2. Matching'!$A$2:$A$39,'2. Matching'!$B$2:$B$39,"--")</f>
        <v>Farming</v>
      </c>
      <c r="K5921" s="65" t="str">
        <f t="shared" si="1"/>
        <v>In</v>
      </c>
    </row>
    <row r="5922">
      <c r="A5922" s="62" t="s">
        <v>6060</v>
      </c>
      <c r="B5922" s="63">
        <v>44376.0</v>
      </c>
      <c r="C5922" s="62" t="s">
        <v>119</v>
      </c>
      <c r="D5922" s="64">
        <v>47.5</v>
      </c>
      <c r="E5922" s="62" t="s">
        <v>109</v>
      </c>
      <c r="F5922" s="62" t="s">
        <v>110</v>
      </c>
      <c r="G5922" s="64" t="s">
        <v>60</v>
      </c>
      <c r="H5922" s="3" t="s">
        <v>67</v>
      </c>
      <c r="I5922" s="65">
        <f>IFERROR(VLOOKUP(A5922,'3. Call duration'!$A:$C,3,0),"--")</f>
        <v>34.63934445</v>
      </c>
      <c r="J5922" s="65" t="str">
        <f t="array" ref="J5922">XLOOKUP(H5922,'2. Matching'!$A$2:$A$39,'2. Matching'!$B$2:$B$39,"--")</f>
        <v>Acquisition</v>
      </c>
      <c r="K5922" s="65" t="str">
        <f t="shared" si="1"/>
        <v>In</v>
      </c>
    </row>
    <row r="5923">
      <c r="A5923" s="62" t="s">
        <v>6061</v>
      </c>
      <c r="B5923" s="63">
        <v>44372.0</v>
      </c>
      <c r="C5923" s="62" t="s">
        <v>119</v>
      </c>
      <c r="D5923" s="64">
        <v>47.5</v>
      </c>
      <c r="E5923" s="62" t="s">
        <v>109</v>
      </c>
      <c r="F5923" s="62" t="s">
        <v>115</v>
      </c>
      <c r="G5923" s="64" t="s">
        <v>112</v>
      </c>
      <c r="H5923" s="3"/>
      <c r="I5923" s="65">
        <f>IFERROR(VLOOKUP(A5923,'3. Call duration'!$A:$C,3,0),"--")</f>
        <v>31.8895472</v>
      </c>
      <c r="J5923" s="65" t="str">
        <f t="array" ref="J5923">XLOOKUP(H5923,'2. Matching'!$A$2:$A$39,'2. Matching'!$B$2:$B$39,"--")</f>
        <v>--</v>
      </c>
      <c r="K5923" s="65" t="str">
        <f t="shared" si="1"/>
        <v>In</v>
      </c>
    </row>
    <row r="5924">
      <c r="A5924" s="62" t="s">
        <v>6062</v>
      </c>
      <c r="B5924" s="63">
        <v>44322.0</v>
      </c>
      <c r="C5924" s="62" t="s">
        <v>119</v>
      </c>
      <c r="D5924" s="64">
        <v>47.5</v>
      </c>
      <c r="E5924" s="62" t="s">
        <v>109</v>
      </c>
      <c r="F5924" s="62" t="s">
        <v>115</v>
      </c>
      <c r="G5924" s="64" t="s">
        <v>64</v>
      </c>
      <c r="H5924" s="3" t="s">
        <v>185</v>
      </c>
      <c r="I5924" s="65">
        <f>IFERROR(VLOOKUP(A5924,'3. Call duration'!$A:$C,3,0),"--")</f>
        <v>33.57595399</v>
      </c>
      <c r="J5924" s="65" t="str">
        <f t="array" ref="J5924">XLOOKUP(H5924,'2. Matching'!$A$2:$A$39,'2. Matching'!$B$2:$B$39,"--")</f>
        <v>SEO</v>
      </c>
      <c r="K5924" s="65" t="str">
        <f t="shared" si="1"/>
        <v>In</v>
      </c>
    </row>
    <row r="5925">
      <c r="A5925" s="62" t="s">
        <v>6063</v>
      </c>
      <c r="B5925" s="63">
        <v>44361.0</v>
      </c>
      <c r="C5925" s="62" t="s">
        <v>119</v>
      </c>
      <c r="D5925" s="64">
        <v>47.5</v>
      </c>
      <c r="E5925" s="62" t="s">
        <v>109</v>
      </c>
      <c r="F5925" s="62" t="s">
        <v>110</v>
      </c>
      <c r="G5925" s="64" t="s">
        <v>61</v>
      </c>
      <c r="H5925" s="3" t="s">
        <v>68</v>
      </c>
      <c r="I5925" s="65">
        <f>IFERROR(VLOOKUP(A5925,'3. Call duration'!$A:$C,3,0),"--")</f>
        <v>22.36991971</v>
      </c>
      <c r="J5925" s="65" t="str">
        <f t="array" ref="J5925">XLOOKUP(H5925,'2. Matching'!$A$2:$A$39,'2. Matching'!$B$2:$B$39,"--")</f>
        <v>Acquisition</v>
      </c>
      <c r="K5925" s="65" t="str">
        <f t="shared" si="1"/>
        <v>In</v>
      </c>
    </row>
    <row r="5926">
      <c r="A5926" s="62" t="s">
        <v>6064</v>
      </c>
      <c r="B5926" s="63">
        <v>44349.0</v>
      </c>
      <c r="C5926" s="62" t="s">
        <v>119</v>
      </c>
      <c r="D5926" s="64">
        <v>47.5</v>
      </c>
      <c r="E5926" s="62" t="s">
        <v>109</v>
      </c>
      <c r="F5926" s="62" t="s">
        <v>110</v>
      </c>
      <c r="G5926" s="64" t="s">
        <v>59</v>
      </c>
      <c r="H5926" s="3" t="s">
        <v>68</v>
      </c>
      <c r="I5926" s="65">
        <f>IFERROR(VLOOKUP(A5926,'3. Call duration'!$A:$C,3,0),"--")</f>
        <v>24.03091234</v>
      </c>
      <c r="J5926" s="65" t="str">
        <f t="array" ref="J5926">XLOOKUP(H5926,'2. Matching'!$A$2:$A$39,'2. Matching'!$B$2:$B$39,"--")</f>
        <v>Acquisition</v>
      </c>
      <c r="K5926" s="65" t="str">
        <f t="shared" si="1"/>
        <v>In</v>
      </c>
    </row>
    <row r="5927">
      <c r="A5927" s="62" t="s">
        <v>6065</v>
      </c>
      <c r="B5927" s="63">
        <v>44335.0</v>
      </c>
      <c r="C5927" s="62" t="s">
        <v>119</v>
      </c>
      <c r="D5927" s="64">
        <v>47.5</v>
      </c>
      <c r="E5927" s="62" t="s">
        <v>109</v>
      </c>
      <c r="F5927" s="62" t="s">
        <v>110</v>
      </c>
      <c r="G5927" s="64" t="s">
        <v>63</v>
      </c>
      <c r="H5927" s="3" t="s">
        <v>128</v>
      </c>
      <c r="I5927" s="65">
        <f>IFERROR(VLOOKUP(A5927,'3. Call duration'!$A:$C,3,0),"--")</f>
        <v>34.6488076</v>
      </c>
      <c r="J5927" s="65" t="str">
        <f t="array" ref="J5927">XLOOKUP(H5927,'2. Matching'!$A$2:$A$39,'2. Matching'!$B$2:$B$39,"--")</f>
        <v>Acquisition</v>
      </c>
      <c r="K5927" s="65" t="str">
        <f t="shared" si="1"/>
        <v>In</v>
      </c>
    </row>
    <row r="5928">
      <c r="A5928" s="62" t="s">
        <v>6066</v>
      </c>
      <c r="B5928" s="63">
        <v>44334.0</v>
      </c>
      <c r="C5928" s="62" t="s">
        <v>119</v>
      </c>
      <c r="D5928" s="64">
        <v>47.5</v>
      </c>
      <c r="E5928" s="62" t="s">
        <v>109</v>
      </c>
      <c r="F5928" s="62" t="s">
        <v>110</v>
      </c>
      <c r="G5928" s="64" t="s">
        <v>64</v>
      </c>
      <c r="H5928" s="3" t="s">
        <v>171</v>
      </c>
      <c r="I5928" s="65">
        <f>IFERROR(VLOOKUP(A5928,'3. Call duration'!$A:$C,3,0),"--")</f>
        <v>34.83058318</v>
      </c>
      <c r="J5928" s="65" t="str">
        <f t="array" ref="J5928">XLOOKUP(H5928,'2. Matching'!$A$2:$A$39,'2. Matching'!$B$2:$B$39,"--")</f>
        <v>SEO</v>
      </c>
      <c r="K5928" s="65" t="str">
        <f t="shared" si="1"/>
        <v>In</v>
      </c>
    </row>
    <row r="5929">
      <c r="A5929" s="62" t="s">
        <v>6067</v>
      </c>
      <c r="B5929" s="63">
        <v>44354.0</v>
      </c>
      <c r="C5929" s="62" t="s">
        <v>119</v>
      </c>
      <c r="D5929" s="64">
        <v>47.5</v>
      </c>
      <c r="E5929" s="62" t="s">
        <v>109</v>
      </c>
      <c r="F5929" s="62" t="s">
        <v>110</v>
      </c>
      <c r="G5929" s="64" t="s">
        <v>64</v>
      </c>
      <c r="H5929" s="3" t="s">
        <v>175</v>
      </c>
      <c r="I5929" s="65">
        <f>IFERROR(VLOOKUP(A5929,'3. Call duration'!$A:$C,3,0),"--")</f>
        <v>29.54455713</v>
      </c>
      <c r="J5929" s="65" t="str">
        <f t="array" ref="J5929">XLOOKUP(H5929,'2. Matching'!$A$2:$A$39,'2. Matching'!$B$2:$B$39,"--")</f>
        <v>SEO</v>
      </c>
      <c r="K5929" s="65" t="str">
        <f t="shared" si="1"/>
        <v>In</v>
      </c>
    </row>
    <row r="5930">
      <c r="A5930" s="62" t="s">
        <v>6068</v>
      </c>
      <c r="B5930" s="63">
        <v>44371.0</v>
      </c>
      <c r="C5930" s="62" t="s">
        <v>119</v>
      </c>
      <c r="D5930" s="64">
        <v>47.5</v>
      </c>
      <c r="E5930" s="62" t="s">
        <v>109</v>
      </c>
      <c r="F5930" s="62" t="s">
        <v>110</v>
      </c>
      <c r="G5930" s="64" t="s">
        <v>63</v>
      </c>
      <c r="H5930" s="3" t="s">
        <v>228</v>
      </c>
      <c r="I5930" s="65">
        <f>IFERROR(VLOOKUP(A5930,'3. Call duration'!$A:$C,3,0),"--")</f>
        <v>16.81069303</v>
      </c>
      <c r="J5930" s="65" t="str">
        <f t="array" ref="J5930">XLOOKUP(H5930,'2. Matching'!$A$2:$A$39,'2. Matching'!$B$2:$B$39,"--")</f>
        <v>Farming</v>
      </c>
      <c r="K5930" s="65" t="str">
        <f t="shared" si="1"/>
        <v>In</v>
      </c>
    </row>
    <row r="5931">
      <c r="A5931" s="62" t="s">
        <v>6069</v>
      </c>
      <c r="B5931" s="63">
        <v>44364.0</v>
      </c>
      <c r="C5931" s="62" t="s">
        <v>119</v>
      </c>
      <c r="D5931" s="64">
        <v>47.5</v>
      </c>
      <c r="E5931" s="62" t="s">
        <v>109</v>
      </c>
      <c r="F5931" s="62" t="s">
        <v>110</v>
      </c>
      <c r="G5931" s="64" t="s">
        <v>60</v>
      </c>
      <c r="H5931" s="3" t="s">
        <v>67</v>
      </c>
      <c r="I5931" s="65">
        <f>IFERROR(VLOOKUP(A5931,'3. Call duration'!$A:$C,3,0),"--")</f>
        <v>31.35400356</v>
      </c>
      <c r="J5931" s="65" t="str">
        <f t="array" ref="J5931">XLOOKUP(H5931,'2. Matching'!$A$2:$A$39,'2. Matching'!$B$2:$B$39,"--")</f>
        <v>Acquisition</v>
      </c>
      <c r="K5931" s="65" t="str">
        <f t="shared" si="1"/>
        <v>In</v>
      </c>
    </row>
    <row r="5932">
      <c r="A5932" s="62" t="s">
        <v>6070</v>
      </c>
      <c r="B5932" s="63">
        <v>44342.0</v>
      </c>
      <c r="C5932" s="62" t="s">
        <v>119</v>
      </c>
      <c r="D5932" s="64">
        <v>47.5</v>
      </c>
      <c r="E5932" s="62" t="s">
        <v>109</v>
      </c>
      <c r="F5932" s="62" t="s">
        <v>110</v>
      </c>
      <c r="G5932" s="64" t="s">
        <v>59</v>
      </c>
      <c r="H5932" s="3" t="s">
        <v>68</v>
      </c>
      <c r="I5932" s="65">
        <f>IFERROR(VLOOKUP(A5932,'3. Call duration'!$A:$C,3,0),"--")</f>
        <v>35.13473898</v>
      </c>
      <c r="J5932" s="65" t="str">
        <f t="array" ref="J5932">XLOOKUP(H5932,'2. Matching'!$A$2:$A$39,'2. Matching'!$B$2:$B$39,"--")</f>
        <v>Acquisition</v>
      </c>
      <c r="K5932" s="65" t="str">
        <f t="shared" si="1"/>
        <v>In</v>
      </c>
    </row>
    <row r="5933">
      <c r="A5933" s="62" t="s">
        <v>6071</v>
      </c>
      <c r="B5933" s="63">
        <v>44375.0</v>
      </c>
      <c r="C5933" s="62" t="s">
        <v>119</v>
      </c>
      <c r="D5933" s="64">
        <v>47.5</v>
      </c>
      <c r="E5933" s="62" t="s">
        <v>109</v>
      </c>
      <c r="F5933" s="62" t="s">
        <v>115</v>
      </c>
      <c r="G5933" s="64" t="s">
        <v>59</v>
      </c>
      <c r="H5933" s="3" t="s">
        <v>68</v>
      </c>
      <c r="I5933" s="65">
        <f>IFERROR(VLOOKUP(A5933,'3. Call duration'!$A:$C,3,0),"--")</f>
        <v>23.93943491</v>
      </c>
      <c r="J5933" s="65" t="str">
        <f t="array" ref="J5933">XLOOKUP(H5933,'2. Matching'!$A$2:$A$39,'2. Matching'!$B$2:$B$39,"--")</f>
        <v>Acquisition</v>
      </c>
      <c r="K5933" s="65" t="str">
        <f t="shared" si="1"/>
        <v>In</v>
      </c>
    </row>
    <row r="5934">
      <c r="A5934" s="62" t="s">
        <v>6072</v>
      </c>
      <c r="B5934" s="63">
        <v>44371.0</v>
      </c>
      <c r="C5934" s="62" t="s">
        <v>119</v>
      </c>
      <c r="D5934" s="64">
        <v>47.5</v>
      </c>
      <c r="E5934" s="62" t="s">
        <v>109</v>
      </c>
      <c r="F5934" s="62" t="s">
        <v>115</v>
      </c>
      <c r="G5934" s="64" t="s">
        <v>64</v>
      </c>
      <c r="H5934" s="3" t="s">
        <v>116</v>
      </c>
      <c r="I5934" s="65">
        <f>IFERROR(VLOOKUP(A5934,'3. Call duration'!$A:$C,3,0),"--")</f>
        <v>46.99687402</v>
      </c>
      <c r="J5934" s="65" t="str">
        <f t="array" ref="J5934">XLOOKUP(H5934,'2. Matching'!$A$2:$A$39,'2. Matching'!$B$2:$B$39,"--")</f>
        <v>Acquisition</v>
      </c>
      <c r="K5934" s="65" t="str">
        <f t="shared" si="1"/>
        <v>In</v>
      </c>
    </row>
    <row r="5935">
      <c r="A5935" s="62" t="s">
        <v>6073</v>
      </c>
      <c r="B5935" s="63">
        <v>44370.0</v>
      </c>
      <c r="C5935" s="62" t="s">
        <v>119</v>
      </c>
      <c r="D5935" s="64">
        <v>47.5</v>
      </c>
      <c r="E5935" s="62" t="s">
        <v>109</v>
      </c>
      <c r="F5935" s="62" t="s">
        <v>115</v>
      </c>
      <c r="G5935" s="64" t="s">
        <v>59</v>
      </c>
      <c r="H5935" s="3" t="s">
        <v>68</v>
      </c>
      <c r="I5935" s="65">
        <f>IFERROR(VLOOKUP(A5935,'3. Call duration'!$A:$C,3,0),"--")</f>
        <v>24.75965919</v>
      </c>
      <c r="J5935" s="65" t="str">
        <f t="array" ref="J5935">XLOOKUP(H5935,'2. Matching'!$A$2:$A$39,'2. Matching'!$B$2:$B$39,"--")</f>
        <v>Acquisition</v>
      </c>
      <c r="K5935" s="65" t="str">
        <f t="shared" si="1"/>
        <v>In</v>
      </c>
    </row>
    <row r="5936">
      <c r="A5936" s="62" t="s">
        <v>6074</v>
      </c>
      <c r="B5936" s="63">
        <v>44340.0</v>
      </c>
      <c r="C5936" s="62" t="s">
        <v>119</v>
      </c>
      <c r="D5936" s="64">
        <v>47.5</v>
      </c>
      <c r="E5936" s="62" t="s">
        <v>109</v>
      </c>
      <c r="F5936" s="62" t="s">
        <v>110</v>
      </c>
      <c r="G5936" s="64" t="s">
        <v>64</v>
      </c>
      <c r="H5936" s="3" t="s">
        <v>175</v>
      </c>
      <c r="I5936" s="65">
        <f>IFERROR(VLOOKUP(A5936,'3. Call duration'!$A:$C,3,0),"--")</f>
        <v>35.13572496</v>
      </c>
      <c r="J5936" s="65" t="str">
        <f t="array" ref="J5936">XLOOKUP(H5936,'2. Matching'!$A$2:$A$39,'2. Matching'!$B$2:$B$39,"--")</f>
        <v>SEO</v>
      </c>
      <c r="K5936" s="65" t="str">
        <f t="shared" si="1"/>
        <v>In</v>
      </c>
    </row>
    <row r="5937">
      <c r="A5937" s="62" t="s">
        <v>6075</v>
      </c>
      <c r="B5937" s="63">
        <v>44349.0</v>
      </c>
      <c r="C5937" s="62" t="s">
        <v>119</v>
      </c>
      <c r="D5937" s="64">
        <v>47.5</v>
      </c>
      <c r="E5937" s="62" t="s">
        <v>109</v>
      </c>
      <c r="F5937" s="62" t="s">
        <v>110</v>
      </c>
      <c r="G5937" s="64" t="s">
        <v>60</v>
      </c>
      <c r="H5937" s="3" t="s">
        <v>67</v>
      </c>
      <c r="I5937" s="65">
        <f>IFERROR(VLOOKUP(A5937,'3. Call duration'!$A:$C,3,0),"--")</f>
        <v>23.54975094</v>
      </c>
      <c r="J5937" s="65" t="str">
        <f t="array" ref="J5937">XLOOKUP(H5937,'2. Matching'!$A$2:$A$39,'2. Matching'!$B$2:$B$39,"--")</f>
        <v>Acquisition</v>
      </c>
      <c r="K5937" s="65" t="str">
        <f t="shared" si="1"/>
        <v>In</v>
      </c>
    </row>
    <row r="5938">
      <c r="A5938" s="62" t="s">
        <v>6076</v>
      </c>
      <c r="B5938" s="63">
        <v>44334.0</v>
      </c>
      <c r="C5938" s="62" t="s">
        <v>119</v>
      </c>
      <c r="D5938" s="64">
        <v>47.5</v>
      </c>
      <c r="E5938" s="62" t="s">
        <v>109</v>
      </c>
      <c r="F5938" s="62" t="s">
        <v>110</v>
      </c>
      <c r="G5938" s="64" t="s">
        <v>63</v>
      </c>
      <c r="H5938" s="3" t="s">
        <v>128</v>
      </c>
      <c r="I5938" s="65">
        <f>IFERROR(VLOOKUP(A5938,'3. Call duration'!$A:$C,3,0),"--")</f>
        <v>35.32047478</v>
      </c>
      <c r="J5938" s="65" t="str">
        <f t="array" ref="J5938">XLOOKUP(H5938,'2. Matching'!$A$2:$A$39,'2. Matching'!$B$2:$B$39,"--")</f>
        <v>Acquisition</v>
      </c>
      <c r="K5938" s="65" t="str">
        <f t="shared" si="1"/>
        <v>In</v>
      </c>
    </row>
    <row r="5939">
      <c r="A5939" s="62" t="s">
        <v>6077</v>
      </c>
      <c r="B5939" s="63">
        <v>44373.0</v>
      </c>
      <c r="C5939" s="62" t="s">
        <v>119</v>
      </c>
      <c r="D5939" s="64">
        <v>47.5</v>
      </c>
      <c r="E5939" s="62" t="s">
        <v>109</v>
      </c>
      <c r="F5939" s="62" t="s">
        <v>115</v>
      </c>
      <c r="G5939" s="64" t="s">
        <v>63</v>
      </c>
      <c r="H5939" s="3" t="s">
        <v>189</v>
      </c>
      <c r="I5939" s="65" t="str">
        <f>IFERROR(VLOOKUP(A5939,'3. Call duration'!$A:$C,3,0),"--")</f>
        <v>--</v>
      </c>
      <c r="J5939" s="65" t="str">
        <f t="array" ref="J5939">XLOOKUP(H5939,'2. Matching'!$A$2:$A$39,'2. Matching'!$B$2:$B$39,"--")</f>
        <v>SEO</v>
      </c>
      <c r="K5939" s="65" t="str">
        <f t="shared" si="1"/>
        <v>Out</v>
      </c>
    </row>
    <row r="5940">
      <c r="A5940" s="62" t="s">
        <v>6078</v>
      </c>
      <c r="B5940" s="63">
        <v>44342.0</v>
      </c>
      <c r="C5940" s="62" t="s">
        <v>119</v>
      </c>
      <c r="D5940" s="64">
        <v>47.5</v>
      </c>
      <c r="E5940" s="62" t="s">
        <v>109</v>
      </c>
      <c r="F5940" s="62" t="s">
        <v>115</v>
      </c>
      <c r="G5940" s="64" t="s">
        <v>64</v>
      </c>
      <c r="H5940" s="3" t="s">
        <v>139</v>
      </c>
      <c r="I5940" s="65">
        <f>IFERROR(VLOOKUP(A5940,'3. Call duration'!$A:$C,3,0),"--")</f>
        <v>35.42483723</v>
      </c>
      <c r="J5940" s="65" t="str">
        <f t="array" ref="J5940">XLOOKUP(H5940,'2. Matching'!$A$2:$A$39,'2. Matching'!$B$2:$B$39,"--")</f>
        <v>Acquisition</v>
      </c>
      <c r="K5940" s="65" t="str">
        <f t="shared" si="1"/>
        <v>In</v>
      </c>
    </row>
    <row r="5941">
      <c r="A5941" s="62" t="s">
        <v>6079</v>
      </c>
      <c r="B5941" s="63">
        <v>44341.0</v>
      </c>
      <c r="C5941" s="62" t="s">
        <v>119</v>
      </c>
      <c r="D5941" s="64">
        <v>47.5</v>
      </c>
      <c r="E5941" s="62" t="s">
        <v>109</v>
      </c>
      <c r="F5941" s="62" t="s">
        <v>115</v>
      </c>
      <c r="G5941" s="64" t="s">
        <v>64</v>
      </c>
      <c r="H5941" s="3" t="s">
        <v>175</v>
      </c>
      <c r="I5941" s="65">
        <f>IFERROR(VLOOKUP(A5941,'3. Call duration'!$A:$C,3,0),"--")</f>
        <v>35.58996311</v>
      </c>
      <c r="J5941" s="65" t="str">
        <f t="array" ref="J5941">XLOOKUP(H5941,'2. Matching'!$A$2:$A$39,'2. Matching'!$B$2:$B$39,"--")</f>
        <v>SEO</v>
      </c>
      <c r="K5941" s="65" t="str">
        <f t="shared" si="1"/>
        <v>In</v>
      </c>
    </row>
    <row r="5942">
      <c r="A5942" s="62" t="s">
        <v>6080</v>
      </c>
      <c r="B5942" s="63">
        <v>44352.0</v>
      </c>
      <c r="C5942" s="62" t="s">
        <v>119</v>
      </c>
      <c r="D5942" s="64">
        <v>47.5</v>
      </c>
      <c r="E5942" s="62" t="s">
        <v>109</v>
      </c>
      <c r="F5942" s="62" t="s">
        <v>115</v>
      </c>
      <c r="G5942" s="64" t="s">
        <v>64</v>
      </c>
      <c r="H5942" s="3" t="s">
        <v>139</v>
      </c>
      <c r="I5942" s="65">
        <f>IFERROR(VLOOKUP(A5942,'3. Call duration'!$A:$C,3,0),"--")</f>
        <v>24.92449825</v>
      </c>
      <c r="J5942" s="65" t="str">
        <f t="array" ref="J5942">XLOOKUP(H5942,'2. Matching'!$A$2:$A$39,'2. Matching'!$B$2:$B$39,"--")</f>
        <v>Acquisition</v>
      </c>
      <c r="K5942" s="65" t="str">
        <f t="shared" si="1"/>
        <v>In</v>
      </c>
    </row>
    <row r="5943">
      <c r="A5943" s="62" t="s">
        <v>6081</v>
      </c>
      <c r="B5943" s="63">
        <v>44333.0</v>
      </c>
      <c r="C5943" s="62" t="s">
        <v>108</v>
      </c>
      <c r="D5943" s="64">
        <v>0.0</v>
      </c>
      <c r="E5943" s="62" t="s">
        <v>109</v>
      </c>
      <c r="F5943" s="62" t="s">
        <v>110</v>
      </c>
      <c r="G5943" s="64" t="s">
        <v>64</v>
      </c>
      <c r="H5943" s="3" t="s">
        <v>155</v>
      </c>
      <c r="I5943" s="65">
        <f>IFERROR(VLOOKUP(A5943,'3. Call duration'!$A:$C,3,0),"--")</f>
        <v>35.78833391</v>
      </c>
      <c r="J5943" s="65" t="str">
        <f t="array" ref="J5943">XLOOKUP(H5943,'2. Matching'!$A$2:$A$39,'2. Matching'!$B$2:$B$39,"--")</f>
        <v>SEO</v>
      </c>
      <c r="K5943" s="65" t="str">
        <f t="shared" si="1"/>
        <v>In</v>
      </c>
    </row>
    <row r="5944">
      <c r="A5944" s="62" t="s">
        <v>6082</v>
      </c>
      <c r="B5944" s="63">
        <v>44326.0</v>
      </c>
      <c r="C5944" s="62" t="s">
        <v>119</v>
      </c>
      <c r="D5944" s="64">
        <v>47.5</v>
      </c>
      <c r="E5944" s="62" t="s">
        <v>109</v>
      </c>
      <c r="F5944" s="62" t="s">
        <v>115</v>
      </c>
      <c r="G5944" s="64" t="s">
        <v>64</v>
      </c>
      <c r="H5944" s="3" t="s">
        <v>145</v>
      </c>
      <c r="I5944" s="65">
        <f>IFERROR(VLOOKUP(A5944,'3. Call duration'!$A:$C,3,0),"--")</f>
        <v>36.16839306</v>
      </c>
      <c r="J5944" s="65" t="str">
        <f t="array" ref="J5944">XLOOKUP(H5944,'2. Matching'!$A$2:$A$39,'2. Matching'!$B$2:$B$39,"--")</f>
        <v>SEO</v>
      </c>
      <c r="K5944" s="65" t="str">
        <f t="shared" si="1"/>
        <v>In</v>
      </c>
    </row>
    <row r="5945">
      <c r="A5945" s="62" t="s">
        <v>6083</v>
      </c>
      <c r="B5945" s="63">
        <v>44342.0</v>
      </c>
      <c r="C5945" s="62" t="s">
        <v>119</v>
      </c>
      <c r="D5945" s="64">
        <v>47.5</v>
      </c>
      <c r="E5945" s="62" t="s">
        <v>109</v>
      </c>
      <c r="F5945" s="62" t="s">
        <v>115</v>
      </c>
      <c r="G5945" s="64" t="s">
        <v>64</v>
      </c>
      <c r="H5945" s="3" t="s">
        <v>139</v>
      </c>
      <c r="I5945" s="65">
        <f>IFERROR(VLOOKUP(A5945,'3. Call duration'!$A:$C,3,0),"--")</f>
        <v>36.21253875</v>
      </c>
      <c r="J5945" s="65" t="str">
        <f t="array" ref="J5945">XLOOKUP(H5945,'2. Matching'!$A$2:$A$39,'2. Matching'!$B$2:$B$39,"--")</f>
        <v>Acquisition</v>
      </c>
      <c r="K5945" s="65" t="str">
        <f t="shared" si="1"/>
        <v>In</v>
      </c>
    </row>
    <row r="5946">
      <c r="A5946" s="62" t="s">
        <v>6084</v>
      </c>
      <c r="B5946" s="63">
        <v>44368.0</v>
      </c>
      <c r="C5946" s="62" t="s">
        <v>119</v>
      </c>
      <c r="D5946" s="64">
        <v>47.5</v>
      </c>
      <c r="E5946" s="62" t="s">
        <v>109</v>
      </c>
      <c r="F5946" s="62" t="s">
        <v>115</v>
      </c>
      <c r="G5946" s="64" t="s">
        <v>64</v>
      </c>
      <c r="H5946" s="3" t="s">
        <v>169</v>
      </c>
      <c r="I5946" s="65">
        <f>IFERROR(VLOOKUP(A5946,'3. Call duration'!$A:$C,3,0),"--")</f>
        <v>13.02013137</v>
      </c>
      <c r="J5946" s="65" t="str">
        <f t="array" ref="J5946">XLOOKUP(H5946,'2. Matching'!$A$2:$A$39,'2. Matching'!$B$2:$B$39,"--")</f>
        <v>SEO</v>
      </c>
      <c r="K5946" s="65" t="str">
        <f t="shared" si="1"/>
        <v>In</v>
      </c>
    </row>
    <row r="5947">
      <c r="A5947" s="62" t="s">
        <v>6085</v>
      </c>
      <c r="B5947" s="63">
        <v>44334.0</v>
      </c>
      <c r="C5947" s="62" t="s">
        <v>119</v>
      </c>
      <c r="D5947" s="64">
        <v>47.5</v>
      </c>
      <c r="E5947" s="62" t="s">
        <v>109</v>
      </c>
      <c r="F5947" s="62" t="s">
        <v>115</v>
      </c>
      <c r="G5947" s="64" t="s">
        <v>64</v>
      </c>
      <c r="H5947" s="3" t="s">
        <v>185</v>
      </c>
      <c r="I5947" s="65">
        <f>IFERROR(VLOOKUP(A5947,'3. Call duration'!$A:$C,3,0),"--")</f>
        <v>37.09490415</v>
      </c>
      <c r="J5947" s="65" t="str">
        <f t="array" ref="J5947">XLOOKUP(H5947,'2. Matching'!$A$2:$A$39,'2. Matching'!$B$2:$B$39,"--")</f>
        <v>SEO</v>
      </c>
      <c r="K5947" s="65" t="str">
        <f t="shared" si="1"/>
        <v>In</v>
      </c>
    </row>
    <row r="5948">
      <c r="A5948" s="62" t="s">
        <v>6086</v>
      </c>
      <c r="B5948" s="63">
        <v>44333.0</v>
      </c>
      <c r="C5948" s="62" t="s">
        <v>108</v>
      </c>
      <c r="D5948" s="64">
        <v>0.0</v>
      </c>
      <c r="E5948" s="62" t="s">
        <v>109</v>
      </c>
      <c r="F5948" s="62" t="s">
        <v>115</v>
      </c>
      <c r="G5948" s="64" t="s">
        <v>59</v>
      </c>
      <c r="H5948" s="3" t="s">
        <v>68</v>
      </c>
      <c r="I5948" s="65">
        <f>IFERROR(VLOOKUP(A5948,'3. Call duration'!$A:$C,3,0),"--")</f>
        <v>37.60452309</v>
      </c>
      <c r="J5948" s="65" t="str">
        <f t="array" ref="J5948">XLOOKUP(H5948,'2. Matching'!$A$2:$A$39,'2. Matching'!$B$2:$B$39,"--")</f>
        <v>Acquisition</v>
      </c>
      <c r="K5948" s="65" t="str">
        <f t="shared" si="1"/>
        <v>In</v>
      </c>
    </row>
    <row r="5949">
      <c r="A5949" s="62" t="s">
        <v>6087</v>
      </c>
      <c r="B5949" s="63">
        <v>44350.0</v>
      </c>
      <c r="C5949" s="62" t="s">
        <v>119</v>
      </c>
      <c r="D5949" s="64">
        <v>47.5</v>
      </c>
      <c r="E5949" s="62" t="s">
        <v>109</v>
      </c>
      <c r="F5949" s="62" t="s">
        <v>115</v>
      </c>
      <c r="G5949" s="64" t="s">
        <v>64</v>
      </c>
      <c r="H5949" s="3" t="s">
        <v>55</v>
      </c>
      <c r="I5949" s="65">
        <f>IFERROR(VLOOKUP(A5949,'3. Call duration'!$A:$C,3,0),"--")</f>
        <v>20.88133403</v>
      </c>
      <c r="J5949" s="65" t="str">
        <f t="array" ref="J5949">XLOOKUP(H5949,'2. Matching'!$A$2:$A$39,'2. Matching'!$B$2:$B$39,"--")</f>
        <v>Partnerships</v>
      </c>
      <c r="K5949" s="65" t="str">
        <f t="shared" si="1"/>
        <v>In</v>
      </c>
    </row>
    <row r="5950">
      <c r="A5950" s="62" t="s">
        <v>6088</v>
      </c>
      <c r="B5950" s="63">
        <v>44326.0</v>
      </c>
      <c r="C5950" s="62" t="s">
        <v>119</v>
      </c>
      <c r="D5950" s="64">
        <v>47.5</v>
      </c>
      <c r="E5950" s="62" t="s">
        <v>109</v>
      </c>
      <c r="F5950" s="62" t="s">
        <v>115</v>
      </c>
      <c r="G5950" s="64" t="s">
        <v>64</v>
      </c>
      <c r="H5950" s="3" t="s">
        <v>141</v>
      </c>
      <c r="I5950" s="65">
        <f>IFERROR(VLOOKUP(A5950,'3. Call duration'!$A:$C,3,0),"--")</f>
        <v>37.78252352</v>
      </c>
      <c r="J5950" s="65" t="str">
        <f t="array" ref="J5950">XLOOKUP(H5950,'2. Matching'!$A$2:$A$39,'2. Matching'!$B$2:$B$39,"--")</f>
        <v>Acquisition</v>
      </c>
      <c r="K5950" s="65" t="str">
        <f t="shared" si="1"/>
        <v>In</v>
      </c>
    </row>
    <row r="5951">
      <c r="A5951" s="62" t="s">
        <v>6089</v>
      </c>
      <c r="B5951" s="63">
        <v>44347.0</v>
      </c>
      <c r="C5951" s="62" t="s">
        <v>108</v>
      </c>
      <c r="D5951" s="64">
        <v>0.0</v>
      </c>
      <c r="E5951" s="62" t="s">
        <v>109</v>
      </c>
      <c r="F5951" s="62" t="s">
        <v>110</v>
      </c>
      <c r="G5951" s="64" t="s">
        <v>59</v>
      </c>
      <c r="H5951" s="3" t="s">
        <v>68</v>
      </c>
      <c r="I5951" s="65">
        <f>IFERROR(VLOOKUP(A5951,'3. Call duration'!$A:$C,3,0),"--")</f>
        <v>38.18789031</v>
      </c>
      <c r="J5951" s="65" t="str">
        <f t="array" ref="J5951">XLOOKUP(H5951,'2. Matching'!$A$2:$A$39,'2. Matching'!$B$2:$B$39,"--")</f>
        <v>Acquisition</v>
      </c>
      <c r="K5951" s="65" t="str">
        <f t="shared" si="1"/>
        <v>In</v>
      </c>
    </row>
    <row r="5952">
      <c r="A5952" s="62" t="s">
        <v>6090</v>
      </c>
      <c r="B5952" s="63">
        <v>44361.0</v>
      </c>
      <c r="C5952" s="62" t="s">
        <v>119</v>
      </c>
      <c r="D5952" s="64">
        <v>47.5</v>
      </c>
      <c r="E5952" s="62" t="s">
        <v>109</v>
      </c>
      <c r="F5952" s="62" t="s">
        <v>115</v>
      </c>
      <c r="G5952" s="64" t="s">
        <v>63</v>
      </c>
      <c r="H5952" s="3" t="s">
        <v>128</v>
      </c>
      <c r="I5952" s="65">
        <f>IFERROR(VLOOKUP(A5952,'3. Call duration'!$A:$C,3,0),"--")</f>
        <v>27.45759254</v>
      </c>
      <c r="J5952" s="65" t="str">
        <f t="array" ref="J5952">XLOOKUP(H5952,'2. Matching'!$A$2:$A$39,'2. Matching'!$B$2:$B$39,"--")</f>
        <v>Acquisition</v>
      </c>
      <c r="K5952" s="65" t="str">
        <f t="shared" si="1"/>
        <v>In</v>
      </c>
    </row>
    <row r="5953">
      <c r="A5953" s="62" t="s">
        <v>6091</v>
      </c>
      <c r="B5953" s="63">
        <v>44345.0</v>
      </c>
      <c r="C5953" s="62" t="s">
        <v>119</v>
      </c>
      <c r="D5953" s="64">
        <v>47.5</v>
      </c>
      <c r="E5953" s="62" t="s">
        <v>109</v>
      </c>
      <c r="F5953" s="62" t="s">
        <v>115</v>
      </c>
      <c r="G5953" s="64" t="s">
        <v>64</v>
      </c>
      <c r="H5953" s="3" t="s">
        <v>139</v>
      </c>
      <c r="I5953" s="65">
        <f>IFERROR(VLOOKUP(A5953,'3. Call duration'!$A:$C,3,0),"--")</f>
        <v>38.84609326</v>
      </c>
      <c r="J5953" s="65" t="str">
        <f t="array" ref="J5953">XLOOKUP(H5953,'2. Matching'!$A$2:$A$39,'2. Matching'!$B$2:$B$39,"--")</f>
        <v>Acquisition</v>
      </c>
      <c r="K5953" s="65" t="str">
        <f t="shared" si="1"/>
        <v>In</v>
      </c>
    </row>
    <row r="5954">
      <c r="A5954" s="62" t="s">
        <v>6092</v>
      </c>
      <c r="B5954" s="63">
        <v>44372.0</v>
      </c>
      <c r="C5954" s="62" t="s">
        <v>119</v>
      </c>
      <c r="D5954" s="64">
        <v>47.5</v>
      </c>
      <c r="E5954" s="62" t="s">
        <v>109</v>
      </c>
      <c r="F5954" s="62" t="s">
        <v>115</v>
      </c>
      <c r="G5954" s="64" t="s">
        <v>60</v>
      </c>
      <c r="H5954" s="3" t="s">
        <v>68</v>
      </c>
      <c r="I5954" s="65">
        <f>IFERROR(VLOOKUP(A5954,'3. Call duration'!$A:$C,3,0),"--")</f>
        <v>29.1411991</v>
      </c>
      <c r="J5954" s="65" t="str">
        <f t="array" ref="J5954">XLOOKUP(H5954,'2. Matching'!$A$2:$A$39,'2. Matching'!$B$2:$B$39,"--")</f>
        <v>Acquisition</v>
      </c>
      <c r="K5954" s="65" t="str">
        <f t="shared" si="1"/>
        <v>In</v>
      </c>
    </row>
    <row r="5955">
      <c r="A5955" s="62" t="s">
        <v>6093</v>
      </c>
      <c r="B5955" s="63">
        <v>44371.0</v>
      </c>
      <c r="C5955" s="62" t="s">
        <v>119</v>
      </c>
      <c r="D5955" s="64">
        <v>47.5</v>
      </c>
      <c r="E5955" s="62" t="s">
        <v>109</v>
      </c>
      <c r="F5955" s="62" t="s">
        <v>115</v>
      </c>
      <c r="G5955" s="64" t="s">
        <v>64</v>
      </c>
      <c r="H5955" s="3" t="s">
        <v>145</v>
      </c>
      <c r="I5955" s="65">
        <f>IFERROR(VLOOKUP(A5955,'3. Call duration'!$A:$C,3,0),"--")</f>
        <v>25.22750588</v>
      </c>
      <c r="J5955" s="65" t="str">
        <f t="array" ref="J5955">XLOOKUP(H5955,'2. Matching'!$A$2:$A$39,'2. Matching'!$B$2:$B$39,"--")</f>
        <v>SEO</v>
      </c>
      <c r="K5955" s="65" t="str">
        <f t="shared" si="1"/>
        <v>In</v>
      </c>
    </row>
    <row r="5956">
      <c r="A5956" s="62" t="s">
        <v>6094</v>
      </c>
      <c r="B5956" s="63">
        <v>44326.0</v>
      </c>
      <c r="C5956" s="62" t="s">
        <v>119</v>
      </c>
      <c r="D5956" s="64">
        <v>47.5</v>
      </c>
      <c r="E5956" s="62" t="s">
        <v>109</v>
      </c>
      <c r="F5956" s="62" t="s">
        <v>115</v>
      </c>
      <c r="G5956" s="64" t="s">
        <v>64</v>
      </c>
      <c r="H5956" s="3" t="s">
        <v>145</v>
      </c>
      <c r="I5956" s="65">
        <f>IFERROR(VLOOKUP(A5956,'3. Call duration'!$A:$C,3,0),"--")</f>
        <v>39.0267341</v>
      </c>
      <c r="J5956" s="65" t="str">
        <f t="array" ref="J5956">XLOOKUP(H5956,'2. Matching'!$A$2:$A$39,'2. Matching'!$B$2:$B$39,"--")</f>
        <v>SEO</v>
      </c>
      <c r="K5956" s="65" t="str">
        <f t="shared" si="1"/>
        <v>In</v>
      </c>
    </row>
    <row r="5957">
      <c r="A5957" s="62" t="s">
        <v>6095</v>
      </c>
      <c r="B5957" s="63">
        <v>44333.0</v>
      </c>
      <c r="C5957" s="62" t="s">
        <v>119</v>
      </c>
      <c r="D5957" s="64">
        <v>95.0</v>
      </c>
      <c r="E5957" s="62" t="s">
        <v>114</v>
      </c>
      <c r="F5957" s="62" t="s">
        <v>115</v>
      </c>
      <c r="G5957" s="64" t="s">
        <v>64</v>
      </c>
      <c r="H5957" s="3" t="s">
        <v>131</v>
      </c>
      <c r="I5957" s="65">
        <f>IFERROR(VLOOKUP(A5957,'3. Call duration'!$A:$C,3,0),"--")</f>
        <v>39.48747354</v>
      </c>
      <c r="J5957" s="65" t="str">
        <f t="array" ref="J5957">XLOOKUP(H5957,'2. Matching'!$A$2:$A$39,'2. Matching'!$B$2:$B$39,"--")</f>
        <v>Acquisition</v>
      </c>
      <c r="K5957" s="65" t="str">
        <f t="shared" si="1"/>
        <v>In</v>
      </c>
    </row>
    <row r="5958">
      <c r="A5958" s="62" t="s">
        <v>6096</v>
      </c>
      <c r="B5958" s="63">
        <v>44321.0</v>
      </c>
      <c r="C5958" s="62" t="s">
        <v>119</v>
      </c>
      <c r="D5958" s="64">
        <v>47.5</v>
      </c>
      <c r="E5958" s="62" t="s">
        <v>109</v>
      </c>
      <c r="F5958" s="62" t="s">
        <v>110</v>
      </c>
      <c r="G5958" s="64" t="s">
        <v>64</v>
      </c>
      <c r="H5958" s="3" t="s">
        <v>155</v>
      </c>
      <c r="I5958" s="65">
        <f>IFERROR(VLOOKUP(A5958,'3. Call duration'!$A:$C,3,0),"--")</f>
        <v>39.65232955</v>
      </c>
      <c r="J5958" s="65" t="str">
        <f t="array" ref="J5958">XLOOKUP(H5958,'2. Matching'!$A$2:$A$39,'2. Matching'!$B$2:$B$39,"--")</f>
        <v>SEO</v>
      </c>
      <c r="K5958" s="65" t="str">
        <f t="shared" si="1"/>
        <v>In</v>
      </c>
    </row>
    <row r="5959">
      <c r="A5959" s="62" t="s">
        <v>6097</v>
      </c>
      <c r="B5959" s="63">
        <v>44375.0</v>
      </c>
      <c r="C5959" s="62" t="s">
        <v>119</v>
      </c>
      <c r="D5959" s="64">
        <v>47.5</v>
      </c>
      <c r="E5959" s="62" t="s">
        <v>109</v>
      </c>
      <c r="F5959" s="62" t="s">
        <v>115</v>
      </c>
      <c r="G5959" s="64" t="s">
        <v>64</v>
      </c>
      <c r="H5959" s="3" t="s">
        <v>169</v>
      </c>
      <c r="I5959" s="65">
        <f>IFERROR(VLOOKUP(A5959,'3. Call duration'!$A:$C,3,0),"--")</f>
        <v>23.28009073</v>
      </c>
      <c r="J5959" s="65" t="str">
        <f t="array" ref="J5959">XLOOKUP(H5959,'2. Matching'!$A$2:$A$39,'2. Matching'!$B$2:$B$39,"--")</f>
        <v>SEO</v>
      </c>
      <c r="K5959" s="65" t="str">
        <f t="shared" si="1"/>
        <v>In</v>
      </c>
    </row>
    <row r="5960">
      <c r="A5960" s="62" t="s">
        <v>6098</v>
      </c>
      <c r="B5960" s="63">
        <v>44345.0</v>
      </c>
      <c r="C5960" s="62" t="s">
        <v>119</v>
      </c>
      <c r="D5960" s="64">
        <v>47.5</v>
      </c>
      <c r="E5960" s="62" t="s">
        <v>109</v>
      </c>
      <c r="F5960" s="62" t="s">
        <v>110</v>
      </c>
      <c r="G5960" s="64" t="s">
        <v>64</v>
      </c>
      <c r="H5960" s="3" t="s">
        <v>297</v>
      </c>
      <c r="I5960" s="65">
        <f>IFERROR(VLOOKUP(A5960,'3. Call duration'!$A:$C,3,0),"--")</f>
        <v>39.70481709</v>
      </c>
      <c r="J5960" s="65" t="str">
        <f t="array" ref="J5960">XLOOKUP(H5960,'2. Matching'!$A$2:$A$39,'2. Matching'!$B$2:$B$39,"--")</f>
        <v>Farming</v>
      </c>
      <c r="K5960" s="65" t="str">
        <f t="shared" si="1"/>
        <v>In</v>
      </c>
    </row>
    <row r="5961">
      <c r="A5961" s="62" t="s">
        <v>6099</v>
      </c>
      <c r="B5961" s="63">
        <v>44347.0</v>
      </c>
      <c r="C5961" s="62" t="s">
        <v>119</v>
      </c>
      <c r="D5961" s="64">
        <v>47.5</v>
      </c>
      <c r="E5961" s="62" t="s">
        <v>109</v>
      </c>
      <c r="F5961" s="62" t="s">
        <v>110</v>
      </c>
      <c r="G5961" s="64" t="s">
        <v>64</v>
      </c>
      <c r="H5961" s="3" t="s">
        <v>171</v>
      </c>
      <c r="I5961" s="65">
        <f>IFERROR(VLOOKUP(A5961,'3. Call duration'!$A:$C,3,0),"--")</f>
        <v>39.84404535</v>
      </c>
      <c r="J5961" s="65" t="str">
        <f t="array" ref="J5961">XLOOKUP(H5961,'2. Matching'!$A$2:$A$39,'2. Matching'!$B$2:$B$39,"--")</f>
        <v>SEO</v>
      </c>
      <c r="K5961" s="65" t="str">
        <f t="shared" si="1"/>
        <v>In</v>
      </c>
    </row>
    <row r="5962">
      <c r="A5962" s="62" t="s">
        <v>6100</v>
      </c>
      <c r="B5962" s="63">
        <v>44321.0</v>
      </c>
      <c r="C5962" s="62" t="s">
        <v>119</v>
      </c>
      <c r="D5962" s="64">
        <v>95.0</v>
      </c>
      <c r="E5962" s="62" t="s">
        <v>114</v>
      </c>
      <c r="F5962" s="62" t="s">
        <v>115</v>
      </c>
      <c r="G5962" s="64" t="s">
        <v>64</v>
      </c>
      <c r="H5962" s="3" t="s">
        <v>175</v>
      </c>
      <c r="I5962" s="65">
        <f>IFERROR(VLOOKUP(A5962,'3. Call duration'!$A:$C,3,0),"--")</f>
        <v>39.97016758</v>
      </c>
      <c r="J5962" s="65" t="str">
        <f t="array" ref="J5962">XLOOKUP(H5962,'2. Matching'!$A$2:$A$39,'2. Matching'!$B$2:$B$39,"--")</f>
        <v>SEO</v>
      </c>
      <c r="K5962" s="65" t="str">
        <f t="shared" si="1"/>
        <v>In</v>
      </c>
    </row>
    <row r="5963">
      <c r="A5963" s="62" t="s">
        <v>6101</v>
      </c>
      <c r="B5963" s="63">
        <v>44376.0</v>
      </c>
      <c r="C5963" s="62" t="s">
        <v>119</v>
      </c>
      <c r="D5963" s="64">
        <v>47.5</v>
      </c>
      <c r="E5963" s="62" t="s">
        <v>109</v>
      </c>
      <c r="F5963" s="62" t="s">
        <v>115</v>
      </c>
      <c r="G5963" s="64" t="s">
        <v>60</v>
      </c>
      <c r="H5963" s="3" t="s">
        <v>68</v>
      </c>
      <c r="I5963" s="65">
        <f>IFERROR(VLOOKUP(A5963,'3. Call duration'!$A:$C,3,0),"--")</f>
        <v>27.89157802</v>
      </c>
      <c r="J5963" s="65" t="str">
        <f t="array" ref="J5963">XLOOKUP(H5963,'2. Matching'!$A$2:$A$39,'2. Matching'!$B$2:$B$39,"--")</f>
        <v>Acquisition</v>
      </c>
      <c r="K5963" s="65" t="str">
        <f t="shared" si="1"/>
        <v>In</v>
      </c>
    </row>
    <row r="5964">
      <c r="A5964" s="62" t="s">
        <v>6102</v>
      </c>
      <c r="B5964" s="63">
        <v>44377.0</v>
      </c>
      <c r="C5964" s="62" t="s">
        <v>119</v>
      </c>
      <c r="D5964" s="64">
        <v>47.5</v>
      </c>
      <c r="E5964" s="62" t="s">
        <v>109</v>
      </c>
      <c r="F5964" s="62" t="s">
        <v>115</v>
      </c>
      <c r="G5964" s="64" t="s">
        <v>63</v>
      </c>
      <c r="H5964" s="3" t="s">
        <v>189</v>
      </c>
      <c r="I5964" s="65" t="str">
        <f>IFERROR(VLOOKUP(A5964,'3. Call duration'!$A:$C,3,0),"--")</f>
        <v>--</v>
      </c>
      <c r="J5964" s="65" t="str">
        <f t="array" ref="J5964">XLOOKUP(H5964,'2. Matching'!$A$2:$A$39,'2. Matching'!$B$2:$B$39,"--")</f>
        <v>SEO</v>
      </c>
      <c r="K5964" s="65" t="str">
        <f t="shared" si="1"/>
        <v>Out</v>
      </c>
    </row>
    <row r="5965">
      <c r="A5965" s="62" t="s">
        <v>6103</v>
      </c>
      <c r="B5965" s="63">
        <v>44351.0</v>
      </c>
      <c r="C5965" s="62" t="s">
        <v>119</v>
      </c>
      <c r="D5965" s="64">
        <v>47.5</v>
      </c>
      <c r="E5965" s="62" t="s">
        <v>109</v>
      </c>
      <c r="F5965" s="62" t="s">
        <v>115</v>
      </c>
      <c r="G5965" s="64" t="s">
        <v>59</v>
      </c>
      <c r="H5965" s="3" t="s">
        <v>68</v>
      </c>
      <c r="I5965" s="65">
        <f>IFERROR(VLOOKUP(A5965,'3. Call duration'!$A:$C,3,0),"--")</f>
        <v>11.97068461</v>
      </c>
      <c r="J5965" s="65" t="str">
        <f t="array" ref="J5965">XLOOKUP(H5965,'2. Matching'!$A$2:$A$39,'2. Matching'!$B$2:$B$39,"--")</f>
        <v>Acquisition</v>
      </c>
      <c r="K5965" s="65" t="str">
        <f t="shared" si="1"/>
        <v>In</v>
      </c>
    </row>
    <row r="5966">
      <c r="A5966" s="62" t="s">
        <v>6104</v>
      </c>
      <c r="B5966" s="63">
        <v>44333.0</v>
      </c>
      <c r="C5966" s="62" t="s">
        <v>119</v>
      </c>
      <c r="D5966" s="64">
        <v>47.5</v>
      </c>
      <c r="E5966" s="62" t="s">
        <v>109</v>
      </c>
      <c r="F5966" s="62" t="s">
        <v>115</v>
      </c>
      <c r="G5966" s="64" t="s">
        <v>59</v>
      </c>
      <c r="H5966" s="3" t="s">
        <v>68</v>
      </c>
      <c r="I5966" s="65">
        <f>IFERROR(VLOOKUP(A5966,'3. Call duration'!$A:$C,3,0),"--")</f>
        <v>41.21416945</v>
      </c>
      <c r="J5966" s="65" t="str">
        <f t="array" ref="J5966">XLOOKUP(H5966,'2. Matching'!$A$2:$A$39,'2. Matching'!$B$2:$B$39,"--")</f>
        <v>Acquisition</v>
      </c>
      <c r="K5966" s="65" t="str">
        <f t="shared" si="1"/>
        <v>In</v>
      </c>
    </row>
    <row r="5967">
      <c r="A5967" s="62" t="s">
        <v>6105</v>
      </c>
      <c r="B5967" s="63">
        <v>44327.0</v>
      </c>
      <c r="C5967" s="62" t="s">
        <v>108</v>
      </c>
      <c r="D5967" s="64">
        <v>0.0</v>
      </c>
      <c r="E5967" s="62" t="s">
        <v>114</v>
      </c>
      <c r="F5967" s="62" t="s">
        <v>115</v>
      </c>
      <c r="G5967" s="64" t="s">
        <v>64</v>
      </c>
      <c r="H5967" s="3" t="s">
        <v>175</v>
      </c>
      <c r="I5967" s="65">
        <f>IFERROR(VLOOKUP(A5967,'3. Call duration'!$A:$C,3,0),"--")</f>
        <v>41.32035096</v>
      </c>
      <c r="J5967" s="65" t="str">
        <f t="array" ref="J5967">XLOOKUP(H5967,'2. Matching'!$A$2:$A$39,'2. Matching'!$B$2:$B$39,"--")</f>
        <v>SEO</v>
      </c>
      <c r="K5967" s="65" t="str">
        <f t="shared" si="1"/>
        <v>In</v>
      </c>
    </row>
    <row r="5968">
      <c r="A5968" s="62" t="s">
        <v>6106</v>
      </c>
      <c r="B5968" s="63">
        <v>44351.0</v>
      </c>
      <c r="C5968" s="62" t="s">
        <v>119</v>
      </c>
      <c r="D5968" s="64">
        <v>47.5</v>
      </c>
      <c r="E5968" s="62" t="s">
        <v>109</v>
      </c>
      <c r="F5968" s="62" t="s">
        <v>110</v>
      </c>
      <c r="G5968" s="64" t="s">
        <v>60</v>
      </c>
      <c r="H5968" s="3" t="s">
        <v>67</v>
      </c>
      <c r="I5968" s="65">
        <f>IFERROR(VLOOKUP(A5968,'3. Call duration'!$A:$C,3,0),"--")</f>
        <v>30.40332318</v>
      </c>
      <c r="J5968" s="65" t="str">
        <f t="array" ref="J5968">XLOOKUP(H5968,'2. Matching'!$A$2:$A$39,'2. Matching'!$B$2:$B$39,"--")</f>
        <v>Acquisition</v>
      </c>
      <c r="K5968" s="65" t="str">
        <f t="shared" si="1"/>
        <v>In</v>
      </c>
    </row>
    <row r="5969">
      <c r="A5969" s="62" t="s">
        <v>6107</v>
      </c>
      <c r="B5969" s="63">
        <v>44356.0</v>
      </c>
      <c r="C5969" s="62" t="s">
        <v>119</v>
      </c>
      <c r="D5969" s="64">
        <v>47.5</v>
      </c>
      <c r="E5969" s="62" t="s">
        <v>109</v>
      </c>
      <c r="F5969" s="62" t="s">
        <v>110</v>
      </c>
      <c r="G5969" s="64" t="s">
        <v>60</v>
      </c>
      <c r="H5969" s="3" t="s">
        <v>67</v>
      </c>
      <c r="I5969" s="65">
        <f>IFERROR(VLOOKUP(A5969,'3. Call duration'!$A:$C,3,0),"--")</f>
        <v>29.22597338</v>
      </c>
      <c r="J5969" s="65" t="str">
        <f t="array" ref="J5969">XLOOKUP(H5969,'2. Matching'!$A$2:$A$39,'2. Matching'!$B$2:$B$39,"--")</f>
        <v>Acquisition</v>
      </c>
      <c r="K5969" s="65" t="str">
        <f t="shared" si="1"/>
        <v>In</v>
      </c>
    </row>
    <row r="5970">
      <c r="A5970" s="62" t="s">
        <v>6108</v>
      </c>
      <c r="B5970" s="63">
        <v>44370.0</v>
      </c>
      <c r="C5970" s="62" t="s">
        <v>119</v>
      </c>
      <c r="D5970" s="64">
        <v>47.5</v>
      </c>
      <c r="E5970" s="62" t="s">
        <v>109</v>
      </c>
      <c r="F5970" s="62" t="s">
        <v>115</v>
      </c>
      <c r="G5970" s="64" t="s">
        <v>64</v>
      </c>
      <c r="H5970" s="3" t="s">
        <v>169</v>
      </c>
      <c r="I5970" s="65">
        <f>IFERROR(VLOOKUP(A5970,'3. Call duration'!$A:$C,3,0),"--")</f>
        <v>22.53664779</v>
      </c>
      <c r="J5970" s="65" t="str">
        <f t="array" ref="J5970">XLOOKUP(H5970,'2. Matching'!$A$2:$A$39,'2. Matching'!$B$2:$B$39,"--")</f>
        <v>SEO</v>
      </c>
      <c r="K5970" s="65" t="str">
        <f t="shared" si="1"/>
        <v>In</v>
      </c>
    </row>
    <row r="5971">
      <c r="A5971" s="62" t="s">
        <v>6109</v>
      </c>
      <c r="B5971" s="63">
        <v>44341.0</v>
      </c>
      <c r="C5971" s="62" t="s">
        <v>119</v>
      </c>
      <c r="D5971" s="64">
        <v>47.5</v>
      </c>
      <c r="E5971" s="62" t="s">
        <v>109</v>
      </c>
      <c r="F5971" s="62" t="s">
        <v>115</v>
      </c>
      <c r="G5971" s="64" t="s">
        <v>64</v>
      </c>
      <c r="H5971" s="3" t="s">
        <v>139</v>
      </c>
      <c r="I5971" s="65">
        <f>IFERROR(VLOOKUP(A5971,'3. Call duration'!$A:$C,3,0),"--")</f>
        <v>41.37520402</v>
      </c>
      <c r="J5971" s="65" t="str">
        <f t="array" ref="J5971">XLOOKUP(H5971,'2. Matching'!$A$2:$A$39,'2. Matching'!$B$2:$B$39,"--")</f>
        <v>Acquisition</v>
      </c>
      <c r="K5971" s="65" t="str">
        <f t="shared" si="1"/>
        <v>In</v>
      </c>
    </row>
    <row r="5972">
      <c r="A5972" s="62" t="s">
        <v>6110</v>
      </c>
      <c r="B5972" s="63">
        <v>44366.0</v>
      </c>
      <c r="C5972" s="62" t="s">
        <v>119</v>
      </c>
      <c r="D5972" s="64">
        <v>47.5</v>
      </c>
      <c r="E5972" s="62" t="s">
        <v>109</v>
      </c>
      <c r="F5972" s="62" t="s">
        <v>115</v>
      </c>
      <c r="G5972" s="64" t="s">
        <v>64</v>
      </c>
      <c r="H5972" s="3" t="s">
        <v>141</v>
      </c>
      <c r="I5972" s="65">
        <f>IFERROR(VLOOKUP(A5972,'3. Call duration'!$A:$C,3,0),"--")</f>
        <v>29.11063522</v>
      </c>
      <c r="J5972" s="65" t="str">
        <f t="array" ref="J5972">XLOOKUP(H5972,'2. Matching'!$A$2:$A$39,'2. Matching'!$B$2:$B$39,"--")</f>
        <v>Acquisition</v>
      </c>
      <c r="K5972" s="65" t="str">
        <f t="shared" si="1"/>
        <v>In</v>
      </c>
    </row>
    <row r="5973">
      <c r="A5973" s="62" t="s">
        <v>6111</v>
      </c>
      <c r="B5973" s="63">
        <v>44337.0</v>
      </c>
      <c r="C5973" s="62" t="s">
        <v>119</v>
      </c>
      <c r="D5973" s="64">
        <v>95.0</v>
      </c>
      <c r="E5973" s="62" t="s">
        <v>114</v>
      </c>
      <c r="F5973" s="62" t="s">
        <v>110</v>
      </c>
      <c r="G5973" s="64" t="s">
        <v>64</v>
      </c>
      <c r="H5973" s="3" t="s">
        <v>155</v>
      </c>
      <c r="I5973" s="65">
        <f>IFERROR(VLOOKUP(A5973,'3. Call duration'!$A:$C,3,0),"--")</f>
        <v>41.50318012</v>
      </c>
      <c r="J5973" s="65" t="str">
        <f t="array" ref="J5973">XLOOKUP(H5973,'2. Matching'!$A$2:$A$39,'2. Matching'!$B$2:$B$39,"--")</f>
        <v>SEO</v>
      </c>
      <c r="K5973" s="65" t="str">
        <f t="shared" si="1"/>
        <v>In</v>
      </c>
    </row>
    <row r="5974">
      <c r="A5974" s="62" t="s">
        <v>6112</v>
      </c>
      <c r="B5974" s="63">
        <v>44337.0</v>
      </c>
      <c r="C5974" s="62" t="s">
        <v>119</v>
      </c>
      <c r="D5974" s="64">
        <v>47.5</v>
      </c>
      <c r="E5974" s="62" t="s">
        <v>109</v>
      </c>
      <c r="F5974" s="62" t="s">
        <v>110</v>
      </c>
      <c r="G5974" s="64" t="s">
        <v>64</v>
      </c>
      <c r="H5974" s="3" t="s">
        <v>171</v>
      </c>
      <c r="I5974" s="65">
        <f>IFERROR(VLOOKUP(A5974,'3. Call duration'!$A:$C,3,0),"--")</f>
        <v>41.79068686</v>
      </c>
      <c r="J5974" s="65" t="str">
        <f t="array" ref="J5974">XLOOKUP(H5974,'2. Matching'!$A$2:$A$39,'2. Matching'!$B$2:$B$39,"--")</f>
        <v>SEO</v>
      </c>
      <c r="K5974" s="65" t="str">
        <f t="shared" si="1"/>
        <v>In</v>
      </c>
    </row>
    <row r="5975">
      <c r="A5975" s="62" t="s">
        <v>6113</v>
      </c>
      <c r="B5975" s="63">
        <v>44366.0</v>
      </c>
      <c r="C5975" s="62" t="s">
        <v>119</v>
      </c>
      <c r="D5975" s="64">
        <v>47.5</v>
      </c>
      <c r="E5975" s="62" t="s">
        <v>109</v>
      </c>
      <c r="F5975" s="62" t="s">
        <v>110</v>
      </c>
      <c r="G5975" s="64" t="s">
        <v>60</v>
      </c>
      <c r="H5975" s="3" t="s">
        <v>67</v>
      </c>
      <c r="I5975" s="65" t="str">
        <f>IFERROR(VLOOKUP(A5975,'3. Call duration'!$A:$C,3,0),"--")</f>
        <v>--</v>
      </c>
      <c r="J5975" s="65" t="str">
        <f t="array" ref="J5975">XLOOKUP(H5975,'2. Matching'!$A$2:$A$39,'2. Matching'!$B$2:$B$39,"--")</f>
        <v>Acquisition</v>
      </c>
      <c r="K5975" s="65" t="str">
        <f t="shared" si="1"/>
        <v>In</v>
      </c>
    </row>
    <row r="5976">
      <c r="A5976" s="62" t="s">
        <v>6114</v>
      </c>
      <c r="B5976" s="63">
        <v>44347.0</v>
      </c>
      <c r="C5976" s="62" t="s">
        <v>119</v>
      </c>
      <c r="D5976" s="64">
        <v>47.5</v>
      </c>
      <c r="E5976" s="62" t="s">
        <v>109</v>
      </c>
      <c r="F5976" s="62" t="s">
        <v>115</v>
      </c>
      <c r="G5976" s="64" t="s">
        <v>59</v>
      </c>
      <c r="H5976" s="3" t="s">
        <v>68</v>
      </c>
      <c r="I5976" s="65">
        <f>IFERROR(VLOOKUP(A5976,'3. Call duration'!$A:$C,3,0),"--")</f>
        <v>42.35634151</v>
      </c>
      <c r="J5976" s="65" t="str">
        <f t="array" ref="J5976">XLOOKUP(H5976,'2. Matching'!$A$2:$A$39,'2. Matching'!$B$2:$B$39,"--")</f>
        <v>Acquisition</v>
      </c>
      <c r="K5976" s="65" t="str">
        <f t="shared" si="1"/>
        <v>In</v>
      </c>
    </row>
    <row r="5977">
      <c r="A5977" s="62" t="s">
        <v>6115</v>
      </c>
      <c r="B5977" s="63">
        <v>44341.0</v>
      </c>
      <c r="C5977" s="62" t="s">
        <v>119</v>
      </c>
      <c r="D5977" s="64">
        <v>47.5</v>
      </c>
      <c r="E5977" s="62" t="s">
        <v>109</v>
      </c>
      <c r="F5977" s="62" t="s">
        <v>110</v>
      </c>
      <c r="G5977" s="64" t="s">
        <v>63</v>
      </c>
      <c r="H5977" s="3" t="s">
        <v>189</v>
      </c>
      <c r="I5977" s="65">
        <f>IFERROR(VLOOKUP(A5977,'3. Call duration'!$A:$C,3,0),"--")</f>
        <v>42.55345328</v>
      </c>
      <c r="J5977" s="65" t="str">
        <f t="array" ref="J5977">XLOOKUP(H5977,'2. Matching'!$A$2:$A$39,'2. Matching'!$B$2:$B$39,"--")</f>
        <v>SEO</v>
      </c>
      <c r="K5977" s="65" t="str">
        <f t="shared" si="1"/>
        <v>Out</v>
      </c>
    </row>
    <row r="5978">
      <c r="A5978" s="62" t="s">
        <v>6116</v>
      </c>
      <c r="B5978" s="63">
        <v>44348.0</v>
      </c>
      <c r="C5978" s="62" t="s">
        <v>119</v>
      </c>
      <c r="D5978" s="64">
        <v>47.5</v>
      </c>
      <c r="E5978" s="62" t="s">
        <v>109</v>
      </c>
      <c r="F5978" s="62" t="s">
        <v>110</v>
      </c>
      <c r="G5978" s="64" t="s">
        <v>64</v>
      </c>
      <c r="H5978" s="3" t="s">
        <v>141</v>
      </c>
      <c r="I5978" s="65">
        <f>IFERROR(VLOOKUP(A5978,'3. Call duration'!$A:$C,3,0),"--")</f>
        <v>23.97380216</v>
      </c>
      <c r="J5978" s="65" t="str">
        <f t="array" ref="J5978">XLOOKUP(H5978,'2. Matching'!$A$2:$A$39,'2. Matching'!$B$2:$B$39,"--")</f>
        <v>Acquisition</v>
      </c>
      <c r="K5978" s="65" t="str">
        <f t="shared" si="1"/>
        <v>In</v>
      </c>
    </row>
    <row r="5979">
      <c r="A5979" s="62" t="s">
        <v>6117</v>
      </c>
      <c r="B5979" s="63">
        <v>44348.0</v>
      </c>
      <c r="C5979" s="62" t="s">
        <v>119</v>
      </c>
      <c r="D5979" s="64">
        <v>47.5</v>
      </c>
      <c r="E5979" s="62" t="s">
        <v>109</v>
      </c>
      <c r="F5979" s="62" t="s">
        <v>110</v>
      </c>
      <c r="G5979" s="64" t="s">
        <v>64</v>
      </c>
      <c r="H5979" s="3" t="s">
        <v>297</v>
      </c>
      <c r="I5979" s="65">
        <f>IFERROR(VLOOKUP(A5979,'3. Call duration'!$A:$C,3,0),"--")</f>
        <v>39.8449828</v>
      </c>
      <c r="J5979" s="65" t="str">
        <f t="array" ref="J5979">XLOOKUP(H5979,'2. Matching'!$A$2:$A$39,'2. Matching'!$B$2:$B$39,"--")</f>
        <v>Farming</v>
      </c>
      <c r="K5979" s="65" t="str">
        <f t="shared" si="1"/>
        <v>In</v>
      </c>
    </row>
    <row r="5980">
      <c r="A5980" s="62" t="s">
        <v>6118</v>
      </c>
      <c r="B5980" s="63">
        <v>44349.0</v>
      </c>
      <c r="C5980" s="62" t="s">
        <v>119</v>
      </c>
      <c r="D5980" s="64">
        <v>47.5</v>
      </c>
      <c r="E5980" s="62" t="s">
        <v>109</v>
      </c>
      <c r="F5980" s="62" t="s">
        <v>115</v>
      </c>
      <c r="G5980" s="64" t="s">
        <v>64</v>
      </c>
      <c r="H5980" s="3" t="s">
        <v>155</v>
      </c>
      <c r="I5980" s="65">
        <f>IFERROR(VLOOKUP(A5980,'3. Call duration'!$A:$C,3,0),"--")</f>
        <v>14.88511791</v>
      </c>
      <c r="J5980" s="65" t="str">
        <f t="array" ref="J5980">XLOOKUP(H5980,'2. Matching'!$A$2:$A$39,'2. Matching'!$B$2:$B$39,"--")</f>
        <v>SEO</v>
      </c>
      <c r="K5980" s="65" t="str">
        <f t="shared" si="1"/>
        <v>In</v>
      </c>
    </row>
    <row r="5981">
      <c r="A5981" s="62" t="s">
        <v>6119</v>
      </c>
      <c r="B5981" s="63">
        <v>44327.0</v>
      </c>
      <c r="C5981" s="62" t="s">
        <v>119</v>
      </c>
      <c r="D5981" s="64">
        <v>47.5</v>
      </c>
      <c r="E5981" s="62" t="s">
        <v>109</v>
      </c>
      <c r="F5981" s="62" t="s">
        <v>110</v>
      </c>
      <c r="G5981" s="64" t="s">
        <v>63</v>
      </c>
      <c r="H5981" s="3" t="s">
        <v>128</v>
      </c>
      <c r="I5981" s="65">
        <f>IFERROR(VLOOKUP(A5981,'3. Call duration'!$A:$C,3,0),"--")</f>
        <v>42.90720114</v>
      </c>
      <c r="J5981" s="65" t="str">
        <f t="array" ref="J5981">XLOOKUP(H5981,'2. Matching'!$A$2:$A$39,'2. Matching'!$B$2:$B$39,"--")</f>
        <v>Acquisition</v>
      </c>
      <c r="K5981" s="65" t="str">
        <f t="shared" si="1"/>
        <v>In</v>
      </c>
    </row>
    <row r="5982">
      <c r="A5982" s="62" t="s">
        <v>6120</v>
      </c>
      <c r="B5982" s="63">
        <v>44358.0</v>
      </c>
      <c r="C5982" s="62" t="s">
        <v>119</v>
      </c>
      <c r="D5982" s="64">
        <v>47.5</v>
      </c>
      <c r="E5982" s="62" t="s">
        <v>109</v>
      </c>
      <c r="F5982" s="62" t="s">
        <v>110</v>
      </c>
      <c r="G5982" s="64" t="s">
        <v>64</v>
      </c>
      <c r="H5982" s="3" t="s">
        <v>171</v>
      </c>
      <c r="I5982" s="65">
        <f>IFERROR(VLOOKUP(A5982,'3. Call duration'!$A:$C,3,0),"--")</f>
        <v>43.35728705</v>
      </c>
      <c r="J5982" s="65" t="str">
        <f t="array" ref="J5982">XLOOKUP(H5982,'2. Matching'!$A$2:$A$39,'2. Matching'!$B$2:$B$39,"--")</f>
        <v>SEO</v>
      </c>
      <c r="K5982" s="65" t="str">
        <f t="shared" si="1"/>
        <v>In</v>
      </c>
    </row>
    <row r="5983">
      <c r="A5983" s="62" t="s">
        <v>6121</v>
      </c>
      <c r="B5983" s="63">
        <v>44347.0</v>
      </c>
      <c r="C5983" s="62" t="s">
        <v>108</v>
      </c>
      <c r="D5983" s="64">
        <v>0.0</v>
      </c>
      <c r="E5983" s="62" t="s">
        <v>109</v>
      </c>
      <c r="F5983" s="62" t="s">
        <v>115</v>
      </c>
      <c r="G5983" s="64" t="s">
        <v>59</v>
      </c>
      <c r="H5983" s="3" t="s">
        <v>68</v>
      </c>
      <c r="I5983" s="65">
        <f>IFERROR(VLOOKUP(A5983,'3. Call duration'!$A:$C,3,0),"--")</f>
        <v>43.18852377</v>
      </c>
      <c r="J5983" s="65" t="str">
        <f t="array" ref="J5983">XLOOKUP(H5983,'2. Matching'!$A$2:$A$39,'2. Matching'!$B$2:$B$39,"--")</f>
        <v>Acquisition</v>
      </c>
      <c r="K5983" s="65" t="str">
        <f t="shared" si="1"/>
        <v>In</v>
      </c>
    </row>
    <row r="5984">
      <c r="A5984" s="62" t="s">
        <v>6122</v>
      </c>
      <c r="B5984" s="63">
        <v>44334.0</v>
      </c>
      <c r="C5984" s="62" t="s">
        <v>119</v>
      </c>
      <c r="D5984" s="64">
        <v>47.5</v>
      </c>
      <c r="E5984" s="62" t="s">
        <v>109</v>
      </c>
      <c r="F5984" s="62" t="s">
        <v>115</v>
      </c>
      <c r="G5984" s="64" t="s">
        <v>64</v>
      </c>
      <c r="H5984" s="3" t="s">
        <v>139</v>
      </c>
      <c r="I5984" s="65">
        <f>IFERROR(VLOOKUP(A5984,'3. Call duration'!$A:$C,3,0),"--")</f>
        <v>43.41644069</v>
      </c>
      <c r="J5984" s="65" t="str">
        <f t="array" ref="J5984">XLOOKUP(H5984,'2. Matching'!$A$2:$A$39,'2. Matching'!$B$2:$B$39,"--")</f>
        <v>Acquisition</v>
      </c>
      <c r="K5984" s="65" t="str">
        <f t="shared" si="1"/>
        <v>In</v>
      </c>
    </row>
    <row r="5985">
      <c r="A5985" s="62" t="s">
        <v>6123</v>
      </c>
      <c r="B5985" s="63">
        <v>44377.0</v>
      </c>
      <c r="C5985" s="62" t="s">
        <v>119</v>
      </c>
      <c r="D5985" s="64">
        <v>47.5</v>
      </c>
      <c r="E5985" s="62" t="s">
        <v>109</v>
      </c>
      <c r="F5985" s="62" t="s">
        <v>115</v>
      </c>
      <c r="G5985" s="64" t="s">
        <v>64</v>
      </c>
      <c r="H5985" s="3" t="s">
        <v>139</v>
      </c>
      <c r="I5985" s="65">
        <f>IFERROR(VLOOKUP(A5985,'3. Call duration'!$A:$C,3,0),"--")</f>
        <v>20.63677003</v>
      </c>
      <c r="J5985" s="65" t="str">
        <f t="array" ref="J5985">XLOOKUP(H5985,'2. Matching'!$A$2:$A$39,'2. Matching'!$B$2:$B$39,"--")</f>
        <v>Acquisition</v>
      </c>
      <c r="K5985" s="65" t="str">
        <f t="shared" si="1"/>
        <v>In</v>
      </c>
    </row>
    <row r="5986">
      <c r="A5986" s="62" t="s">
        <v>6124</v>
      </c>
      <c r="B5986" s="63">
        <v>44349.0</v>
      </c>
      <c r="C5986" s="62" t="s">
        <v>119</v>
      </c>
      <c r="D5986" s="64">
        <v>47.5</v>
      </c>
      <c r="E5986" s="62" t="s">
        <v>109</v>
      </c>
      <c r="F5986" s="62" t="s">
        <v>115</v>
      </c>
      <c r="G5986" s="64" t="s">
        <v>64</v>
      </c>
      <c r="H5986" s="3" t="s">
        <v>116</v>
      </c>
      <c r="I5986" s="65">
        <f>IFERROR(VLOOKUP(A5986,'3. Call duration'!$A:$C,3,0),"--")</f>
        <v>46.38134556</v>
      </c>
      <c r="J5986" s="65" t="str">
        <f t="array" ref="J5986">XLOOKUP(H5986,'2. Matching'!$A$2:$A$39,'2. Matching'!$B$2:$B$39,"--")</f>
        <v>Acquisition</v>
      </c>
      <c r="K5986" s="65" t="str">
        <f t="shared" si="1"/>
        <v>In</v>
      </c>
    </row>
    <row r="5987">
      <c r="A5987" s="62" t="s">
        <v>6125</v>
      </c>
      <c r="B5987" s="63">
        <v>44356.0</v>
      </c>
      <c r="C5987" s="62" t="s">
        <v>119</v>
      </c>
      <c r="D5987" s="64">
        <v>47.5</v>
      </c>
      <c r="E5987" s="62" t="s">
        <v>109</v>
      </c>
      <c r="F5987" s="62" t="s">
        <v>115</v>
      </c>
      <c r="G5987" s="64" t="s">
        <v>64</v>
      </c>
      <c r="H5987" s="3" t="s">
        <v>185</v>
      </c>
      <c r="I5987" s="65">
        <f>IFERROR(VLOOKUP(A5987,'3. Call duration'!$A:$C,3,0),"--")</f>
        <v>20.22203155</v>
      </c>
      <c r="J5987" s="65" t="str">
        <f t="array" ref="J5987">XLOOKUP(H5987,'2. Matching'!$A$2:$A$39,'2. Matching'!$B$2:$B$39,"--")</f>
        <v>SEO</v>
      </c>
      <c r="K5987" s="65" t="str">
        <f t="shared" si="1"/>
        <v>In</v>
      </c>
    </row>
    <row r="5988">
      <c r="A5988" s="62" t="s">
        <v>6126</v>
      </c>
      <c r="B5988" s="63">
        <v>44349.0</v>
      </c>
      <c r="C5988" s="62" t="s">
        <v>119</v>
      </c>
      <c r="D5988" s="64">
        <v>47.5</v>
      </c>
      <c r="E5988" s="62" t="s">
        <v>109</v>
      </c>
      <c r="F5988" s="62" t="s">
        <v>115</v>
      </c>
      <c r="G5988" s="64" t="s">
        <v>64</v>
      </c>
      <c r="H5988" s="3" t="s">
        <v>139</v>
      </c>
      <c r="I5988" s="65">
        <f>IFERROR(VLOOKUP(A5988,'3. Call duration'!$A:$C,3,0),"--")</f>
        <v>12.62466714</v>
      </c>
      <c r="J5988" s="65" t="str">
        <f t="array" ref="J5988">XLOOKUP(H5988,'2. Matching'!$A$2:$A$39,'2. Matching'!$B$2:$B$39,"--")</f>
        <v>Acquisition</v>
      </c>
      <c r="K5988" s="65" t="str">
        <f t="shared" si="1"/>
        <v>In</v>
      </c>
    </row>
    <row r="5989">
      <c r="A5989" s="62" t="s">
        <v>6127</v>
      </c>
      <c r="B5989" s="63">
        <v>44349.0</v>
      </c>
      <c r="C5989" s="62" t="s">
        <v>119</v>
      </c>
      <c r="D5989" s="64">
        <v>47.5</v>
      </c>
      <c r="E5989" s="62" t="s">
        <v>109</v>
      </c>
      <c r="F5989" s="62" t="s">
        <v>115</v>
      </c>
      <c r="G5989" s="64" t="s">
        <v>64</v>
      </c>
      <c r="H5989" s="3" t="s">
        <v>155</v>
      </c>
      <c r="I5989" s="65">
        <f>IFERROR(VLOOKUP(A5989,'3. Call duration'!$A:$C,3,0),"--")</f>
        <v>22.16891555</v>
      </c>
      <c r="J5989" s="65" t="str">
        <f t="array" ref="J5989">XLOOKUP(H5989,'2. Matching'!$A$2:$A$39,'2. Matching'!$B$2:$B$39,"--")</f>
        <v>SEO</v>
      </c>
      <c r="K5989" s="65" t="str">
        <f t="shared" si="1"/>
        <v>In</v>
      </c>
    </row>
    <row r="5990">
      <c r="A5990" s="62" t="s">
        <v>6128</v>
      </c>
      <c r="B5990" s="63">
        <v>44376.0</v>
      </c>
      <c r="C5990" s="62" t="s">
        <v>119</v>
      </c>
      <c r="D5990" s="64">
        <v>47.5</v>
      </c>
      <c r="E5990" s="62" t="s">
        <v>109</v>
      </c>
      <c r="F5990" s="62" t="s">
        <v>110</v>
      </c>
      <c r="G5990" s="64" t="s">
        <v>60</v>
      </c>
      <c r="H5990" s="3" t="s">
        <v>68</v>
      </c>
      <c r="I5990" s="65">
        <f>IFERROR(VLOOKUP(A5990,'3. Call duration'!$A:$C,3,0),"--")</f>
        <v>26.49837888</v>
      </c>
      <c r="J5990" s="65" t="str">
        <f t="array" ref="J5990">XLOOKUP(H5990,'2. Matching'!$A$2:$A$39,'2. Matching'!$B$2:$B$39,"--")</f>
        <v>Acquisition</v>
      </c>
      <c r="K5990" s="65" t="str">
        <f t="shared" si="1"/>
        <v>In</v>
      </c>
    </row>
    <row r="5991">
      <c r="A5991" s="62" t="s">
        <v>6129</v>
      </c>
      <c r="B5991" s="63">
        <v>44368.0</v>
      </c>
      <c r="C5991" s="62" t="s">
        <v>119</v>
      </c>
      <c r="D5991" s="64">
        <v>47.5</v>
      </c>
      <c r="E5991" s="62" t="s">
        <v>109</v>
      </c>
      <c r="F5991" s="62" t="s">
        <v>115</v>
      </c>
      <c r="G5991" s="64" t="s">
        <v>60</v>
      </c>
      <c r="H5991" s="3" t="s">
        <v>68</v>
      </c>
      <c r="I5991" s="65">
        <f>IFERROR(VLOOKUP(A5991,'3. Call duration'!$A:$C,3,0),"--")</f>
        <v>28.50241421</v>
      </c>
      <c r="J5991" s="65" t="str">
        <f t="array" ref="J5991">XLOOKUP(H5991,'2. Matching'!$A$2:$A$39,'2. Matching'!$B$2:$B$39,"--")</f>
        <v>Acquisition</v>
      </c>
      <c r="K5991" s="65" t="str">
        <f t="shared" si="1"/>
        <v>In</v>
      </c>
    </row>
    <row r="5992">
      <c r="A5992" s="62" t="s">
        <v>6130</v>
      </c>
      <c r="B5992" s="63">
        <v>44343.0</v>
      </c>
      <c r="C5992" s="62" t="s">
        <v>119</v>
      </c>
      <c r="D5992" s="64">
        <v>95.0</v>
      </c>
      <c r="E5992" s="62" t="s">
        <v>114</v>
      </c>
      <c r="F5992" s="62" t="s">
        <v>110</v>
      </c>
      <c r="G5992" s="64" t="s">
        <v>64</v>
      </c>
      <c r="H5992" s="3" t="s">
        <v>175</v>
      </c>
      <c r="I5992" s="65">
        <f>IFERROR(VLOOKUP(A5992,'3. Call duration'!$A:$C,3,0),"--")</f>
        <v>43.44808309</v>
      </c>
      <c r="J5992" s="65" t="str">
        <f t="array" ref="J5992">XLOOKUP(H5992,'2. Matching'!$A$2:$A$39,'2. Matching'!$B$2:$B$39,"--")</f>
        <v>SEO</v>
      </c>
      <c r="K5992" s="65" t="str">
        <f t="shared" si="1"/>
        <v>In</v>
      </c>
    </row>
    <row r="5993">
      <c r="A5993" s="62" t="s">
        <v>6131</v>
      </c>
      <c r="B5993" s="63">
        <v>44358.0</v>
      </c>
      <c r="C5993" s="62" t="s">
        <v>119</v>
      </c>
      <c r="D5993" s="64">
        <v>47.5</v>
      </c>
      <c r="E5993" s="62" t="s">
        <v>109</v>
      </c>
      <c r="F5993" s="62" t="s">
        <v>115</v>
      </c>
      <c r="G5993" s="64" t="s">
        <v>64</v>
      </c>
      <c r="H5993" s="3" t="s">
        <v>175</v>
      </c>
      <c r="I5993" s="65">
        <f>IFERROR(VLOOKUP(A5993,'3. Call duration'!$A:$C,3,0),"--")</f>
        <v>31.53021538</v>
      </c>
      <c r="J5993" s="65" t="str">
        <f t="array" ref="J5993">XLOOKUP(H5993,'2. Matching'!$A$2:$A$39,'2. Matching'!$B$2:$B$39,"--")</f>
        <v>SEO</v>
      </c>
      <c r="K5993" s="65" t="str">
        <f t="shared" si="1"/>
        <v>In</v>
      </c>
    </row>
    <row r="5994">
      <c r="A5994" s="62" t="s">
        <v>6132</v>
      </c>
      <c r="B5994" s="63">
        <v>44327.0</v>
      </c>
      <c r="C5994" s="62" t="s">
        <v>119</v>
      </c>
      <c r="D5994" s="64">
        <v>47.5</v>
      </c>
      <c r="E5994" s="62" t="s">
        <v>109</v>
      </c>
      <c r="F5994" s="62" t="s">
        <v>115</v>
      </c>
      <c r="G5994" s="64" t="s">
        <v>64</v>
      </c>
      <c r="H5994" s="3" t="s">
        <v>141</v>
      </c>
      <c r="I5994" s="65">
        <f>IFERROR(VLOOKUP(A5994,'3. Call duration'!$A:$C,3,0),"--")</f>
        <v>43.48690351</v>
      </c>
      <c r="J5994" s="65" t="str">
        <f t="array" ref="J5994">XLOOKUP(H5994,'2. Matching'!$A$2:$A$39,'2. Matching'!$B$2:$B$39,"--")</f>
        <v>Acquisition</v>
      </c>
      <c r="K5994" s="65" t="str">
        <f t="shared" si="1"/>
        <v>In</v>
      </c>
    </row>
    <row r="5995">
      <c r="A5995" s="62" t="s">
        <v>6133</v>
      </c>
      <c r="B5995" s="63">
        <v>44376.0</v>
      </c>
      <c r="C5995" s="62" t="s">
        <v>119</v>
      </c>
      <c r="D5995" s="64">
        <v>47.5</v>
      </c>
      <c r="E5995" s="62" t="s">
        <v>109</v>
      </c>
      <c r="F5995" s="62" t="s">
        <v>115</v>
      </c>
      <c r="G5995" s="64" t="s">
        <v>64</v>
      </c>
      <c r="H5995" s="3" t="s">
        <v>116</v>
      </c>
      <c r="I5995" s="65">
        <f>IFERROR(VLOOKUP(A5995,'3. Call duration'!$A:$C,3,0),"--")</f>
        <v>42.60071342</v>
      </c>
      <c r="J5995" s="65" t="str">
        <f t="array" ref="J5995">XLOOKUP(H5995,'2. Matching'!$A$2:$A$39,'2. Matching'!$B$2:$B$39,"--")</f>
        <v>Acquisition</v>
      </c>
      <c r="K5995" s="65" t="str">
        <f t="shared" si="1"/>
        <v>In</v>
      </c>
    </row>
    <row r="5996">
      <c r="A5996" s="62" t="s">
        <v>6134</v>
      </c>
      <c r="B5996" s="63">
        <v>44355.0</v>
      </c>
      <c r="C5996" s="62" t="s">
        <v>119</v>
      </c>
      <c r="D5996" s="64">
        <v>47.5</v>
      </c>
      <c r="E5996" s="62" t="s">
        <v>109</v>
      </c>
      <c r="F5996" s="62" t="s">
        <v>115</v>
      </c>
      <c r="G5996" s="64" t="s">
        <v>64</v>
      </c>
      <c r="H5996" s="3" t="s">
        <v>169</v>
      </c>
      <c r="I5996" s="65">
        <f>IFERROR(VLOOKUP(A5996,'3. Call duration'!$A:$C,3,0),"--")</f>
        <v>27.47257663</v>
      </c>
      <c r="J5996" s="65" t="str">
        <f t="array" ref="J5996">XLOOKUP(H5996,'2. Matching'!$A$2:$A$39,'2. Matching'!$B$2:$B$39,"--")</f>
        <v>SEO</v>
      </c>
      <c r="K5996" s="65" t="str">
        <f t="shared" si="1"/>
        <v>In</v>
      </c>
    </row>
    <row r="5997">
      <c r="A5997" s="62" t="s">
        <v>6135</v>
      </c>
      <c r="B5997" s="63">
        <v>44377.0</v>
      </c>
      <c r="C5997" s="62" t="s">
        <v>119</v>
      </c>
      <c r="D5997" s="64">
        <v>47.5</v>
      </c>
      <c r="E5997" s="62" t="s">
        <v>109</v>
      </c>
      <c r="F5997" s="62" t="s">
        <v>115</v>
      </c>
      <c r="G5997" s="64" t="s">
        <v>64</v>
      </c>
      <c r="H5997" s="3" t="s">
        <v>131</v>
      </c>
      <c r="I5997" s="65">
        <f>IFERROR(VLOOKUP(A5997,'3. Call duration'!$A:$C,3,0),"--")</f>
        <v>27.02953639</v>
      </c>
      <c r="J5997" s="65" t="str">
        <f t="array" ref="J5997">XLOOKUP(H5997,'2. Matching'!$A$2:$A$39,'2. Matching'!$B$2:$B$39,"--")</f>
        <v>Acquisition</v>
      </c>
      <c r="K5997" s="65" t="str">
        <f t="shared" si="1"/>
        <v>In</v>
      </c>
    </row>
    <row r="5998">
      <c r="A5998" s="62" t="s">
        <v>6136</v>
      </c>
      <c r="B5998" s="63">
        <v>44343.0</v>
      </c>
      <c r="C5998" s="62" t="s">
        <v>119</v>
      </c>
      <c r="D5998" s="64">
        <v>47.5</v>
      </c>
      <c r="E5998" s="62" t="s">
        <v>109</v>
      </c>
      <c r="F5998" s="62" t="s">
        <v>110</v>
      </c>
      <c r="G5998" s="64" t="s">
        <v>63</v>
      </c>
      <c r="H5998" s="3" t="s">
        <v>189</v>
      </c>
      <c r="I5998" s="65">
        <f>IFERROR(VLOOKUP(A5998,'3. Call duration'!$A:$C,3,0),"--")</f>
        <v>43.48690671</v>
      </c>
      <c r="J5998" s="65" t="str">
        <f t="array" ref="J5998">XLOOKUP(H5998,'2. Matching'!$A$2:$A$39,'2. Matching'!$B$2:$B$39,"--")</f>
        <v>SEO</v>
      </c>
      <c r="K5998" s="65" t="str">
        <f t="shared" si="1"/>
        <v>Out</v>
      </c>
    </row>
    <row r="5999">
      <c r="A5999" s="62" t="s">
        <v>6137</v>
      </c>
      <c r="B5999" s="63">
        <v>44322.0</v>
      </c>
      <c r="C5999" s="62" t="s">
        <v>119</v>
      </c>
      <c r="D5999" s="64">
        <v>95.0</v>
      </c>
      <c r="E5999" s="62" t="s">
        <v>114</v>
      </c>
      <c r="F5999" s="62" t="s">
        <v>110</v>
      </c>
      <c r="G5999" s="64" t="s">
        <v>59</v>
      </c>
      <c r="H5999" s="3" t="s">
        <v>68</v>
      </c>
      <c r="I5999" s="65">
        <f>IFERROR(VLOOKUP(A5999,'3. Call duration'!$A:$C,3,0),"--")</f>
        <v>43.53318232</v>
      </c>
      <c r="J5999" s="65" t="str">
        <f t="array" ref="J5999">XLOOKUP(H5999,'2. Matching'!$A$2:$A$39,'2. Matching'!$B$2:$B$39,"--")</f>
        <v>Acquisition</v>
      </c>
      <c r="K5999" s="65" t="str">
        <f t="shared" si="1"/>
        <v>In</v>
      </c>
    </row>
    <row r="6000">
      <c r="A6000" s="62" t="s">
        <v>6138</v>
      </c>
      <c r="B6000" s="63">
        <v>44343.0</v>
      </c>
      <c r="C6000" s="62" t="s">
        <v>119</v>
      </c>
      <c r="D6000" s="64">
        <v>47.5</v>
      </c>
      <c r="E6000" s="62" t="s">
        <v>109</v>
      </c>
      <c r="F6000" s="62" t="s">
        <v>110</v>
      </c>
      <c r="G6000" s="64" t="s">
        <v>64</v>
      </c>
      <c r="H6000" s="3" t="s">
        <v>171</v>
      </c>
      <c r="I6000" s="65">
        <f>IFERROR(VLOOKUP(A6000,'3. Call duration'!$A:$C,3,0),"--")</f>
        <v>43.79227184</v>
      </c>
      <c r="J6000" s="65" t="str">
        <f t="array" ref="J6000">XLOOKUP(H6000,'2. Matching'!$A$2:$A$39,'2. Matching'!$B$2:$B$39,"--")</f>
        <v>SEO</v>
      </c>
      <c r="K6000" s="65" t="str">
        <f t="shared" si="1"/>
        <v>In</v>
      </c>
    </row>
    <row r="6001">
      <c r="A6001" s="62" t="s">
        <v>6139</v>
      </c>
      <c r="B6001" s="63">
        <v>44330.0</v>
      </c>
      <c r="C6001" s="62" t="s">
        <v>119</v>
      </c>
      <c r="D6001" s="64">
        <v>47.5</v>
      </c>
      <c r="E6001" s="62" t="s">
        <v>109</v>
      </c>
      <c r="F6001" s="62" t="s">
        <v>115</v>
      </c>
      <c r="G6001" s="64" t="s">
        <v>59</v>
      </c>
      <c r="H6001" s="3" t="s">
        <v>68</v>
      </c>
      <c r="I6001" s="65">
        <f>IFERROR(VLOOKUP(A6001,'3. Call duration'!$A:$C,3,0),"--")</f>
        <v>44.01892436</v>
      </c>
      <c r="J6001" s="65" t="str">
        <f t="array" ref="J6001">XLOOKUP(H6001,'2. Matching'!$A$2:$A$39,'2. Matching'!$B$2:$B$39,"--")</f>
        <v>Acquisition</v>
      </c>
      <c r="K6001" s="65" t="str">
        <f t="shared" si="1"/>
        <v>In</v>
      </c>
    </row>
    <row r="6002">
      <c r="A6002" s="62" t="s">
        <v>6140</v>
      </c>
      <c r="B6002" s="63">
        <v>44357.0</v>
      </c>
      <c r="C6002" s="62" t="s">
        <v>119</v>
      </c>
      <c r="D6002" s="64">
        <v>47.5</v>
      </c>
      <c r="E6002" s="62" t="s">
        <v>109</v>
      </c>
      <c r="F6002" s="62" t="s">
        <v>115</v>
      </c>
      <c r="G6002" s="64" t="s">
        <v>64</v>
      </c>
      <c r="H6002" s="3" t="s">
        <v>169</v>
      </c>
      <c r="I6002" s="65">
        <f>IFERROR(VLOOKUP(A6002,'3. Call duration'!$A:$C,3,0),"--")</f>
        <v>32.02551806</v>
      </c>
      <c r="J6002" s="65" t="str">
        <f t="array" ref="J6002">XLOOKUP(H6002,'2. Matching'!$A$2:$A$39,'2. Matching'!$B$2:$B$39,"--")</f>
        <v>SEO</v>
      </c>
      <c r="K6002" s="65" t="str">
        <f t="shared" si="1"/>
        <v>In</v>
      </c>
    </row>
    <row r="6003">
      <c r="A6003" s="62" t="s">
        <v>6141</v>
      </c>
      <c r="B6003" s="63">
        <v>44328.0</v>
      </c>
      <c r="C6003" s="62" t="s">
        <v>119</v>
      </c>
      <c r="D6003" s="64">
        <v>47.5</v>
      </c>
      <c r="E6003" s="62" t="s">
        <v>109</v>
      </c>
      <c r="F6003" s="62" t="s">
        <v>115</v>
      </c>
      <c r="G6003" s="64" t="s">
        <v>64</v>
      </c>
      <c r="H6003" s="3" t="s">
        <v>141</v>
      </c>
      <c r="I6003" s="65">
        <f>IFERROR(VLOOKUP(A6003,'3. Call duration'!$A:$C,3,0),"--")</f>
        <v>44.16596492</v>
      </c>
      <c r="J6003" s="65" t="str">
        <f t="array" ref="J6003">XLOOKUP(H6003,'2. Matching'!$A$2:$A$39,'2. Matching'!$B$2:$B$39,"--")</f>
        <v>Acquisition</v>
      </c>
      <c r="K6003" s="65" t="str">
        <f t="shared" si="1"/>
        <v>In</v>
      </c>
    </row>
    <row r="6004">
      <c r="A6004" s="62" t="s">
        <v>6142</v>
      </c>
      <c r="B6004" s="63">
        <v>44342.0</v>
      </c>
      <c r="C6004" s="62" t="s">
        <v>119</v>
      </c>
      <c r="D6004" s="64">
        <v>47.5</v>
      </c>
      <c r="E6004" s="62" t="s">
        <v>109</v>
      </c>
      <c r="F6004" s="62" t="s">
        <v>115</v>
      </c>
      <c r="G6004" s="64" t="s">
        <v>64</v>
      </c>
      <c r="H6004" s="3" t="s">
        <v>175</v>
      </c>
      <c r="I6004" s="65">
        <f>IFERROR(VLOOKUP(A6004,'3. Call duration'!$A:$C,3,0),"--")</f>
        <v>44.37878049</v>
      </c>
      <c r="J6004" s="65" t="str">
        <f t="array" ref="J6004">XLOOKUP(H6004,'2. Matching'!$A$2:$A$39,'2. Matching'!$B$2:$B$39,"--")</f>
        <v>SEO</v>
      </c>
      <c r="K6004" s="65" t="str">
        <f t="shared" si="1"/>
        <v>In</v>
      </c>
    </row>
    <row r="6005">
      <c r="A6005" s="62" t="s">
        <v>6143</v>
      </c>
      <c r="B6005" s="63">
        <v>44356.0</v>
      </c>
      <c r="C6005" s="62" t="s">
        <v>119</v>
      </c>
      <c r="D6005" s="64">
        <v>47.5</v>
      </c>
      <c r="E6005" s="62" t="s">
        <v>109</v>
      </c>
      <c r="F6005" s="62" t="s">
        <v>110</v>
      </c>
      <c r="G6005" s="64" t="s">
        <v>64</v>
      </c>
      <c r="H6005" s="3" t="s">
        <v>52</v>
      </c>
      <c r="I6005" s="65">
        <f>IFERROR(VLOOKUP(A6005,'3. Call duration'!$A:$C,3,0),"--")</f>
        <v>20.70351662</v>
      </c>
      <c r="J6005" s="65" t="str">
        <f t="array" ref="J6005">XLOOKUP(H6005,'2. Matching'!$A$2:$A$39,'2. Matching'!$B$2:$B$39,"--")</f>
        <v>Partnerships</v>
      </c>
      <c r="K6005" s="65" t="str">
        <f t="shared" si="1"/>
        <v>In</v>
      </c>
    </row>
    <row r="6006">
      <c r="A6006" s="62" t="s">
        <v>6144</v>
      </c>
      <c r="B6006" s="63">
        <v>44333.0</v>
      </c>
      <c r="C6006" s="62" t="s">
        <v>108</v>
      </c>
      <c r="D6006" s="64">
        <v>0.0</v>
      </c>
      <c r="E6006" s="62" t="s">
        <v>109</v>
      </c>
      <c r="F6006" s="62" t="s">
        <v>110</v>
      </c>
      <c r="G6006" s="64" t="s">
        <v>60</v>
      </c>
      <c r="H6006" s="3" t="s">
        <v>67</v>
      </c>
      <c r="I6006" s="65">
        <f>IFERROR(VLOOKUP(A6006,'3. Call duration'!$A:$C,3,0),"--")</f>
        <v>44.96942156</v>
      </c>
      <c r="J6006" s="65" t="str">
        <f t="array" ref="J6006">XLOOKUP(H6006,'2. Matching'!$A$2:$A$39,'2. Matching'!$B$2:$B$39,"--")</f>
        <v>Acquisition</v>
      </c>
      <c r="K6006" s="65" t="str">
        <f t="shared" si="1"/>
        <v>In</v>
      </c>
    </row>
    <row r="6007">
      <c r="A6007" s="62" t="s">
        <v>6145</v>
      </c>
      <c r="B6007" s="63">
        <v>44351.0</v>
      </c>
      <c r="C6007" s="62" t="s">
        <v>119</v>
      </c>
      <c r="D6007" s="64">
        <v>47.5</v>
      </c>
      <c r="E6007" s="62" t="s">
        <v>109</v>
      </c>
      <c r="F6007" s="62" t="s">
        <v>115</v>
      </c>
      <c r="G6007" s="64" t="s">
        <v>59</v>
      </c>
      <c r="H6007" s="3" t="s">
        <v>68</v>
      </c>
      <c r="I6007" s="65">
        <f>IFERROR(VLOOKUP(A6007,'3. Call duration'!$A:$C,3,0),"--")</f>
        <v>24.25424729</v>
      </c>
      <c r="J6007" s="65" t="str">
        <f t="array" ref="J6007">XLOOKUP(H6007,'2. Matching'!$A$2:$A$39,'2. Matching'!$B$2:$B$39,"--")</f>
        <v>Acquisition</v>
      </c>
      <c r="K6007" s="65" t="str">
        <f t="shared" si="1"/>
        <v>In</v>
      </c>
    </row>
    <row r="6008">
      <c r="A6008" s="62" t="s">
        <v>6146</v>
      </c>
      <c r="B6008" s="63">
        <v>44331.0</v>
      </c>
      <c r="C6008" s="62" t="s">
        <v>119</v>
      </c>
      <c r="D6008" s="64">
        <v>47.5</v>
      </c>
      <c r="E6008" s="62" t="s">
        <v>109</v>
      </c>
      <c r="F6008" s="62" t="s">
        <v>110</v>
      </c>
      <c r="G6008" s="64" t="s">
        <v>64</v>
      </c>
      <c r="H6008" s="3" t="s">
        <v>297</v>
      </c>
      <c r="I6008" s="65">
        <f>IFERROR(VLOOKUP(A6008,'3. Call duration'!$A:$C,3,0),"--")</f>
        <v>45.88121168</v>
      </c>
      <c r="J6008" s="65" t="str">
        <f t="array" ref="J6008">XLOOKUP(H6008,'2. Matching'!$A$2:$A$39,'2. Matching'!$B$2:$B$39,"--")</f>
        <v>Farming</v>
      </c>
      <c r="K6008" s="65" t="str">
        <f t="shared" si="1"/>
        <v>In</v>
      </c>
    </row>
    <row r="6009">
      <c r="A6009" s="62" t="s">
        <v>6147</v>
      </c>
      <c r="B6009" s="63">
        <v>44321.0</v>
      </c>
      <c r="C6009" s="62" t="s">
        <v>108</v>
      </c>
      <c r="D6009" s="64">
        <v>0.0</v>
      </c>
      <c r="E6009" s="62" t="s">
        <v>114</v>
      </c>
      <c r="F6009" s="62" t="s">
        <v>115</v>
      </c>
      <c r="G6009" s="64" t="s">
        <v>64</v>
      </c>
      <c r="H6009" s="3" t="s">
        <v>175</v>
      </c>
      <c r="I6009" s="65">
        <f>IFERROR(VLOOKUP(A6009,'3. Call duration'!$A:$C,3,0),"--")</f>
        <v>45.90407254</v>
      </c>
      <c r="J6009" s="65" t="str">
        <f t="array" ref="J6009">XLOOKUP(H6009,'2. Matching'!$A$2:$A$39,'2. Matching'!$B$2:$B$39,"--")</f>
        <v>SEO</v>
      </c>
      <c r="K6009" s="65" t="str">
        <f t="shared" si="1"/>
        <v>In</v>
      </c>
    </row>
    <row r="6010">
      <c r="A6010" s="62" t="s">
        <v>6148</v>
      </c>
      <c r="B6010" s="63">
        <v>44376.0</v>
      </c>
      <c r="C6010" s="62" t="s">
        <v>119</v>
      </c>
      <c r="D6010" s="64">
        <v>47.5</v>
      </c>
      <c r="E6010" s="62" t="s">
        <v>109</v>
      </c>
      <c r="F6010" s="62" t="s">
        <v>110</v>
      </c>
      <c r="G6010" s="64" t="s">
        <v>59</v>
      </c>
      <c r="H6010" s="3" t="s">
        <v>68</v>
      </c>
      <c r="I6010" s="65">
        <f>IFERROR(VLOOKUP(A6010,'3. Call duration'!$A:$C,3,0),"--")</f>
        <v>31.40004059</v>
      </c>
      <c r="J6010" s="65" t="str">
        <f t="array" ref="J6010">XLOOKUP(H6010,'2. Matching'!$A$2:$A$39,'2. Matching'!$B$2:$B$39,"--")</f>
        <v>Acquisition</v>
      </c>
      <c r="K6010" s="65" t="str">
        <f t="shared" si="1"/>
        <v>In</v>
      </c>
    </row>
    <row r="6011">
      <c r="A6011" s="62" t="s">
        <v>6149</v>
      </c>
      <c r="B6011" s="63">
        <v>44326.0</v>
      </c>
      <c r="C6011" s="62" t="s">
        <v>119</v>
      </c>
      <c r="D6011" s="64">
        <v>47.5</v>
      </c>
      <c r="E6011" s="62" t="s">
        <v>109</v>
      </c>
      <c r="F6011" s="62" t="s">
        <v>110</v>
      </c>
      <c r="G6011" s="64" t="s">
        <v>64</v>
      </c>
      <c r="H6011" s="3" t="s">
        <v>145</v>
      </c>
      <c r="I6011" s="65">
        <f>IFERROR(VLOOKUP(A6011,'3. Call duration'!$A:$C,3,0),"--")</f>
        <v>46.04033963</v>
      </c>
      <c r="J6011" s="65" t="str">
        <f t="array" ref="J6011">XLOOKUP(H6011,'2. Matching'!$A$2:$A$39,'2. Matching'!$B$2:$B$39,"--")</f>
        <v>SEO</v>
      </c>
      <c r="K6011" s="65" t="str">
        <f t="shared" si="1"/>
        <v>In</v>
      </c>
    </row>
    <row r="6012">
      <c r="A6012" s="62" t="s">
        <v>6150</v>
      </c>
      <c r="B6012" s="63">
        <v>44348.0</v>
      </c>
      <c r="C6012" s="62" t="s">
        <v>119</v>
      </c>
      <c r="D6012" s="64">
        <v>47.5</v>
      </c>
      <c r="E6012" s="62" t="s">
        <v>109</v>
      </c>
      <c r="F6012" s="62" t="s">
        <v>115</v>
      </c>
      <c r="G6012" s="64" t="s">
        <v>64</v>
      </c>
      <c r="H6012" s="3" t="s">
        <v>139</v>
      </c>
      <c r="I6012" s="65">
        <f>IFERROR(VLOOKUP(A6012,'3. Call duration'!$A:$C,3,0),"--")</f>
        <v>26.54038345</v>
      </c>
      <c r="J6012" s="65" t="str">
        <f t="array" ref="J6012">XLOOKUP(H6012,'2. Matching'!$A$2:$A$39,'2. Matching'!$B$2:$B$39,"--")</f>
        <v>Acquisition</v>
      </c>
      <c r="K6012" s="65" t="str">
        <f t="shared" si="1"/>
        <v>In</v>
      </c>
    </row>
    <row r="6013">
      <c r="A6013" s="62" t="s">
        <v>6151</v>
      </c>
      <c r="B6013" s="63">
        <v>44375.0</v>
      </c>
      <c r="C6013" s="62" t="s">
        <v>119</v>
      </c>
      <c r="D6013" s="64">
        <v>47.5</v>
      </c>
      <c r="E6013" s="62" t="s">
        <v>109</v>
      </c>
      <c r="F6013" s="62" t="s">
        <v>110</v>
      </c>
      <c r="G6013" s="64" t="s">
        <v>59</v>
      </c>
      <c r="H6013" s="3" t="s">
        <v>68</v>
      </c>
      <c r="I6013" s="65">
        <f>IFERROR(VLOOKUP(A6013,'3. Call duration'!$A:$C,3,0),"--")</f>
        <v>38.70197622</v>
      </c>
      <c r="J6013" s="65" t="str">
        <f t="array" ref="J6013">XLOOKUP(H6013,'2. Matching'!$A$2:$A$39,'2. Matching'!$B$2:$B$39,"--")</f>
        <v>Acquisition</v>
      </c>
      <c r="K6013" s="65" t="str">
        <f t="shared" si="1"/>
        <v>In</v>
      </c>
    </row>
    <row r="6014">
      <c r="A6014" s="62" t="s">
        <v>6152</v>
      </c>
      <c r="B6014" s="63">
        <v>44334.0</v>
      </c>
      <c r="C6014" s="62" t="s">
        <v>119</v>
      </c>
      <c r="D6014" s="64">
        <v>47.5</v>
      </c>
      <c r="E6014" s="62" t="s">
        <v>109</v>
      </c>
      <c r="F6014" s="62" t="s">
        <v>115</v>
      </c>
      <c r="G6014" s="64" t="s">
        <v>64</v>
      </c>
      <c r="H6014" s="3" t="s">
        <v>141</v>
      </c>
      <c r="I6014" s="65">
        <f>IFERROR(VLOOKUP(A6014,'3. Call duration'!$A:$C,3,0),"--")</f>
        <v>46.31621093</v>
      </c>
      <c r="J6014" s="65" t="str">
        <f t="array" ref="J6014">XLOOKUP(H6014,'2. Matching'!$A$2:$A$39,'2. Matching'!$B$2:$B$39,"--")</f>
        <v>Acquisition</v>
      </c>
      <c r="K6014" s="65" t="str">
        <f t="shared" si="1"/>
        <v>In</v>
      </c>
    </row>
    <row r="6015">
      <c r="A6015" s="62" t="s">
        <v>6153</v>
      </c>
      <c r="B6015" s="63">
        <v>44347.0</v>
      </c>
      <c r="C6015" s="62" t="s">
        <v>119</v>
      </c>
      <c r="D6015" s="64">
        <v>47.5</v>
      </c>
      <c r="E6015" s="62" t="s">
        <v>109</v>
      </c>
      <c r="F6015" s="62" t="s">
        <v>115</v>
      </c>
      <c r="G6015" s="64" t="s">
        <v>64</v>
      </c>
      <c r="H6015" s="3" t="s">
        <v>116</v>
      </c>
      <c r="I6015" s="65">
        <f>IFERROR(VLOOKUP(A6015,'3. Call duration'!$A:$C,3,0),"--")</f>
        <v>46.92204776</v>
      </c>
      <c r="J6015" s="65" t="str">
        <f t="array" ref="J6015">XLOOKUP(H6015,'2. Matching'!$A$2:$A$39,'2. Matching'!$B$2:$B$39,"--")</f>
        <v>Acquisition</v>
      </c>
      <c r="K6015" s="65" t="str">
        <f t="shared" si="1"/>
        <v>In</v>
      </c>
    </row>
    <row r="6016">
      <c r="A6016" s="62" t="s">
        <v>6154</v>
      </c>
      <c r="B6016" s="63">
        <v>44331.0</v>
      </c>
      <c r="C6016" s="62" t="s">
        <v>119</v>
      </c>
      <c r="D6016" s="64">
        <v>47.5</v>
      </c>
      <c r="E6016" s="62" t="s">
        <v>109</v>
      </c>
      <c r="F6016" s="62" t="s">
        <v>115</v>
      </c>
      <c r="G6016" s="64" t="s">
        <v>64</v>
      </c>
      <c r="H6016" s="3" t="s">
        <v>139</v>
      </c>
      <c r="I6016" s="65">
        <f>IFERROR(VLOOKUP(A6016,'3. Call duration'!$A:$C,3,0),"--")</f>
        <v>46.99037067</v>
      </c>
      <c r="J6016" s="65" t="str">
        <f t="array" ref="J6016">XLOOKUP(H6016,'2. Matching'!$A$2:$A$39,'2. Matching'!$B$2:$B$39,"--")</f>
        <v>Acquisition</v>
      </c>
      <c r="K6016" s="65" t="str">
        <f t="shared" si="1"/>
        <v>In</v>
      </c>
    </row>
    <row r="6017">
      <c r="A6017" s="62" t="s">
        <v>6155</v>
      </c>
      <c r="B6017" s="63">
        <v>44375.0</v>
      </c>
      <c r="C6017" s="62" t="s">
        <v>119</v>
      </c>
      <c r="D6017" s="64">
        <v>47.5</v>
      </c>
      <c r="E6017" s="62" t="s">
        <v>109</v>
      </c>
      <c r="F6017" s="62" t="s">
        <v>115</v>
      </c>
      <c r="G6017" s="64" t="s">
        <v>64</v>
      </c>
      <c r="H6017" s="3" t="s">
        <v>55</v>
      </c>
      <c r="I6017" s="65">
        <f>IFERROR(VLOOKUP(A6017,'3. Call duration'!$A:$C,3,0),"--")</f>
        <v>15.93278486</v>
      </c>
      <c r="J6017" s="65" t="str">
        <f t="array" ref="J6017">XLOOKUP(H6017,'2. Matching'!$A$2:$A$39,'2. Matching'!$B$2:$B$39,"--")</f>
        <v>Partnerships</v>
      </c>
      <c r="K6017" s="65" t="str">
        <f t="shared" si="1"/>
        <v>In</v>
      </c>
    </row>
    <row r="6018">
      <c r="A6018" s="62" t="s">
        <v>6156</v>
      </c>
      <c r="B6018" s="63">
        <v>44377.0</v>
      </c>
      <c r="C6018" s="62" t="s">
        <v>119</v>
      </c>
      <c r="D6018" s="64">
        <v>47.5</v>
      </c>
      <c r="E6018" s="62" t="s">
        <v>109</v>
      </c>
      <c r="F6018" s="62" t="s">
        <v>115</v>
      </c>
      <c r="G6018" s="64" t="s">
        <v>60</v>
      </c>
      <c r="H6018" s="3" t="s">
        <v>68</v>
      </c>
      <c r="I6018" s="65">
        <f>IFERROR(VLOOKUP(A6018,'3. Call duration'!$A:$C,3,0),"--")</f>
        <v>26.96145875</v>
      </c>
      <c r="J6018" s="65" t="str">
        <f t="array" ref="J6018">XLOOKUP(H6018,'2. Matching'!$A$2:$A$39,'2. Matching'!$B$2:$B$39,"--")</f>
        <v>Acquisition</v>
      </c>
      <c r="K6018" s="65" t="str">
        <f t="shared" si="1"/>
        <v>In</v>
      </c>
    </row>
    <row r="6019">
      <c r="A6019" s="62" t="s">
        <v>6157</v>
      </c>
      <c r="B6019" s="63">
        <v>44375.0</v>
      </c>
      <c r="C6019" s="62" t="s">
        <v>119</v>
      </c>
      <c r="D6019" s="64">
        <v>47.5</v>
      </c>
      <c r="E6019" s="62" t="s">
        <v>109</v>
      </c>
      <c r="F6019" s="62" t="s">
        <v>115</v>
      </c>
      <c r="G6019" s="64" t="s">
        <v>59</v>
      </c>
      <c r="H6019" s="3" t="s">
        <v>68</v>
      </c>
      <c r="I6019" s="65">
        <f>IFERROR(VLOOKUP(A6019,'3. Call duration'!$A:$C,3,0),"--")</f>
        <v>32.8568475</v>
      </c>
      <c r="J6019" s="65" t="str">
        <f t="array" ref="J6019">XLOOKUP(H6019,'2. Matching'!$A$2:$A$39,'2. Matching'!$B$2:$B$39,"--")</f>
        <v>Acquisition</v>
      </c>
      <c r="K6019" s="65" t="str">
        <f t="shared" si="1"/>
        <v>In</v>
      </c>
    </row>
    <row r="6020">
      <c r="A6020" s="62" t="s">
        <v>6158</v>
      </c>
      <c r="B6020" s="63">
        <v>44357.0</v>
      </c>
      <c r="C6020" s="62" t="s">
        <v>119</v>
      </c>
      <c r="D6020" s="64">
        <v>47.5</v>
      </c>
      <c r="E6020" s="62" t="s">
        <v>109</v>
      </c>
      <c r="F6020" s="62" t="s">
        <v>115</v>
      </c>
      <c r="G6020" s="64" t="s">
        <v>64</v>
      </c>
      <c r="H6020" s="3" t="s">
        <v>141</v>
      </c>
      <c r="I6020" s="65">
        <f>IFERROR(VLOOKUP(A6020,'3. Call duration'!$A:$C,3,0),"--")</f>
        <v>23.17827904</v>
      </c>
      <c r="J6020" s="65" t="str">
        <f t="array" ref="J6020">XLOOKUP(H6020,'2. Matching'!$A$2:$A$39,'2. Matching'!$B$2:$B$39,"--")</f>
        <v>Acquisition</v>
      </c>
      <c r="K6020" s="65" t="str">
        <f t="shared" si="1"/>
        <v>In</v>
      </c>
    </row>
    <row r="6021">
      <c r="A6021" s="62" t="s">
        <v>6159</v>
      </c>
      <c r="B6021" s="63">
        <v>44375.0</v>
      </c>
      <c r="C6021" s="62" t="s">
        <v>119</v>
      </c>
      <c r="D6021" s="64">
        <v>47.5</v>
      </c>
      <c r="E6021" s="62" t="s">
        <v>109</v>
      </c>
      <c r="F6021" s="62" t="s">
        <v>115</v>
      </c>
      <c r="G6021" s="64" t="s">
        <v>64</v>
      </c>
      <c r="H6021" s="3" t="s">
        <v>145</v>
      </c>
      <c r="I6021" s="65">
        <f>IFERROR(VLOOKUP(A6021,'3. Call duration'!$A:$C,3,0),"--")</f>
        <v>28.51414251</v>
      </c>
      <c r="J6021" s="65" t="str">
        <f t="array" ref="J6021">XLOOKUP(H6021,'2. Matching'!$A$2:$A$39,'2. Matching'!$B$2:$B$39,"--")</f>
        <v>SEO</v>
      </c>
      <c r="K6021" s="65" t="str">
        <f t="shared" si="1"/>
        <v>In</v>
      </c>
    </row>
    <row r="6022">
      <c r="A6022" s="62" t="s">
        <v>6160</v>
      </c>
      <c r="B6022" s="63">
        <v>44373.0</v>
      </c>
      <c r="C6022" s="62" t="s">
        <v>119</v>
      </c>
      <c r="D6022" s="64">
        <v>47.5</v>
      </c>
      <c r="E6022" s="62" t="s">
        <v>109</v>
      </c>
      <c r="F6022" s="62" t="s">
        <v>115</v>
      </c>
      <c r="G6022" s="64" t="s">
        <v>64</v>
      </c>
      <c r="H6022" s="3" t="s">
        <v>139</v>
      </c>
      <c r="I6022" s="65">
        <f>IFERROR(VLOOKUP(A6022,'3. Call duration'!$A:$C,3,0),"--")</f>
        <v>28.4749532</v>
      </c>
      <c r="J6022" s="65" t="str">
        <f t="array" ref="J6022">XLOOKUP(H6022,'2. Matching'!$A$2:$A$39,'2. Matching'!$B$2:$B$39,"--")</f>
        <v>Acquisition</v>
      </c>
      <c r="K6022" s="65" t="str">
        <f t="shared" si="1"/>
        <v>In</v>
      </c>
    </row>
    <row r="6023">
      <c r="A6023" s="62" t="s">
        <v>6161</v>
      </c>
      <c r="B6023" s="63">
        <v>44337.0</v>
      </c>
      <c r="C6023" s="62" t="s">
        <v>119</v>
      </c>
      <c r="D6023" s="64">
        <v>47.5</v>
      </c>
      <c r="E6023" s="62" t="s">
        <v>109</v>
      </c>
      <c r="F6023" s="62" t="s">
        <v>115</v>
      </c>
      <c r="G6023" s="64" t="s">
        <v>64</v>
      </c>
      <c r="H6023" s="3" t="s">
        <v>164</v>
      </c>
      <c r="I6023" s="65">
        <f>IFERROR(VLOOKUP(A6023,'3. Call duration'!$A:$C,3,0),"--")</f>
        <v>47.13312215</v>
      </c>
      <c r="J6023" s="65" t="str">
        <f t="array" ref="J6023">XLOOKUP(H6023,'2. Matching'!$A$2:$A$39,'2. Matching'!$B$2:$B$39,"--")</f>
        <v>SEO</v>
      </c>
      <c r="K6023" s="65" t="str">
        <f t="shared" si="1"/>
        <v>In</v>
      </c>
    </row>
    <row r="6024">
      <c r="A6024" s="62" t="s">
        <v>6162</v>
      </c>
      <c r="B6024" s="63">
        <v>44326.0</v>
      </c>
      <c r="C6024" s="62" t="s">
        <v>119</v>
      </c>
      <c r="D6024" s="64">
        <v>95.0</v>
      </c>
      <c r="E6024" s="62" t="s">
        <v>114</v>
      </c>
      <c r="F6024" s="62" t="s">
        <v>115</v>
      </c>
      <c r="G6024" s="64" t="s">
        <v>64</v>
      </c>
      <c r="H6024" s="3" t="s">
        <v>169</v>
      </c>
      <c r="I6024" s="65">
        <f>IFERROR(VLOOKUP(A6024,'3. Call duration'!$A:$C,3,0),"--")</f>
        <v>47.49385729</v>
      </c>
      <c r="J6024" s="65" t="str">
        <f t="array" ref="J6024">XLOOKUP(H6024,'2. Matching'!$A$2:$A$39,'2. Matching'!$B$2:$B$39,"--")</f>
        <v>SEO</v>
      </c>
      <c r="K6024" s="65" t="str">
        <f t="shared" si="1"/>
        <v>In</v>
      </c>
    </row>
    <row r="6025">
      <c r="A6025" s="62" t="s">
        <v>6163</v>
      </c>
      <c r="B6025" s="63">
        <v>44359.0</v>
      </c>
      <c r="C6025" s="62" t="s">
        <v>119</v>
      </c>
      <c r="D6025" s="64">
        <v>47.5</v>
      </c>
      <c r="E6025" s="62" t="s">
        <v>109</v>
      </c>
      <c r="F6025" s="62" t="s">
        <v>110</v>
      </c>
      <c r="G6025" s="64" t="s">
        <v>64</v>
      </c>
      <c r="H6025" s="3" t="s">
        <v>49</v>
      </c>
      <c r="I6025" s="65" t="str">
        <f>IFERROR(VLOOKUP(A6025,'3. Call duration'!$A:$C,3,0),"--")</f>
        <v>--</v>
      </c>
      <c r="J6025" s="65" t="str">
        <f t="array" ref="J6025">XLOOKUP(H6025,'2. Matching'!$A$2:$A$39,'2. Matching'!$B$2:$B$39,"--")</f>
        <v>Partnerships</v>
      </c>
      <c r="K6025" s="65" t="str">
        <f t="shared" si="1"/>
        <v>In</v>
      </c>
    </row>
    <row r="6026">
      <c r="A6026" s="62" t="s">
        <v>6164</v>
      </c>
      <c r="B6026" s="63">
        <v>44354.0</v>
      </c>
      <c r="C6026" s="62" t="s">
        <v>119</v>
      </c>
      <c r="D6026" s="64">
        <v>47.5</v>
      </c>
      <c r="E6026" s="62" t="s">
        <v>109</v>
      </c>
      <c r="F6026" s="62" t="s">
        <v>115</v>
      </c>
      <c r="G6026" s="64" t="s">
        <v>60</v>
      </c>
      <c r="H6026" s="3" t="s">
        <v>68</v>
      </c>
      <c r="I6026" s="65">
        <f>IFERROR(VLOOKUP(A6026,'3. Call duration'!$A:$C,3,0),"--")</f>
        <v>28.07947569</v>
      </c>
      <c r="J6026" s="65" t="str">
        <f t="array" ref="J6026">XLOOKUP(H6026,'2. Matching'!$A$2:$A$39,'2. Matching'!$B$2:$B$39,"--")</f>
        <v>Acquisition</v>
      </c>
      <c r="K6026" s="65" t="str">
        <f t="shared" si="1"/>
        <v>In</v>
      </c>
    </row>
    <row r="6027">
      <c r="A6027" s="62" t="s">
        <v>6165</v>
      </c>
      <c r="B6027" s="63">
        <v>44324.0</v>
      </c>
      <c r="C6027" s="62" t="s">
        <v>119</v>
      </c>
      <c r="D6027" s="64">
        <v>47.5</v>
      </c>
      <c r="E6027" s="62" t="s">
        <v>109</v>
      </c>
      <c r="F6027" s="62" t="s">
        <v>115</v>
      </c>
      <c r="G6027" s="64" t="s">
        <v>64</v>
      </c>
      <c r="H6027" s="3" t="s">
        <v>141</v>
      </c>
      <c r="I6027" s="65">
        <f>IFERROR(VLOOKUP(A6027,'3. Call duration'!$A:$C,3,0),"--")</f>
        <v>47.68677598</v>
      </c>
      <c r="J6027" s="65" t="str">
        <f t="array" ref="J6027">XLOOKUP(H6027,'2. Matching'!$A$2:$A$39,'2. Matching'!$B$2:$B$39,"--")</f>
        <v>Acquisition</v>
      </c>
      <c r="K6027" s="65" t="str">
        <f t="shared" si="1"/>
        <v>In</v>
      </c>
    </row>
    <row r="6028">
      <c r="A6028" s="62" t="s">
        <v>6166</v>
      </c>
      <c r="B6028" s="63">
        <v>44341.0</v>
      </c>
      <c r="C6028" s="62" t="s">
        <v>119</v>
      </c>
      <c r="D6028" s="64">
        <v>47.5</v>
      </c>
      <c r="E6028" s="62" t="s">
        <v>109</v>
      </c>
      <c r="F6028" s="62" t="s">
        <v>110</v>
      </c>
      <c r="G6028" s="64" t="s">
        <v>64</v>
      </c>
      <c r="H6028" s="3" t="s">
        <v>141</v>
      </c>
      <c r="I6028" s="65">
        <f>IFERROR(VLOOKUP(A6028,'3. Call duration'!$A:$C,3,0),"--")</f>
        <v>47.91755861</v>
      </c>
      <c r="J6028" s="65" t="str">
        <f t="array" ref="J6028">XLOOKUP(H6028,'2. Matching'!$A$2:$A$39,'2. Matching'!$B$2:$B$39,"--")</f>
        <v>Acquisition</v>
      </c>
      <c r="K6028" s="65" t="str">
        <f t="shared" si="1"/>
        <v>In</v>
      </c>
    </row>
    <row r="6029">
      <c r="A6029" s="62" t="s">
        <v>6167</v>
      </c>
      <c r="B6029" s="63">
        <v>44373.0</v>
      </c>
      <c r="C6029" s="62" t="s">
        <v>119</v>
      </c>
      <c r="D6029" s="64">
        <v>47.5</v>
      </c>
      <c r="E6029" s="62" t="s">
        <v>109</v>
      </c>
      <c r="F6029" s="62" t="s">
        <v>110</v>
      </c>
      <c r="G6029" s="64" t="s">
        <v>61</v>
      </c>
      <c r="H6029" s="3" t="s">
        <v>67</v>
      </c>
      <c r="I6029" s="65">
        <f>IFERROR(VLOOKUP(A6029,'3. Call duration'!$A:$C,3,0),"--")</f>
        <v>33.31573125</v>
      </c>
      <c r="J6029" s="65" t="str">
        <f t="array" ref="J6029">XLOOKUP(H6029,'2. Matching'!$A$2:$A$39,'2. Matching'!$B$2:$B$39,"--")</f>
        <v>Acquisition</v>
      </c>
      <c r="K6029" s="65" t="str">
        <f t="shared" si="1"/>
        <v>In</v>
      </c>
    </row>
    <row r="6030">
      <c r="A6030" s="62" t="s">
        <v>6168</v>
      </c>
      <c r="B6030" s="63">
        <v>44372.0</v>
      </c>
      <c r="C6030" s="62" t="s">
        <v>119</v>
      </c>
      <c r="D6030" s="64">
        <v>47.5</v>
      </c>
      <c r="E6030" s="62" t="s">
        <v>109</v>
      </c>
      <c r="F6030" s="62" t="s">
        <v>115</v>
      </c>
      <c r="G6030" s="64" t="s">
        <v>60</v>
      </c>
      <c r="H6030" s="3" t="s">
        <v>68</v>
      </c>
      <c r="I6030" s="65">
        <f>IFERROR(VLOOKUP(A6030,'3. Call duration'!$A:$C,3,0),"--")</f>
        <v>13.24167198</v>
      </c>
      <c r="J6030" s="65" t="str">
        <f t="array" ref="J6030">XLOOKUP(H6030,'2. Matching'!$A$2:$A$39,'2. Matching'!$B$2:$B$39,"--")</f>
        <v>Acquisition</v>
      </c>
      <c r="K6030" s="65" t="str">
        <f t="shared" si="1"/>
        <v>In</v>
      </c>
    </row>
    <row r="6031">
      <c r="A6031" s="62" t="s">
        <v>6169</v>
      </c>
      <c r="B6031" s="63">
        <v>44342.0</v>
      </c>
      <c r="C6031" s="62" t="s">
        <v>119</v>
      </c>
      <c r="D6031" s="64">
        <v>95.0</v>
      </c>
      <c r="E6031" s="62" t="s">
        <v>114</v>
      </c>
      <c r="F6031" s="62" t="s">
        <v>115</v>
      </c>
      <c r="G6031" s="64" t="s">
        <v>64</v>
      </c>
      <c r="H6031" s="3" t="s">
        <v>145</v>
      </c>
      <c r="I6031" s="65">
        <f>IFERROR(VLOOKUP(A6031,'3. Call duration'!$A:$C,3,0),"--")</f>
        <v>48.96883396</v>
      </c>
      <c r="J6031" s="65" t="str">
        <f t="array" ref="J6031">XLOOKUP(H6031,'2. Matching'!$A$2:$A$39,'2. Matching'!$B$2:$B$39,"--")</f>
        <v>SEO</v>
      </c>
      <c r="K6031" s="65" t="str">
        <f t="shared" si="1"/>
        <v>In</v>
      </c>
    </row>
    <row r="6032">
      <c r="A6032" s="62" t="s">
        <v>6170</v>
      </c>
      <c r="B6032" s="63">
        <v>44375.0</v>
      </c>
      <c r="C6032" s="62" t="s">
        <v>119</v>
      </c>
      <c r="D6032" s="64">
        <v>47.5</v>
      </c>
      <c r="E6032" s="62" t="s">
        <v>109</v>
      </c>
      <c r="F6032" s="62" t="s">
        <v>115</v>
      </c>
      <c r="G6032" s="64" t="s">
        <v>64</v>
      </c>
      <c r="H6032" s="3" t="s">
        <v>221</v>
      </c>
      <c r="I6032" s="65">
        <f>IFERROR(VLOOKUP(A6032,'3. Call duration'!$A:$C,3,0),"--")</f>
        <v>33.61080943</v>
      </c>
      <c r="J6032" s="65" t="str">
        <f t="array" ref="J6032">XLOOKUP(H6032,'2. Matching'!$A$2:$A$39,'2. Matching'!$B$2:$B$39,"--")</f>
        <v>Farming</v>
      </c>
      <c r="K6032" s="65" t="str">
        <f t="shared" si="1"/>
        <v>In</v>
      </c>
    </row>
    <row r="6033">
      <c r="A6033" s="62" t="s">
        <v>6171</v>
      </c>
      <c r="B6033" s="63">
        <v>44354.0</v>
      </c>
      <c r="C6033" s="62" t="s">
        <v>119</v>
      </c>
      <c r="D6033" s="64">
        <v>47.5</v>
      </c>
      <c r="E6033" s="62" t="s">
        <v>109</v>
      </c>
      <c r="F6033" s="62" t="s">
        <v>110</v>
      </c>
      <c r="G6033" s="64" t="s">
        <v>60</v>
      </c>
      <c r="H6033" s="3" t="s">
        <v>67</v>
      </c>
      <c r="I6033" s="65">
        <f>IFERROR(VLOOKUP(A6033,'3. Call duration'!$A:$C,3,0),"--")</f>
        <v>27.10779722</v>
      </c>
      <c r="J6033" s="65" t="str">
        <f t="array" ref="J6033">XLOOKUP(H6033,'2. Matching'!$A$2:$A$39,'2. Matching'!$B$2:$B$39,"--")</f>
        <v>Acquisition</v>
      </c>
      <c r="K6033" s="65" t="str">
        <f t="shared" si="1"/>
        <v>In</v>
      </c>
    </row>
    <row r="6034">
      <c r="A6034" s="62" t="s">
        <v>6172</v>
      </c>
      <c r="B6034" s="63">
        <v>44371.0</v>
      </c>
      <c r="C6034" s="62" t="s">
        <v>119</v>
      </c>
      <c r="D6034" s="64">
        <v>47.5</v>
      </c>
      <c r="E6034" s="62" t="s">
        <v>109</v>
      </c>
      <c r="F6034" s="62" t="s">
        <v>115</v>
      </c>
      <c r="G6034" s="64" t="s">
        <v>63</v>
      </c>
      <c r="H6034" s="3" t="s">
        <v>128</v>
      </c>
      <c r="I6034" s="65">
        <f>IFERROR(VLOOKUP(A6034,'3. Call duration'!$A:$C,3,0),"--")</f>
        <v>31.44572742</v>
      </c>
      <c r="J6034" s="65" t="str">
        <f t="array" ref="J6034">XLOOKUP(H6034,'2. Matching'!$A$2:$A$39,'2. Matching'!$B$2:$B$39,"--")</f>
        <v>Acquisition</v>
      </c>
      <c r="K6034" s="65" t="str">
        <f t="shared" si="1"/>
        <v>In</v>
      </c>
    </row>
    <row r="6035">
      <c r="A6035" s="62" t="s">
        <v>6173</v>
      </c>
      <c r="B6035" s="63">
        <v>44321.0</v>
      </c>
      <c r="C6035" s="62" t="s">
        <v>119</v>
      </c>
      <c r="D6035" s="64">
        <v>47.5</v>
      </c>
      <c r="E6035" s="62" t="s">
        <v>109</v>
      </c>
      <c r="F6035" s="62" t="s">
        <v>115</v>
      </c>
      <c r="G6035" s="64" t="s">
        <v>64</v>
      </c>
      <c r="H6035" s="3" t="s">
        <v>155</v>
      </c>
      <c r="I6035" s="65">
        <f>IFERROR(VLOOKUP(A6035,'3. Call duration'!$A:$C,3,0),"--")</f>
        <v>49.04128757</v>
      </c>
      <c r="J6035" s="65" t="str">
        <f t="array" ref="J6035">XLOOKUP(H6035,'2. Matching'!$A$2:$A$39,'2. Matching'!$B$2:$B$39,"--")</f>
        <v>SEO</v>
      </c>
      <c r="K6035" s="65" t="str">
        <f t="shared" si="1"/>
        <v>In</v>
      </c>
    </row>
    <row r="6036">
      <c r="A6036" s="62" t="s">
        <v>6174</v>
      </c>
      <c r="B6036" s="63">
        <v>44342.0</v>
      </c>
      <c r="C6036" s="62" t="s">
        <v>119</v>
      </c>
      <c r="D6036" s="64">
        <v>47.5</v>
      </c>
      <c r="E6036" s="62" t="s">
        <v>109</v>
      </c>
      <c r="F6036" s="62" t="s">
        <v>115</v>
      </c>
      <c r="G6036" s="64" t="s">
        <v>63</v>
      </c>
      <c r="H6036" s="3" t="s">
        <v>183</v>
      </c>
      <c r="I6036" s="65">
        <f>IFERROR(VLOOKUP(A6036,'3. Call duration'!$A:$C,3,0),"--")</f>
        <v>49.78037167</v>
      </c>
      <c r="J6036" s="65" t="str">
        <f t="array" ref="J6036">XLOOKUP(H6036,'2. Matching'!$A$2:$A$39,'2. Matching'!$B$2:$B$39,"--")</f>
        <v>SEO</v>
      </c>
      <c r="K6036" s="65" t="str">
        <f t="shared" si="1"/>
        <v>In</v>
      </c>
    </row>
    <row r="6037">
      <c r="A6037" s="62" t="s">
        <v>6175</v>
      </c>
      <c r="B6037" s="63">
        <v>44326.0</v>
      </c>
      <c r="C6037" s="62" t="s">
        <v>119</v>
      </c>
      <c r="D6037" s="64">
        <v>47.5</v>
      </c>
      <c r="E6037" s="62" t="s">
        <v>109</v>
      </c>
      <c r="F6037" s="62" t="s">
        <v>115</v>
      </c>
      <c r="G6037" s="64" t="s">
        <v>64</v>
      </c>
      <c r="H6037" s="3" t="s">
        <v>155</v>
      </c>
      <c r="I6037" s="65">
        <f>IFERROR(VLOOKUP(A6037,'3. Call duration'!$A:$C,3,0),"--")</f>
        <v>50.0036105</v>
      </c>
      <c r="J6037" s="65" t="str">
        <f t="array" ref="J6037">XLOOKUP(H6037,'2. Matching'!$A$2:$A$39,'2. Matching'!$B$2:$B$39,"--")</f>
        <v>SEO</v>
      </c>
      <c r="K6037" s="65" t="str">
        <f t="shared" si="1"/>
        <v>In</v>
      </c>
    </row>
    <row r="6038">
      <c r="A6038" s="62" t="s">
        <v>6176</v>
      </c>
      <c r="B6038" s="63">
        <v>44343.0</v>
      </c>
      <c r="C6038" s="62" t="s">
        <v>112</v>
      </c>
      <c r="D6038" s="64">
        <v>0.0</v>
      </c>
      <c r="E6038" s="62" t="s">
        <v>109</v>
      </c>
      <c r="F6038" s="62" t="s">
        <v>110</v>
      </c>
      <c r="G6038" s="64" t="s">
        <v>60</v>
      </c>
      <c r="H6038" s="3" t="s">
        <v>67</v>
      </c>
      <c r="I6038" s="65" t="str">
        <f>IFERROR(VLOOKUP(A6038,'3. Call duration'!$A:$C,3,0),"--")</f>
        <v>--</v>
      </c>
      <c r="J6038" s="65" t="str">
        <f t="array" ref="J6038">XLOOKUP(H6038,'2. Matching'!$A$2:$A$39,'2. Matching'!$B$2:$B$39,"--")</f>
        <v>Acquisition</v>
      </c>
      <c r="K6038" s="65" t="str">
        <f t="shared" si="1"/>
        <v>In</v>
      </c>
    </row>
    <row r="6039">
      <c r="A6039" s="62" t="s">
        <v>6177</v>
      </c>
      <c r="B6039" s="63">
        <v>44377.0</v>
      </c>
      <c r="C6039" s="62" t="s">
        <v>119</v>
      </c>
      <c r="D6039" s="64">
        <v>47.5</v>
      </c>
      <c r="E6039" s="62" t="s">
        <v>109</v>
      </c>
      <c r="F6039" s="62" t="s">
        <v>115</v>
      </c>
      <c r="G6039" s="64" t="s">
        <v>64</v>
      </c>
      <c r="H6039" s="3" t="s">
        <v>135</v>
      </c>
      <c r="I6039" s="65">
        <f>IFERROR(VLOOKUP(A6039,'3. Call duration'!$A:$C,3,0),"--")</f>
        <v>31.51713708</v>
      </c>
      <c r="J6039" s="65" t="str">
        <f t="array" ref="J6039">XLOOKUP(H6039,'2. Matching'!$A$2:$A$39,'2. Matching'!$B$2:$B$39,"--")</f>
        <v>Acquisition</v>
      </c>
      <c r="K6039" s="65" t="str">
        <f t="shared" si="1"/>
        <v>In</v>
      </c>
    </row>
    <row r="6040">
      <c r="A6040" s="62" t="s">
        <v>6178</v>
      </c>
      <c r="B6040" s="63">
        <v>44319.0</v>
      </c>
      <c r="C6040" s="62" t="s">
        <v>112</v>
      </c>
      <c r="D6040" s="64">
        <v>0.0</v>
      </c>
      <c r="E6040" s="62" t="s">
        <v>109</v>
      </c>
      <c r="F6040" s="62" t="s">
        <v>115</v>
      </c>
      <c r="G6040" s="64" t="s">
        <v>63</v>
      </c>
      <c r="H6040" s="3" t="s">
        <v>183</v>
      </c>
      <c r="I6040" s="65" t="str">
        <f>IFERROR(VLOOKUP(A6040,'3. Call duration'!$A:$C,3,0),"--")</f>
        <v>--</v>
      </c>
      <c r="J6040" s="65" t="str">
        <f t="array" ref="J6040">XLOOKUP(H6040,'2. Matching'!$A$2:$A$39,'2. Matching'!$B$2:$B$39,"--")</f>
        <v>SEO</v>
      </c>
      <c r="K6040" s="65" t="str">
        <f t="shared" si="1"/>
        <v>In</v>
      </c>
    </row>
    <row r="6041">
      <c r="A6041" s="62" t="s">
        <v>6179</v>
      </c>
      <c r="B6041" s="63">
        <v>44335.0</v>
      </c>
      <c r="C6041" s="62" t="s">
        <v>112</v>
      </c>
      <c r="D6041" s="64">
        <v>0.0</v>
      </c>
      <c r="E6041" s="62" t="s">
        <v>109</v>
      </c>
      <c r="F6041" s="62" t="s">
        <v>110</v>
      </c>
      <c r="G6041" s="64" t="s">
        <v>60</v>
      </c>
      <c r="H6041" s="3" t="s">
        <v>67</v>
      </c>
      <c r="I6041" s="65" t="str">
        <f>IFERROR(VLOOKUP(A6041,'3. Call duration'!$A:$C,3,0),"--")</f>
        <v>--</v>
      </c>
      <c r="J6041" s="65" t="str">
        <f t="array" ref="J6041">XLOOKUP(H6041,'2. Matching'!$A$2:$A$39,'2. Matching'!$B$2:$B$39,"--")</f>
        <v>Acquisition</v>
      </c>
      <c r="K6041" s="65" t="str">
        <f t="shared" si="1"/>
        <v>In</v>
      </c>
    </row>
    <row r="6042">
      <c r="A6042" s="62" t="s">
        <v>6180</v>
      </c>
      <c r="B6042" s="63">
        <v>44354.0</v>
      </c>
      <c r="C6042" s="62" t="s">
        <v>119</v>
      </c>
      <c r="D6042" s="64">
        <v>47.5</v>
      </c>
      <c r="E6042" s="62" t="s">
        <v>109</v>
      </c>
      <c r="F6042" s="62" t="s">
        <v>110</v>
      </c>
      <c r="G6042" s="64" t="s">
        <v>60</v>
      </c>
      <c r="H6042" s="3" t="s">
        <v>67</v>
      </c>
      <c r="I6042" s="65" t="str">
        <f>IFERROR(VLOOKUP(A6042,'3. Call duration'!$A:$C,3,0),"--")</f>
        <v>--</v>
      </c>
      <c r="J6042" s="65" t="str">
        <f t="array" ref="J6042">XLOOKUP(H6042,'2. Matching'!$A$2:$A$39,'2. Matching'!$B$2:$B$39,"--")</f>
        <v>Acquisition</v>
      </c>
      <c r="K6042" s="65" t="str">
        <f t="shared" si="1"/>
        <v>In</v>
      </c>
    </row>
    <row r="6043">
      <c r="A6043" s="62" t="s">
        <v>6181</v>
      </c>
      <c r="B6043" s="63">
        <v>44351.0</v>
      </c>
      <c r="C6043" s="62" t="s">
        <v>119</v>
      </c>
      <c r="D6043" s="64">
        <v>47.5</v>
      </c>
      <c r="E6043" s="62" t="s">
        <v>109</v>
      </c>
      <c r="F6043" s="62" t="s">
        <v>110</v>
      </c>
      <c r="G6043" s="64" t="s">
        <v>64</v>
      </c>
      <c r="H6043" s="3" t="s">
        <v>175</v>
      </c>
      <c r="I6043" s="65">
        <f>IFERROR(VLOOKUP(A6043,'3. Call duration'!$A:$C,3,0),"--")</f>
        <v>25.2179766</v>
      </c>
      <c r="J6043" s="65" t="str">
        <f t="array" ref="J6043">XLOOKUP(H6043,'2. Matching'!$A$2:$A$39,'2. Matching'!$B$2:$B$39,"--")</f>
        <v>SEO</v>
      </c>
      <c r="K6043" s="65" t="str">
        <f t="shared" si="1"/>
        <v>In</v>
      </c>
    </row>
    <row r="6044">
      <c r="A6044" s="62" t="s">
        <v>6182</v>
      </c>
      <c r="B6044" s="63">
        <v>44371.0</v>
      </c>
      <c r="C6044" s="62" t="s">
        <v>119</v>
      </c>
      <c r="D6044" s="64">
        <v>47.5</v>
      </c>
      <c r="E6044" s="62" t="s">
        <v>109</v>
      </c>
      <c r="F6044" s="62" t="s">
        <v>115</v>
      </c>
      <c r="G6044" s="64" t="s">
        <v>64</v>
      </c>
      <c r="H6044" s="3" t="s">
        <v>116</v>
      </c>
      <c r="I6044" s="65">
        <f>IFERROR(VLOOKUP(A6044,'3. Call duration'!$A:$C,3,0),"--")</f>
        <v>24.34674456</v>
      </c>
      <c r="J6044" s="65" t="str">
        <f t="array" ref="J6044">XLOOKUP(H6044,'2. Matching'!$A$2:$A$39,'2. Matching'!$B$2:$B$39,"--")</f>
        <v>Acquisition</v>
      </c>
      <c r="K6044" s="65" t="str">
        <f t="shared" si="1"/>
        <v>In</v>
      </c>
    </row>
    <row r="6045">
      <c r="A6045" s="62" t="s">
        <v>6183</v>
      </c>
      <c r="B6045" s="63">
        <v>44351.0</v>
      </c>
      <c r="C6045" s="62" t="s">
        <v>119</v>
      </c>
      <c r="D6045" s="64">
        <v>47.5</v>
      </c>
      <c r="E6045" s="62" t="s">
        <v>109</v>
      </c>
      <c r="F6045" s="62" t="s">
        <v>115</v>
      </c>
      <c r="G6045" s="64" t="s">
        <v>59</v>
      </c>
      <c r="H6045" s="3" t="s">
        <v>68</v>
      </c>
      <c r="I6045" s="65">
        <f>IFERROR(VLOOKUP(A6045,'3. Call duration'!$A:$C,3,0),"--")</f>
        <v>27.15865184</v>
      </c>
      <c r="J6045" s="65" t="str">
        <f t="array" ref="J6045">XLOOKUP(H6045,'2. Matching'!$A$2:$A$39,'2. Matching'!$B$2:$B$39,"--")</f>
        <v>Acquisition</v>
      </c>
      <c r="K6045" s="65" t="str">
        <f t="shared" si="1"/>
        <v>In</v>
      </c>
    </row>
    <row r="6046">
      <c r="A6046" s="62" t="s">
        <v>6184</v>
      </c>
      <c r="B6046" s="63">
        <v>44337.0</v>
      </c>
      <c r="C6046" s="62" t="s">
        <v>112</v>
      </c>
      <c r="D6046" s="64">
        <v>0.0</v>
      </c>
      <c r="E6046" s="62" t="s">
        <v>109</v>
      </c>
      <c r="F6046" s="62" t="s">
        <v>110</v>
      </c>
      <c r="G6046" s="64" t="s">
        <v>63</v>
      </c>
      <c r="H6046" s="3" t="s">
        <v>128</v>
      </c>
      <c r="I6046" s="65" t="str">
        <f>IFERROR(VLOOKUP(A6046,'3. Call duration'!$A:$C,3,0),"--")</f>
        <v>--</v>
      </c>
      <c r="J6046" s="65" t="str">
        <f t="array" ref="J6046">XLOOKUP(H6046,'2. Matching'!$A$2:$A$39,'2. Matching'!$B$2:$B$39,"--")</f>
        <v>Acquisition</v>
      </c>
      <c r="K6046" s="65" t="str">
        <f t="shared" si="1"/>
        <v>In</v>
      </c>
    </row>
    <row r="6047">
      <c r="A6047" s="62" t="s">
        <v>6185</v>
      </c>
      <c r="B6047" s="63">
        <v>44362.0</v>
      </c>
      <c r="C6047" s="62" t="s">
        <v>119</v>
      </c>
      <c r="D6047" s="64">
        <v>47.5</v>
      </c>
      <c r="E6047" s="62" t="s">
        <v>109</v>
      </c>
      <c r="F6047" s="62" t="s">
        <v>110</v>
      </c>
      <c r="G6047" s="64" t="s">
        <v>60</v>
      </c>
      <c r="H6047" s="3" t="s">
        <v>68</v>
      </c>
      <c r="I6047" s="65">
        <f>IFERROR(VLOOKUP(A6047,'3. Call duration'!$A:$C,3,0),"--")</f>
        <v>23.5161075</v>
      </c>
      <c r="J6047" s="65" t="str">
        <f t="array" ref="J6047">XLOOKUP(H6047,'2. Matching'!$A$2:$A$39,'2. Matching'!$B$2:$B$39,"--")</f>
        <v>Acquisition</v>
      </c>
      <c r="K6047" s="65" t="str">
        <f t="shared" si="1"/>
        <v>In</v>
      </c>
    </row>
    <row r="6048">
      <c r="A6048" s="62" t="s">
        <v>6186</v>
      </c>
      <c r="B6048" s="63">
        <v>44355.0</v>
      </c>
      <c r="C6048" s="62" t="s">
        <v>119</v>
      </c>
      <c r="D6048" s="64">
        <v>47.5</v>
      </c>
      <c r="E6048" s="62" t="s">
        <v>109</v>
      </c>
      <c r="F6048" s="62" t="s">
        <v>110</v>
      </c>
      <c r="G6048" s="64" t="s">
        <v>63</v>
      </c>
      <c r="H6048" s="3" t="s">
        <v>183</v>
      </c>
      <c r="I6048" s="65">
        <f>IFERROR(VLOOKUP(A6048,'3. Call duration'!$A:$C,3,0),"--")</f>
        <v>20.38138438</v>
      </c>
      <c r="J6048" s="65" t="str">
        <f t="array" ref="J6048">XLOOKUP(H6048,'2. Matching'!$A$2:$A$39,'2. Matching'!$B$2:$B$39,"--")</f>
        <v>SEO</v>
      </c>
      <c r="K6048" s="65" t="str">
        <f t="shared" si="1"/>
        <v>In</v>
      </c>
    </row>
    <row r="6049">
      <c r="A6049" s="62" t="s">
        <v>6187</v>
      </c>
      <c r="B6049" s="63">
        <v>44358.0</v>
      </c>
      <c r="C6049" s="62" t="s">
        <v>119</v>
      </c>
      <c r="D6049" s="64">
        <v>47.5</v>
      </c>
      <c r="E6049" s="62" t="s">
        <v>109</v>
      </c>
      <c r="F6049" s="62" t="s">
        <v>110</v>
      </c>
      <c r="G6049" s="64" t="s">
        <v>59</v>
      </c>
      <c r="H6049" s="3" t="s">
        <v>68</v>
      </c>
      <c r="I6049" s="65">
        <f>IFERROR(VLOOKUP(A6049,'3. Call duration'!$A:$C,3,0),"--")</f>
        <v>15.1528462</v>
      </c>
      <c r="J6049" s="65" t="str">
        <f t="array" ref="J6049">XLOOKUP(H6049,'2. Matching'!$A$2:$A$39,'2. Matching'!$B$2:$B$39,"--")</f>
        <v>Acquisition</v>
      </c>
      <c r="K6049" s="65" t="str">
        <f t="shared" si="1"/>
        <v>In</v>
      </c>
    </row>
    <row r="6050">
      <c r="A6050" s="62" t="s">
        <v>6188</v>
      </c>
      <c r="B6050" s="63">
        <v>44343.0</v>
      </c>
      <c r="C6050" s="62" t="s">
        <v>112</v>
      </c>
      <c r="D6050" s="64">
        <v>0.0</v>
      </c>
      <c r="E6050" s="62" t="s">
        <v>109</v>
      </c>
      <c r="F6050" s="62" t="s">
        <v>110</v>
      </c>
      <c r="G6050" s="64" t="s">
        <v>64</v>
      </c>
      <c r="H6050" s="3" t="s">
        <v>54</v>
      </c>
      <c r="I6050" s="65" t="str">
        <f>IFERROR(VLOOKUP(A6050,'3. Call duration'!$A:$C,3,0),"--")</f>
        <v>--</v>
      </c>
      <c r="J6050" s="65" t="str">
        <f t="array" ref="J6050">XLOOKUP(H6050,'2. Matching'!$A$2:$A$39,'2. Matching'!$B$2:$B$39,"--")</f>
        <v>Partnerships</v>
      </c>
      <c r="K6050" s="65" t="str">
        <f t="shared" si="1"/>
        <v>In</v>
      </c>
    </row>
    <row r="6051">
      <c r="A6051" s="62" t="s">
        <v>6189</v>
      </c>
      <c r="B6051" s="63">
        <v>44376.0</v>
      </c>
      <c r="C6051" s="62" t="s">
        <v>119</v>
      </c>
      <c r="D6051" s="64">
        <v>47.5</v>
      </c>
      <c r="E6051" s="62" t="s">
        <v>109</v>
      </c>
      <c r="F6051" s="62" t="s">
        <v>110</v>
      </c>
      <c r="G6051" s="64" t="s">
        <v>60</v>
      </c>
      <c r="H6051" s="3" t="s">
        <v>67</v>
      </c>
      <c r="I6051" s="65">
        <f>IFERROR(VLOOKUP(A6051,'3. Call duration'!$A:$C,3,0),"--")</f>
        <v>27.00641038</v>
      </c>
      <c r="J6051" s="65" t="str">
        <f t="array" ref="J6051">XLOOKUP(H6051,'2. Matching'!$A$2:$A$39,'2. Matching'!$B$2:$B$39,"--")</f>
        <v>Acquisition</v>
      </c>
      <c r="K6051" s="65" t="str">
        <f t="shared" si="1"/>
        <v>In</v>
      </c>
    </row>
    <row r="6052">
      <c r="A6052" s="62" t="s">
        <v>6190</v>
      </c>
      <c r="B6052" s="63">
        <v>44347.0</v>
      </c>
      <c r="C6052" s="62" t="s">
        <v>112</v>
      </c>
      <c r="D6052" s="64">
        <v>0.0</v>
      </c>
      <c r="E6052" s="62" t="s">
        <v>109</v>
      </c>
      <c r="F6052" s="62" t="s">
        <v>110</v>
      </c>
      <c r="G6052" s="64" t="s">
        <v>64</v>
      </c>
      <c r="H6052" s="3" t="s">
        <v>54</v>
      </c>
      <c r="I6052" s="65" t="str">
        <f>IFERROR(VLOOKUP(A6052,'3. Call duration'!$A:$C,3,0),"--")</f>
        <v>--</v>
      </c>
      <c r="J6052" s="65" t="str">
        <f t="array" ref="J6052">XLOOKUP(H6052,'2. Matching'!$A$2:$A$39,'2. Matching'!$B$2:$B$39,"--")</f>
        <v>Partnerships</v>
      </c>
      <c r="K6052" s="65" t="str">
        <f t="shared" si="1"/>
        <v>In</v>
      </c>
    </row>
    <row r="6053">
      <c r="A6053" s="62" t="s">
        <v>6191</v>
      </c>
      <c r="B6053" s="63">
        <v>44343.0</v>
      </c>
      <c r="C6053" s="62" t="s">
        <v>112</v>
      </c>
      <c r="D6053" s="64">
        <v>0.0</v>
      </c>
      <c r="E6053" s="62" t="s">
        <v>109</v>
      </c>
      <c r="F6053" s="62" t="s">
        <v>110</v>
      </c>
      <c r="G6053" s="64" t="s">
        <v>64</v>
      </c>
      <c r="H6053" s="3" t="s">
        <v>171</v>
      </c>
      <c r="I6053" s="65" t="str">
        <f>IFERROR(VLOOKUP(A6053,'3. Call duration'!$A:$C,3,0),"--")</f>
        <v>--</v>
      </c>
      <c r="J6053" s="65" t="str">
        <f t="array" ref="J6053">XLOOKUP(H6053,'2. Matching'!$A$2:$A$39,'2. Matching'!$B$2:$B$39,"--")</f>
        <v>SEO</v>
      </c>
      <c r="K6053" s="65" t="str">
        <f t="shared" si="1"/>
        <v>In</v>
      </c>
    </row>
    <row r="6054">
      <c r="A6054" s="62" t="s">
        <v>6192</v>
      </c>
      <c r="B6054" s="63">
        <v>44326.0</v>
      </c>
      <c r="C6054" s="62" t="s">
        <v>112</v>
      </c>
      <c r="D6054" s="64">
        <v>0.0</v>
      </c>
      <c r="E6054" s="62" t="s">
        <v>109</v>
      </c>
      <c r="F6054" s="62" t="s">
        <v>115</v>
      </c>
      <c r="G6054" s="64" t="s">
        <v>59</v>
      </c>
      <c r="H6054" s="3" t="s">
        <v>68</v>
      </c>
      <c r="I6054" s="65" t="str">
        <f>IFERROR(VLOOKUP(A6054,'3. Call duration'!$A:$C,3,0),"--")</f>
        <v>--</v>
      </c>
      <c r="J6054" s="65" t="str">
        <f t="array" ref="J6054">XLOOKUP(H6054,'2. Matching'!$A$2:$A$39,'2. Matching'!$B$2:$B$39,"--")</f>
        <v>Acquisition</v>
      </c>
      <c r="K6054" s="65" t="str">
        <f t="shared" si="1"/>
        <v>In</v>
      </c>
    </row>
    <row r="6055">
      <c r="A6055" s="62" t="s">
        <v>6193</v>
      </c>
      <c r="B6055" s="63">
        <v>44356.0</v>
      </c>
      <c r="C6055" s="62" t="s">
        <v>119</v>
      </c>
      <c r="D6055" s="64">
        <v>47.5</v>
      </c>
      <c r="E6055" s="62" t="s">
        <v>109</v>
      </c>
      <c r="F6055" s="62" t="s">
        <v>110</v>
      </c>
      <c r="G6055" s="64" t="s">
        <v>60</v>
      </c>
      <c r="H6055" s="3" t="s">
        <v>67</v>
      </c>
      <c r="I6055" s="65" t="str">
        <f>IFERROR(VLOOKUP(A6055,'3. Call duration'!$A:$C,3,0),"--")</f>
        <v>--</v>
      </c>
      <c r="J6055" s="65" t="str">
        <f t="array" ref="J6055">XLOOKUP(H6055,'2. Matching'!$A$2:$A$39,'2. Matching'!$B$2:$B$39,"--")</f>
        <v>Acquisition</v>
      </c>
      <c r="K6055" s="65" t="str">
        <f t="shared" si="1"/>
        <v>In</v>
      </c>
    </row>
    <row r="6056">
      <c r="A6056" s="62" t="s">
        <v>6194</v>
      </c>
      <c r="B6056" s="63">
        <v>44376.0</v>
      </c>
      <c r="C6056" s="62" t="s">
        <v>119</v>
      </c>
      <c r="D6056" s="64">
        <v>47.5</v>
      </c>
      <c r="E6056" s="62" t="s">
        <v>109</v>
      </c>
      <c r="F6056" s="62" t="s">
        <v>110</v>
      </c>
      <c r="G6056" s="64" t="s">
        <v>61</v>
      </c>
      <c r="H6056" s="3" t="s">
        <v>67</v>
      </c>
      <c r="I6056" s="65">
        <f>IFERROR(VLOOKUP(A6056,'3. Call duration'!$A:$C,3,0),"--")</f>
        <v>47.96767632</v>
      </c>
      <c r="J6056" s="65" t="str">
        <f t="array" ref="J6056">XLOOKUP(H6056,'2. Matching'!$A$2:$A$39,'2. Matching'!$B$2:$B$39,"--")</f>
        <v>Acquisition</v>
      </c>
      <c r="K6056" s="65" t="str">
        <f t="shared" si="1"/>
        <v>In</v>
      </c>
    </row>
    <row r="6057">
      <c r="A6057" s="62" t="s">
        <v>6195</v>
      </c>
      <c r="B6057" s="63">
        <v>44326.0</v>
      </c>
      <c r="C6057" s="62" t="s">
        <v>112</v>
      </c>
      <c r="D6057" s="64">
        <v>0.0</v>
      </c>
      <c r="E6057" s="62" t="s">
        <v>109</v>
      </c>
      <c r="F6057" s="62" t="s">
        <v>115</v>
      </c>
      <c r="G6057" s="64" t="s">
        <v>59</v>
      </c>
      <c r="H6057" s="3" t="s">
        <v>68</v>
      </c>
      <c r="I6057" s="65" t="str">
        <f>IFERROR(VLOOKUP(A6057,'3. Call duration'!$A:$C,3,0),"--")</f>
        <v>--</v>
      </c>
      <c r="J6057" s="65" t="str">
        <f t="array" ref="J6057">XLOOKUP(H6057,'2. Matching'!$A$2:$A$39,'2. Matching'!$B$2:$B$39,"--")</f>
        <v>Acquisition</v>
      </c>
      <c r="K6057" s="65" t="str">
        <f t="shared" si="1"/>
        <v>In</v>
      </c>
    </row>
    <row r="6058">
      <c r="A6058" s="62" t="s">
        <v>6196</v>
      </c>
      <c r="B6058" s="63">
        <v>44377.0</v>
      </c>
      <c r="C6058" s="62" t="s">
        <v>119</v>
      </c>
      <c r="D6058" s="64">
        <v>47.5</v>
      </c>
      <c r="E6058" s="62" t="s">
        <v>109</v>
      </c>
      <c r="F6058" s="62" t="s">
        <v>115</v>
      </c>
      <c r="G6058" s="64" t="s">
        <v>60</v>
      </c>
      <c r="H6058" s="3" t="s">
        <v>68</v>
      </c>
      <c r="I6058" s="65">
        <f>IFERROR(VLOOKUP(A6058,'3. Call duration'!$A:$C,3,0),"--")</f>
        <v>10.71106267</v>
      </c>
      <c r="J6058" s="65" t="str">
        <f t="array" ref="J6058">XLOOKUP(H6058,'2. Matching'!$A$2:$A$39,'2. Matching'!$B$2:$B$39,"--")</f>
        <v>Acquisition</v>
      </c>
      <c r="K6058" s="65" t="str">
        <f t="shared" si="1"/>
        <v>In</v>
      </c>
    </row>
    <row r="6059">
      <c r="A6059" s="62" t="s">
        <v>6197</v>
      </c>
      <c r="B6059" s="63">
        <v>44358.0</v>
      </c>
      <c r="C6059" s="62" t="s">
        <v>119</v>
      </c>
      <c r="D6059" s="64">
        <v>47.5</v>
      </c>
      <c r="E6059" s="62" t="s">
        <v>109</v>
      </c>
      <c r="F6059" s="62" t="s">
        <v>110</v>
      </c>
      <c r="G6059" s="64" t="s">
        <v>60</v>
      </c>
      <c r="H6059" s="3" t="s">
        <v>67</v>
      </c>
      <c r="I6059" s="65">
        <f>IFERROR(VLOOKUP(A6059,'3. Call duration'!$A:$C,3,0),"--")</f>
        <v>21.85968016</v>
      </c>
      <c r="J6059" s="65" t="str">
        <f t="array" ref="J6059">XLOOKUP(H6059,'2. Matching'!$A$2:$A$39,'2. Matching'!$B$2:$B$39,"--")</f>
        <v>Acquisition</v>
      </c>
      <c r="K6059" s="65" t="str">
        <f t="shared" si="1"/>
        <v>In</v>
      </c>
    </row>
    <row r="6060">
      <c r="A6060" s="62" t="s">
        <v>6198</v>
      </c>
      <c r="B6060" s="63">
        <v>44334.0</v>
      </c>
      <c r="C6060" s="62" t="s">
        <v>112</v>
      </c>
      <c r="D6060" s="64">
        <v>0.0</v>
      </c>
      <c r="E6060" s="62" t="s">
        <v>114</v>
      </c>
      <c r="F6060" s="62" t="s">
        <v>110</v>
      </c>
      <c r="G6060" s="64" t="s">
        <v>61</v>
      </c>
      <c r="H6060" s="3" t="s">
        <v>69</v>
      </c>
      <c r="I6060" s="65" t="str">
        <f>IFERROR(VLOOKUP(A6060,'3. Call duration'!$A:$C,3,0),"--")</f>
        <v>--</v>
      </c>
      <c r="J6060" s="65" t="str">
        <f t="array" ref="J6060">XLOOKUP(H6060,'2. Matching'!$A$2:$A$39,'2. Matching'!$B$2:$B$39,"--")</f>
        <v>Acquisition</v>
      </c>
      <c r="K6060" s="65" t="str">
        <f t="shared" si="1"/>
        <v>In</v>
      </c>
    </row>
    <row r="6061">
      <c r="A6061" s="62" t="s">
        <v>6199</v>
      </c>
      <c r="B6061" s="63">
        <v>44355.0</v>
      </c>
      <c r="C6061" s="62" t="s">
        <v>119</v>
      </c>
      <c r="D6061" s="64">
        <v>47.5</v>
      </c>
      <c r="E6061" s="62" t="s">
        <v>109</v>
      </c>
      <c r="F6061" s="62" t="s">
        <v>115</v>
      </c>
      <c r="G6061" s="64" t="s">
        <v>64</v>
      </c>
      <c r="H6061" s="3" t="s">
        <v>155</v>
      </c>
      <c r="I6061" s="65">
        <f>IFERROR(VLOOKUP(A6061,'3. Call duration'!$A:$C,3,0),"--")</f>
        <v>15.365053</v>
      </c>
      <c r="J6061" s="65" t="str">
        <f t="array" ref="J6061">XLOOKUP(H6061,'2. Matching'!$A$2:$A$39,'2. Matching'!$B$2:$B$39,"--")</f>
        <v>SEO</v>
      </c>
      <c r="K6061" s="65" t="str">
        <f t="shared" si="1"/>
        <v>In</v>
      </c>
    </row>
    <row r="6062">
      <c r="A6062" s="62" t="s">
        <v>6200</v>
      </c>
      <c r="B6062" s="63">
        <v>44347.0</v>
      </c>
      <c r="C6062" s="62" t="s">
        <v>112</v>
      </c>
      <c r="D6062" s="64">
        <v>0.0</v>
      </c>
      <c r="E6062" s="62" t="s">
        <v>109</v>
      </c>
      <c r="F6062" s="62" t="s">
        <v>115</v>
      </c>
      <c r="G6062" s="64" t="s">
        <v>59</v>
      </c>
      <c r="H6062" s="3" t="s">
        <v>68</v>
      </c>
      <c r="I6062" s="65" t="str">
        <f>IFERROR(VLOOKUP(A6062,'3. Call duration'!$A:$C,3,0),"--")</f>
        <v>--</v>
      </c>
      <c r="J6062" s="65" t="str">
        <f t="array" ref="J6062">XLOOKUP(H6062,'2. Matching'!$A$2:$A$39,'2. Matching'!$B$2:$B$39,"--")</f>
        <v>Acquisition</v>
      </c>
      <c r="K6062" s="65" t="str">
        <f t="shared" si="1"/>
        <v>In</v>
      </c>
    </row>
    <row r="6063">
      <c r="A6063" s="62" t="s">
        <v>6201</v>
      </c>
      <c r="B6063" s="63">
        <v>44347.0</v>
      </c>
      <c r="C6063" s="62" t="s">
        <v>112</v>
      </c>
      <c r="D6063" s="64">
        <v>0.0</v>
      </c>
      <c r="E6063" s="62" t="s">
        <v>109</v>
      </c>
      <c r="F6063" s="62" t="s">
        <v>110</v>
      </c>
      <c r="G6063" s="64" t="s">
        <v>64</v>
      </c>
      <c r="H6063" s="3" t="s">
        <v>175</v>
      </c>
      <c r="I6063" s="65" t="str">
        <f>IFERROR(VLOOKUP(A6063,'3. Call duration'!$A:$C,3,0),"--")</f>
        <v>--</v>
      </c>
      <c r="J6063" s="65" t="str">
        <f t="array" ref="J6063">XLOOKUP(H6063,'2. Matching'!$A$2:$A$39,'2. Matching'!$B$2:$B$39,"--")</f>
        <v>SEO</v>
      </c>
      <c r="K6063" s="65" t="str">
        <f t="shared" si="1"/>
        <v>In</v>
      </c>
    </row>
    <row r="6064">
      <c r="A6064" s="62" t="s">
        <v>6202</v>
      </c>
      <c r="B6064" s="63">
        <v>44375.0</v>
      </c>
      <c r="C6064" s="62" t="s">
        <v>119</v>
      </c>
      <c r="D6064" s="64">
        <v>47.5</v>
      </c>
      <c r="E6064" s="62" t="s">
        <v>109</v>
      </c>
      <c r="F6064" s="62" t="s">
        <v>115</v>
      </c>
      <c r="G6064" s="64" t="s">
        <v>63</v>
      </c>
      <c r="H6064" s="3" t="s">
        <v>228</v>
      </c>
      <c r="I6064" s="65">
        <f>IFERROR(VLOOKUP(A6064,'3. Call duration'!$A:$C,3,0),"--")</f>
        <v>31.03060416</v>
      </c>
      <c r="J6064" s="65" t="str">
        <f t="array" ref="J6064">XLOOKUP(H6064,'2. Matching'!$A$2:$A$39,'2. Matching'!$B$2:$B$39,"--")</f>
        <v>Farming</v>
      </c>
      <c r="K6064" s="65" t="str">
        <f t="shared" si="1"/>
        <v>In</v>
      </c>
    </row>
    <row r="6065">
      <c r="A6065" s="62" t="s">
        <v>6203</v>
      </c>
      <c r="B6065" s="63">
        <v>44369.0</v>
      </c>
      <c r="C6065" s="62" t="s">
        <v>119</v>
      </c>
      <c r="D6065" s="64">
        <v>47.5</v>
      </c>
      <c r="E6065" s="62" t="s">
        <v>109</v>
      </c>
      <c r="F6065" s="62" t="s">
        <v>110</v>
      </c>
      <c r="G6065" s="64" t="s">
        <v>60</v>
      </c>
      <c r="H6065" s="3" t="s">
        <v>67</v>
      </c>
      <c r="I6065" s="65">
        <f>IFERROR(VLOOKUP(A6065,'3. Call duration'!$A:$C,3,0),"--")</f>
        <v>31.49351166</v>
      </c>
      <c r="J6065" s="65" t="str">
        <f t="array" ref="J6065">XLOOKUP(H6065,'2. Matching'!$A$2:$A$39,'2. Matching'!$B$2:$B$39,"--")</f>
        <v>Acquisition</v>
      </c>
      <c r="K6065" s="65" t="str">
        <f t="shared" si="1"/>
        <v>In</v>
      </c>
    </row>
    <row r="6066">
      <c r="A6066" s="62" t="s">
        <v>6204</v>
      </c>
      <c r="B6066" s="63">
        <v>44344.0</v>
      </c>
      <c r="C6066" s="62" t="s">
        <v>112</v>
      </c>
      <c r="D6066" s="64">
        <v>0.0</v>
      </c>
      <c r="E6066" s="62" t="s">
        <v>109</v>
      </c>
      <c r="F6066" s="62" t="s">
        <v>110</v>
      </c>
      <c r="G6066" s="64" t="s">
        <v>64</v>
      </c>
      <c r="H6066" s="3" t="s">
        <v>175</v>
      </c>
      <c r="I6066" s="65" t="str">
        <f>IFERROR(VLOOKUP(A6066,'3. Call duration'!$A:$C,3,0),"--")</f>
        <v>--</v>
      </c>
      <c r="J6066" s="65" t="str">
        <f t="array" ref="J6066">XLOOKUP(H6066,'2. Matching'!$A$2:$A$39,'2. Matching'!$B$2:$B$39,"--")</f>
        <v>SEO</v>
      </c>
      <c r="K6066" s="65" t="str">
        <f t="shared" si="1"/>
        <v>In</v>
      </c>
    </row>
    <row r="6067">
      <c r="A6067" s="62" t="s">
        <v>6205</v>
      </c>
      <c r="B6067" s="63">
        <v>44371.0</v>
      </c>
      <c r="C6067" s="62" t="s">
        <v>119</v>
      </c>
      <c r="D6067" s="64">
        <v>47.5</v>
      </c>
      <c r="E6067" s="62" t="s">
        <v>109</v>
      </c>
      <c r="F6067" s="62" t="s">
        <v>110</v>
      </c>
      <c r="G6067" s="64" t="s">
        <v>63</v>
      </c>
      <c r="H6067" s="3" t="s">
        <v>183</v>
      </c>
      <c r="I6067" s="65">
        <f>IFERROR(VLOOKUP(A6067,'3. Call duration'!$A:$C,3,0),"--")</f>
        <v>25.48038956</v>
      </c>
      <c r="J6067" s="65" t="str">
        <f t="array" ref="J6067">XLOOKUP(H6067,'2. Matching'!$A$2:$A$39,'2. Matching'!$B$2:$B$39,"--")</f>
        <v>SEO</v>
      </c>
      <c r="K6067" s="65" t="str">
        <f t="shared" si="1"/>
        <v>In</v>
      </c>
    </row>
    <row r="6068">
      <c r="A6068" s="62" t="s">
        <v>6206</v>
      </c>
      <c r="B6068" s="63">
        <v>44376.0</v>
      </c>
      <c r="C6068" s="62" t="s">
        <v>119</v>
      </c>
      <c r="D6068" s="64">
        <v>47.5</v>
      </c>
      <c r="E6068" s="62" t="s">
        <v>109</v>
      </c>
      <c r="F6068" s="62" t="s">
        <v>115</v>
      </c>
      <c r="G6068" s="64" t="s">
        <v>64</v>
      </c>
      <c r="H6068" s="3" t="s">
        <v>175</v>
      </c>
      <c r="I6068" s="65">
        <f>IFERROR(VLOOKUP(A6068,'3. Call duration'!$A:$C,3,0),"--")</f>
        <v>32.16323638</v>
      </c>
      <c r="J6068" s="65" t="str">
        <f t="array" ref="J6068">XLOOKUP(H6068,'2. Matching'!$A$2:$A$39,'2. Matching'!$B$2:$B$39,"--")</f>
        <v>SEO</v>
      </c>
      <c r="K6068" s="65" t="str">
        <f t="shared" si="1"/>
        <v>In</v>
      </c>
    </row>
    <row r="6069">
      <c r="A6069" s="62" t="s">
        <v>6207</v>
      </c>
      <c r="B6069" s="63">
        <v>44327.0</v>
      </c>
      <c r="C6069" s="62" t="s">
        <v>112</v>
      </c>
      <c r="D6069" s="64">
        <v>0.0</v>
      </c>
      <c r="E6069" s="62" t="s">
        <v>109</v>
      </c>
      <c r="F6069" s="62" t="s">
        <v>115</v>
      </c>
      <c r="G6069" s="64" t="s">
        <v>60</v>
      </c>
      <c r="H6069" s="3" t="s">
        <v>68</v>
      </c>
      <c r="I6069" s="65" t="str">
        <f>IFERROR(VLOOKUP(A6069,'3. Call duration'!$A:$C,3,0),"--")</f>
        <v>--</v>
      </c>
      <c r="J6069" s="65" t="str">
        <f t="array" ref="J6069">XLOOKUP(H6069,'2. Matching'!$A$2:$A$39,'2. Matching'!$B$2:$B$39,"--")</f>
        <v>Acquisition</v>
      </c>
      <c r="K6069" s="65" t="str">
        <f t="shared" si="1"/>
        <v>In</v>
      </c>
    </row>
    <row r="6070">
      <c r="A6070" s="62" t="s">
        <v>6208</v>
      </c>
      <c r="B6070" s="63">
        <v>44372.0</v>
      </c>
      <c r="C6070" s="62" t="s">
        <v>119</v>
      </c>
      <c r="D6070" s="64">
        <v>47.5</v>
      </c>
      <c r="E6070" s="62" t="s">
        <v>109</v>
      </c>
      <c r="F6070" s="62" t="s">
        <v>115</v>
      </c>
      <c r="G6070" s="64" t="s">
        <v>63</v>
      </c>
      <c r="H6070" s="3" t="s">
        <v>124</v>
      </c>
      <c r="I6070" s="65">
        <f>IFERROR(VLOOKUP(A6070,'3. Call duration'!$A:$C,3,0),"--")</f>
        <v>25.17071939</v>
      </c>
      <c r="J6070" s="65" t="str">
        <f t="array" ref="J6070">XLOOKUP(H6070,'2. Matching'!$A$2:$A$39,'2. Matching'!$B$2:$B$39,"--")</f>
        <v>Acquisition</v>
      </c>
      <c r="K6070" s="65" t="str">
        <f t="shared" si="1"/>
        <v>In</v>
      </c>
    </row>
    <row r="6071">
      <c r="A6071" s="62" t="s">
        <v>6209</v>
      </c>
      <c r="B6071" s="63">
        <v>44356.0</v>
      </c>
      <c r="C6071" s="62" t="s">
        <v>119</v>
      </c>
      <c r="D6071" s="64">
        <v>47.5</v>
      </c>
      <c r="E6071" s="62" t="s">
        <v>109</v>
      </c>
      <c r="F6071" s="62" t="s">
        <v>110</v>
      </c>
      <c r="G6071" s="64" t="s">
        <v>64</v>
      </c>
      <c r="H6071" s="3" t="s">
        <v>131</v>
      </c>
      <c r="I6071" s="65">
        <f>IFERROR(VLOOKUP(A6071,'3. Call duration'!$A:$C,3,0),"--")</f>
        <v>22.40489379</v>
      </c>
      <c r="J6071" s="65" t="str">
        <f t="array" ref="J6071">XLOOKUP(H6071,'2. Matching'!$A$2:$A$39,'2. Matching'!$B$2:$B$39,"--")</f>
        <v>Acquisition</v>
      </c>
      <c r="K6071" s="65" t="str">
        <f t="shared" si="1"/>
        <v>In</v>
      </c>
    </row>
    <row r="6072">
      <c r="A6072" s="62" t="s">
        <v>6210</v>
      </c>
      <c r="B6072" s="63">
        <v>44370.0</v>
      </c>
      <c r="C6072" s="62" t="s">
        <v>119</v>
      </c>
      <c r="D6072" s="64">
        <v>47.5</v>
      </c>
      <c r="E6072" s="62" t="s">
        <v>109</v>
      </c>
      <c r="F6072" s="62" t="s">
        <v>115</v>
      </c>
      <c r="G6072" s="64" t="s">
        <v>59</v>
      </c>
      <c r="H6072" s="3" t="s">
        <v>68</v>
      </c>
      <c r="I6072" s="65">
        <f>IFERROR(VLOOKUP(A6072,'3. Call duration'!$A:$C,3,0),"--")</f>
        <v>20.2796084</v>
      </c>
      <c r="J6072" s="65" t="str">
        <f t="array" ref="J6072">XLOOKUP(H6072,'2. Matching'!$A$2:$A$39,'2. Matching'!$B$2:$B$39,"--")</f>
        <v>Acquisition</v>
      </c>
      <c r="K6072" s="65" t="str">
        <f t="shared" si="1"/>
        <v>In</v>
      </c>
    </row>
    <row r="6073">
      <c r="A6073" s="62" t="s">
        <v>6211</v>
      </c>
      <c r="B6073" s="63">
        <v>44335.0</v>
      </c>
      <c r="C6073" s="62" t="s">
        <v>112</v>
      </c>
      <c r="D6073" s="64">
        <v>0.0</v>
      </c>
      <c r="E6073" s="62" t="s">
        <v>114</v>
      </c>
      <c r="F6073" s="62" t="s">
        <v>110</v>
      </c>
      <c r="G6073" s="64" t="s">
        <v>63</v>
      </c>
      <c r="H6073" s="3" t="s">
        <v>189</v>
      </c>
      <c r="I6073" s="65" t="str">
        <f>IFERROR(VLOOKUP(A6073,'3. Call duration'!$A:$C,3,0),"--")</f>
        <v>--</v>
      </c>
      <c r="J6073" s="65" t="str">
        <f t="array" ref="J6073">XLOOKUP(H6073,'2. Matching'!$A$2:$A$39,'2. Matching'!$B$2:$B$39,"--")</f>
        <v>SEO</v>
      </c>
      <c r="K6073" s="65" t="str">
        <f t="shared" si="1"/>
        <v>Out</v>
      </c>
    </row>
    <row r="6074">
      <c r="A6074" s="62" t="s">
        <v>6212</v>
      </c>
      <c r="B6074" s="63">
        <v>44328.0</v>
      </c>
      <c r="C6074" s="62" t="s">
        <v>112</v>
      </c>
      <c r="D6074" s="64">
        <v>0.0</v>
      </c>
      <c r="E6074" s="62" t="s">
        <v>114</v>
      </c>
      <c r="F6074" s="62" t="s">
        <v>110</v>
      </c>
      <c r="G6074" s="64" t="s">
        <v>64</v>
      </c>
      <c r="H6074" s="3" t="s">
        <v>175</v>
      </c>
      <c r="I6074" s="65" t="str">
        <f>IFERROR(VLOOKUP(A6074,'3. Call duration'!$A:$C,3,0),"--")</f>
        <v>--</v>
      </c>
      <c r="J6074" s="65" t="str">
        <f t="array" ref="J6074">XLOOKUP(H6074,'2. Matching'!$A$2:$A$39,'2. Matching'!$B$2:$B$39,"--")</f>
        <v>SEO</v>
      </c>
      <c r="K6074" s="65" t="str">
        <f t="shared" si="1"/>
        <v>In</v>
      </c>
    </row>
    <row r="6075">
      <c r="A6075" s="62" t="s">
        <v>6213</v>
      </c>
      <c r="B6075" s="63">
        <v>44366.0</v>
      </c>
      <c r="C6075" s="62" t="s">
        <v>119</v>
      </c>
      <c r="D6075" s="64">
        <v>47.5</v>
      </c>
      <c r="E6075" s="62" t="s">
        <v>109</v>
      </c>
      <c r="F6075" s="62" t="s">
        <v>115</v>
      </c>
      <c r="G6075" s="64" t="s">
        <v>64</v>
      </c>
      <c r="H6075" s="3" t="s">
        <v>141</v>
      </c>
      <c r="I6075" s="65">
        <f>IFERROR(VLOOKUP(A6075,'3. Call duration'!$A:$C,3,0),"--")</f>
        <v>26.51580576</v>
      </c>
      <c r="J6075" s="65" t="str">
        <f t="array" ref="J6075">XLOOKUP(H6075,'2. Matching'!$A$2:$A$39,'2. Matching'!$B$2:$B$39,"--")</f>
        <v>Acquisition</v>
      </c>
      <c r="K6075" s="65" t="str">
        <f t="shared" si="1"/>
        <v>In</v>
      </c>
    </row>
    <row r="6076">
      <c r="A6076" s="62" t="s">
        <v>6214</v>
      </c>
      <c r="B6076" s="63">
        <v>44372.0</v>
      </c>
      <c r="C6076" s="62" t="s">
        <v>119</v>
      </c>
      <c r="D6076" s="64">
        <v>47.5</v>
      </c>
      <c r="E6076" s="62" t="s">
        <v>109</v>
      </c>
      <c r="F6076" s="62" t="s">
        <v>115</v>
      </c>
      <c r="G6076" s="64" t="s">
        <v>64</v>
      </c>
      <c r="H6076" s="3" t="s">
        <v>116</v>
      </c>
      <c r="I6076" s="65">
        <f>IFERROR(VLOOKUP(A6076,'3. Call duration'!$A:$C,3,0),"--")</f>
        <v>32.32727419</v>
      </c>
      <c r="J6076" s="65" t="str">
        <f t="array" ref="J6076">XLOOKUP(H6076,'2. Matching'!$A$2:$A$39,'2. Matching'!$B$2:$B$39,"--")</f>
        <v>Acquisition</v>
      </c>
      <c r="K6076" s="65" t="str">
        <f t="shared" si="1"/>
        <v>In</v>
      </c>
    </row>
    <row r="6077">
      <c r="A6077" s="62" t="s">
        <v>6215</v>
      </c>
      <c r="B6077" s="63">
        <v>44358.0</v>
      </c>
      <c r="C6077" s="62" t="s">
        <v>119</v>
      </c>
      <c r="D6077" s="64">
        <v>47.5</v>
      </c>
      <c r="E6077" s="62" t="s">
        <v>109</v>
      </c>
      <c r="F6077" s="62" t="s">
        <v>115</v>
      </c>
      <c r="G6077" s="64" t="s">
        <v>59</v>
      </c>
      <c r="H6077" s="3" t="s">
        <v>68</v>
      </c>
      <c r="I6077" s="65">
        <f>IFERROR(VLOOKUP(A6077,'3. Call duration'!$A:$C,3,0),"--")</f>
        <v>30.47895352</v>
      </c>
      <c r="J6077" s="65" t="str">
        <f t="array" ref="J6077">XLOOKUP(H6077,'2. Matching'!$A$2:$A$39,'2. Matching'!$B$2:$B$39,"--")</f>
        <v>Acquisition</v>
      </c>
      <c r="K6077" s="65" t="str">
        <f t="shared" si="1"/>
        <v>In</v>
      </c>
    </row>
    <row r="6078">
      <c r="A6078" s="62" t="s">
        <v>6216</v>
      </c>
      <c r="B6078" s="63">
        <v>44331.0</v>
      </c>
      <c r="C6078" s="62" t="s">
        <v>112</v>
      </c>
      <c r="D6078" s="64">
        <v>0.0</v>
      </c>
      <c r="E6078" s="62" t="s">
        <v>109</v>
      </c>
      <c r="F6078" s="62" t="s">
        <v>115</v>
      </c>
      <c r="G6078" s="64" t="s">
        <v>64</v>
      </c>
      <c r="H6078" s="3" t="s">
        <v>141</v>
      </c>
      <c r="I6078" s="65" t="str">
        <f>IFERROR(VLOOKUP(A6078,'3. Call duration'!$A:$C,3,0),"--")</f>
        <v>--</v>
      </c>
      <c r="J6078" s="65" t="str">
        <f t="array" ref="J6078">XLOOKUP(H6078,'2. Matching'!$A$2:$A$39,'2. Matching'!$B$2:$B$39,"--")</f>
        <v>Acquisition</v>
      </c>
      <c r="K6078" s="65" t="str">
        <f t="shared" si="1"/>
        <v>In</v>
      </c>
    </row>
    <row r="6079">
      <c r="A6079" s="62" t="s">
        <v>6217</v>
      </c>
      <c r="B6079" s="63">
        <v>44376.0</v>
      </c>
      <c r="C6079" s="62" t="s">
        <v>119</v>
      </c>
      <c r="D6079" s="64">
        <v>47.5</v>
      </c>
      <c r="E6079" s="62" t="s">
        <v>109</v>
      </c>
      <c r="F6079" s="62" t="s">
        <v>115</v>
      </c>
      <c r="G6079" s="64" t="s">
        <v>64</v>
      </c>
      <c r="H6079" s="3" t="s">
        <v>116</v>
      </c>
      <c r="I6079" s="65">
        <f>IFERROR(VLOOKUP(A6079,'3. Call duration'!$A:$C,3,0),"--")</f>
        <v>33.23267766</v>
      </c>
      <c r="J6079" s="65" t="str">
        <f t="array" ref="J6079">XLOOKUP(H6079,'2. Matching'!$A$2:$A$39,'2. Matching'!$B$2:$B$39,"--")</f>
        <v>Acquisition</v>
      </c>
      <c r="K6079" s="65" t="str">
        <f t="shared" si="1"/>
        <v>In</v>
      </c>
    </row>
    <row r="6080">
      <c r="A6080" s="62" t="s">
        <v>6218</v>
      </c>
      <c r="B6080" s="63">
        <v>44375.0</v>
      </c>
      <c r="C6080" s="62" t="s">
        <v>119</v>
      </c>
      <c r="D6080" s="64">
        <v>47.5</v>
      </c>
      <c r="E6080" s="62" t="s">
        <v>109</v>
      </c>
      <c r="F6080" s="62" t="s">
        <v>110</v>
      </c>
      <c r="G6080" s="64" t="s">
        <v>59</v>
      </c>
      <c r="H6080" s="3" t="s">
        <v>68</v>
      </c>
      <c r="I6080" s="65">
        <f>IFERROR(VLOOKUP(A6080,'3. Call duration'!$A:$C,3,0),"--")</f>
        <v>49.68723348</v>
      </c>
      <c r="J6080" s="65" t="str">
        <f t="array" ref="J6080">XLOOKUP(H6080,'2. Matching'!$A$2:$A$39,'2. Matching'!$B$2:$B$39,"--")</f>
        <v>Acquisition</v>
      </c>
      <c r="K6080" s="65" t="str">
        <f t="shared" si="1"/>
        <v>In</v>
      </c>
    </row>
    <row r="6081">
      <c r="A6081" s="62" t="s">
        <v>6219</v>
      </c>
      <c r="B6081" s="63">
        <v>44356.0</v>
      </c>
      <c r="C6081" s="62" t="s">
        <v>119</v>
      </c>
      <c r="D6081" s="64">
        <v>47.5</v>
      </c>
      <c r="E6081" s="62" t="s">
        <v>109</v>
      </c>
      <c r="F6081" s="62" t="s">
        <v>115</v>
      </c>
      <c r="G6081" s="64" t="s">
        <v>64</v>
      </c>
      <c r="H6081" s="3" t="s">
        <v>141</v>
      </c>
      <c r="I6081" s="65">
        <f>IFERROR(VLOOKUP(A6081,'3. Call duration'!$A:$C,3,0),"--")</f>
        <v>27.40037803</v>
      </c>
      <c r="J6081" s="65" t="str">
        <f t="array" ref="J6081">XLOOKUP(H6081,'2. Matching'!$A$2:$A$39,'2. Matching'!$B$2:$B$39,"--")</f>
        <v>Acquisition</v>
      </c>
      <c r="K6081" s="65" t="str">
        <f t="shared" si="1"/>
        <v>In</v>
      </c>
    </row>
    <row r="6082">
      <c r="A6082" s="62" t="s">
        <v>6220</v>
      </c>
      <c r="B6082" s="63">
        <v>44323.0</v>
      </c>
      <c r="C6082" s="62" t="s">
        <v>112</v>
      </c>
      <c r="D6082" s="64">
        <v>0.0</v>
      </c>
      <c r="E6082" s="62" t="s">
        <v>109</v>
      </c>
      <c r="F6082" s="62" t="s">
        <v>110</v>
      </c>
      <c r="G6082" s="64" t="s">
        <v>64</v>
      </c>
      <c r="H6082" s="3" t="s">
        <v>145</v>
      </c>
      <c r="I6082" s="65" t="str">
        <f>IFERROR(VLOOKUP(A6082,'3. Call duration'!$A:$C,3,0),"--")</f>
        <v>--</v>
      </c>
      <c r="J6082" s="65" t="str">
        <f t="array" ref="J6082">XLOOKUP(H6082,'2. Matching'!$A$2:$A$39,'2. Matching'!$B$2:$B$39,"--")</f>
        <v>SEO</v>
      </c>
      <c r="K6082" s="65" t="str">
        <f t="shared" si="1"/>
        <v>In</v>
      </c>
    </row>
    <row r="6083">
      <c r="A6083" s="62" t="s">
        <v>6221</v>
      </c>
      <c r="B6083" s="63">
        <v>44375.0</v>
      </c>
      <c r="C6083" s="62" t="s">
        <v>119</v>
      </c>
      <c r="D6083" s="64">
        <v>47.5</v>
      </c>
      <c r="E6083" s="62" t="s">
        <v>109</v>
      </c>
      <c r="F6083" s="62" t="s">
        <v>115</v>
      </c>
      <c r="G6083" s="64" t="s">
        <v>59</v>
      </c>
      <c r="H6083" s="3" t="s">
        <v>68</v>
      </c>
      <c r="I6083" s="65">
        <f>IFERROR(VLOOKUP(A6083,'3. Call duration'!$A:$C,3,0),"--")</f>
        <v>23.14948159</v>
      </c>
      <c r="J6083" s="65" t="str">
        <f t="array" ref="J6083">XLOOKUP(H6083,'2. Matching'!$A$2:$A$39,'2. Matching'!$B$2:$B$39,"--")</f>
        <v>Acquisition</v>
      </c>
      <c r="K6083" s="65" t="str">
        <f t="shared" si="1"/>
        <v>In</v>
      </c>
    </row>
    <row r="6084">
      <c r="A6084" s="62" t="s">
        <v>6222</v>
      </c>
      <c r="B6084" s="63">
        <v>44338.0</v>
      </c>
      <c r="C6084" s="62" t="s">
        <v>112</v>
      </c>
      <c r="D6084" s="64">
        <v>0.0</v>
      </c>
      <c r="E6084" s="62" t="s">
        <v>114</v>
      </c>
      <c r="F6084" s="62" t="s">
        <v>110</v>
      </c>
      <c r="G6084" s="64" t="s">
        <v>64</v>
      </c>
      <c r="H6084" s="3" t="s">
        <v>55</v>
      </c>
      <c r="I6084" s="65" t="str">
        <f>IFERROR(VLOOKUP(A6084,'3. Call duration'!$A:$C,3,0),"--")</f>
        <v>--</v>
      </c>
      <c r="J6084" s="65" t="str">
        <f t="array" ref="J6084">XLOOKUP(H6084,'2. Matching'!$A$2:$A$39,'2. Matching'!$B$2:$B$39,"--")</f>
        <v>Partnerships</v>
      </c>
      <c r="K6084" s="65" t="str">
        <f t="shared" si="1"/>
        <v>In</v>
      </c>
    </row>
    <row r="6085">
      <c r="A6085" s="62" t="s">
        <v>6223</v>
      </c>
      <c r="B6085" s="63">
        <v>44368.0</v>
      </c>
      <c r="C6085" s="62" t="s">
        <v>119</v>
      </c>
      <c r="D6085" s="64">
        <v>47.5</v>
      </c>
      <c r="E6085" s="62" t="s">
        <v>109</v>
      </c>
      <c r="F6085" s="62" t="s">
        <v>115</v>
      </c>
      <c r="G6085" s="64" t="s">
        <v>63</v>
      </c>
      <c r="H6085" s="3" t="s">
        <v>189</v>
      </c>
      <c r="I6085" s="65">
        <f>IFERROR(VLOOKUP(A6085,'3. Call duration'!$A:$C,3,0),"--")</f>
        <v>30.86995523</v>
      </c>
      <c r="J6085" s="65" t="str">
        <f t="array" ref="J6085">XLOOKUP(H6085,'2. Matching'!$A$2:$A$39,'2. Matching'!$B$2:$B$39,"--")</f>
        <v>SEO</v>
      </c>
      <c r="K6085" s="65" t="str">
        <f t="shared" si="1"/>
        <v>Out</v>
      </c>
    </row>
    <row r="6086">
      <c r="A6086" s="62" t="s">
        <v>6224</v>
      </c>
      <c r="B6086" s="63">
        <v>44335.0</v>
      </c>
      <c r="C6086" s="62" t="s">
        <v>112</v>
      </c>
      <c r="D6086" s="64">
        <v>0.0</v>
      </c>
      <c r="E6086" s="62" t="s">
        <v>109</v>
      </c>
      <c r="F6086" s="62" t="s">
        <v>110</v>
      </c>
      <c r="G6086" s="64" t="s">
        <v>63</v>
      </c>
      <c r="H6086" s="3" t="s">
        <v>189</v>
      </c>
      <c r="I6086" s="65" t="str">
        <f>IFERROR(VLOOKUP(A6086,'3. Call duration'!$A:$C,3,0),"--")</f>
        <v>--</v>
      </c>
      <c r="J6086" s="65" t="str">
        <f t="array" ref="J6086">XLOOKUP(H6086,'2. Matching'!$A$2:$A$39,'2. Matching'!$B$2:$B$39,"--")</f>
        <v>SEO</v>
      </c>
      <c r="K6086" s="65" t="str">
        <f t="shared" si="1"/>
        <v>Out</v>
      </c>
    </row>
    <row r="6087">
      <c r="A6087" s="62" t="s">
        <v>6225</v>
      </c>
      <c r="B6087" s="63">
        <v>44347.0</v>
      </c>
      <c r="C6087" s="62" t="s">
        <v>112</v>
      </c>
      <c r="D6087" s="64">
        <v>0.0</v>
      </c>
      <c r="E6087" s="62" t="s">
        <v>109</v>
      </c>
      <c r="F6087" s="62" t="s">
        <v>110</v>
      </c>
      <c r="G6087" s="64" t="s">
        <v>60</v>
      </c>
      <c r="H6087" s="3" t="s">
        <v>68</v>
      </c>
      <c r="I6087" s="65" t="str">
        <f>IFERROR(VLOOKUP(A6087,'3. Call duration'!$A:$C,3,0),"--")</f>
        <v>--</v>
      </c>
      <c r="J6087" s="65" t="str">
        <f t="array" ref="J6087">XLOOKUP(H6087,'2. Matching'!$A$2:$A$39,'2. Matching'!$B$2:$B$39,"--")</f>
        <v>Acquisition</v>
      </c>
      <c r="K6087" s="65" t="str">
        <f t="shared" si="1"/>
        <v>In</v>
      </c>
    </row>
    <row r="6088">
      <c r="A6088" s="62" t="s">
        <v>6226</v>
      </c>
      <c r="B6088" s="63">
        <v>44344.0</v>
      </c>
      <c r="C6088" s="62" t="s">
        <v>112</v>
      </c>
      <c r="D6088" s="64">
        <v>0.0</v>
      </c>
      <c r="E6088" s="62" t="s">
        <v>114</v>
      </c>
      <c r="F6088" s="62" t="s">
        <v>110</v>
      </c>
      <c r="G6088" s="64" t="s">
        <v>64</v>
      </c>
      <c r="H6088" s="3" t="s">
        <v>54</v>
      </c>
      <c r="I6088" s="65" t="str">
        <f>IFERROR(VLOOKUP(A6088,'3. Call duration'!$A:$C,3,0),"--")</f>
        <v>--</v>
      </c>
      <c r="J6088" s="65" t="str">
        <f t="array" ref="J6088">XLOOKUP(H6088,'2. Matching'!$A$2:$A$39,'2. Matching'!$B$2:$B$39,"--")</f>
        <v>Partnerships</v>
      </c>
      <c r="K6088" s="65" t="str">
        <f t="shared" si="1"/>
        <v>In</v>
      </c>
    </row>
    <row r="6089">
      <c r="A6089" s="62" t="s">
        <v>6227</v>
      </c>
      <c r="B6089" s="63">
        <v>44322.0</v>
      </c>
      <c r="C6089" s="62" t="s">
        <v>112</v>
      </c>
      <c r="D6089" s="64">
        <v>0.0</v>
      </c>
      <c r="E6089" s="62" t="s">
        <v>109</v>
      </c>
      <c r="F6089" s="62" t="s">
        <v>115</v>
      </c>
      <c r="G6089" s="64" t="s">
        <v>64</v>
      </c>
      <c r="H6089" s="3" t="s">
        <v>297</v>
      </c>
      <c r="I6089" s="65" t="str">
        <f>IFERROR(VLOOKUP(A6089,'3. Call duration'!$A:$C,3,0),"--")</f>
        <v>--</v>
      </c>
      <c r="J6089" s="65" t="str">
        <f t="array" ref="J6089">XLOOKUP(H6089,'2. Matching'!$A$2:$A$39,'2. Matching'!$B$2:$B$39,"--")</f>
        <v>Farming</v>
      </c>
      <c r="K6089" s="65" t="str">
        <f t="shared" si="1"/>
        <v>In</v>
      </c>
    </row>
    <row r="6090">
      <c r="A6090" s="62" t="s">
        <v>6228</v>
      </c>
      <c r="B6090" s="63">
        <v>44327.0</v>
      </c>
      <c r="C6090" s="62" t="s">
        <v>112</v>
      </c>
      <c r="D6090" s="64">
        <v>0.0</v>
      </c>
      <c r="E6090" s="62" t="s">
        <v>109</v>
      </c>
      <c r="F6090" s="62" t="s">
        <v>115</v>
      </c>
      <c r="G6090" s="64" t="s">
        <v>64</v>
      </c>
      <c r="H6090" s="3" t="s">
        <v>164</v>
      </c>
      <c r="I6090" s="65" t="str">
        <f>IFERROR(VLOOKUP(A6090,'3. Call duration'!$A:$C,3,0),"--")</f>
        <v>--</v>
      </c>
      <c r="J6090" s="65" t="str">
        <f t="array" ref="J6090">XLOOKUP(H6090,'2. Matching'!$A$2:$A$39,'2. Matching'!$B$2:$B$39,"--")</f>
        <v>SEO</v>
      </c>
      <c r="K6090" s="65" t="str">
        <f t="shared" si="1"/>
        <v>In</v>
      </c>
    </row>
    <row r="6091">
      <c r="A6091" s="62" t="s">
        <v>6229</v>
      </c>
      <c r="B6091" s="63">
        <v>44347.0</v>
      </c>
      <c r="C6091" s="62" t="s">
        <v>112</v>
      </c>
      <c r="D6091" s="64">
        <v>0.0</v>
      </c>
      <c r="E6091" s="62" t="s">
        <v>109</v>
      </c>
      <c r="F6091" s="62" t="s">
        <v>115</v>
      </c>
      <c r="G6091" s="64" t="s">
        <v>63</v>
      </c>
      <c r="H6091" s="3" t="s">
        <v>183</v>
      </c>
      <c r="I6091" s="65" t="str">
        <f>IFERROR(VLOOKUP(A6091,'3. Call duration'!$A:$C,3,0),"--")</f>
        <v>--</v>
      </c>
      <c r="J6091" s="65" t="str">
        <f t="array" ref="J6091">XLOOKUP(H6091,'2. Matching'!$A$2:$A$39,'2. Matching'!$B$2:$B$39,"--")</f>
        <v>SEO</v>
      </c>
      <c r="K6091" s="65" t="str">
        <f t="shared" si="1"/>
        <v>In</v>
      </c>
    </row>
    <row r="6092">
      <c r="A6092" s="62" t="s">
        <v>6230</v>
      </c>
      <c r="B6092" s="63">
        <v>44376.0</v>
      </c>
      <c r="C6092" s="62" t="s">
        <v>119</v>
      </c>
      <c r="D6092" s="64">
        <v>47.5</v>
      </c>
      <c r="E6092" s="62" t="s">
        <v>109</v>
      </c>
      <c r="F6092" s="62" t="s">
        <v>110</v>
      </c>
      <c r="G6092" s="64" t="s">
        <v>60</v>
      </c>
      <c r="H6092" s="3" t="s">
        <v>68</v>
      </c>
      <c r="I6092" s="65">
        <f>IFERROR(VLOOKUP(A6092,'3. Call duration'!$A:$C,3,0),"--")</f>
        <v>27.70136318</v>
      </c>
      <c r="J6092" s="65" t="str">
        <f t="array" ref="J6092">XLOOKUP(H6092,'2. Matching'!$A$2:$A$39,'2. Matching'!$B$2:$B$39,"--")</f>
        <v>Acquisition</v>
      </c>
      <c r="K6092" s="65" t="str">
        <f t="shared" si="1"/>
        <v>In</v>
      </c>
    </row>
    <row r="6093">
      <c r="A6093" s="62" t="s">
        <v>6231</v>
      </c>
      <c r="B6093" s="63">
        <v>44376.0</v>
      </c>
      <c r="C6093" s="62" t="s">
        <v>119</v>
      </c>
      <c r="D6093" s="64">
        <v>47.5</v>
      </c>
      <c r="E6093" s="62" t="s">
        <v>109</v>
      </c>
      <c r="F6093" s="62" t="s">
        <v>115</v>
      </c>
      <c r="G6093" s="64" t="s">
        <v>60</v>
      </c>
      <c r="H6093" s="3" t="s">
        <v>68</v>
      </c>
      <c r="I6093" s="65">
        <f>IFERROR(VLOOKUP(A6093,'3. Call duration'!$A:$C,3,0),"--")</f>
        <v>24.5994664</v>
      </c>
      <c r="J6093" s="65" t="str">
        <f t="array" ref="J6093">XLOOKUP(H6093,'2. Matching'!$A$2:$A$39,'2. Matching'!$B$2:$B$39,"--")</f>
        <v>Acquisition</v>
      </c>
      <c r="K6093" s="65" t="str">
        <f t="shared" si="1"/>
        <v>In</v>
      </c>
    </row>
    <row r="6094">
      <c r="A6094" s="62" t="s">
        <v>6232</v>
      </c>
      <c r="B6094" s="63">
        <v>44361.0</v>
      </c>
      <c r="C6094" s="62" t="s">
        <v>119</v>
      </c>
      <c r="D6094" s="64">
        <v>47.5</v>
      </c>
      <c r="E6094" s="62" t="s">
        <v>109</v>
      </c>
      <c r="F6094" s="62" t="s">
        <v>115</v>
      </c>
      <c r="G6094" s="64" t="s">
        <v>63</v>
      </c>
      <c r="H6094" s="3" t="s">
        <v>124</v>
      </c>
      <c r="I6094" s="65">
        <f>IFERROR(VLOOKUP(A6094,'3. Call duration'!$A:$C,3,0),"--")</f>
        <v>21.33125178</v>
      </c>
      <c r="J6094" s="65" t="str">
        <f t="array" ref="J6094">XLOOKUP(H6094,'2. Matching'!$A$2:$A$39,'2. Matching'!$B$2:$B$39,"--")</f>
        <v>Acquisition</v>
      </c>
      <c r="K6094" s="65" t="str">
        <f t="shared" si="1"/>
        <v>In</v>
      </c>
    </row>
    <row r="6095">
      <c r="A6095" s="62" t="s">
        <v>6233</v>
      </c>
      <c r="B6095" s="63">
        <v>44337.0</v>
      </c>
      <c r="C6095" s="62" t="s">
        <v>112</v>
      </c>
      <c r="D6095" s="64">
        <v>0.0</v>
      </c>
      <c r="E6095" s="62" t="s">
        <v>109</v>
      </c>
      <c r="F6095" s="62" t="s">
        <v>115</v>
      </c>
      <c r="G6095" s="64" t="s">
        <v>59</v>
      </c>
      <c r="H6095" s="3" t="s">
        <v>68</v>
      </c>
      <c r="I6095" s="65" t="str">
        <f>IFERROR(VLOOKUP(A6095,'3. Call duration'!$A:$C,3,0),"--")</f>
        <v>--</v>
      </c>
      <c r="J6095" s="65" t="str">
        <f t="array" ref="J6095">XLOOKUP(H6095,'2. Matching'!$A$2:$A$39,'2. Matching'!$B$2:$B$39,"--")</f>
        <v>Acquisition</v>
      </c>
      <c r="K6095" s="65" t="str">
        <f t="shared" si="1"/>
        <v>In</v>
      </c>
    </row>
    <row r="6096">
      <c r="A6096" s="62" t="s">
        <v>6234</v>
      </c>
      <c r="B6096" s="63">
        <v>44370.0</v>
      </c>
      <c r="C6096" s="62" t="s">
        <v>119</v>
      </c>
      <c r="D6096" s="64">
        <v>47.5</v>
      </c>
      <c r="E6096" s="62" t="s">
        <v>109</v>
      </c>
      <c r="F6096" s="62" t="s">
        <v>115</v>
      </c>
      <c r="G6096" s="64" t="s">
        <v>63</v>
      </c>
      <c r="H6096" s="3" t="s">
        <v>128</v>
      </c>
      <c r="I6096" s="65">
        <f>IFERROR(VLOOKUP(A6096,'3. Call duration'!$A:$C,3,0),"--")</f>
        <v>13.56427999</v>
      </c>
      <c r="J6096" s="65" t="str">
        <f t="array" ref="J6096">XLOOKUP(H6096,'2. Matching'!$A$2:$A$39,'2. Matching'!$B$2:$B$39,"--")</f>
        <v>Acquisition</v>
      </c>
      <c r="K6096" s="65" t="str">
        <f t="shared" si="1"/>
        <v>In</v>
      </c>
    </row>
    <row r="6097">
      <c r="A6097" s="62" t="s">
        <v>6235</v>
      </c>
      <c r="B6097" s="63">
        <v>44348.0</v>
      </c>
      <c r="C6097" s="62" t="s">
        <v>119</v>
      </c>
      <c r="D6097" s="64">
        <v>47.5</v>
      </c>
      <c r="E6097" s="62" t="s">
        <v>109</v>
      </c>
      <c r="F6097" s="62" t="s">
        <v>110</v>
      </c>
      <c r="G6097" s="64" t="s">
        <v>64</v>
      </c>
      <c r="H6097" s="3" t="s">
        <v>185</v>
      </c>
      <c r="I6097" s="65">
        <f>IFERROR(VLOOKUP(A6097,'3. Call duration'!$A:$C,3,0),"--")</f>
        <v>49.06695431</v>
      </c>
      <c r="J6097" s="65" t="str">
        <f t="array" ref="J6097">XLOOKUP(H6097,'2. Matching'!$A$2:$A$39,'2. Matching'!$B$2:$B$39,"--")</f>
        <v>SEO</v>
      </c>
      <c r="K6097" s="65" t="str">
        <f t="shared" si="1"/>
        <v>In</v>
      </c>
    </row>
    <row r="6098">
      <c r="A6098" s="62" t="s">
        <v>6236</v>
      </c>
      <c r="B6098" s="63">
        <v>44329.0</v>
      </c>
      <c r="C6098" s="62" t="s">
        <v>112</v>
      </c>
      <c r="D6098" s="64">
        <v>0.0</v>
      </c>
      <c r="E6098" s="62" t="s">
        <v>109</v>
      </c>
      <c r="F6098" s="62" t="s">
        <v>110</v>
      </c>
      <c r="G6098" s="64" t="s">
        <v>60</v>
      </c>
      <c r="H6098" s="3" t="s">
        <v>68</v>
      </c>
      <c r="I6098" s="65" t="str">
        <f>IFERROR(VLOOKUP(A6098,'3. Call duration'!$A:$C,3,0),"--")</f>
        <v>--</v>
      </c>
      <c r="J6098" s="65" t="str">
        <f t="array" ref="J6098">XLOOKUP(H6098,'2. Matching'!$A$2:$A$39,'2. Matching'!$B$2:$B$39,"--")</f>
        <v>Acquisition</v>
      </c>
      <c r="K6098" s="65" t="str">
        <f t="shared" si="1"/>
        <v>In</v>
      </c>
    </row>
    <row r="6099">
      <c r="A6099" s="62" t="s">
        <v>6237</v>
      </c>
      <c r="B6099" s="63">
        <v>44342.0</v>
      </c>
      <c r="C6099" s="62" t="s">
        <v>112</v>
      </c>
      <c r="D6099" s="64">
        <v>0.0</v>
      </c>
      <c r="E6099" s="62" t="s">
        <v>109</v>
      </c>
      <c r="F6099" s="62" t="s">
        <v>115</v>
      </c>
      <c r="G6099" s="64" t="s">
        <v>64</v>
      </c>
      <c r="H6099" s="3" t="s">
        <v>175</v>
      </c>
      <c r="I6099" s="65" t="str">
        <f>IFERROR(VLOOKUP(A6099,'3. Call duration'!$A:$C,3,0),"--")</f>
        <v>--</v>
      </c>
      <c r="J6099" s="65" t="str">
        <f t="array" ref="J6099">XLOOKUP(H6099,'2. Matching'!$A$2:$A$39,'2. Matching'!$B$2:$B$39,"--")</f>
        <v>SEO</v>
      </c>
      <c r="K6099" s="65" t="str">
        <f t="shared" si="1"/>
        <v>In</v>
      </c>
    </row>
    <row r="6100">
      <c r="A6100" s="62" t="s">
        <v>6238</v>
      </c>
      <c r="B6100" s="63">
        <v>44376.0</v>
      </c>
      <c r="C6100" s="62" t="s">
        <v>119</v>
      </c>
      <c r="D6100" s="64">
        <v>47.5</v>
      </c>
      <c r="E6100" s="62" t="s">
        <v>109</v>
      </c>
      <c r="F6100" s="62" t="s">
        <v>110</v>
      </c>
      <c r="G6100" s="64" t="s">
        <v>64</v>
      </c>
      <c r="H6100" s="3" t="s">
        <v>141</v>
      </c>
      <c r="I6100" s="65">
        <f>IFERROR(VLOOKUP(A6100,'3. Call duration'!$A:$C,3,0),"--")</f>
        <v>23.93503362</v>
      </c>
      <c r="J6100" s="65" t="str">
        <f t="array" ref="J6100">XLOOKUP(H6100,'2. Matching'!$A$2:$A$39,'2. Matching'!$B$2:$B$39,"--")</f>
        <v>Acquisition</v>
      </c>
      <c r="K6100" s="65" t="str">
        <f t="shared" si="1"/>
        <v>In</v>
      </c>
    </row>
    <row r="6101">
      <c r="A6101" s="62" t="s">
        <v>6239</v>
      </c>
      <c r="B6101" s="63">
        <v>44348.0</v>
      </c>
      <c r="C6101" s="62" t="s">
        <v>119</v>
      </c>
      <c r="D6101" s="64">
        <v>47.5</v>
      </c>
      <c r="E6101" s="62" t="s">
        <v>109</v>
      </c>
      <c r="F6101" s="62" t="s">
        <v>115</v>
      </c>
      <c r="G6101" s="64" t="s">
        <v>63</v>
      </c>
      <c r="H6101" s="3" t="s">
        <v>183</v>
      </c>
      <c r="I6101" s="65">
        <f>IFERROR(VLOOKUP(A6101,'3. Call duration'!$A:$C,3,0),"--")</f>
        <v>46.32329056</v>
      </c>
      <c r="J6101" s="65" t="str">
        <f t="array" ref="J6101">XLOOKUP(H6101,'2. Matching'!$A$2:$A$39,'2. Matching'!$B$2:$B$39,"--")</f>
        <v>SEO</v>
      </c>
      <c r="K6101" s="65" t="str">
        <f t="shared" si="1"/>
        <v>In</v>
      </c>
    </row>
    <row r="6102">
      <c r="A6102" s="62" t="s">
        <v>6240</v>
      </c>
      <c r="B6102" s="63">
        <v>44375.0</v>
      </c>
      <c r="C6102" s="62" t="s">
        <v>119</v>
      </c>
      <c r="D6102" s="64">
        <v>47.5</v>
      </c>
      <c r="E6102" s="62" t="s">
        <v>109</v>
      </c>
      <c r="F6102" s="62" t="s">
        <v>110</v>
      </c>
      <c r="G6102" s="64" t="s">
        <v>63</v>
      </c>
      <c r="H6102" s="3" t="s">
        <v>228</v>
      </c>
      <c r="I6102" s="65">
        <f>IFERROR(VLOOKUP(A6102,'3. Call duration'!$A:$C,3,0),"--")</f>
        <v>28.12098254</v>
      </c>
      <c r="J6102" s="65" t="str">
        <f t="array" ref="J6102">XLOOKUP(H6102,'2. Matching'!$A$2:$A$39,'2. Matching'!$B$2:$B$39,"--")</f>
        <v>Farming</v>
      </c>
      <c r="K6102" s="65" t="str">
        <f t="shared" si="1"/>
        <v>In</v>
      </c>
    </row>
    <row r="6103">
      <c r="A6103" s="62" t="s">
        <v>6241</v>
      </c>
      <c r="B6103" s="63">
        <v>44344.0</v>
      </c>
      <c r="C6103" s="62" t="s">
        <v>112</v>
      </c>
      <c r="D6103" s="64">
        <v>0.0</v>
      </c>
      <c r="E6103" s="62" t="s">
        <v>109</v>
      </c>
      <c r="F6103" s="62" t="s">
        <v>115</v>
      </c>
      <c r="G6103" s="64" t="s">
        <v>63</v>
      </c>
      <c r="H6103" s="3" t="s">
        <v>128</v>
      </c>
      <c r="I6103" s="65" t="str">
        <f>IFERROR(VLOOKUP(A6103,'3. Call duration'!$A:$C,3,0),"--")</f>
        <v>--</v>
      </c>
      <c r="J6103" s="65" t="str">
        <f t="array" ref="J6103">XLOOKUP(H6103,'2. Matching'!$A$2:$A$39,'2. Matching'!$B$2:$B$39,"--")</f>
        <v>Acquisition</v>
      </c>
      <c r="K6103" s="65" t="str">
        <f t="shared" si="1"/>
        <v>In</v>
      </c>
    </row>
    <row r="6104">
      <c r="A6104" s="62" t="s">
        <v>6242</v>
      </c>
      <c r="B6104" s="63">
        <v>44326.0</v>
      </c>
      <c r="C6104" s="62" t="s">
        <v>112</v>
      </c>
      <c r="D6104" s="64">
        <v>0.0</v>
      </c>
      <c r="E6104" s="62" t="s">
        <v>109</v>
      </c>
      <c r="F6104" s="62" t="s">
        <v>110</v>
      </c>
      <c r="G6104" s="64" t="s">
        <v>60</v>
      </c>
      <c r="H6104" s="3" t="s">
        <v>68</v>
      </c>
      <c r="I6104" s="65" t="str">
        <f>IFERROR(VLOOKUP(A6104,'3. Call duration'!$A:$C,3,0),"--")</f>
        <v>--</v>
      </c>
      <c r="J6104" s="65" t="str">
        <f t="array" ref="J6104">XLOOKUP(H6104,'2. Matching'!$A$2:$A$39,'2. Matching'!$B$2:$B$39,"--")</f>
        <v>Acquisition</v>
      </c>
      <c r="K6104" s="65" t="str">
        <f t="shared" si="1"/>
        <v>In</v>
      </c>
    </row>
    <row r="6105">
      <c r="A6105" s="62" t="s">
        <v>6243</v>
      </c>
      <c r="B6105" s="63">
        <v>44335.0</v>
      </c>
      <c r="C6105" s="62" t="s">
        <v>112</v>
      </c>
      <c r="D6105" s="64">
        <v>0.0</v>
      </c>
      <c r="E6105" s="62" t="s">
        <v>109</v>
      </c>
      <c r="F6105" s="62" t="s">
        <v>110</v>
      </c>
      <c r="G6105" s="64" t="s">
        <v>64</v>
      </c>
      <c r="H6105" s="3" t="s">
        <v>52</v>
      </c>
      <c r="I6105" s="65" t="str">
        <f>IFERROR(VLOOKUP(A6105,'3. Call duration'!$A:$C,3,0),"--")</f>
        <v>--</v>
      </c>
      <c r="J6105" s="65" t="str">
        <f t="array" ref="J6105">XLOOKUP(H6105,'2. Matching'!$A$2:$A$39,'2. Matching'!$B$2:$B$39,"--")</f>
        <v>Partnerships</v>
      </c>
      <c r="K6105" s="65" t="str">
        <f t="shared" si="1"/>
        <v>In</v>
      </c>
    </row>
    <row r="6106">
      <c r="A6106" s="62" t="s">
        <v>6244</v>
      </c>
      <c r="B6106" s="63">
        <v>44323.0</v>
      </c>
      <c r="C6106" s="62" t="s">
        <v>112</v>
      </c>
      <c r="D6106" s="64">
        <v>0.0</v>
      </c>
      <c r="E6106" s="62" t="s">
        <v>109</v>
      </c>
      <c r="F6106" s="62" t="s">
        <v>110</v>
      </c>
      <c r="G6106" s="64" t="s">
        <v>59</v>
      </c>
      <c r="H6106" s="3" t="s">
        <v>68</v>
      </c>
      <c r="I6106" s="65" t="str">
        <f>IFERROR(VLOOKUP(A6106,'3. Call duration'!$A:$C,3,0),"--")</f>
        <v>--</v>
      </c>
      <c r="J6106" s="65" t="str">
        <f t="array" ref="J6106">XLOOKUP(H6106,'2. Matching'!$A$2:$A$39,'2. Matching'!$B$2:$B$39,"--")</f>
        <v>Acquisition</v>
      </c>
      <c r="K6106" s="65" t="str">
        <f t="shared" si="1"/>
        <v>In</v>
      </c>
    </row>
    <row r="6107">
      <c r="A6107" s="62" t="s">
        <v>6245</v>
      </c>
      <c r="B6107" s="63">
        <v>44357.0</v>
      </c>
      <c r="C6107" s="62" t="s">
        <v>119</v>
      </c>
      <c r="D6107" s="64">
        <v>47.5</v>
      </c>
      <c r="E6107" s="62" t="s">
        <v>109</v>
      </c>
      <c r="F6107" s="62" t="s">
        <v>110</v>
      </c>
      <c r="G6107" s="64" t="s">
        <v>63</v>
      </c>
      <c r="H6107" s="3" t="s">
        <v>228</v>
      </c>
      <c r="I6107" s="65">
        <f>IFERROR(VLOOKUP(A6107,'3. Call duration'!$A:$C,3,0),"--")</f>
        <v>28.21634496</v>
      </c>
      <c r="J6107" s="65" t="str">
        <f t="array" ref="J6107">XLOOKUP(H6107,'2. Matching'!$A$2:$A$39,'2. Matching'!$B$2:$B$39,"--")</f>
        <v>Farming</v>
      </c>
      <c r="K6107" s="65" t="str">
        <f t="shared" si="1"/>
        <v>In</v>
      </c>
    </row>
    <row r="6108">
      <c r="A6108" s="62" t="s">
        <v>6246</v>
      </c>
      <c r="B6108" s="63">
        <v>44343.0</v>
      </c>
      <c r="C6108" s="62" t="s">
        <v>112</v>
      </c>
      <c r="D6108" s="64">
        <v>0.0</v>
      </c>
      <c r="E6108" s="62" t="s">
        <v>112</v>
      </c>
      <c r="F6108" s="62" t="s">
        <v>110</v>
      </c>
      <c r="G6108" s="64" t="s">
        <v>63</v>
      </c>
      <c r="H6108" s="3" t="s">
        <v>189</v>
      </c>
      <c r="I6108" s="65" t="str">
        <f>IFERROR(VLOOKUP(A6108,'3. Call duration'!$A:$C,3,0),"--")</f>
        <v>--</v>
      </c>
      <c r="J6108" s="65" t="str">
        <f t="array" ref="J6108">XLOOKUP(H6108,'2. Matching'!$A$2:$A$39,'2. Matching'!$B$2:$B$39,"--")</f>
        <v>SEO</v>
      </c>
      <c r="K6108" s="65" t="str">
        <f t="shared" si="1"/>
        <v>Out</v>
      </c>
    </row>
    <row r="6109">
      <c r="A6109" s="62" t="s">
        <v>6247</v>
      </c>
      <c r="B6109" s="63">
        <v>44324.0</v>
      </c>
      <c r="C6109" s="62" t="s">
        <v>112</v>
      </c>
      <c r="D6109" s="64">
        <v>0.0</v>
      </c>
      <c r="E6109" s="62" t="s">
        <v>109</v>
      </c>
      <c r="F6109" s="62" t="s">
        <v>110</v>
      </c>
      <c r="G6109" s="64" t="s">
        <v>64</v>
      </c>
      <c r="H6109" s="3" t="s">
        <v>185</v>
      </c>
      <c r="I6109" s="65" t="str">
        <f>IFERROR(VLOOKUP(A6109,'3. Call duration'!$A:$C,3,0),"--")</f>
        <v>--</v>
      </c>
      <c r="J6109" s="65" t="str">
        <f t="array" ref="J6109">XLOOKUP(H6109,'2. Matching'!$A$2:$A$39,'2. Matching'!$B$2:$B$39,"--")</f>
        <v>SEO</v>
      </c>
      <c r="K6109" s="65" t="str">
        <f t="shared" si="1"/>
        <v>In</v>
      </c>
    </row>
    <row r="6110">
      <c r="A6110" s="62" t="s">
        <v>6248</v>
      </c>
      <c r="B6110" s="63">
        <v>44326.0</v>
      </c>
      <c r="C6110" s="62" t="s">
        <v>112</v>
      </c>
      <c r="D6110" s="64">
        <v>0.0</v>
      </c>
      <c r="E6110" s="62" t="s">
        <v>109</v>
      </c>
      <c r="F6110" s="62" t="s">
        <v>115</v>
      </c>
      <c r="G6110" s="64" t="s">
        <v>59</v>
      </c>
      <c r="H6110" s="3" t="s">
        <v>68</v>
      </c>
      <c r="I6110" s="65" t="str">
        <f>IFERROR(VLOOKUP(A6110,'3. Call duration'!$A:$C,3,0),"--")</f>
        <v>--</v>
      </c>
      <c r="J6110" s="65" t="str">
        <f t="array" ref="J6110">XLOOKUP(H6110,'2. Matching'!$A$2:$A$39,'2. Matching'!$B$2:$B$39,"--")</f>
        <v>Acquisition</v>
      </c>
      <c r="K6110" s="65" t="str">
        <f t="shared" si="1"/>
        <v>In</v>
      </c>
    </row>
    <row r="6111">
      <c r="A6111" s="62" t="s">
        <v>6249</v>
      </c>
      <c r="B6111" s="63">
        <v>44357.0</v>
      </c>
      <c r="C6111" s="62" t="s">
        <v>119</v>
      </c>
      <c r="D6111" s="64">
        <v>47.5</v>
      </c>
      <c r="E6111" s="62" t="s">
        <v>109</v>
      </c>
      <c r="F6111" s="62" t="s">
        <v>115</v>
      </c>
      <c r="G6111" s="64" t="s">
        <v>64</v>
      </c>
      <c r="H6111" s="3" t="s">
        <v>116</v>
      </c>
      <c r="I6111" s="65">
        <f>IFERROR(VLOOKUP(A6111,'3. Call duration'!$A:$C,3,0),"--")</f>
        <v>30.98618902</v>
      </c>
      <c r="J6111" s="65" t="str">
        <f t="array" ref="J6111">XLOOKUP(H6111,'2. Matching'!$A$2:$A$39,'2. Matching'!$B$2:$B$39,"--")</f>
        <v>Acquisition</v>
      </c>
      <c r="K6111" s="65" t="str">
        <f t="shared" si="1"/>
        <v>In</v>
      </c>
    </row>
    <row r="6112">
      <c r="A6112" s="62" t="s">
        <v>6250</v>
      </c>
      <c r="B6112" s="63">
        <v>44361.0</v>
      </c>
      <c r="C6112" s="62" t="s">
        <v>119</v>
      </c>
      <c r="D6112" s="64">
        <v>47.5</v>
      </c>
      <c r="E6112" s="62" t="s">
        <v>109</v>
      </c>
      <c r="F6112" s="62" t="s">
        <v>115</v>
      </c>
      <c r="G6112" s="64" t="s">
        <v>63</v>
      </c>
      <c r="H6112" s="3" t="s">
        <v>124</v>
      </c>
      <c r="I6112" s="65">
        <f>IFERROR(VLOOKUP(A6112,'3. Call duration'!$A:$C,3,0),"--")</f>
        <v>24.79980735</v>
      </c>
      <c r="J6112" s="65" t="str">
        <f t="array" ref="J6112">XLOOKUP(H6112,'2. Matching'!$A$2:$A$39,'2. Matching'!$B$2:$B$39,"--")</f>
        <v>Acquisition</v>
      </c>
      <c r="K6112" s="65" t="str">
        <f t="shared" si="1"/>
        <v>In</v>
      </c>
    </row>
    <row r="6113">
      <c r="A6113" s="62" t="s">
        <v>6251</v>
      </c>
      <c r="B6113" s="63">
        <v>44345.0</v>
      </c>
      <c r="C6113" s="62" t="s">
        <v>112</v>
      </c>
      <c r="D6113" s="64">
        <v>0.0</v>
      </c>
      <c r="E6113" s="62" t="s">
        <v>109</v>
      </c>
      <c r="F6113" s="62" t="s">
        <v>110</v>
      </c>
      <c r="G6113" s="64" t="s">
        <v>64</v>
      </c>
      <c r="H6113" s="3" t="s">
        <v>52</v>
      </c>
      <c r="I6113" s="65" t="str">
        <f>IFERROR(VLOOKUP(A6113,'3. Call duration'!$A:$C,3,0),"--")</f>
        <v>--</v>
      </c>
      <c r="J6113" s="65" t="str">
        <f t="array" ref="J6113">XLOOKUP(H6113,'2. Matching'!$A$2:$A$39,'2. Matching'!$B$2:$B$39,"--")</f>
        <v>Partnerships</v>
      </c>
      <c r="K6113" s="65" t="str">
        <f t="shared" si="1"/>
        <v>In</v>
      </c>
    </row>
    <row r="6114">
      <c r="A6114" s="62" t="s">
        <v>6252</v>
      </c>
      <c r="B6114" s="63">
        <v>44369.0</v>
      </c>
      <c r="C6114" s="62" t="s">
        <v>119</v>
      </c>
      <c r="D6114" s="64">
        <v>47.5</v>
      </c>
      <c r="E6114" s="62" t="s">
        <v>109</v>
      </c>
      <c r="F6114" s="62" t="s">
        <v>115</v>
      </c>
      <c r="G6114" s="64" t="s">
        <v>63</v>
      </c>
      <c r="H6114" s="3" t="s">
        <v>183</v>
      </c>
      <c r="I6114" s="65">
        <f>IFERROR(VLOOKUP(A6114,'3. Call duration'!$A:$C,3,0),"--")</f>
        <v>29.61396354</v>
      </c>
      <c r="J6114" s="65" t="str">
        <f t="array" ref="J6114">XLOOKUP(H6114,'2. Matching'!$A$2:$A$39,'2. Matching'!$B$2:$B$39,"--")</f>
        <v>SEO</v>
      </c>
      <c r="K6114" s="65" t="str">
        <f t="shared" si="1"/>
        <v>In</v>
      </c>
    </row>
    <row r="6115">
      <c r="A6115" s="62" t="s">
        <v>6253</v>
      </c>
      <c r="B6115" s="63">
        <v>44329.0</v>
      </c>
      <c r="C6115" s="62" t="s">
        <v>112</v>
      </c>
      <c r="D6115" s="64">
        <v>0.0</v>
      </c>
      <c r="E6115" s="62" t="s">
        <v>109</v>
      </c>
      <c r="F6115" s="62" t="s">
        <v>110</v>
      </c>
      <c r="G6115" s="64" t="s">
        <v>64</v>
      </c>
      <c r="H6115" s="3" t="s">
        <v>145</v>
      </c>
      <c r="I6115" s="65" t="str">
        <f>IFERROR(VLOOKUP(A6115,'3. Call duration'!$A:$C,3,0),"--")</f>
        <v>--</v>
      </c>
      <c r="J6115" s="65" t="str">
        <f t="array" ref="J6115">XLOOKUP(H6115,'2. Matching'!$A$2:$A$39,'2. Matching'!$B$2:$B$39,"--")</f>
        <v>SEO</v>
      </c>
      <c r="K6115" s="65" t="str">
        <f t="shared" si="1"/>
        <v>In</v>
      </c>
    </row>
    <row r="6116">
      <c r="A6116" s="62" t="s">
        <v>6254</v>
      </c>
      <c r="B6116" s="63">
        <v>44347.0</v>
      </c>
      <c r="C6116" s="62" t="s">
        <v>112</v>
      </c>
      <c r="D6116" s="64">
        <v>0.0</v>
      </c>
      <c r="E6116" s="62" t="s">
        <v>109</v>
      </c>
      <c r="F6116" s="62" t="s">
        <v>110</v>
      </c>
      <c r="G6116" s="64" t="s">
        <v>60</v>
      </c>
      <c r="H6116" s="3" t="s">
        <v>67</v>
      </c>
      <c r="I6116" s="65" t="str">
        <f>IFERROR(VLOOKUP(A6116,'3. Call duration'!$A:$C,3,0),"--")</f>
        <v>--</v>
      </c>
      <c r="J6116" s="65" t="str">
        <f t="array" ref="J6116">XLOOKUP(H6116,'2. Matching'!$A$2:$A$39,'2. Matching'!$B$2:$B$39,"--")</f>
        <v>Acquisition</v>
      </c>
      <c r="K6116" s="65" t="str">
        <f t="shared" si="1"/>
        <v>In</v>
      </c>
    </row>
    <row r="6117">
      <c r="A6117" s="62" t="s">
        <v>6255</v>
      </c>
      <c r="B6117" s="63">
        <v>44344.0</v>
      </c>
      <c r="C6117" s="62" t="s">
        <v>112</v>
      </c>
      <c r="D6117" s="64">
        <v>0.0</v>
      </c>
      <c r="E6117" s="62" t="s">
        <v>114</v>
      </c>
      <c r="F6117" s="62" t="s">
        <v>110</v>
      </c>
      <c r="G6117" s="64" t="s">
        <v>63</v>
      </c>
      <c r="H6117" s="3" t="s">
        <v>128</v>
      </c>
      <c r="I6117" s="65" t="str">
        <f>IFERROR(VLOOKUP(A6117,'3. Call duration'!$A:$C,3,0),"--")</f>
        <v>--</v>
      </c>
      <c r="J6117" s="65" t="str">
        <f t="array" ref="J6117">XLOOKUP(H6117,'2. Matching'!$A$2:$A$39,'2. Matching'!$B$2:$B$39,"--")</f>
        <v>Acquisition</v>
      </c>
      <c r="K6117" s="65" t="str">
        <f t="shared" si="1"/>
        <v>In</v>
      </c>
    </row>
    <row r="6118">
      <c r="A6118" s="62" t="s">
        <v>6256</v>
      </c>
      <c r="B6118" s="63">
        <v>44377.0</v>
      </c>
      <c r="C6118" s="62" t="s">
        <v>119</v>
      </c>
      <c r="D6118" s="64">
        <v>47.5</v>
      </c>
      <c r="E6118" s="62" t="s">
        <v>109</v>
      </c>
      <c r="F6118" s="62" t="s">
        <v>110</v>
      </c>
      <c r="G6118" s="64" t="s">
        <v>61</v>
      </c>
      <c r="H6118" s="3" t="s">
        <v>69</v>
      </c>
      <c r="I6118" s="65" t="str">
        <f>IFERROR(VLOOKUP(A6118,'3. Call duration'!$A:$C,3,0),"--")</f>
        <v>--</v>
      </c>
      <c r="J6118" s="65" t="str">
        <f t="array" ref="J6118">XLOOKUP(H6118,'2. Matching'!$A$2:$A$39,'2. Matching'!$B$2:$B$39,"--")</f>
        <v>Acquisition</v>
      </c>
      <c r="K6118" s="65" t="str">
        <f t="shared" si="1"/>
        <v>In</v>
      </c>
    </row>
    <row r="6119">
      <c r="A6119" s="62" t="s">
        <v>6257</v>
      </c>
      <c r="B6119" s="63">
        <v>44363.0</v>
      </c>
      <c r="C6119" s="62" t="s">
        <v>119</v>
      </c>
      <c r="D6119" s="64">
        <v>47.5</v>
      </c>
      <c r="E6119" s="62" t="s">
        <v>109</v>
      </c>
      <c r="F6119" s="62" t="s">
        <v>115</v>
      </c>
      <c r="G6119" s="64" t="s">
        <v>64</v>
      </c>
      <c r="H6119" s="3" t="s">
        <v>171</v>
      </c>
      <c r="I6119" s="65">
        <f>IFERROR(VLOOKUP(A6119,'3. Call duration'!$A:$C,3,0),"--")</f>
        <v>33.56220496</v>
      </c>
      <c r="J6119" s="65" t="str">
        <f t="array" ref="J6119">XLOOKUP(H6119,'2. Matching'!$A$2:$A$39,'2. Matching'!$B$2:$B$39,"--")</f>
        <v>SEO</v>
      </c>
      <c r="K6119" s="65" t="str">
        <f t="shared" si="1"/>
        <v>In</v>
      </c>
    </row>
    <row r="6120">
      <c r="A6120" s="62" t="s">
        <v>6258</v>
      </c>
      <c r="B6120" s="63">
        <v>44323.0</v>
      </c>
      <c r="C6120" s="62" t="s">
        <v>112</v>
      </c>
      <c r="D6120" s="64">
        <v>0.0</v>
      </c>
      <c r="E6120" s="62" t="s">
        <v>109</v>
      </c>
      <c r="F6120" s="62" t="s">
        <v>110</v>
      </c>
      <c r="G6120" s="64" t="s">
        <v>59</v>
      </c>
      <c r="H6120" s="3" t="s">
        <v>68</v>
      </c>
      <c r="I6120" s="65" t="str">
        <f>IFERROR(VLOOKUP(A6120,'3. Call duration'!$A:$C,3,0),"--")</f>
        <v>--</v>
      </c>
      <c r="J6120" s="65" t="str">
        <f t="array" ref="J6120">XLOOKUP(H6120,'2. Matching'!$A$2:$A$39,'2. Matching'!$B$2:$B$39,"--")</f>
        <v>Acquisition</v>
      </c>
      <c r="K6120" s="65" t="str">
        <f t="shared" si="1"/>
        <v>In</v>
      </c>
    </row>
    <row r="6121">
      <c r="A6121" s="62" t="s">
        <v>6259</v>
      </c>
      <c r="B6121" s="63">
        <v>44375.0</v>
      </c>
      <c r="C6121" s="62" t="s">
        <v>119</v>
      </c>
      <c r="D6121" s="64">
        <v>47.5</v>
      </c>
      <c r="E6121" s="62" t="s">
        <v>109</v>
      </c>
      <c r="F6121" s="62" t="s">
        <v>115</v>
      </c>
      <c r="G6121" s="64" t="s">
        <v>64</v>
      </c>
      <c r="H6121" s="3" t="s">
        <v>116</v>
      </c>
      <c r="I6121" s="65">
        <f>IFERROR(VLOOKUP(A6121,'3. Call duration'!$A:$C,3,0),"--")</f>
        <v>13.93710532</v>
      </c>
      <c r="J6121" s="65" t="str">
        <f t="array" ref="J6121">XLOOKUP(H6121,'2. Matching'!$A$2:$A$39,'2. Matching'!$B$2:$B$39,"--")</f>
        <v>Acquisition</v>
      </c>
      <c r="K6121" s="65" t="str">
        <f t="shared" si="1"/>
        <v>In</v>
      </c>
    </row>
    <row r="6122">
      <c r="A6122" s="62" t="s">
        <v>6260</v>
      </c>
      <c r="B6122" s="63">
        <v>44337.0</v>
      </c>
      <c r="C6122" s="62" t="s">
        <v>112</v>
      </c>
      <c r="D6122" s="64">
        <v>0.0</v>
      </c>
      <c r="E6122" s="62" t="s">
        <v>109</v>
      </c>
      <c r="F6122" s="62" t="s">
        <v>110</v>
      </c>
      <c r="G6122" s="64" t="s">
        <v>63</v>
      </c>
      <c r="H6122" s="3" t="s">
        <v>183</v>
      </c>
      <c r="I6122" s="65" t="str">
        <f>IFERROR(VLOOKUP(A6122,'3. Call duration'!$A:$C,3,0),"--")</f>
        <v>--</v>
      </c>
      <c r="J6122" s="65" t="str">
        <f t="array" ref="J6122">XLOOKUP(H6122,'2. Matching'!$A$2:$A$39,'2. Matching'!$B$2:$B$39,"--")</f>
        <v>SEO</v>
      </c>
      <c r="K6122" s="65" t="str">
        <f t="shared" si="1"/>
        <v>In</v>
      </c>
    </row>
    <row r="6123">
      <c r="A6123" s="62" t="s">
        <v>6261</v>
      </c>
      <c r="B6123" s="63">
        <v>44335.0</v>
      </c>
      <c r="C6123" s="62" t="s">
        <v>112</v>
      </c>
      <c r="D6123" s="64">
        <v>0.0</v>
      </c>
      <c r="E6123" s="62" t="s">
        <v>109</v>
      </c>
      <c r="F6123" s="62" t="s">
        <v>110</v>
      </c>
      <c r="G6123" s="64" t="s">
        <v>63</v>
      </c>
      <c r="H6123" s="3" t="s">
        <v>183</v>
      </c>
      <c r="I6123" s="65" t="str">
        <f>IFERROR(VLOOKUP(A6123,'3. Call duration'!$A:$C,3,0),"--")</f>
        <v>--</v>
      </c>
      <c r="J6123" s="65" t="str">
        <f t="array" ref="J6123">XLOOKUP(H6123,'2. Matching'!$A$2:$A$39,'2. Matching'!$B$2:$B$39,"--")</f>
        <v>SEO</v>
      </c>
      <c r="K6123" s="65" t="str">
        <f t="shared" si="1"/>
        <v>In</v>
      </c>
    </row>
    <row r="6124">
      <c r="A6124" s="62" t="s">
        <v>6262</v>
      </c>
      <c r="B6124" s="63">
        <v>44335.0</v>
      </c>
      <c r="C6124" s="62" t="s">
        <v>112</v>
      </c>
      <c r="D6124" s="64">
        <v>0.0</v>
      </c>
      <c r="E6124" s="62" t="s">
        <v>112</v>
      </c>
      <c r="F6124" s="62" t="s">
        <v>115</v>
      </c>
      <c r="G6124" s="64" t="s">
        <v>59</v>
      </c>
      <c r="H6124" s="3" t="s">
        <v>68</v>
      </c>
      <c r="I6124" s="65" t="str">
        <f>IFERROR(VLOOKUP(A6124,'3. Call duration'!$A:$C,3,0),"--")</f>
        <v>--</v>
      </c>
      <c r="J6124" s="65" t="str">
        <f t="array" ref="J6124">XLOOKUP(H6124,'2. Matching'!$A$2:$A$39,'2. Matching'!$B$2:$B$39,"--")</f>
        <v>Acquisition</v>
      </c>
      <c r="K6124" s="65" t="str">
        <f t="shared" si="1"/>
        <v>In</v>
      </c>
    </row>
    <row r="6125">
      <c r="A6125" s="62" t="s">
        <v>6263</v>
      </c>
      <c r="B6125" s="63">
        <v>44334.0</v>
      </c>
      <c r="C6125" s="62" t="s">
        <v>112</v>
      </c>
      <c r="D6125" s="64">
        <v>0.0</v>
      </c>
      <c r="E6125" s="62" t="s">
        <v>109</v>
      </c>
      <c r="F6125" s="62" t="s">
        <v>110</v>
      </c>
      <c r="G6125" s="64" t="s">
        <v>64</v>
      </c>
      <c r="H6125" s="3" t="s">
        <v>141</v>
      </c>
      <c r="I6125" s="65" t="str">
        <f>IFERROR(VLOOKUP(A6125,'3. Call duration'!$A:$C,3,0),"--")</f>
        <v>--</v>
      </c>
      <c r="J6125" s="65" t="str">
        <f t="array" ref="J6125">XLOOKUP(H6125,'2. Matching'!$A$2:$A$39,'2. Matching'!$B$2:$B$39,"--")</f>
        <v>Acquisition</v>
      </c>
      <c r="K6125" s="65" t="str">
        <f t="shared" si="1"/>
        <v>In</v>
      </c>
    </row>
    <row r="6126">
      <c r="A6126" s="62" t="s">
        <v>6264</v>
      </c>
      <c r="B6126" s="63">
        <v>44323.0</v>
      </c>
      <c r="C6126" s="62" t="s">
        <v>112</v>
      </c>
      <c r="D6126" s="64">
        <v>0.0</v>
      </c>
      <c r="E6126" s="62" t="s">
        <v>114</v>
      </c>
      <c r="F6126" s="62" t="s">
        <v>110</v>
      </c>
      <c r="G6126" s="64" t="s">
        <v>60</v>
      </c>
      <c r="H6126" s="3" t="s">
        <v>67</v>
      </c>
      <c r="I6126" s="65" t="str">
        <f>IFERROR(VLOOKUP(A6126,'3. Call duration'!$A:$C,3,0),"--")</f>
        <v>--</v>
      </c>
      <c r="J6126" s="65" t="str">
        <f t="array" ref="J6126">XLOOKUP(H6126,'2. Matching'!$A$2:$A$39,'2. Matching'!$B$2:$B$39,"--")</f>
        <v>Acquisition</v>
      </c>
      <c r="K6126" s="65" t="str">
        <f t="shared" si="1"/>
        <v>In</v>
      </c>
    </row>
    <row r="6127">
      <c r="A6127" s="62" t="s">
        <v>6265</v>
      </c>
      <c r="B6127" s="63">
        <v>44341.0</v>
      </c>
      <c r="C6127" s="62" t="s">
        <v>112</v>
      </c>
      <c r="D6127" s="64">
        <v>0.0</v>
      </c>
      <c r="E6127" s="62" t="s">
        <v>109</v>
      </c>
      <c r="F6127" s="62" t="s">
        <v>110</v>
      </c>
      <c r="G6127" s="64" t="s">
        <v>63</v>
      </c>
      <c r="H6127" s="3" t="s">
        <v>189</v>
      </c>
      <c r="I6127" s="65" t="str">
        <f>IFERROR(VLOOKUP(A6127,'3. Call duration'!$A:$C,3,0),"--")</f>
        <v>--</v>
      </c>
      <c r="J6127" s="65" t="str">
        <f t="array" ref="J6127">XLOOKUP(H6127,'2. Matching'!$A$2:$A$39,'2. Matching'!$B$2:$B$39,"--")</f>
        <v>SEO</v>
      </c>
      <c r="K6127" s="65" t="str">
        <f t="shared" si="1"/>
        <v>Out</v>
      </c>
    </row>
    <row r="6128">
      <c r="A6128" s="62" t="s">
        <v>6266</v>
      </c>
      <c r="B6128" s="63">
        <v>44377.0</v>
      </c>
      <c r="C6128" s="62" t="s">
        <v>119</v>
      </c>
      <c r="D6128" s="64">
        <v>47.5</v>
      </c>
      <c r="E6128" s="62" t="s">
        <v>109</v>
      </c>
      <c r="F6128" s="62" t="s">
        <v>110</v>
      </c>
      <c r="G6128" s="64" t="s">
        <v>64</v>
      </c>
      <c r="H6128" s="3" t="s">
        <v>169</v>
      </c>
      <c r="I6128" s="65">
        <f>IFERROR(VLOOKUP(A6128,'3. Call duration'!$A:$C,3,0),"--")</f>
        <v>29.3643274</v>
      </c>
      <c r="J6128" s="65" t="str">
        <f t="array" ref="J6128">XLOOKUP(H6128,'2. Matching'!$A$2:$A$39,'2. Matching'!$B$2:$B$39,"--")</f>
        <v>SEO</v>
      </c>
      <c r="K6128" s="65" t="str">
        <f t="shared" si="1"/>
        <v>In</v>
      </c>
    </row>
    <row r="6129">
      <c r="A6129" s="62" t="s">
        <v>6267</v>
      </c>
      <c r="B6129" s="63">
        <v>44362.0</v>
      </c>
      <c r="C6129" s="62" t="s">
        <v>119</v>
      </c>
      <c r="D6129" s="64">
        <v>47.5</v>
      </c>
      <c r="E6129" s="62" t="s">
        <v>109</v>
      </c>
      <c r="F6129" s="62" t="s">
        <v>110</v>
      </c>
      <c r="G6129" s="64" t="s">
        <v>64</v>
      </c>
      <c r="H6129" s="3" t="s">
        <v>131</v>
      </c>
      <c r="I6129" s="65">
        <f>IFERROR(VLOOKUP(A6129,'3. Call duration'!$A:$C,3,0),"--")</f>
        <v>31.4474027</v>
      </c>
      <c r="J6129" s="65" t="str">
        <f t="array" ref="J6129">XLOOKUP(H6129,'2. Matching'!$A$2:$A$39,'2. Matching'!$B$2:$B$39,"--")</f>
        <v>Acquisition</v>
      </c>
      <c r="K6129" s="65" t="str">
        <f t="shared" si="1"/>
        <v>In</v>
      </c>
    </row>
    <row r="6130">
      <c r="A6130" s="62" t="s">
        <v>6268</v>
      </c>
      <c r="B6130" s="63">
        <v>44343.0</v>
      </c>
      <c r="C6130" s="62" t="s">
        <v>112</v>
      </c>
      <c r="D6130" s="64">
        <v>0.0</v>
      </c>
      <c r="E6130" s="62" t="s">
        <v>109</v>
      </c>
      <c r="F6130" s="62" t="s">
        <v>115</v>
      </c>
      <c r="G6130" s="64" t="s">
        <v>64</v>
      </c>
      <c r="H6130" s="3" t="s">
        <v>297</v>
      </c>
      <c r="I6130" s="65" t="str">
        <f>IFERROR(VLOOKUP(A6130,'3. Call duration'!$A:$C,3,0),"--")</f>
        <v>--</v>
      </c>
      <c r="J6130" s="65" t="str">
        <f t="array" ref="J6130">XLOOKUP(H6130,'2. Matching'!$A$2:$A$39,'2. Matching'!$B$2:$B$39,"--")</f>
        <v>Farming</v>
      </c>
      <c r="K6130" s="65" t="str">
        <f t="shared" si="1"/>
        <v>In</v>
      </c>
    </row>
    <row r="6131">
      <c r="A6131" s="62" t="s">
        <v>6269</v>
      </c>
      <c r="B6131" s="63">
        <v>44354.0</v>
      </c>
      <c r="C6131" s="62" t="s">
        <v>119</v>
      </c>
      <c r="D6131" s="64">
        <v>47.5</v>
      </c>
      <c r="E6131" s="62" t="s">
        <v>109</v>
      </c>
      <c r="F6131" s="62" t="s">
        <v>115</v>
      </c>
      <c r="G6131" s="64" t="s">
        <v>63</v>
      </c>
      <c r="H6131" s="3" t="s">
        <v>124</v>
      </c>
      <c r="I6131" s="65">
        <f>IFERROR(VLOOKUP(A6131,'3. Call duration'!$A:$C,3,0),"--")</f>
        <v>15.69646645</v>
      </c>
      <c r="J6131" s="65" t="str">
        <f t="array" ref="J6131">XLOOKUP(H6131,'2. Matching'!$A$2:$A$39,'2. Matching'!$B$2:$B$39,"--")</f>
        <v>Acquisition</v>
      </c>
      <c r="K6131" s="65" t="str">
        <f t="shared" si="1"/>
        <v>In</v>
      </c>
    </row>
    <row r="6132">
      <c r="A6132" s="62" t="s">
        <v>6270</v>
      </c>
      <c r="B6132" s="63">
        <v>44337.0</v>
      </c>
      <c r="C6132" s="62" t="s">
        <v>112</v>
      </c>
      <c r="D6132" s="64">
        <v>0.0</v>
      </c>
      <c r="E6132" s="62" t="s">
        <v>109</v>
      </c>
      <c r="F6132" s="62" t="s">
        <v>110</v>
      </c>
      <c r="G6132" s="64" t="s">
        <v>64</v>
      </c>
      <c r="H6132" s="3" t="s">
        <v>55</v>
      </c>
      <c r="I6132" s="65" t="str">
        <f>IFERROR(VLOOKUP(A6132,'3. Call duration'!$A:$C,3,0),"--")</f>
        <v>--</v>
      </c>
      <c r="J6132" s="65" t="str">
        <f t="array" ref="J6132">XLOOKUP(H6132,'2. Matching'!$A$2:$A$39,'2. Matching'!$B$2:$B$39,"--")</f>
        <v>Partnerships</v>
      </c>
      <c r="K6132" s="65" t="str">
        <f t="shared" si="1"/>
        <v>In</v>
      </c>
    </row>
    <row r="6133">
      <c r="A6133" s="62" t="s">
        <v>6271</v>
      </c>
      <c r="B6133" s="63">
        <v>44342.0</v>
      </c>
      <c r="C6133" s="62" t="s">
        <v>112</v>
      </c>
      <c r="D6133" s="64">
        <v>0.0</v>
      </c>
      <c r="E6133" s="62" t="s">
        <v>109</v>
      </c>
      <c r="F6133" s="62" t="s">
        <v>110</v>
      </c>
      <c r="G6133" s="64" t="s">
        <v>64</v>
      </c>
      <c r="H6133" s="3" t="s">
        <v>175</v>
      </c>
      <c r="I6133" s="65" t="str">
        <f>IFERROR(VLOOKUP(A6133,'3. Call duration'!$A:$C,3,0),"--")</f>
        <v>--</v>
      </c>
      <c r="J6133" s="65" t="str">
        <f t="array" ref="J6133">XLOOKUP(H6133,'2. Matching'!$A$2:$A$39,'2. Matching'!$B$2:$B$39,"--")</f>
        <v>SEO</v>
      </c>
      <c r="K6133" s="65" t="str">
        <f t="shared" si="1"/>
        <v>In</v>
      </c>
    </row>
    <row r="6134">
      <c r="A6134" s="62" t="s">
        <v>6272</v>
      </c>
      <c r="B6134" s="63">
        <v>44363.0</v>
      </c>
      <c r="C6134" s="62" t="s">
        <v>119</v>
      </c>
      <c r="D6134" s="64">
        <v>47.5</v>
      </c>
      <c r="E6134" s="62" t="s">
        <v>109</v>
      </c>
      <c r="F6134" s="62" t="s">
        <v>115</v>
      </c>
      <c r="G6134" s="64" t="s">
        <v>64</v>
      </c>
      <c r="H6134" s="3" t="s">
        <v>141</v>
      </c>
      <c r="I6134" s="65">
        <f>IFERROR(VLOOKUP(A6134,'3. Call duration'!$A:$C,3,0),"--")</f>
        <v>30.6554495</v>
      </c>
      <c r="J6134" s="65" t="str">
        <f t="array" ref="J6134">XLOOKUP(H6134,'2. Matching'!$A$2:$A$39,'2. Matching'!$B$2:$B$39,"--")</f>
        <v>Acquisition</v>
      </c>
      <c r="K6134" s="65" t="str">
        <f t="shared" si="1"/>
        <v>In</v>
      </c>
    </row>
    <row r="6135">
      <c r="A6135" s="62" t="s">
        <v>6273</v>
      </c>
      <c r="B6135" s="63">
        <v>44347.0</v>
      </c>
      <c r="C6135" s="62" t="s">
        <v>112</v>
      </c>
      <c r="D6135" s="64">
        <v>0.0</v>
      </c>
      <c r="E6135" s="62" t="s">
        <v>109</v>
      </c>
      <c r="F6135" s="62" t="s">
        <v>115</v>
      </c>
      <c r="G6135" s="64" t="s">
        <v>62</v>
      </c>
      <c r="H6135" s="3" t="s">
        <v>50</v>
      </c>
      <c r="I6135" s="65" t="str">
        <f>IFERROR(VLOOKUP(A6135,'3. Call duration'!$A:$C,3,0),"--")</f>
        <v>--</v>
      </c>
      <c r="J6135" s="65" t="str">
        <f t="array" ref="J6135">XLOOKUP(H6135,'2. Matching'!$A$2:$A$39,'2. Matching'!$B$2:$B$39,"--")</f>
        <v>Partnerships</v>
      </c>
      <c r="K6135" s="65" t="str">
        <f t="shared" si="1"/>
        <v>In</v>
      </c>
    </row>
    <row r="6136">
      <c r="A6136" s="62" t="s">
        <v>6274</v>
      </c>
      <c r="B6136" s="63">
        <v>44327.0</v>
      </c>
      <c r="C6136" s="62" t="s">
        <v>112</v>
      </c>
      <c r="D6136" s="64">
        <v>0.0</v>
      </c>
      <c r="E6136" s="62" t="s">
        <v>109</v>
      </c>
      <c r="F6136" s="62" t="s">
        <v>115</v>
      </c>
      <c r="G6136" s="64" t="s">
        <v>64</v>
      </c>
      <c r="H6136" s="3" t="s">
        <v>141</v>
      </c>
      <c r="I6136" s="65" t="str">
        <f>IFERROR(VLOOKUP(A6136,'3. Call duration'!$A:$C,3,0),"--")</f>
        <v>--</v>
      </c>
      <c r="J6136" s="65" t="str">
        <f t="array" ref="J6136">XLOOKUP(H6136,'2. Matching'!$A$2:$A$39,'2. Matching'!$B$2:$B$39,"--")</f>
        <v>Acquisition</v>
      </c>
      <c r="K6136" s="65" t="str">
        <f t="shared" si="1"/>
        <v>In</v>
      </c>
    </row>
    <row r="6137">
      <c r="A6137" s="62" t="s">
        <v>6275</v>
      </c>
      <c r="B6137" s="63">
        <v>44372.0</v>
      </c>
      <c r="C6137" s="62" t="s">
        <v>119</v>
      </c>
      <c r="D6137" s="64">
        <v>47.5</v>
      </c>
      <c r="E6137" s="62" t="s">
        <v>109</v>
      </c>
      <c r="F6137" s="62" t="s">
        <v>115</v>
      </c>
      <c r="G6137" s="64" t="s">
        <v>64</v>
      </c>
      <c r="H6137" s="3" t="s">
        <v>169</v>
      </c>
      <c r="I6137" s="65">
        <f>IFERROR(VLOOKUP(A6137,'3. Call duration'!$A:$C,3,0),"--")</f>
        <v>24.49068328</v>
      </c>
      <c r="J6137" s="65" t="str">
        <f t="array" ref="J6137">XLOOKUP(H6137,'2. Matching'!$A$2:$A$39,'2. Matching'!$B$2:$B$39,"--")</f>
        <v>SEO</v>
      </c>
      <c r="K6137" s="65" t="str">
        <f t="shared" si="1"/>
        <v>In</v>
      </c>
    </row>
    <row r="6138">
      <c r="A6138" s="62" t="s">
        <v>6276</v>
      </c>
      <c r="B6138" s="63">
        <v>44376.0</v>
      </c>
      <c r="C6138" s="62" t="s">
        <v>119</v>
      </c>
      <c r="D6138" s="64">
        <v>47.5</v>
      </c>
      <c r="E6138" s="62" t="s">
        <v>109</v>
      </c>
      <c r="F6138" s="62" t="s">
        <v>110</v>
      </c>
      <c r="G6138" s="64" t="s">
        <v>60</v>
      </c>
      <c r="H6138" s="3" t="s">
        <v>67</v>
      </c>
      <c r="I6138" s="65">
        <f>IFERROR(VLOOKUP(A6138,'3. Call duration'!$A:$C,3,0),"--")</f>
        <v>23.9021821</v>
      </c>
      <c r="J6138" s="65" t="str">
        <f t="array" ref="J6138">XLOOKUP(H6138,'2. Matching'!$A$2:$A$39,'2. Matching'!$B$2:$B$39,"--")</f>
        <v>Acquisition</v>
      </c>
      <c r="K6138" s="65" t="str">
        <f t="shared" si="1"/>
        <v>In</v>
      </c>
    </row>
    <row r="6139">
      <c r="A6139" s="62" t="s">
        <v>6277</v>
      </c>
      <c r="B6139" s="63">
        <v>44364.0</v>
      </c>
      <c r="C6139" s="62" t="s">
        <v>119</v>
      </c>
      <c r="D6139" s="64">
        <v>47.5</v>
      </c>
      <c r="E6139" s="62" t="s">
        <v>109</v>
      </c>
      <c r="F6139" s="62" t="s">
        <v>115</v>
      </c>
      <c r="G6139" s="64" t="s">
        <v>64</v>
      </c>
      <c r="H6139" s="3" t="s">
        <v>175</v>
      </c>
      <c r="I6139" s="65">
        <f>IFERROR(VLOOKUP(A6139,'3. Call duration'!$A:$C,3,0),"--")</f>
        <v>48.62422149</v>
      </c>
      <c r="J6139" s="65" t="str">
        <f t="array" ref="J6139">XLOOKUP(H6139,'2. Matching'!$A$2:$A$39,'2. Matching'!$B$2:$B$39,"--")</f>
        <v>SEO</v>
      </c>
      <c r="K6139" s="65" t="str">
        <f t="shared" si="1"/>
        <v>In</v>
      </c>
    </row>
    <row r="6140">
      <c r="A6140" s="62" t="s">
        <v>6278</v>
      </c>
      <c r="B6140" s="63">
        <v>44354.0</v>
      </c>
      <c r="C6140" s="62" t="s">
        <v>119</v>
      </c>
      <c r="D6140" s="64">
        <v>47.5</v>
      </c>
      <c r="E6140" s="62" t="s">
        <v>109</v>
      </c>
      <c r="F6140" s="62" t="s">
        <v>110</v>
      </c>
      <c r="G6140" s="64" t="s">
        <v>60</v>
      </c>
      <c r="H6140" s="3" t="s">
        <v>67</v>
      </c>
      <c r="I6140" s="65">
        <f>IFERROR(VLOOKUP(A6140,'3. Call duration'!$A:$C,3,0),"--")</f>
        <v>15.97345133</v>
      </c>
      <c r="J6140" s="65" t="str">
        <f t="array" ref="J6140">XLOOKUP(H6140,'2. Matching'!$A$2:$A$39,'2. Matching'!$B$2:$B$39,"--")</f>
        <v>Acquisition</v>
      </c>
      <c r="K6140" s="65" t="str">
        <f t="shared" si="1"/>
        <v>In</v>
      </c>
    </row>
    <row r="6141">
      <c r="A6141" s="62" t="s">
        <v>6279</v>
      </c>
      <c r="B6141" s="63">
        <v>44376.0</v>
      </c>
      <c r="C6141" s="62" t="s">
        <v>119</v>
      </c>
      <c r="D6141" s="64">
        <v>47.5</v>
      </c>
      <c r="E6141" s="62" t="s">
        <v>109</v>
      </c>
      <c r="F6141" s="62" t="s">
        <v>110</v>
      </c>
      <c r="G6141" s="64" t="s">
        <v>60</v>
      </c>
      <c r="H6141" s="3" t="s">
        <v>67</v>
      </c>
      <c r="I6141" s="65">
        <f>IFERROR(VLOOKUP(A6141,'3. Call duration'!$A:$C,3,0),"--")</f>
        <v>48.59929657</v>
      </c>
      <c r="J6141" s="65" t="str">
        <f t="array" ref="J6141">XLOOKUP(H6141,'2. Matching'!$A$2:$A$39,'2. Matching'!$B$2:$B$39,"--")</f>
        <v>Acquisition</v>
      </c>
      <c r="K6141" s="65" t="str">
        <f t="shared" si="1"/>
        <v>In</v>
      </c>
    </row>
    <row r="6142">
      <c r="A6142" s="62" t="s">
        <v>6280</v>
      </c>
      <c r="B6142" s="63">
        <v>44325.0</v>
      </c>
      <c r="C6142" s="62" t="s">
        <v>112</v>
      </c>
      <c r="D6142" s="64">
        <v>0.0</v>
      </c>
      <c r="E6142" s="62" t="s">
        <v>109</v>
      </c>
      <c r="F6142" s="62" t="s">
        <v>110</v>
      </c>
      <c r="G6142" s="64" t="s">
        <v>59</v>
      </c>
      <c r="H6142" s="3" t="s">
        <v>68</v>
      </c>
      <c r="I6142" s="65" t="str">
        <f>IFERROR(VLOOKUP(A6142,'3. Call duration'!$A:$C,3,0),"--")</f>
        <v>--</v>
      </c>
      <c r="J6142" s="65" t="str">
        <f t="array" ref="J6142">XLOOKUP(H6142,'2. Matching'!$A$2:$A$39,'2. Matching'!$B$2:$B$39,"--")</f>
        <v>Acquisition</v>
      </c>
      <c r="K6142" s="65" t="str">
        <f t="shared" si="1"/>
        <v>In</v>
      </c>
    </row>
    <row r="6143">
      <c r="A6143" s="62" t="s">
        <v>6281</v>
      </c>
      <c r="B6143" s="63">
        <v>44347.0</v>
      </c>
      <c r="C6143" s="62" t="s">
        <v>112</v>
      </c>
      <c r="D6143" s="64">
        <v>0.0</v>
      </c>
      <c r="E6143" s="62" t="s">
        <v>109</v>
      </c>
      <c r="F6143" s="62" t="s">
        <v>110</v>
      </c>
      <c r="G6143" s="64" t="s">
        <v>60</v>
      </c>
      <c r="H6143" s="3" t="s">
        <v>67</v>
      </c>
      <c r="I6143" s="65" t="str">
        <f>IFERROR(VLOOKUP(A6143,'3. Call duration'!$A:$C,3,0),"--")</f>
        <v>--</v>
      </c>
      <c r="J6143" s="65" t="str">
        <f t="array" ref="J6143">XLOOKUP(H6143,'2. Matching'!$A$2:$A$39,'2. Matching'!$B$2:$B$39,"--")</f>
        <v>Acquisition</v>
      </c>
      <c r="K6143" s="65" t="str">
        <f t="shared" si="1"/>
        <v>In</v>
      </c>
    </row>
    <row r="6144">
      <c r="A6144" s="62" t="s">
        <v>6282</v>
      </c>
      <c r="B6144" s="63">
        <v>44376.0</v>
      </c>
      <c r="C6144" s="62" t="s">
        <v>119</v>
      </c>
      <c r="D6144" s="64">
        <v>47.5</v>
      </c>
      <c r="E6144" s="62" t="s">
        <v>109</v>
      </c>
      <c r="F6144" s="62" t="s">
        <v>110</v>
      </c>
      <c r="G6144" s="64" t="s">
        <v>60</v>
      </c>
      <c r="H6144" s="3" t="s">
        <v>67</v>
      </c>
      <c r="I6144" s="65">
        <f>IFERROR(VLOOKUP(A6144,'3. Call duration'!$A:$C,3,0),"--")</f>
        <v>24.19327839</v>
      </c>
      <c r="J6144" s="65" t="str">
        <f t="array" ref="J6144">XLOOKUP(H6144,'2. Matching'!$A$2:$A$39,'2. Matching'!$B$2:$B$39,"--")</f>
        <v>Acquisition</v>
      </c>
      <c r="K6144" s="65" t="str">
        <f t="shared" si="1"/>
        <v>In</v>
      </c>
    </row>
    <row r="6145">
      <c r="A6145" s="62" t="s">
        <v>6283</v>
      </c>
      <c r="B6145" s="63">
        <v>44343.0</v>
      </c>
      <c r="C6145" s="62" t="s">
        <v>112</v>
      </c>
      <c r="D6145" s="64">
        <v>0.0</v>
      </c>
      <c r="E6145" s="62" t="s">
        <v>109</v>
      </c>
      <c r="F6145" s="62" t="s">
        <v>110</v>
      </c>
      <c r="G6145" s="64" t="s">
        <v>60</v>
      </c>
      <c r="H6145" s="3" t="s">
        <v>68</v>
      </c>
      <c r="I6145" s="65" t="str">
        <f>IFERROR(VLOOKUP(A6145,'3. Call duration'!$A:$C,3,0),"--")</f>
        <v>--</v>
      </c>
      <c r="J6145" s="65" t="str">
        <f t="array" ref="J6145">XLOOKUP(H6145,'2. Matching'!$A$2:$A$39,'2. Matching'!$B$2:$B$39,"--")</f>
        <v>Acquisition</v>
      </c>
      <c r="K6145" s="65" t="str">
        <f t="shared" si="1"/>
        <v>In</v>
      </c>
    </row>
    <row r="6146">
      <c r="A6146" s="62" t="s">
        <v>6284</v>
      </c>
      <c r="B6146" s="63">
        <v>44376.0</v>
      </c>
      <c r="C6146" s="62" t="s">
        <v>119</v>
      </c>
      <c r="D6146" s="64">
        <v>47.5</v>
      </c>
      <c r="E6146" s="62" t="s">
        <v>109</v>
      </c>
      <c r="F6146" s="62" t="s">
        <v>115</v>
      </c>
      <c r="G6146" s="64" t="s">
        <v>60</v>
      </c>
      <c r="H6146" s="3" t="s">
        <v>68</v>
      </c>
      <c r="I6146" s="65">
        <f>IFERROR(VLOOKUP(A6146,'3. Call duration'!$A:$C,3,0),"--")</f>
        <v>20.34623489</v>
      </c>
      <c r="J6146" s="65" t="str">
        <f t="array" ref="J6146">XLOOKUP(H6146,'2. Matching'!$A$2:$A$39,'2. Matching'!$B$2:$B$39,"--")</f>
        <v>Acquisition</v>
      </c>
      <c r="K6146" s="65" t="str">
        <f t="shared" si="1"/>
        <v>In</v>
      </c>
    </row>
    <row r="6147">
      <c r="A6147" s="62" t="s">
        <v>6285</v>
      </c>
      <c r="B6147" s="63">
        <v>44372.0</v>
      </c>
      <c r="C6147" s="62" t="s">
        <v>119</v>
      </c>
      <c r="D6147" s="64">
        <v>47.5</v>
      </c>
      <c r="E6147" s="62" t="s">
        <v>109</v>
      </c>
      <c r="F6147" s="62" t="s">
        <v>115</v>
      </c>
      <c r="G6147" s="64" t="s">
        <v>60</v>
      </c>
      <c r="H6147" s="3" t="s">
        <v>68</v>
      </c>
      <c r="I6147" s="65">
        <f>IFERROR(VLOOKUP(A6147,'3. Call duration'!$A:$C,3,0),"--")</f>
        <v>25.17041917</v>
      </c>
      <c r="J6147" s="65" t="str">
        <f t="array" ref="J6147">XLOOKUP(H6147,'2. Matching'!$A$2:$A$39,'2. Matching'!$B$2:$B$39,"--")</f>
        <v>Acquisition</v>
      </c>
      <c r="K6147" s="65" t="str">
        <f t="shared" si="1"/>
        <v>In</v>
      </c>
    </row>
    <row r="6148">
      <c r="A6148" s="62" t="s">
        <v>6286</v>
      </c>
      <c r="B6148" s="63">
        <v>44356.0</v>
      </c>
      <c r="C6148" s="62" t="s">
        <v>119</v>
      </c>
      <c r="D6148" s="64">
        <v>47.5</v>
      </c>
      <c r="E6148" s="62" t="s">
        <v>109</v>
      </c>
      <c r="F6148" s="62" t="s">
        <v>115</v>
      </c>
      <c r="G6148" s="64" t="s">
        <v>64</v>
      </c>
      <c r="H6148" s="3" t="s">
        <v>131</v>
      </c>
      <c r="I6148" s="65">
        <f>IFERROR(VLOOKUP(A6148,'3. Call duration'!$A:$C,3,0),"--")</f>
        <v>41.89822335</v>
      </c>
      <c r="J6148" s="65" t="str">
        <f t="array" ref="J6148">XLOOKUP(H6148,'2. Matching'!$A$2:$A$39,'2. Matching'!$B$2:$B$39,"--")</f>
        <v>Acquisition</v>
      </c>
      <c r="K6148" s="65" t="str">
        <f t="shared" si="1"/>
        <v>In</v>
      </c>
    </row>
    <row r="6149">
      <c r="A6149" s="62" t="s">
        <v>6287</v>
      </c>
      <c r="B6149" s="63">
        <v>44355.0</v>
      </c>
      <c r="C6149" s="62" t="s">
        <v>119</v>
      </c>
      <c r="D6149" s="64">
        <v>47.5</v>
      </c>
      <c r="E6149" s="62" t="s">
        <v>109</v>
      </c>
      <c r="F6149" s="62" t="s">
        <v>115</v>
      </c>
      <c r="G6149" s="64" t="s">
        <v>64</v>
      </c>
      <c r="H6149" s="3" t="s">
        <v>185</v>
      </c>
      <c r="I6149" s="65">
        <f>IFERROR(VLOOKUP(A6149,'3. Call duration'!$A:$C,3,0),"--")</f>
        <v>21.60142306</v>
      </c>
      <c r="J6149" s="65" t="str">
        <f t="array" ref="J6149">XLOOKUP(H6149,'2. Matching'!$A$2:$A$39,'2. Matching'!$B$2:$B$39,"--")</f>
        <v>SEO</v>
      </c>
      <c r="K6149" s="65" t="str">
        <f t="shared" si="1"/>
        <v>In</v>
      </c>
    </row>
    <row r="6150">
      <c r="A6150" s="62" t="s">
        <v>6288</v>
      </c>
      <c r="B6150" s="63">
        <v>44376.0</v>
      </c>
      <c r="C6150" s="62" t="s">
        <v>119</v>
      </c>
      <c r="D6150" s="64">
        <v>47.5</v>
      </c>
      <c r="E6150" s="62" t="s">
        <v>109</v>
      </c>
      <c r="F6150" s="62" t="s">
        <v>110</v>
      </c>
      <c r="G6150" s="64" t="s">
        <v>60</v>
      </c>
      <c r="H6150" s="3" t="s">
        <v>68</v>
      </c>
      <c r="I6150" s="65">
        <f>IFERROR(VLOOKUP(A6150,'3. Call duration'!$A:$C,3,0),"--")</f>
        <v>22.2840554</v>
      </c>
      <c r="J6150" s="65" t="str">
        <f t="array" ref="J6150">XLOOKUP(H6150,'2. Matching'!$A$2:$A$39,'2. Matching'!$B$2:$B$39,"--")</f>
        <v>Acquisition</v>
      </c>
      <c r="K6150" s="65" t="str">
        <f t="shared" si="1"/>
        <v>In</v>
      </c>
    </row>
    <row r="6151">
      <c r="A6151" s="62" t="s">
        <v>6289</v>
      </c>
      <c r="B6151" s="63">
        <v>44320.0</v>
      </c>
      <c r="C6151" s="62" t="s">
        <v>112</v>
      </c>
      <c r="D6151" s="64">
        <v>0.0</v>
      </c>
      <c r="E6151" s="62" t="s">
        <v>109</v>
      </c>
      <c r="F6151" s="62" t="s">
        <v>115</v>
      </c>
      <c r="G6151" s="64" t="s">
        <v>59</v>
      </c>
      <c r="H6151" s="3" t="s">
        <v>68</v>
      </c>
      <c r="I6151" s="65" t="str">
        <f>IFERROR(VLOOKUP(A6151,'3. Call duration'!$A:$C,3,0),"--")</f>
        <v>--</v>
      </c>
      <c r="J6151" s="65" t="str">
        <f t="array" ref="J6151">XLOOKUP(H6151,'2. Matching'!$A$2:$A$39,'2. Matching'!$B$2:$B$39,"--")</f>
        <v>Acquisition</v>
      </c>
      <c r="K6151" s="65" t="str">
        <f t="shared" si="1"/>
        <v>In</v>
      </c>
    </row>
    <row r="6152">
      <c r="A6152" s="62" t="s">
        <v>6290</v>
      </c>
      <c r="B6152" s="63">
        <v>44322.0</v>
      </c>
      <c r="C6152" s="62" t="s">
        <v>112</v>
      </c>
      <c r="D6152" s="64">
        <v>0.0</v>
      </c>
      <c r="E6152" s="62" t="s">
        <v>109</v>
      </c>
      <c r="F6152" s="62" t="s">
        <v>115</v>
      </c>
      <c r="G6152" s="64" t="s">
        <v>63</v>
      </c>
      <c r="H6152" s="3" t="s">
        <v>183</v>
      </c>
      <c r="I6152" s="65" t="str">
        <f>IFERROR(VLOOKUP(A6152,'3. Call duration'!$A:$C,3,0),"--")</f>
        <v>--</v>
      </c>
      <c r="J6152" s="65" t="str">
        <f t="array" ref="J6152">XLOOKUP(H6152,'2. Matching'!$A$2:$A$39,'2. Matching'!$B$2:$B$39,"--")</f>
        <v>SEO</v>
      </c>
      <c r="K6152" s="65" t="str">
        <f t="shared" si="1"/>
        <v>In</v>
      </c>
    </row>
    <row r="6153">
      <c r="A6153" s="62" t="s">
        <v>6291</v>
      </c>
      <c r="B6153" s="63">
        <v>44342.0</v>
      </c>
      <c r="C6153" s="62" t="s">
        <v>112</v>
      </c>
      <c r="D6153" s="64">
        <v>0.0</v>
      </c>
      <c r="E6153" s="62" t="s">
        <v>109</v>
      </c>
      <c r="F6153" s="62" t="s">
        <v>110</v>
      </c>
      <c r="G6153" s="64" t="s">
        <v>64</v>
      </c>
      <c r="H6153" s="3" t="s">
        <v>54</v>
      </c>
      <c r="I6153" s="65" t="str">
        <f>IFERROR(VLOOKUP(A6153,'3. Call duration'!$A:$C,3,0),"--")</f>
        <v>--</v>
      </c>
      <c r="J6153" s="65" t="str">
        <f t="array" ref="J6153">XLOOKUP(H6153,'2. Matching'!$A$2:$A$39,'2. Matching'!$B$2:$B$39,"--")</f>
        <v>Partnerships</v>
      </c>
      <c r="K6153" s="65" t="str">
        <f t="shared" si="1"/>
        <v>In</v>
      </c>
    </row>
    <row r="6154">
      <c r="A6154" s="62" t="s">
        <v>6292</v>
      </c>
      <c r="B6154" s="63">
        <v>44347.0</v>
      </c>
      <c r="C6154" s="62" t="s">
        <v>112</v>
      </c>
      <c r="D6154" s="64">
        <v>0.0</v>
      </c>
      <c r="E6154" s="62" t="s">
        <v>109</v>
      </c>
      <c r="F6154" s="62" t="s">
        <v>110</v>
      </c>
      <c r="G6154" s="64" t="s">
        <v>64</v>
      </c>
      <c r="H6154" s="3" t="s">
        <v>175</v>
      </c>
      <c r="I6154" s="65" t="str">
        <f>IFERROR(VLOOKUP(A6154,'3. Call duration'!$A:$C,3,0),"--")</f>
        <v>--</v>
      </c>
      <c r="J6154" s="65" t="str">
        <f t="array" ref="J6154">XLOOKUP(H6154,'2. Matching'!$A$2:$A$39,'2. Matching'!$B$2:$B$39,"--")</f>
        <v>SEO</v>
      </c>
      <c r="K6154" s="65" t="str">
        <f t="shared" si="1"/>
        <v>In</v>
      </c>
    </row>
    <row r="6155">
      <c r="A6155" s="62" t="s">
        <v>6293</v>
      </c>
      <c r="B6155" s="63">
        <v>44362.0</v>
      </c>
      <c r="C6155" s="62" t="s">
        <v>119</v>
      </c>
      <c r="D6155" s="64">
        <v>47.5</v>
      </c>
      <c r="E6155" s="62" t="s">
        <v>109</v>
      </c>
      <c r="F6155" s="62" t="s">
        <v>110</v>
      </c>
      <c r="G6155" s="64" t="s">
        <v>60</v>
      </c>
      <c r="H6155" s="3" t="s">
        <v>67</v>
      </c>
      <c r="I6155" s="65">
        <f>IFERROR(VLOOKUP(A6155,'3. Call duration'!$A:$C,3,0),"--")</f>
        <v>23.90386063</v>
      </c>
      <c r="J6155" s="65" t="str">
        <f t="array" ref="J6155">XLOOKUP(H6155,'2. Matching'!$A$2:$A$39,'2. Matching'!$B$2:$B$39,"--")</f>
        <v>Acquisition</v>
      </c>
      <c r="K6155" s="65" t="str">
        <f t="shared" si="1"/>
        <v>In</v>
      </c>
    </row>
    <row r="6156">
      <c r="A6156" s="62" t="s">
        <v>6294</v>
      </c>
      <c r="B6156" s="63">
        <v>44336.0</v>
      </c>
      <c r="C6156" s="62" t="s">
        <v>112</v>
      </c>
      <c r="D6156" s="64">
        <v>0.0</v>
      </c>
      <c r="E6156" s="62" t="s">
        <v>109</v>
      </c>
      <c r="F6156" s="62" t="s">
        <v>110</v>
      </c>
      <c r="G6156" s="64" t="s">
        <v>63</v>
      </c>
      <c r="H6156" s="3" t="s">
        <v>228</v>
      </c>
      <c r="I6156" s="65" t="str">
        <f>IFERROR(VLOOKUP(A6156,'3. Call duration'!$A:$C,3,0),"--")</f>
        <v>--</v>
      </c>
      <c r="J6156" s="65" t="str">
        <f t="array" ref="J6156">XLOOKUP(H6156,'2. Matching'!$A$2:$A$39,'2. Matching'!$B$2:$B$39,"--")</f>
        <v>Farming</v>
      </c>
      <c r="K6156" s="65" t="str">
        <f t="shared" si="1"/>
        <v>In</v>
      </c>
    </row>
    <row r="6157">
      <c r="A6157" s="62" t="s">
        <v>6295</v>
      </c>
      <c r="B6157" s="63">
        <v>44369.0</v>
      </c>
      <c r="C6157" s="62" t="s">
        <v>119</v>
      </c>
      <c r="D6157" s="64">
        <v>47.5</v>
      </c>
      <c r="E6157" s="62" t="s">
        <v>109</v>
      </c>
      <c r="F6157" s="62" t="s">
        <v>115</v>
      </c>
      <c r="G6157" s="64" t="s">
        <v>63</v>
      </c>
      <c r="H6157" s="3" t="s">
        <v>124</v>
      </c>
      <c r="I6157" s="65">
        <f>IFERROR(VLOOKUP(A6157,'3. Call duration'!$A:$C,3,0),"--")</f>
        <v>16.40185574</v>
      </c>
      <c r="J6157" s="65" t="str">
        <f t="array" ref="J6157">XLOOKUP(H6157,'2. Matching'!$A$2:$A$39,'2. Matching'!$B$2:$B$39,"--")</f>
        <v>Acquisition</v>
      </c>
      <c r="K6157" s="65" t="str">
        <f t="shared" si="1"/>
        <v>In</v>
      </c>
    </row>
    <row r="6158">
      <c r="A6158" s="62" t="s">
        <v>6296</v>
      </c>
      <c r="B6158" s="63">
        <v>44342.0</v>
      </c>
      <c r="C6158" s="62" t="s">
        <v>112</v>
      </c>
      <c r="D6158" s="64">
        <v>0.0</v>
      </c>
      <c r="E6158" s="62" t="s">
        <v>114</v>
      </c>
      <c r="F6158" s="62" t="s">
        <v>110</v>
      </c>
      <c r="G6158" s="64" t="s">
        <v>64</v>
      </c>
      <c r="H6158" s="3" t="s">
        <v>175</v>
      </c>
      <c r="I6158" s="65" t="str">
        <f>IFERROR(VLOOKUP(A6158,'3. Call duration'!$A:$C,3,0),"--")</f>
        <v>--</v>
      </c>
      <c r="J6158" s="65" t="str">
        <f t="array" ref="J6158">XLOOKUP(H6158,'2. Matching'!$A$2:$A$39,'2. Matching'!$B$2:$B$39,"--")</f>
        <v>SEO</v>
      </c>
      <c r="K6158" s="65" t="str">
        <f t="shared" si="1"/>
        <v>In</v>
      </c>
    </row>
    <row r="6159">
      <c r="A6159" s="62" t="s">
        <v>6297</v>
      </c>
      <c r="B6159" s="63">
        <v>44336.0</v>
      </c>
      <c r="C6159" s="62" t="s">
        <v>112</v>
      </c>
      <c r="D6159" s="64">
        <v>0.0</v>
      </c>
      <c r="E6159" s="62" t="s">
        <v>109</v>
      </c>
      <c r="F6159" s="62" t="s">
        <v>110</v>
      </c>
      <c r="G6159" s="64" t="s">
        <v>63</v>
      </c>
      <c r="H6159" s="3" t="s">
        <v>189</v>
      </c>
      <c r="I6159" s="65" t="str">
        <f>IFERROR(VLOOKUP(A6159,'3. Call duration'!$A:$C,3,0),"--")</f>
        <v>--</v>
      </c>
      <c r="J6159" s="65" t="str">
        <f t="array" ref="J6159">XLOOKUP(H6159,'2. Matching'!$A$2:$A$39,'2. Matching'!$B$2:$B$39,"--")</f>
        <v>SEO</v>
      </c>
      <c r="K6159" s="65" t="str">
        <f t="shared" si="1"/>
        <v>Out</v>
      </c>
    </row>
    <row r="6160">
      <c r="A6160" s="62" t="s">
        <v>6298</v>
      </c>
      <c r="B6160" s="63">
        <v>44327.0</v>
      </c>
      <c r="C6160" s="62" t="s">
        <v>112</v>
      </c>
      <c r="D6160" s="64">
        <v>0.0</v>
      </c>
      <c r="E6160" s="62" t="s">
        <v>109</v>
      </c>
      <c r="F6160" s="62" t="s">
        <v>110</v>
      </c>
      <c r="G6160" s="64" t="s">
        <v>64</v>
      </c>
      <c r="H6160" s="3" t="s">
        <v>145</v>
      </c>
      <c r="I6160" s="65" t="str">
        <f>IFERROR(VLOOKUP(A6160,'3. Call duration'!$A:$C,3,0),"--")</f>
        <v>--</v>
      </c>
      <c r="J6160" s="65" t="str">
        <f t="array" ref="J6160">XLOOKUP(H6160,'2. Matching'!$A$2:$A$39,'2. Matching'!$B$2:$B$39,"--")</f>
        <v>SEO</v>
      </c>
      <c r="K6160" s="65" t="str">
        <f t="shared" si="1"/>
        <v>In</v>
      </c>
    </row>
    <row r="6161">
      <c r="A6161" s="62" t="s">
        <v>6299</v>
      </c>
      <c r="B6161" s="63">
        <v>44347.0</v>
      </c>
      <c r="C6161" s="62" t="s">
        <v>112</v>
      </c>
      <c r="D6161" s="64">
        <v>0.0</v>
      </c>
      <c r="E6161" s="62" t="s">
        <v>114</v>
      </c>
      <c r="F6161" s="62" t="s">
        <v>115</v>
      </c>
      <c r="G6161" s="64" t="s">
        <v>60</v>
      </c>
      <c r="H6161" s="3" t="s">
        <v>68</v>
      </c>
      <c r="I6161" s="65" t="str">
        <f>IFERROR(VLOOKUP(A6161,'3. Call duration'!$A:$C,3,0),"--")</f>
        <v>--</v>
      </c>
      <c r="J6161" s="65" t="str">
        <f t="array" ref="J6161">XLOOKUP(H6161,'2. Matching'!$A$2:$A$39,'2. Matching'!$B$2:$B$39,"--")</f>
        <v>Acquisition</v>
      </c>
      <c r="K6161" s="65" t="str">
        <f t="shared" si="1"/>
        <v>In</v>
      </c>
    </row>
    <row r="6162">
      <c r="A6162" s="62" t="s">
        <v>6300</v>
      </c>
      <c r="B6162" s="63">
        <v>44372.0</v>
      </c>
      <c r="C6162" s="62" t="s">
        <v>119</v>
      </c>
      <c r="D6162" s="64">
        <v>47.5</v>
      </c>
      <c r="E6162" s="62" t="s">
        <v>109</v>
      </c>
      <c r="F6162" s="62" t="s">
        <v>115</v>
      </c>
      <c r="G6162" s="64" t="s">
        <v>59</v>
      </c>
      <c r="H6162" s="3" t="s">
        <v>68</v>
      </c>
      <c r="I6162" s="65">
        <f>IFERROR(VLOOKUP(A6162,'3. Call duration'!$A:$C,3,0),"--")</f>
        <v>16.76756546</v>
      </c>
      <c r="J6162" s="65" t="str">
        <f t="array" ref="J6162">XLOOKUP(H6162,'2. Matching'!$A$2:$A$39,'2. Matching'!$B$2:$B$39,"--")</f>
        <v>Acquisition</v>
      </c>
      <c r="K6162" s="65" t="str">
        <f t="shared" si="1"/>
        <v>In</v>
      </c>
    </row>
    <row r="6163">
      <c r="A6163" s="62" t="s">
        <v>6301</v>
      </c>
      <c r="B6163" s="63">
        <v>44345.0</v>
      </c>
      <c r="C6163" s="62" t="s">
        <v>112</v>
      </c>
      <c r="D6163" s="64">
        <v>0.0</v>
      </c>
      <c r="E6163" s="62" t="s">
        <v>109</v>
      </c>
      <c r="F6163" s="62" t="s">
        <v>110</v>
      </c>
      <c r="G6163" s="64" t="s">
        <v>64</v>
      </c>
      <c r="H6163" s="3" t="s">
        <v>52</v>
      </c>
      <c r="I6163" s="65" t="str">
        <f>IFERROR(VLOOKUP(A6163,'3. Call duration'!$A:$C,3,0),"--")</f>
        <v>--</v>
      </c>
      <c r="J6163" s="65" t="str">
        <f t="array" ref="J6163">XLOOKUP(H6163,'2. Matching'!$A$2:$A$39,'2. Matching'!$B$2:$B$39,"--")</f>
        <v>Partnerships</v>
      </c>
      <c r="K6163" s="65" t="str">
        <f t="shared" si="1"/>
        <v>In</v>
      </c>
    </row>
    <row r="6164">
      <c r="A6164" s="62" t="s">
        <v>6302</v>
      </c>
      <c r="B6164" s="63">
        <v>44350.0</v>
      </c>
      <c r="C6164" s="62" t="s">
        <v>119</v>
      </c>
      <c r="D6164" s="64">
        <v>47.5</v>
      </c>
      <c r="E6164" s="62" t="s">
        <v>109</v>
      </c>
      <c r="F6164" s="62" t="s">
        <v>115</v>
      </c>
      <c r="G6164" s="64" t="s">
        <v>64</v>
      </c>
      <c r="H6164" s="3" t="s">
        <v>185</v>
      </c>
      <c r="I6164" s="65">
        <f>IFERROR(VLOOKUP(A6164,'3. Call duration'!$A:$C,3,0),"--")</f>
        <v>47.71937453</v>
      </c>
      <c r="J6164" s="65" t="str">
        <f t="array" ref="J6164">XLOOKUP(H6164,'2. Matching'!$A$2:$A$39,'2. Matching'!$B$2:$B$39,"--")</f>
        <v>SEO</v>
      </c>
      <c r="K6164" s="65" t="str">
        <f t="shared" si="1"/>
        <v>In</v>
      </c>
    </row>
    <row r="6165">
      <c r="A6165" s="62" t="s">
        <v>6303</v>
      </c>
      <c r="B6165" s="63">
        <v>44375.0</v>
      </c>
      <c r="C6165" s="62" t="s">
        <v>119</v>
      </c>
      <c r="D6165" s="64">
        <v>47.5</v>
      </c>
      <c r="E6165" s="62" t="s">
        <v>109</v>
      </c>
      <c r="F6165" s="62" t="s">
        <v>115</v>
      </c>
      <c r="G6165" s="64" t="s">
        <v>64</v>
      </c>
      <c r="H6165" s="3" t="s">
        <v>171</v>
      </c>
      <c r="I6165" s="65">
        <f>IFERROR(VLOOKUP(A6165,'3. Call duration'!$A:$C,3,0),"--")</f>
        <v>28.57264742</v>
      </c>
      <c r="J6165" s="65" t="str">
        <f t="array" ref="J6165">XLOOKUP(H6165,'2. Matching'!$A$2:$A$39,'2. Matching'!$B$2:$B$39,"--")</f>
        <v>SEO</v>
      </c>
      <c r="K6165" s="65" t="str">
        <f t="shared" si="1"/>
        <v>In</v>
      </c>
    </row>
    <row r="6166">
      <c r="A6166" s="62" t="s">
        <v>6304</v>
      </c>
      <c r="B6166" s="63">
        <v>44336.0</v>
      </c>
      <c r="C6166" s="62" t="s">
        <v>112</v>
      </c>
      <c r="D6166" s="64">
        <v>0.0</v>
      </c>
      <c r="E6166" s="62" t="s">
        <v>109</v>
      </c>
      <c r="F6166" s="62" t="s">
        <v>110</v>
      </c>
      <c r="G6166" s="64" t="s">
        <v>64</v>
      </c>
      <c r="H6166" s="3" t="s">
        <v>131</v>
      </c>
      <c r="I6166" s="65" t="str">
        <f>IFERROR(VLOOKUP(A6166,'3. Call duration'!$A:$C,3,0),"--")</f>
        <v>--</v>
      </c>
      <c r="J6166" s="65" t="str">
        <f t="array" ref="J6166">XLOOKUP(H6166,'2. Matching'!$A$2:$A$39,'2. Matching'!$B$2:$B$39,"--")</f>
        <v>Acquisition</v>
      </c>
      <c r="K6166" s="65" t="str">
        <f t="shared" si="1"/>
        <v>In</v>
      </c>
    </row>
    <row r="6167">
      <c r="A6167" s="62" t="s">
        <v>6305</v>
      </c>
      <c r="B6167" s="63">
        <v>44370.0</v>
      </c>
      <c r="C6167" s="62" t="s">
        <v>119</v>
      </c>
      <c r="D6167" s="64">
        <v>47.5</v>
      </c>
      <c r="E6167" s="62" t="s">
        <v>109</v>
      </c>
      <c r="F6167" s="62" t="s">
        <v>115</v>
      </c>
      <c r="G6167" s="64" t="s">
        <v>112</v>
      </c>
      <c r="H6167" s="3"/>
      <c r="I6167" s="65">
        <f>IFERROR(VLOOKUP(A6167,'3. Call duration'!$A:$C,3,0),"--")</f>
        <v>33.02395339</v>
      </c>
      <c r="J6167" s="65" t="str">
        <f t="array" ref="J6167">XLOOKUP(H6167,'2. Matching'!$A$2:$A$39,'2. Matching'!$B$2:$B$39,"--")</f>
        <v>--</v>
      </c>
      <c r="K6167" s="65" t="str">
        <f t="shared" si="1"/>
        <v>In</v>
      </c>
    </row>
    <row r="6168">
      <c r="A6168" s="62" t="s">
        <v>6306</v>
      </c>
      <c r="B6168" s="63">
        <v>44330.0</v>
      </c>
      <c r="C6168" s="62" t="s">
        <v>112</v>
      </c>
      <c r="D6168" s="64">
        <v>0.0</v>
      </c>
      <c r="E6168" s="62" t="s">
        <v>109</v>
      </c>
      <c r="F6168" s="62" t="s">
        <v>115</v>
      </c>
      <c r="G6168" s="64" t="s">
        <v>112</v>
      </c>
      <c r="H6168" s="3"/>
      <c r="I6168" s="65" t="str">
        <f>IFERROR(VLOOKUP(A6168,'3. Call duration'!$A:$C,3,0),"--")</f>
        <v>--</v>
      </c>
      <c r="J6168" s="65" t="str">
        <f t="array" ref="J6168">XLOOKUP(H6168,'2. Matching'!$A$2:$A$39,'2. Matching'!$B$2:$B$39,"--")</f>
        <v>--</v>
      </c>
      <c r="K6168" s="65" t="str">
        <f t="shared" si="1"/>
        <v>In</v>
      </c>
    </row>
    <row r="6169">
      <c r="A6169" s="62" t="s">
        <v>6307</v>
      </c>
      <c r="B6169" s="63">
        <v>44350.0</v>
      </c>
      <c r="C6169" s="62" t="s">
        <v>119</v>
      </c>
      <c r="D6169" s="64">
        <v>47.5</v>
      </c>
      <c r="E6169" s="62" t="s">
        <v>109</v>
      </c>
      <c r="F6169" s="62" t="s">
        <v>110</v>
      </c>
      <c r="G6169" s="64" t="s">
        <v>60</v>
      </c>
      <c r="H6169" s="3" t="s">
        <v>68</v>
      </c>
      <c r="I6169" s="65">
        <f>IFERROR(VLOOKUP(A6169,'3. Call duration'!$A:$C,3,0),"--")</f>
        <v>26.58959231</v>
      </c>
      <c r="J6169" s="65" t="str">
        <f t="array" ref="J6169">XLOOKUP(H6169,'2. Matching'!$A$2:$A$39,'2. Matching'!$B$2:$B$39,"--")</f>
        <v>Acquisition</v>
      </c>
      <c r="K6169" s="65" t="str">
        <f t="shared" si="1"/>
        <v>In</v>
      </c>
    </row>
    <row r="6170">
      <c r="A6170" s="62" t="s">
        <v>6308</v>
      </c>
      <c r="B6170" s="63">
        <v>44377.0</v>
      </c>
      <c r="C6170" s="62" t="s">
        <v>119</v>
      </c>
      <c r="D6170" s="64">
        <v>47.5</v>
      </c>
      <c r="E6170" s="62" t="s">
        <v>109</v>
      </c>
      <c r="F6170" s="62" t="s">
        <v>115</v>
      </c>
      <c r="G6170" s="64" t="s">
        <v>64</v>
      </c>
      <c r="H6170" s="3" t="s">
        <v>169</v>
      </c>
      <c r="I6170" s="65">
        <f>IFERROR(VLOOKUP(A6170,'3. Call duration'!$A:$C,3,0),"--")</f>
        <v>30.23092551</v>
      </c>
      <c r="J6170" s="65" t="str">
        <f t="array" ref="J6170">XLOOKUP(H6170,'2. Matching'!$A$2:$A$39,'2. Matching'!$B$2:$B$39,"--")</f>
        <v>SEO</v>
      </c>
      <c r="K6170" s="65" t="str">
        <f t="shared" si="1"/>
        <v>In</v>
      </c>
    </row>
    <row r="6171">
      <c r="A6171" s="62" t="s">
        <v>6309</v>
      </c>
      <c r="B6171" s="63">
        <v>44376.0</v>
      </c>
      <c r="C6171" s="62" t="s">
        <v>119</v>
      </c>
      <c r="D6171" s="64">
        <v>47.5</v>
      </c>
      <c r="E6171" s="62" t="s">
        <v>109</v>
      </c>
      <c r="F6171" s="62" t="s">
        <v>110</v>
      </c>
      <c r="G6171" s="64" t="s">
        <v>59</v>
      </c>
      <c r="H6171" s="3" t="s">
        <v>68</v>
      </c>
      <c r="I6171" s="65">
        <f>IFERROR(VLOOKUP(A6171,'3. Call duration'!$A:$C,3,0),"--")</f>
        <v>27.43349375</v>
      </c>
      <c r="J6171" s="65" t="str">
        <f t="array" ref="J6171">XLOOKUP(H6171,'2. Matching'!$A$2:$A$39,'2. Matching'!$B$2:$B$39,"--")</f>
        <v>Acquisition</v>
      </c>
      <c r="K6171" s="65" t="str">
        <f t="shared" si="1"/>
        <v>In</v>
      </c>
    </row>
    <row r="6172">
      <c r="A6172" s="62" t="s">
        <v>6310</v>
      </c>
      <c r="B6172" s="63">
        <v>44372.0</v>
      </c>
      <c r="C6172" s="62" t="s">
        <v>119</v>
      </c>
      <c r="D6172" s="64">
        <v>47.5</v>
      </c>
      <c r="E6172" s="62" t="s">
        <v>109</v>
      </c>
      <c r="F6172" s="62" t="s">
        <v>115</v>
      </c>
      <c r="G6172" s="64" t="s">
        <v>64</v>
      </c>
      <c r="H6172" s="3" t="s">
        <v>131</v>
      </c>
      <c r="I6172" s="65">
        <f>IFERROR(VLOOKUP(A6172,'3. Call duration'!$A:$C,3,0),"--")</f>
        <v>11.27693051</v>
      </c>
      <c r="J6172" s="65" t="str">
        <f t="array" ref="J6172">XLOOKUP(H6172,'2. Matching'!$A$2:$A$39,'2. Matching'!$B$2:$B$39,"--")</f>
        <v>Acquisition</v>
      </c>
      <c r="K6172" s="65" t="str">
        <f t="shared" si="1"/>
        <v>In</v>
      </c>
    </row>
    <row r="6173">
      <c r="A6173" s="62" t="s">
        <v>6311</v>
      </c>
      <c r="B6173" s="63">
        <v>44357.0</v>
      </c>
      <c r="C6173" s="62" t="s">
        <v>119</v>
      </c>
      <c r="D6173" s="64">
        <v>47.5</v>
      </c>
      <c r="E6173" s="62" t="s">
        <v>109</v>
      </c>
      <c r="F6173" s="62" t="s">
        <v>115</v>
      </c>
      <c r="G6173" s="64" t="s">
        <v>63</v>
      </c>
      <c r="H6173" s="3" t="s">
        <v>189</v>
      </c>
      <c r="I6173" s="65">
        <f>IFERROR(VLOOKUP(A6173,'3. Call duration'!$A:$C,3,0),"--")</f>
        <v>26.13632703</v>
      </c>
      <c r="J6173" s="65" t="str">
        <f t="array" ref="J6173">XLOOKUP(H6173,'2. Matching'!$A$2:$A$39,'2. Matching'!$B$2:$B$39,"--")</f>
        <v>SEO</v>
      </c>
      <c r="K6173" s="65" t="str">
        <f t="shared" si="1"/>
        <v>Out</v>
      </c>
    </row>
    <row r="6174">
      <c r="A6174" s="62" t="s">
        <v>6312</v>
      </c>
      <c r="B6174" s="63">
        <v>44352.0</v>
      </c>
      <c r="C6174" s="62" t="s">
        <v>119</v>
      </c>
      <c r="D6174" s="64">
        <v>47.5</v>
      </c>
      <c r="E6174" s="62" t="s">
        <v>109</v>
      </c>
      <c r="F6174" s="62" t="s">
        <v>110</v>
      </c>
      <c r="G6174" s="64" t="s">
        <v>60</v>
      </c>
      <c r="H6174" s="3" t="s">
        <v>67</v>
      </c>
      <c r="I6174" s="65">
        <f>IFERROR(VLOOKUP(A6174,'3. Call duration'!$A:$C,3,0),"--")</f>
        <v>41.62251686</v>
      </c>
      <c r="J6174" s="65" t="str">
        <f t="array" ref="J6174">XLOOKUP(H6174,'2. Matching'!$A$2:$A$39,'2. Matching'!$B$2:$B$39,"--")</f>
        <v>Acquisition</v>
      </c>
      <c r="K6174" s="65" t="str">
        <f t="shared" si="1"/>
        <v>In</v>
      </c>
    </row>
    <row r="6175">
      <c r="A6175" s="62" t="s">
        <v>6313</v>
      </c>
      <c r="B6175" s="63">
        <v>44350.0</v>
      </c>
      <c r="C6175" s="62" t="s">
        <v>119</v>
      </c>
      <c r="D6175" s="64">
        <v>47.5</v>
      </c>
      <c r="E6175" s="62" t="s">
        <v>109</v>
      </c>
      <c r="F6175" s="62" t="s">
        <v>115</v>
      </c>
      <c r="G6175" s="64" t="s">
        <v>64</v>
      </c>
      <c r="H6175" s="3" t="s">
        <v>116</v>
      </c>
      <c r="I6175" s="65">
        <f>IFERROR(VLOOKUP(A6175,'3. Call duration'!$A:$C,3,0),"--")</f>
        <v>23.44050132</v>
      </c>
      <c r="J6175" s="65" t="str">
        <f t="array" ref="J6175">XLOOKUP(H6175,'2. Matching'!$A$2:$A$39,'2. Matching'!$B$2:$B$39,"--")</f>
        <v>Acquisition</v>
      </c>
      <c r="K6175" s="65" t="str">
        <f t="shared" si="1"/>
        <v>In</v>
      </c>
    </row>
    <row r="6176">
      <c r="A6176" s="62" t="s">
        <v>6314</v>
      </c>
      <c r="B6176" s="63">
        <v>44341.0</v>
      </c>
      <c r="C6176" s="62" t="s">
        <v>112</v>
      </c>
      <c r="D6176" s="64">
        <v>0.0</v>
      </c>
      <c r="E6176" s="62" t="s">
        <v>109</v>
      </c>
      <c r="F6176" s="62" t="s">
        <v>110</v>
      </c>
      <c r="G6176" s="64" t="s">
        <v>59</v>
      </c>
      <c r="H6176" s="3" t="s">
        <v>68</v>
      </c>
      <c r="I6176" s="65" t="str">
        <f>IFERROR(VLOOKUP(A6176,'3. Call duration'!$A:$C,3,0),"--")</f>
        <v>--</v>
      </c>
      <c r="J6176" s="65" t="str">
        <f t="array" ref="J6176">XLOOKUP(H6176,'2. Matching'!$A$2:$A$39,'2. Matching'!$B$2:$B$39,"--")</f>
        <v>Acquisition</v>
      </c>
      <c r="K6176" s="65" t="str">
        <f t="shared" si="1"/>
        <v>In</v>
      </c>
    </row>
    <row r="6177">
      <c r="A6177" s="62" t="s">
        <v>6315</v>
      </c>
      <c r="B6177" s="63">
        <v>44376.0</v>
      </c>
      <c r="C6177" s="62" t="s">
        <v>119</v>
      </c>
      <c r="D6177" s="64">
        <v>47.5</v>
      </c>
      <c r="E6177" s="62" t="s">
        <v>109</v>
      </c>
      <c r="F6177" s="62" t="s">
        <v>115</v>
      </c>
      <c r="G6177" s="64" t="s">
        <v>59</v>
      </c>
      <c r="H6177" s="3" t="s">
        <v>68</v>
      </c>
      <c r="I6177" s="65">
        <f>IFERROR(VLOOKUP(A6177,'3. Call duration'!$A:$C,3,0),"--")</f>
        <v>15.90706717</v>
      </c>
      <c r="J6177" s="65" t="str">
        <f t="array" ref="J6177">XLOOKUP(H6177,'2. Matching'!$A$2:$A$39,'2. Matching'!$B$2:$B$39,"--")</f>
        <v>Acquisition</v>
      </c>
      <c r="K6177" s="65" t="str">
        <f t="shared" si="1"/>
        <v>In</v>
      </c>
    </row>
    <row r="6178">
      <c r="A6178" s="62" t="s">
        <v>6316</v>
      </c>
      <c r="B6178" s="63">
        <v>44344.0</v>
      </c>
      <c r="C6178" s="62" t="s">
        <v>112</v>
      </c>
      <c r="D6178" s="64">
        <v>0.0</v>
      </c>
      <c r="E6178" s="62" t="s">
        <v>109</v>
      </c>
      <c r="F6178" s="62" t="s">
        <v>110</v>
      </c>
      <c r="G6178" s="64" t="s">
        <v>60</v>
      </c>
      <c r="H6178" s="3" t="s">
        <v>67</v>
      </c>
      <c r="I6178" s="65" t="str">
        <f>IFERROR(VLOOKUP(A6178,'3. Call duration'!$A:$C,3,0),"--")</f>
        <v>--</v>
      </c>
      <c r="J6178" s="65" t="str">
        <f t="array" ref="J6178">XLOOKUP(H6178,'2. Matching'!$A$2:$A$39,'2. Matching'!$B$2:$B$39,"--")</f>
        <v>Acquisition</v>
      </c>
      <c r="K6178" s="65" t="str">
        <f t="shared" si="1"/>
        <v>In</v>
      </c>
    </row>
    <row r="6179">
      <c r="A6179" s="62" t="s">
        <v>6317</v>
      </c>
      <c r="B6179" s="63">
        <v>44371.0</v>
      </c>
      <c r="C6179" s="62" t="s">
        <v>119</v>
      </c>
      <c r="D6179" s="64">
        <v>47.5</v>
      </c>
      <c r="E6179" s="62" t="s">
        <v>109</v>
      </c>
      <c r="F6179" s="62" t="s">
        <v>115</v>
      </c>
      <c r="G6179" s="64" t="s">
        <v>63</v>
      </c>
      <c r="H6179" s="3" t="s">
        <v>124</v>
      </c>
      <c r="I6179" s="65">
        <f>IFERROR(VLOOKUP(A6179,'3. Call duration'!$A:$C,3,0),"--")</f>
        <v>31.5935586</v>
      </c>
      <c r="J6179" s="65" t="str">
        <f t="array" ref="J6179">XLOOKUP(H6179,'2. Matching'!$A$2:$A$39,'2. Matching'!$B$2:$B$39,"--")</f>
        <v>Acquisition</v>
      </c>
      <c r="K6179" s="65" t="str">
        <f t="shared" si="1"/>
        <v>In</v>
      </c>
    </row>
    <row r="6180">
      <c r="A6180" s="62" t="s">
        <v>6318</v>
      </c>
      <c r="B6180" s="63">
        <v>44356.0</v>
      </c>
      <c r="C6180" s="62" t="s">
        <v>119</v>
      </c>
      <c r="D6180" s="64">
        <v>47.5</v>
      </c>
      <c r="E6180" s="62" t="s">
        <v>109</v>
      </c>
      <c r="F6180" s="62" t="s">
        <v>115</v>
      </c>
      <c r="G6180" s="64" t="s">
        <v>64</v>
      </c>
      <c r="H6180" s="3" t="s">
        <v>131</v>
      </c>
      <c r="I6180" s="65">
        <f>IFERROR(VLOOKUP(A6180,'3. Call duration'!$A:$C,3,0),"--")</f>
        <v>25.02092162</v>
      </c>
      <c r="J6180" s="65" t="str">
        <f t="array" ref="J6180">XLOOKUP(H6180,'2. Matching'!$A$2:$A$39,'2. Matching'!$B$2:$B$39,"--")</f>
        <v>Acquisition</v>
      </c>
      <c r="K6180" s="65" t="str">
        <f t="shared" si="1"/>
        <v>In</v>
      </c>
    </row>
    <row r="6181">
      <c r="A6181" s="62" t="s">
        <v>6319</v>
      </c>
      <c r="B6181" s="63">
        <v>44366.0</v>
      </c>
      <c r="C6181" s="62" t="s">
        <v>119</v>
      </c>
      <c r="D6181" s="64">
        <v>47.5</v>
      </c>
      <c r="E6181" s="62" t="s">
        <v>109</v>
      </c>
      <c r="F6181" s="62" t="s">
        <v>115</v>
      </c>
      <c r="G6181" s="64" t="s">
        <v>64</v>
      </c>
      <c r="H6181" s="3" t="s">
        <v>169</v>
      </c>
      <c r="I6181" s="65">
        <f>IFERROR(VLOOKUP(A6181,'3. Call duration'!$A:$C,3,0),"--")</f>
        <v>33.58510792</v>
      </c>
      <c r="J6181" s="65" t="str">
        <f t="array" ref="J6181">XLOOKUP(H6181,'2. Matching'!$A$2:$A$39,'2. Matching'!$B$2:$B$39,"--")</f>
        <v>SEO</v>
      </c>
      <c r="K6181" s="65" t="str">
        <f t="shared" si="1"/>
        <v>In</v>
      </c>
    </row>
    <row r="6182">
      <c r="A6182" s="62" t="s">
        <v>6320</v>
      </c>
      <c r="B6182" s="63">
        <v>44319.0</v>
      </c>
      <c r="C6182" s="62" t="s">
        <v>112</v>
      </c>
      <c r="D6182" s="64">
        <v>0.0</v>
      </c>
      <c r="E6182" s="62" t="s">
        <v>109</v>
      </c>
      <c r="F6182" s="62" t="s">
        <v>115</v>
      </c>
      <c r="G6182" s="64" t="s">
        <v>59</v>
      </c>
      <c r="H6182" s="3" t="s">
        <v>68</v>
      </c>
      <c r="I6182" s="65" t="str">
        <f>IFERROR(VLOOKUP(A6182,'3. Call duration'!$A:$C,3,0),"--")</f>
        <v>--</v>
      </c>
      <c r="J6182" s="65" t="str">
        <f t="array" ref="J6182">XLOOKUP(H6182,'2. Matching'!$A$2:$A$39,'2. Matching'!$B$2:$B$39,"--")</f>
        <v>Acquisition</v>
      </c>
      <c r="K6182" s="65" t="str">
        <f t="shared" si="1"/>
        <v>In</v>
      </c>
    </row>
    <row r="6183">
      <c r="A6183" s="62" t="s">
        <v>6321</v>
      </c>
      <c r="B6183" s="63">
        <v>44358.0</v>
      </c>
      <c r="C6183" s="62" t="s">
        <v>119</v>
      </c>
      <c r="D6183" s="64">
        <v>47.5</v>
      </c>
      <c r="E6183" s="62" t="s">
        <v>109</v>
      </c>
      <c r="F6183" s="62" t="s">
        <v>115</v>
      </c>
      <c r="G6183" s="64" t="s">
        <v>64</v>
      </c>
      <c r="H6183" s="3" t="s">
        <v>131</v>
      </c>
      <c r="I6183" s="65" t="str">
        <f>IFERROR(VLOOKUP(A6183,'3. Call duration'!$A:$C,3,0),"--")</f>
        <v>--</v>
      </c>
      <c r="J6183" s="65" t="str">
        <f t="array" ref="J6183">XLOOKUP(H6183,'2. Matching'!$A$2:$A$39,'2. Matching'!$B$2:$B$39,"--")</f>
        <v>Acquisition</v>
      </c>
      <c r="K6183" s="65" t="str">
        <f t="shared" si="1"/>
        <v>In</v>
      </c>
    </row>
    <row r="6184">
      <c r="A6184" s="62" t="s">
        <v>6322</v>
      </c>
      <c r="B6184" s="63">
        <v>44377.0</v>
      </c>
      <c r="C6184" s="62" t="s">
        <v>119</v>
      </c>
      <c r="D6184" s="64">
        <v>47.5</v>
      </c>
      <c r="E6184" s="62" t="s">
        <v>109</v>
      </c>
      <c r="F6184" s="62" t="s">
        <v>115</v>
      </c>
      <c r="G6184" s="64" t="s">
        <v>59</v>
      </c>
      <c r="H6184" s="3" t="s">
        <v>68</v>
      </c>
      <c r="I6184" s="65">
        <f>IFERROR(VLOOKUP(A6184,'3. Call duration'!$A:$C,3,0),"--")</f>
        <v>23.30490157</v>
      </c>
      <c r="J6184" s="65" t="str">
        <f t="array" ref="J6184">XLOOKUP(H6184,'2. Matching'!$A$2:$A$39,'2. Matching'!$B$2:$B$39,"--")</f>
        <v>Acquisition</v>
      </c>
      <c r="K6184" s="65" t="str">
        <f t="shared" si="1"/>
        <v>In</v>
      </c>
    </row>
    <row r="6185">
      <c r="A6185" s="62" t="s">
        <v>6323</v>
      </c>
      <c r="B6185" s="63">
        <v>44327.0</v>
      </c>
      <c r="C6185" s="62" t="s">
        <v>112</v>
      </c>
      <c r="D6185" s="64">
        <v>0.0</v>
      </c>
      <c r="E6185" s="62" t="s">
        <v>114</v>
      </c>
      <c r="F6185" s="62" t="s">
        <v>110</v>
      </c>
      <c r="G6185" s="64" t="s">
        <v>64</v>
      </c>
      <c r="H6185" s="3" t="s">
        <v>175</v>
      </c>
      <c r="I6185" s="65" t="str">
        <f>IFERROR(VLOOKUP(A6185,'3. Call duration'!$A:$C,3,0),"--")</f>
        <v>--</v>
      </c>
      <c r="J6185" s="65" t="str">
        <f t="array" ref="J6185">XLOOKUP(H6185,'2. Matching'!$A$2:$A$39,'2. Matching'!$B$2:$B$39,"--")</f>
        <v>SEO</v>
      </c>
      <c r="K6185" s="65" t="str">
        <f t="shared" si="1"/>
        <v>In</v>
      </c>
    </row>
    <row r="6186">
      <c r="A6186" s="62" t="s">
        <v>6324</v>
      </c>
      <c r="B6186" s="63">
        <v>44368.0</v>
      </c>
      <c r="C6186" s="62" t="s">
        <v>119</v>
      </c>
      <c r="D6186" s="64">
        <v>47.5</v>
      </c>
      <c r="E6186" s="62" t="s">
        <v>109</v>
      </c>
      <c r="F6186" s="62" t="s">
        <v>115</v>
      </c>
      <c r="G6186" s="64" t="s">
        <v>64</v>
      </c>
      <c r="H6186" s="3" t="s">
        <v>54</v>
      </c>
      <c r="I6186" s="65">
        <f>IFERROR(VLOOKUP(A6186,'3. Call duration'!$A:$C,3,0),"--")</f>
        <v>17.16602034</v>
      </c>
      <c r="J6186" s="65" t="str">
        <f t="array" ref="J6186">XLOOKUP(H6186,'2. Matching'!$A$2:$A$39,'2. Matching'!$B$2:$B$39,"--")</f>
        <v>Partnerships</v>
      </c>
      <c r="K6186" s="65" t="str">
        <f t="shared" si="1"/>
        <v>In</v>
      </c>
    </row>
    <row r="6187">
      <c r="A6187" s="62" t="s">
        <v>6325</v>
      </c>
      <c r="B6187" s="63">
        <v>44370.0</v>
      </c>
      <c r="C6187" s="62" t="s">
        <v>119</v>
      </c>
      <c r="D6187" s="64">
        <v>47.5</v>
      </c>
      <c r="E6187" s="62" t="s">
        <v>109</v>
      </c>
      <c r="F6187" s="62" t="s">
        <v>110</v>
      </c>
      <c r="G6187" s="64" t="s">
        <v>60</v>
      </c>
      <c r="H6187" s="3" t="s">
        <v>68</v>
      </c>
      <c r="I6187" s="65">
        <f>IFERROR(VLOOKUP(A6187,'3. Call duration'!$A:$C,3,0),"--")</f>
        <v>29.75430475</v>
      </c>
      <c r="J6187" s="65" t="str">
        <f t="array" ref="J6187">XLOOKUP(H6187,'2. Matching'!$A$2:$A$39,'2. Matching'!$B$2:$B$39,"--")</f>
        <v>Acquisition</v>
      </c>
      <c r="K6187" s="65" t="str">
        <f t="shared" si="1"/>
        <v>In</v>
      </c>
    </row>
    <row r="6188">
      <c r="A6188" s="62" t="s">
        <v>6326</v>
      </c>
      <c r="B6188" s="63">
        <v>44341.0</v>
      </c>
      <c r="C6188" s="62" t="s">
        <v>112</v>
      </c>
      <c r="D6188" s="64">
        <v>0.0</v>
      </c>
      <c r="E6188" s="62" t="s">
        <v>109</v>
      </c>
      <c r="F6188" s="62" t="s">
        <v>110</v>
      </c>
      <c r="G6188" s="64" t="s">
        <v>63</v>
      </c>
      <c r="H6188" s="3" t="s">
        <v>128</v>
      </c>
      <c r="I6188" s="65" t="str">
        <f>IFERROR(VLOOKUP(A6188,'3. Call duration'!$A:$C,3,0),"--")</f>
        <v>--</v>
      </c>
      <c r="J6188" s="65" t="str">
        <f t="array" ref="J6188">XLOOKUP(H6188,'2. Matching'!$A$2:$A$39,'2. Matching'!$B$2:$B$39,"--")</f>
        <v>Acquisition</v>
      </c>
      <c r="K6188" s="65" t="str">
        <f t="shared" si="1"/>
        <v>In</v>
      </c>
    </row>
    <row r="6189">
      <c r="A6189" s="62" t="s">
        <v>6327</v>
      </c>
      <c r="B6189" s="63">
        <v>44347.0</v>
      </c>
      <c r="C6189" s="62" t="s">
        <v>112</v>
      </c>
      <c r="D6189" s="64">
        <v>0.0</v>
      </c>
      <c r="E6189" s="62" t="s">
        <v>109</v>
      </c>
      <c r="F6189" s="62" t="s">
        <v>110</v>
      </c>
      <c r="G6189" s="64" t="s">
        <v>60</v>
      </c>
      <c r="H6189" s="3" t="s">
        <v>67</v>
      </c>
      <c r="I6189" s="65" t="str">
        <f>IFERROR(VLOOKUP(A6189,'3. Call duration'!$A:$C,3,0),"--")</f>
        <v>--</v>
      </c>
      <c r="J6189" s="65" t="str">
        <f t="array" ref="J6189">XLOOKUP(H6189,'2. Matching'!$A$2:$A$39,'2. Matching'!$B$2:$B$39,"--")</f>
        <v>Acquisition</v>
      </c>
      <c r="K6189" s="65" t="str">
        <f t="shared" si="1"/>
        <v>In</v>
      </c>
    </row>
    <row r="6190">
      <c r="A6190" s="62" t="s">
        <v>6328</v>
      </c>
      <c r="B6190" s="63">
        <v>44370.0</v>
      </c>
      <c r="C6190" s="62" t="s">
        <v>119</v>
      </c>
      <c r="D6190" s="64">
        <v>47.5</v>
      </c>
      <c r="E6190" s="62" t="s">
        <v>109</v>
      </c>
      <c r="F6190" s="62" t="s">
        <v>115</v>
      </c>
      <c r="G6190" s="64" t="s">
        <v>64</v>
      </c>
      <c r="H6190" s="3" t="s">
        <v>155</v>
      </c>
      <c r="I6190" s="65">
        <f>IFERROR(VLOOKUP(A6190,'3. Call duration'!$A:$C,3,0),"--")</f>
        <v>22.39694336</v>
      </c>
      <c r="J6190" s="65" t="str">
        <f t="array" ref="J6190">XLOOKUP(H6190,'2. Matching'!$A$2:$A$39,'2. Matching'!$B$2:$B$39,"--")</f>
        <v>SEO</v>
      </c>
      <c r="K6190" s="65" t="str">
        <f t="shared" si="1"/>
        <v>In</v>
      </c>
    </row>
    <row r="6191">
      <c r="A6191" s="62" t="s">
        <v>6329</v>
      </c>
      <c r="B6191" s="63">
        <v>44343.0</v>
      </c>
      <c r="C6191" s="62" t="s">
        <v>112</v>
      </c>
      <c r="D6191" s="64">
        <v>0.0</v>
      </c>
      <c r="E6191" s="62" t="s">
        <v>109</v>
      </c>
      <c r="F6191" s="62" t="s">
        <v>110</v>
      </c>
      <c r="G6191" s="64" t="s">
        <v>60</v>
      </c>
      <c r="H6191" s="3" t="s">
        <v>68</v>
      </c>
      <c r="I6191" s="65" t="str">
        <f>IFERROR(VLOOKUP(A6191,'3. Call duration'!$A:$C,3,0),"--")</f>
        <v>--</v>
      </c>
      <c r="J6191" s="65" t="str">
        <f t="array" ref="J6191">XLOOKUP(H6191,'2. Matching'!$A$2:$A$39,'2. Matching'!$B$2:$B$39,"--")</f>
        <v>Acquisition</v>
      </c>
      <c r="K6191" s="65" t="str">
        <f t="shared" si="1"/>
        <v>In</v>
      </c>
    </row>
    <row r="6192">
      <c r="A6192" s="62" t="s">
        <v>6330</v>
      </c>
      <c r="B6192" s="63">
        <v>44334.0</v>
      </c>
      <c r="C6192" s="62" t="s">
        <v>112</v>
      </c>
      <c r="D6192" s="64">
        <v>0.0</v>
      </c>
      <c r="E6192" s="62" t="s">
        <v>109</v>
      </c>
      <c r="F6192" s="62" t="s">
        <v>115</v>
      </c>
      <c r="G6192" s="64" t="s">
        <v>112</v>
      </c>
      <c r="H6192" s="3"/>
      <c r="I6192" s="65" t="str">
        <f>IFERROR(VLOOKUP(A6192,'3. Call duration'!$A:$C,3,0),"--")</f>
        <v>--</v>
      </c>
      <c r="J6192" s="65" t="str">
        <f t="array" ref="J6192">XLOOKUP(H6192,'2. Matching'!$A$2:$A$39,'2. Matching'!$B$2:$B$39,"--")</f>
        <v>--</v>
      </c>
      <c r="K6192" s="65" t="str">
        <f t="shared" si="1"/>
        <v>In</v>
      </c>
    </row>
    <row r="6193">
      <c r="A6193" s="62" t="s">
        <v>6331</v>
      </c>
      <c r="B6193" s="63">
        <v>44351.0</v>
      </c>
      <c r="C6193" s="62" t="s">
        <v>119</v>
      </c>
      <c r="D6193" s="64">
        <v>47.5</v>
      </c>
      <c r="E6193" s="62" t="s">
        <v>109</v>
      </c>
      <c r="F6193" s="62" t="s">
        <v>110</v>
      </c>
      <c r="G6193" s="64" t="s">
        <v>64</v>
      </c>
      <c r="H6193" s="3" t="s">
        <v>54</v>
      </c>
      <c r="I6193" s="65">
        <f>IFERROR(VLOOKUP(A6193,'3. Call duration'!$A:$C,3,0),"--")</f>
        <v>26.45160878</v>
      </c>
      <c r="J6193" s="65" t="str">
        <f t="array" ref="J6193">XLOOKUP(H6193,'2. Matching'!$A$2:$A$39,'2. Matching'!$B$2:$B$39,"--")</f>
        <v>Partnerships</v>
      </c>
      <c r="K6193" s="65" t="str">
        <f t="shared" si="1"/>
        <v>In</v>
      </c>
    </row>
    <row r="6194">
      <c r="A6194" s="62" t="s">
        <v>6332</v>
      </c>
      <c r="B6194" s="63">
        <v>44362.0</v>
      </c>
      <c r="C6194" s="62" t="s">
        <v>119</v>
      </c>
      <c r="D6194" s="64">
        <v>47.5</v>
      </c>
      <c r="E6194" s="62" t="s">
        <v>109</v>
      </c>
      <c r="F6194" s="62" t="s">
        <v>110</v>
      </c>
      <c r="G6194" s="64" t="s">
        <v>59</v>
      </c>
      <c r="H6194" s="3" t="s">
        <v>68</v>
      </c>
      <c r="I6194" s="65">
        <f>IFERROR(VLOOKUP(A6194,'3. Call duration'!$A:$C,3,0),"--")</f>
        <v>31.90452579</v>
      </c>
      <c r="J6194" s="65" t="str">
        <f t="array" ref="J6194">XLOOKUP(H6194,'2. Matching'!$A$2:$A$39,'2. Matching'!$B$2:$B$39,"--")</f>
        <v>Acquisition</v>
      </c>
      <c r="K6194" s="65" t="str">
        <f t="shared" si="1"/>
        <v>In</v>
      </c>
    </row>
    <row r="6195">
      <c r="A6195" s="62" t="s">
        <v>6333</v>
      </c>
      <c r="B6195" s="63">
        <v>44351.0</v>
      </c>
      <c r="C6195" s="62" t="s">
        <v>119</v>
      </c>
      <c r="D6195" s="64">
        <v>47.5</v>
      </c>
      <c r="E6195" s="62" t="s">
        <v>109</v>
      </c>
      <c r="F6195" s="62" t="s">
        <v>115</v>
      </c>
      <c r="G6195" s="64" t="s">
        <v>62</v>
      </c>
      <c r="H6195" s="3" t="s">
        <v>286</v>
      </c>
      <c r="I6195" s="65">
        <f>IFERROR(VLOOKUP(A6195,'3. Call duration'!$A:$C,3,0),"--")</f>
        <v>39.03435637</v>
      </c>
      <c r="J6195" s="65" t="str">
        <f t="array" ref="J6195">XLOOKUP(H6195,'2. Matching'!$A$2:$A$39,'2. Matching'!$B$2:$B$39,"--")</f>
        <v>Farming</v>
      </c>
      <c r="K6195" s="65" t="str">
        <f t="shared" si="1"/>
        <v>In</v>
      </c>
    </row>
    <row r="6196">
      <c r="A6196" s="62" t="s">
        <v>6334</v>
      </c>
      <c r="B6196" s="63">
        <v>44362.0</v>
      </c>
      <c r="C6196" s="62" t="s">
        <v>119</v>
      </c>
      <c r="D6196" s="64">
        <v>47.5</v>
      </c>
      <c r="E6196" s="62" t="s">
        <v>109</v>
      </c>
      <c r="F6196" s="62" t="s">
        <v>115</v>
      </c>
      <c r="G6196" s="64" t="s">
        <v>63</v>
      </c>
      <c r="H6196" s="3" t="s">
        <v>183</v>
      </c>
      <c r="I6196" s="65">
        <f>IFERROR(VLOOKUP(A6196,'3. Call duration'!$A:$C,3,0),"--")</f>
        <v>24.59570867</v>
      </c>
      <c r="J6196" s="65" t="str">
        <f t="array" ref="J6196">XLOOKUP(H6196,'2. Matching'!$A$2:$A$39,'2. Matching'!$B$2:$B$39,"--")</f>
        <v>SEO</v>
      </c>
      <c r="K6196" s="65" t="str">
        <f t="shared" si="1"/>
        <v>In</v>
      </c>
    </row>
    <row r="6197">
      <c r="A6197" s="62" t="s">
        <v>6335</v>
      </c>
      <c r="B6197" s="63">
        <v>44355.0</v>
      </c>
      <c r="C6197" s="62" t="s">
        <v>119</v>
      </c>
      <c r="D6197" s="64">
        <v>47.5</v>
      </c>
      <c r="E6197" s="62" t="s">
        <v>109</v>
      </c>
      <c r="F6197" s="62" t="s">
        <v>115</v>
      </c>
      <c r="G6197" s="64" t="s">
        <v>64</v>
      </c>
      <c r="H6197" s="3" t="s">
        <v>145</v>
      </c>
      <c r="I6197" s="65">
        <f>IFERROR(VLOOKUP(A6197,'3. Call duration'!$A:$C,3,0),"--")</f>
        <v>32.26547922</v>
      </c>
      <c r="J6197" s="65" t="str">
        <f t="array" ref="J6197">XLOOKUP(H6197,'2. Matching'!$A$2:$A$39,'2. Matching'!$B$2:$B$39,"--")</f>
        <v>SEO</v>
      </c>
      <c r="K6197" s="65" t="str">
        <f t="shared" si="1"/>
        <v>In</v>
      </c>
    </row>
    <row r="6198">
      <c r="A6198" s="62" t="s">
        <v>6336</v>
      </c>
      <c r="B6198" s="63">
        <v>44334.0</v>
      </c>
      <c r="C6198" s="62" t="s">
        <v>112</v>
      </c>
      <c r="D6198" s="64">
        <v>0.0</v>
      </c>
      <c r="E6198" s="62" t="s">
        <v>109</v>
      </c>
      <c r="F6198" s="62" t="s">
        <v>115</v>
      </c>
      <c r="G6198" s="64" t="s">
        <v>64</v>
      </c>
      <c r="H6198" s="3" t="s">
        <v>175</v>
      </c>
      <c r="I6198" s="65" t="str">
        <f>IFERROR(VLOOKUP(A6198,'3. Call duration'!$A:$C,3,0),"--")</f>
        <v>--</v>
      </c>
      <c r="J6198" s="65" t="str">
        <f t="array" ref="J6198">XLOOKUP(H6198,'2. Matching'!$A$2:$A$39,'2. Matching'!$B$2:$B$39,"--")</f>
        <v>SEO</v>
      </c>
      <c r="K6198" s="65" t="str">
        <f t="shared" si="1"/>
        <v>In</v>
      </c>
    </row>
    <row r="6199">
      <c r="A6199" s="62" t="s">
        <v>6337</v>
      </c>
      <c r="B6199" s="63">
        <v>44365.0</v>
      </c>
      <c r="C6199" s="62" t="s">
        <v>119</v>
      </c>
      <c r="D6199" s="64">
        <v>47.5</v>
      </c>
      <c r="E6199" s="62" t="s">
        <v>109</v>
      </c>
      <c r="F6199" s="62" t="s">
        <v>110</v>
      </c>
      <c r="G6199" s="64" t="s">
        <v>60</v>
      </c>
      <c r="H6199" s="3" t="s">
        <v>68</v>
      </c>
      <c r="I6199" s="65">
        <f>IFERROR(VLOOKUP(A6199,'3. Call duration'!$A:$C,3,0),"--")</f>
        <v>39.2934819</v>
      </c>
      <c r="J6199" s="65" t="str">
        <f t="array" ref="J6199">XLOOKUP(H6199,'2. Matching'!$A$2:$A$39,'2. Matching'!$B$2:$B$39,"--")</f>
        <v>Acquisition</v>
      </c>
      <c r="K6199" s="65" t="str">
        <f t="shared" si="1"/>
        <v>In</v>
      </c>
    </row>
    <row r="6200">
      <c r="A6200" s="62" t="s">
        <v>6338</v>
      </c>
      <c r="B6200" s="63">
        <v>44343.0</v>
      </c>
      <c r="C6200" s="62" t="s">
        <v>112</v>
      </c>
      <c r="D6200" s="64">
        <v>0.0</v>
      </c>
      <c r="E6200" s="62" t="s">
        <v>109</v>
      </c>
      <c r="F6200" s="62" t="s">
        <v>110</v>
      </c>
      <c r="G6200" s="64" t="s">
        <v>64</v>
      </c>
      <c r="H6200" s="3" t="s">
        <v>54</v>
      </c>
      <c r="I6200" s="65" t="str">
        <f>IFERROR(VLOOKUP(A6200,'3. Call duration'!$A:$C,3,0),"--")</f>
        <v>--</v>
      </c>
      <c r="J6200" s="65" t="str">
        <f t="array" ref="J6200">XLOOKUP(H6200,'2. Matching'!$A$2:$A$39,'2. Matching'!$B$2:$B$39,"--")</f>
        <v>Partnerships</v>
      </c>
      <c r="K6200" s="65" t="str">
        <f t="shared" si="1"/>
        <v>In</v>
      </c>
    </row>
    <row r="6201">
      <c r="A6201" s="62" t="s">
        <v>6339</v>
      </c>
      <c r="B6201" s="63">
        <v>44335.0</v>
      </c>
      <c r="C6201" s="62" t="s">
        <v>112</v>
      </c>
      <c r="D6201" s="64">
        <v>0.0</v>
      </c>
      <c r="E6201" s="62" t="s">
        <v>109</v>
      </c>
      <c r="F6201" s="62" t="s">
        <v>110</v>
      </c>
      <c r="G6201" s="64" t="s">
        <v>64</v>
      </c>
      <c r="H6201" s="3" t="s">
        <v>116</v>
      </c>
      <c r="I6201" s="65" t="str">
        <f>IFERROR(VLOOKUP(A6201,'3. Call duration'!$A:$C,3,0),"--")</f>
        <v>--</v>
      </c>
      <c r="J6201" s="65" t="str">
        <f t="array" ref="J6201">XLOOKUP(H6201,'2. Matching'!$A$2:$A$39,'2. Matching'!$B$2:$B$39,"--")</f>
        <v>Acquisition</v>
      </c>
      <c r="K6201" s="65" t="str">
        <f t="shared" si="1"/>
        <v>In</v>
      </c>
    </row>
    <row r="6202">
      <c r="A6202" s="62" t="s">
        <v>6340</v>
      </c>
      <c r="B6202" s="63">
        <v>44377.0</v>
      </c>
      <c r="C6202" s="62" t="s">
        <v>119</v>
      </c>
      <c r="D6202" s="64">
        <v>47.5</v>
      </c>
      <c r="E6202" s="62" t="s">
        <v>109</v>
      </c>
      <c r="F6202" s="62" t="s">
        <v>115</v>
      </c>
      <c r="G6202" s="64" t="s">
        <v>60</v>
      </c>
      <c r="H6202" s="3" t="s">
        <v>68</v>
      </c>
      <c r="I6202" s="65">
        <f>IFERROR(VLOOKUP(A6202,'3. Call duration'!$A:$C,3,0),"--")</f>
        <v>16.52163779</v>
      </c>
      <c r="J6202" s="65" t="str">
        <f t="array" ref="J6202">XLOOKUP(H6202,'2. Matching'!$A$2:$A$39,'2. Matching'!$B$2:$B$39,"--")</f>
        <v>Acquisition</v>
      </c>
      <c r="K6202" s="65" t="str">
        <f t="shared" si="1"/>
        <v>In</v>
      </c>
    </row>
    <row r="6203">
      <c r="A6203" s="62" t="s">
        <v>6341</v>
      </c>
      <c r="B6203" s="63">
        <v>44375.0</v>
      </c>
      <c r="C6203" s="62" t="s">
        <v>119</v>
      </c>
      <c r="D6203" s="64">
        <v>47.5</v>
      </c>
      <c r="E6203" s="62" t="s">
        <v>109</v>
      </c>
      <c r="F6203" s="62" t="s">
        <v>115</v>
      </c>
      <c r="G6203" s="64" t="s">
        <v>60</v>
      </c>
      <c r="H6203" s="3" t="s">
        <v>68</v>
      </c>
      <c r="I6203" s="65">
        <f>IFERROR(VLOOKUP(A6203,'3. Call duration'!$A:$C,3,0),"--")</f>
        <v>36.57996834</v>
      </c>
      <c r="J6203" s="65" t="str">
        <f t="array" ref="J6203">XLOOKUP(H6203,'2. Matching'!$A$2:$A$39,'2. Matching'!$B$2:$B$39,"--")</f>
        <v>Acquisition</v>
      </c>
      <c r="K6203" s="65" t="str">
        <f t="shared" si="1"/>
        <v>In</v>
      </c>
    </row>
    <row r="6204">
      <c r="A6204" s="62" t="s">
        <v>6342</v>
      </c>
      <c r="B6204" s="63">
        <v>44335.0</v>
      </c>
      <c r="C6204" s="62" t="s">
        <v>112</v>
      </c>
      <c r="D6204" s="64">
        <v>0.0</v>
      </c>
      <c r="E6204" s="62" t="s">
        <v>109</v>
      </c>
      <c r="F6204" s="62" t="s">
        <v>115</v>
      </c>
      <c r="G6204" s="64" t="s">
        <v>63</v>
      </c>
      <c r="H6204" s="3" t="s">
        <v>189</v>
      </c>
      <c r="I6204" s="65" t="str">
        <f>IFERROR(VLOOKUP(A6204,'3. Call duration'!$A:$C,3,0),"--")</f>
        <v>--</v>
      </c>
      <c r="J6204" s="65" t="str">
        <f t="array" ref="J6204">XLOOKUP(H6204,'2. Matching'!$A$2:$A$39,'2. Matching'!$B$2:$B$39,"--")</f>
        <v>SEO</v>
      </c>
      <c r="K6204" s="65" t="str">
        <f t="shared" si="1"/>
        <v>Out</v>
      </c>
    </row>
    <row r="6205">
      <c r="A6205" s="62" t="s">
        <v>6343</v>
      </c>
      <c r="B6205" s="63">
        <v>44341.0</v>
      </c>
      <c r="C6205" s="62" t="s">
        <v>112</v>
      </c>
      <c r="D6205" s="64">
        <v>0.0</v>
      </c>
      <c r="E6205" s="62" t="s">
        <v>109</v>
      </c>
      <c r="F6205" s="62" t="s">
        <v>110</v>
      </c>
      <c r="G6205" s="64" t="s">
        <v>59</v>
      </c>
      <c r="H6205" s="3" t="s">
        <v>68</v>
      </c>
      <c r="I6205" s="65" t="str">
        <f>IFERROR(VLOOKUP(A6205,'3. Call duration'!$A:$C,3,0),"--")</f>
        <v>--</v>
      </c>
      <c r="J6205" s="65" t="str">
        <f t="array" ref="J6205">XLOOKUP(H6205,'2. Matching'!$A$2:$A$39,'2. Matching'!$B$2:$B$39,"--")</f>
        <v>Acquisition</v>
      </c>
      <c r="K6205" s="65" t="str">
        <f t="shared" si="1"/>
        <v>In</v>
      </c>
    </row>
    <row r="6206">
      <c r="A6206" s="62" t="s">
        <v>6344</v>
      </c>
      <c r="B6206" s="63">
        <v>44333.0</v>
      </c>
      <c r="C6206" s="62" t="s">
        <v>112</v>
      </c>
      <c r="D6206" s="64">
        <v>0.0</v>
      </c>
      <c r="E6206" s="62" t="s">
        <v>109</v>
      </c>
      <c r="F6206" s="62" t="s">
        <v>115</v>
      </c>
      <c r="G6206" s="64" t="s">
        <v>64</v>
      </c>
      <c r="H6206" s="3" t="s">
        <v>52</v>
      </c>
      <c r="I6206" s="65" t="str">
        <f>IFERROR(VLOOKUP(A6206,'3. Call duration'!$A:$C,3,0),"--")</f>
        <v>--</v>
      </c>
      <c r="J6206" s="65" t="str">
        <f t="array" ref="J6206">XLOOKUP(H6206,'2. Matching'!$A$2:$A$39,'2. Matching'!$B$2:$B$39,"--")</f>
        <v>Partnerships</v>
      </c>
      <c r="K6206" s="65" t="str">
        <f t="shared" si="1"/>
        <v>In</v>
      </c>
    </row>
    <row r="6207">
      <c r="A6207" s="62" t="s">
        <v>6345</v>
      </c>
      <c r="B6207" s="63">
        <v>44356.0</v>
      </c>
      <c r="C6207" s="62" t="s">
        <v>119</v>
      </c>
      <c r="D6207" s="64">
        <v>47.5</v>
      </c>
      <c r="E6207" s="62" t="s">
        <v>109</v>
      </c>
      <c r="F6207" s="62" t="s">
        <v>110</v>
      </c>
      <c r="G6207" s="64" t="s">
        <v>60</v>
      </c>
      <c r="H6207" s="3" t="s">
        <v>67</v>
      </c>
      <c r="I6207" s="65">
        <f>IFERROR(VLOOKUP(A6207,'3. Call duration'!$A:$C,3,0),"--")</f>
        <v>32.71086708</v>
      </c>
      <c r="J6207" s="65" t="str">
        <f t="array" ref="J6207">XLOOKUP(H6207,'2. Matching'!$A$2:$A$39,'2. Matching'!$B$2:$B$39,"--")</f>
        <v>Acquisition</v>
      </c>
      <c r="K6207" s="65" t="str">
        <f t="shared" si="1"/>
        <v>In</v>
      </c>
    </row>
    <row r="6208">
      <c r="A6208" s="62" t="s">
        <v>6346</v>
      </c>
      <c r="B6208" s="63">
        <v>44323.0</v>
      </c>
      <c r="C6208" s="62" t="s">
        <v>112</v>
      </c>
      <c r="D6208" s="64">
        <v>0.0</v>
      </c>
      <c r="E6208" s="62" t="s">
        <v>109</v>
      </c>
      <c r="F6208" s="62" t="s">
        <v>110</v>
      </c>
      <c r="G6208" s="64" t="s">
        <v>63</v>
      </c>
      <c r="H6208" s="3" t="s">
        <v>189</v>
      </c>
      <c r="I6208" s="65" t="str">
        <f>IFERROR(VLOOKUP(A6208,'3. Call duration'!$A:$C,3,0),"--")</f>
        <v>--</v>
      </c>
      <c r="J6208" s="65" t="str">
        <f t="array" ref="J6208">XLOOKUP(H6208,'2. Matching'!$A$2:$A$39,'2. Matching'!$B$2:$B$39,"--")</f>
        <v>SEO</v>
      </c>
      <c r="K6208" s="65" t="str">
        <f t="shared" si="1"/>
        <v>Out</v>
      </c>
    </row>
    <row r="6209">
      <c r="A6209" s="62" t="s">
        <v>6347</v>
      </c>
      <c r="B6209" s="63">
        <v>44353.0</v>
      </c>
      <c r="C6209" s="62" t="s">
        <v>119</v>
      </c>
      <c r="D6209" s="64">
        <v>47.5</v>
      </c>
      <c r="E6209" s="62" t="s">
        <v>109</v>
      </c>
      <c r="F6209" s="62" t="s">
        <v>115</v>
      </c>
      <c r="G6209" s="64" t="s">
        <v>64</v>
      </c>
      <c r="H6209" s="3" t="s">
        <v>139</v>
      </c>
      <c r="I6209" s="65" t="str">
        <f>IFERROR(VLOOKUP(A6209,'3. Call duration'!$A:$C,3,0),"--")</f>
        <v>--</v>
      </c>
      <c r="J6209" s="65" t="str">
        <f t="array" ref="J6209">XLOOKUP(H6209,'2. Matching'!$A$2:$A$39,'2. Matching'!$B$2:$B$39,"--")</f>
        <v>Acquisition</v>
      </c>
      <c r="K6209" s="65" t="str">
        <f t="shared" si="1"/>
        <v>In</v>
      </c>
    </row>
    <row r="6210">
      <c r="A6210" s="62" t="s">
        <v>6348</v>
      </c>
      <c r="B6210" s="63">
        <v>44377.0</v>
      </c>
      <c r="C6210" s="62" t="s">
        <v>119</v>
      </c>
      <c r="D6210" s="64">
        <v>47.5</v>
      </c>
      <c r="E6210" s="62" t="s">
        <v>109</v>
      </c>
      <c r="F6210" s="62" t="s">
        <v>115</v>
      </c>
      <c r="G6210" s="64" t="s">
        <v>64</v>
      </c>
      <c r="H6210" s="3" t="s">
        <v>297</v>
      </c>
      <c r="I6210" s="65" t="str">
        <f>IFERROR(VLOOKUP(A6210,'3. Call duration'!$A:$C,3,0),"--")</f>
        <v>--</v>
      </c>
      <c r="J6210" s="65" t="str">
        <f t="array" ref="J6210">XLOOKUP(H6210,'2. Matching'!$A$2:$A$39,'2. Matching'!$B$2:$B$39,"--")</f>
        <v>Farming</v>
      </c>
      <c r="K6210" s="65" t="str">
        <f t="shared" si="1"/>
        <v>In</v>
      </c>
    </row>
    <row r="6211">
      <c r="A6211" s="62" t="s">
        <v>6349</v>
      </c>
      <c r="B6211" s="63">
        <v>44354.0</v>
      </c>
      <c r="C6211" s="62" t="s">
        <v>119</v>
      </c>
      <c r="D6211" s="64">
        <v>47.5</v>
      </c>
      <c r="E6211" s="62" t="s">
        <v>109</v>
      </c>
      <c r="F6211" s="62" t="s">
        <v>110</v>
      </c>
      <c r="G6211" s="64" t="s">
        <v>60</v>
      </c>
      <c r="H6211" s="3" t="s">
        <v>67</v>
      </c>
      <c r="I6211" s="65">
        <f>IFERROR(VLOOKUP(A6211,'3. Call duration'!$A:$C,3,0),"--")</f>
        <v>21.3908927</v>
      </c>
      <c r="J6211" s="65" t="str">
        <f t="array" ref="J6211">XLOOKUP(H6211,'2. Matching'!$A$2:$A$39,'2. Matching'!$B$2:$B$39,"--")</f>
        <v>Acquisition</v>
      </c>
      <c r="K6211" s="65" t="str">
        <f t="shared" si="1"/>
        <v>In</v>
      </c>
    </row>
    <row r="6212">
      <c r="A6212" s="62" t="s">
        <v>6350</v>
      </c>
      <c r="B6212" s="63">
        <v>44365.0</v>
      </c>
      <c r="C6212" s="62" t="s">
        <v>119</v>
      </c>
      <c r="D6212" s="64">
        <v>47.5</v>
      </c>
      <c r="E6212" s="62" t="s">
        <v>109</v>
      </c>
      <c r="F6212" s="62" t="s">
        <v>115</v>
      </c>
      <c r="G6212" s="64" t="s">
        <v>64</v>
      </c>
      <c r="H6212" s="3" t="s">
        <v>141</v>
      </c>
      <c r="I6212" s="65">
        <f>IFERROR(VLOOKUP(A6212,'3. Call duration'!$A:$C,3,0),"--")</f>
        <v>27.56735532</v>
      </c>
      <c r="J6212" s="65" t="str">
        <f t="array" ref="J6212">XLOOKUP(H6212,'2. Matching'!$A$2:$A$39,'2. Matching'!$B$2:$B$39,"--")</f>
        <v>Acquisition</v>
      </c>
      <c r="K6212" s="65" t="str">
        <f t="shared" si="1"/>
        <v>In</v>
      </c>
    </row>
    <row r="6213">
      <c r="A6213" s="62" t="s">
        <v>6351</v>
      </c>
      <c r="B6213" s="63">
        <v>44366.0</v>
      </c>
      <c r="C6213" s="62" t="s">
        <v>119</v>
      </c>
      <c r="D6213" s="64">
        <v>47.5</v>
      </c>
      <c r="E6213" s="62" t="s">
        <v>109</v>
      </c>
      <c r="F6213" s="62" t="s">
        <v>110</v>
      </c>
      <c r="G6213" s="64" t="s">
        <v>64</v>
      </c>
      <c r="H6213" s="3" t="s">
        <v>139</v>
      </c>
      <c r="I6213" s="65">
        <f>IFERROR(VLOOKUP(A6213,'3. Call duration'!$A:$C,3,0),"--")</f>
        <v>28.25688531</v>
      </c>
      <c r="J6213" s="65" t="str">
        <f t="array" ref="J6213">XLOOKUP(H6213,'2. Matching'!$A$2:$A$39,'2. Matching'!$B$2:$B$39,"--")</f>
        <v>Acquisition</v>
      </c>
      <c r="K6213" s="65" t="str">
        <f t="shared" si="1"/>
        <v>In</v>
      </c>
    </row>
    <row r="6214">
      <c r="A6214" s="62" t="s">
        <v>6352</v>
      </c>
      <c r="B6214" s="63">
        <v>44335.0</v>
      </c>
      <c r="C6214" s="62" t="s">
        <v>112</v>
      </c>
      <c r="D6214" s="64">
        <v>0.0</v>
      </c>
      <c r="E6214" s="62" t="s">
        <v>114</v>
      </c>
      <c r="F6214" s="62" t="s">
        <v>115</v>
      </c>
      <c r="G6214" s="64" t="s">
        <v>64</v>
      </c>
      <c r="H6214" s="3" t="s">
        <v>145</v>
      </c>
      <c r="I6214" s="65" t="str">
        <f>IFERROR(VLOOKUP(A6214,'3. Call duration'!$A:$C,3,0),"--")</f>
        <v>--</v>
      </c>
      <c r="J6214" s="65" t="str">
        <f t="array" ref="J6214">XLOOKUP(H6214,'2. Matching'!$A$2:$A$39,'2. Matching'!$B$2:$B$39,"--")</f>
        <v>SEO</v>
      </c>
      <c r="K6214" s="65" t="str">
        <f t="shared" si="1"/>
        <v>In</v>
      </c>
    </row>
    <row r="6215">
      <c r="A6215" s="62" t="s">
        <v>6353</v>
      </c>
      <c r="B6215" s="63">
        <v>44377.0</v>
      </c>
      <c r="C6215" s="62" t="s">
        <v>119</v>
      </c>
      <c r="D6215" s="64">
        <v>47.5</v>
      </c>
      <c r="E6215" s="62" t="s">
        <v>109</v>
      </c>
      <c r="F6215" s="62" t="s">
        <v>110</v>
      </c>
      <c r="G6215" s="64" t="s">
        <v>60</v>
      </c>
      <c r="H6215" s="3" t="s">
        <v>67</v>
      </c>
      <c r="I6215" s="65">
        <f>IFERROR(VLOOKUP(A6215,'3. Call duration'!$A:$C,3,0),"--")</f>
        <v>23.52596677</v>
      </c>
      <c r="J6215" s="65" t="str">
        <f t="array" ref="J6215">XLOOKUP(H6215,'2. Matching'!$A$2:$A$39,'2. Matching'!$B$2:$B$39,"--")</f>
        <v>Acquisition</v>
      </c>
      <c r="K6215" s="65" t="str">
        <f t="shared" si="1"/>
        <v>In</v>
      </c>
    </row>
    <row r="6216">
      <c r="A6216" s="62" t="s">
        <v>6354</v>
      </c>
      <c r="B6216" s="63">
        <v>44356.0</v>
      </c>
      <c r="C6216" s="62" t="s">
        <v>119</v>
      </c>
      <c r="D6216" s="64">
        <v>47.5</v>
      </c>
      <c r="E6216" s="62" t="s">
        <v>109</v>
      </c>
      <c r="F6216" s="62" t="s">
        <v>110</v>
      </c>
      <c r="G6216" s="64" t="s">
        <v>60</v>
      </c>
      <c r="H6216" s="3" t="s">
        <v>67</v>
      </c>
      <c r="I6216" s="65">
        <f>IFERROR(VLOOKUP(A6216,'3. Call duration'!$A:$C,3,0),"--")</f>
        <v>20.93328967</v>
      </c>
      <c r="J6216" s="65" t="str">
        <f t="array" ref="J6216">XLOOKUP(H6216,'2. Matching'!$A$2:$A$39,'2. Matching'!$B$2:$B$39,"--")</f>
        <v>Acquisition</v>
      </c>
      <c r="K6216" s="65" t="str">
        <f t="shared" si="1"/>
        <v>In</v>
      </c>
    </row>
    <row r="6217">
      <c r="A6217" s="62" t="s">
        <v>6355</v>
      </c>
      <c r="B6217" s="63">
        <v>44341.0</v>
      </c>
      <c r="C6217" s="62" t="s">
        <v>112</v>
      </c>
      <c r="D6217" s="64">
        <v>0.0</v>
      </c>
      <c r="E6217" s="62" t="s">
        <v>114</v>
      </c>
      <c r="F6217" s="62" t="s">
        <v>110</v>
      </c>
      <c r="G6217" s="64" t="s">
        <v>59</v>
      </c>
      <c r="H6217" s="3" t="s">
        <v>68</v>
      </c>
      <c r="I6217" s="65" t="str">
        <f>IFERROR(VLOOKUP(A6217,'3. Call duration'!$A:$C,3,0),"--")</f>
        <v>--</v>
      </c>
      <c r="J6217" s="65" t="str">
        <f t="array" ref="J6217">XLOOKUP(H6217,'2. Matching'!$A$2:$A$39,'2. Matching'!$B$2:$B$39,"--")</f>
        <v>Acquisition</v>
      </c>
      <c r="K6217" s="65" t="str">
        <f t="shared" si="1"/>
        <v>In</v>
      </c>
    </row>
    <row r="6218">
      <c r="A6218" s="62" t="s">
        <v>6356</v>
      </c>
      <c r="B6218" s="63">
        <v>44377.0</v>
      </c>
      <c r="C6218" s="62" t="s">
        <v>119</v>
      </c>
      <c r="D6218" s="64">
        <v>47.5</v>
      </c>
      <c r="E6218" s="62" t="s">
        <v>109</v>
      </c>
      <c r="F6218" s="62" t="s">
        <v>115</v>
      </c>
      <c r="G6218" s="64" t="s">
        <v>64</v>
      </c>
      <c r="H6218" s="3" t="s">
        <v>145</v>
      </c>
      <c r="I6218" s="65">
        <f>IFERROR(VLOOKUP(A6218,'3. Call duration'!$A:$C,3,0),"--")</f>
        <v>32.89869429</v>
      </c>
      <c r="J6218" s="65" t="str">
        <f t="array" ref="J6218">XLOOKUP(H6218,'2. Matching'!$A$2:$A$39,'2. Matching'!$B$2:$B$39,"--")</f>
        <v>SEO</v>
      </c>
      <c r="K6218" s="65" t="str">
        <f t="shared" si="1"/>
        <v>In</v>
      </c>
    </row>
    <row r="6219">
      <c r="A6219" s="62" t="s">
        <v>6357</v>
      </c>
      <c r="B6219" s="63">
        <v>44343.0</v>
      </c>
      <c r="C6219" s="62" t="s">
        <v>112</v>
      </c>
      <c r="D6219" s="64">
        <v>0.0</v>
      </c>
      <c r="E6219" s="62" t="s">
        <v>109</v>
      </c>
      <c r="F6219" s="62" t="s">
        <v>110</v>
      </c>
      <c r="G6219" s="64" t="s">
        <v>63</v>
      </c>
      <c r="H6219" s="3" t="s">
        <v>189</v>
      </c>
      <c r="I6219" s="65" t="str">
        <f>IFERROR(VLOOKUP(A6219,'3. Call duration'!$A:$C,3,0),"--")</f>
        <v>--</v>
      </c>
      <c r="J6219" s="65" t="str">
        <f t="array" ref="J6219">XLOOKUP(H6219,'2. Matching'!$A$2:$A$39,'2. Matching'!$B$2:$B$39,"--")</f>
        <v>SEO</v>
      </c>
      <c r="K6219" s="65" t="str">
        <f t="shared" si="1"/>
        <v>Out</v>
      </c>
    </row>
    <row r="6220">
      <c r="A6220" s="62" t="s">
        <v>6358</v>
      </c>
      <c r="B6220" s="63">
        <v>44376.0</v>
      </c>
      <c r="C6220" s="62" t="s">
        <v>119</v>
      </c>
      <c r="D6220" s="64">
        <v>47.5</v>
      </c>
      <c r="E6220" s="62" t="s">
        <v>109</v>
      </c>
      <c r="F6220" s="62" t="s">
        <v>110</v>
      </c>
      <c r="G6220" s="64" t="s">
        <v>63</v>
      </c>
      <c r="H6220" s="3" t="s">
        <v>124</v>
      </c>
      <c r="I6220" s="65">
        <f>IFERROR(VLOOKUP(A6220,'3. Call duration'!$A:$C,3,0),"--")</f>
        <v>31.98269192</v>
      </c>
      <c r="J6220" s="65" t="str">
        <f t="array" ref="J6220">XLOOKUP(H6220,'2. Matching'!$A$2:$A$39,'2. Matching'!$B$2:$B$39,"--")</f>
        <v>Acquisition</v>
      </c>
      <c r="K6220" s="65" t="str">
        <f t="shared" si="1"/>
        <v>In</v>
      </c>
    </row>
    <row r="6221">
      <c r="A6221" s="62" t="s">
        <v>6359</v>
      </c>
      <c r="B6221" s="63">
        <v>44321.0</v>
      </c>
      <c r="C6221" s="62" t="s">
        <v>112</v>
      </c>
      <c r="D6221" s="64">
        <v>0.0</v>
      </c>
      <c r="E6221" s="62" t="s">
        <v>109</v>
      </c>
      <c r="F6221" s="62" t="s">
        <v>115</v>
      </c>
      <c r="G6221" s="64" t="s">
        <v>64</v>
      </c>
      <c r="H6221" s="3" t="s">
        <v>155</v>
      </c>
      <c r="I6221" s="65" t="str">
        <f>IFERROR(VLOOKUP(A6221,'3. Call duration'!$A:$C,3,0),"--")</f>
        <v>--</v>
      </c>
      <c r="J6221" s="65" t="str">
        <f t="array" ref="J6221">XLOOKUP(H6221,'2. Matching'!$A$2:$A$39,'2. Matching'!$B$2:$B$39,"--")</f>
        <v>SEO</v>
      </c>
      <c r="K6221" s="65" t="str">
        <f t="shared" si="1"/>
        <v>In</v>
      </c>
    </row>
    <row r="6222">
      <c r="A6222" s="62" t="s">
        <v>6360</v>
      </c>
      <c r="B6222" s="63">
        <v>44364.0</v>
      </c>
      <c r="C6222" s="62" t="s">
        <v>119</v>
      </c>
      <c r="D6222" s="64">
        <v>47.5</v>
      </c>
      <c r="E6222" s="62" t="s">
        <v>109</v>
      </c>
      <c r="F6222" s="62" t="s">
        <v>115</v>
      </c>
      <c r="G6222" s="64" t="s">
        <v>60</v>
      </c>
      <c r="H6222" s="3" t="s">
        <v>68</v>
      </c>
      <c r="I6222" s="65">
        <f>IFERROR(VLOOKUP(A6222,'3. Call duration'!$A:$C,3,0),"--")</f>
        <v>25.61400827</v>
      </c>
      <c r="J6222" s="65" t="str">
        <f t="array" ref="J6222">XLOOKUP(H6222,'2. Matching'!$A$2:$A$39,'2. Matching'!$B$2:$B$39,"--")</f>
        <v>Acquisition</v>
      </c>
      <c r="K6222" s="65" t="str">
        <f t="shared" si="1"/>
        <v>In</v>
      </c>
    </row>
    <row r="6223">
      <c r="A6223" s="62" t="s">
        <v>6361</v>
      </c>
      <c r="B6223" s="63">
        <v>44350.0</v>
      </c>
      <c r="C6223" s="62" t="s">
        <v>119</v>
      </c>
      <c r="D6223" s="64">
        <v>47.5</v>
      </c>
      <c r="E6223" s="62" t="s">
        <v>109</v>
      </c>
      <c r="F6223" s="62" t="s">
        <v>110</v>
      </c>
      <c r="G6223" s="64" t="s">
        <v>61</v>
      </c>
      <c r="H6223" s="3" t="s">
        <v>69</v>
      </c>
      <c r="I6223" s="65">
        <f>IFERROR(VLOOKUP(A6223,'3. Call duration'!$A:$C,3,0),"--")</f>
        <v>29.71827411</v>
      </c>
      <c r="J6223" s="65" t="str">
        <f t="array" ref="J6223">XLOOKUP(H6223,'2. Matching'!$A$2:$A$39,'2. Matching'!$B$2:$B$39,"--")</f>
        <v>Acquisition</v>
      </c>
      <c r="K6223" s="65" t="str">
        <f t="shared" si="1"/>
        <v>In</v>
      </c>
    </row>
    <row r="6224">
      <c r="A6224" s="62" t="s">
        <v>6362</v>
      </c>
      <c r="B6224" s="63">
        <v>44348.0</v>
      </c>
      <c r="C6224" s="62" t="s">
        <v>119</v>
      </c>
      <c r="D6224" s="64">
        <v>47.5</v>
      </c>
      <c r="E6224" s="62" t="s">
        <v>109</v>
      </c>
      <c r="F6224" s="62" t="s">
        <v>115</v>
      </c>
      <c r="G6224" s="64" t="s">
        <v>64</v>
      </c>
      <c r="H6224" s="3" t="s">
        <v>141</v>
      </c>
      <c r="I6224" s="65">
        <f>IFERROR(VLOOKUP(A6224,'3. Call duration'!$A:$C,3,0),"--")</f>
        <v>32.16916075</v>
      </c>
      <c r="J6224" s="65" t="str">
        <f t="array" ref="J6224">XLOOKUP(H6224,'2. Matching'!$A$2:$A$39,'2. Matching'!$B$2:$B$39,"--")</f>
        <v>Acquisition</v>
      </c>
      <c r="K6224" s="65" t="str">
        <f t="shared" si="1"/>
        <v>In</v>
      </c>
    </row>
    <row r="6225">
      <c r="A6225" s="62" t="s">
        <v>6363</v>
      </c>
      <c r="B6225" s="63">
        <v>44366.0</v>
      </c>
      <c r="C6225" s="62" t="s">
        <v>119</v>
      </c>
      <c r="D6225" s="64">
        <v>47.5</v>
      </c>
      <c r="E6225" s="62" t="s">
        <v>109</v>
      </c>
      <c r="F6225" s="62" t="s">
        <v>115</v>
      </c>
      <c r="G6225" s="64" t="s">
        <v>64</v>
      </c>
      <c r="H6225" s="3" t="s">
        <v>139</v>
      </c>
      <c r="I6225" s="65">
        <f>IFERROR(VLOOKUP(A6225,'3. Call duration'!$A:$C,3,0),"--")</f>
        <v>31.55875267</v>
      </c>
      <c r="J6225" s="65" t="str">
        <f t="array" ref="J6225">XLOOKUP(H6225,'2. Matching'!$A$2:$A$39,'2. Matching'!$B$2:$B$39,"--")</f>
        <v>Acquisition</v>
      </c>
      <c r="K6225" s="65" t="str">
        <f t="shared" si="1"/>
        <v>In</v>
      </c>
    </row>
    <row r="6226">
      <c r="A6226" s="62" t="s">
        <v>6364</v>
      </c>
      <c r="B6226" s="63">
        <v>44330.0</v>
      </c>
      <c r="C6226" s="62" t="s">
        <v>112</v>
      </c>
      <c r="D6226" s="64">
        <v>0.0</v>
      </c>
      <c r="E6226" s="62" t="s">
        <v>109</v>
      </c>
      <c r="F6226" s="62" t="s">
        <v>115</v>
      </c>
      <c r="G6226" s="64" t="s">
        <v>63</v>
      </c>
      <c r="H6226" s="3" t="s">
        <v>128</v>
      </c>
      <c r="I6226" s="65" t="str">
        <f>IFERROR(VLOOKUP(A6226,'3. Call duration'!$A:$C,3,0),"--")</f>
        <v>--</v>
      </c>
      <c r="J6226" s="65" t="str">
        <f t="array" ref="J6226">XLOOKUP(H6226,'2. Matching'!$A$2:$A$39,'2. Matching'!$B$2:$B$39,"--")</f>
        <v>Acquisition</v>
      </c>
      <c r="K6226" s="65" t="str">
        <f t="shared" si="1"/>
        <v>In</v>
      </c>
    </row>
    <row r="6227">
      <c r="A6227" s="62" t="s">
        <v>6365</v>
      </c>
      <c r="B6227" s="63">
        <v>44337.0</v>
      </c>
      <c r="C6227" s="62" t="s">
        <v>112</v>
      </c>
      <c r="D6227" s="64">
        <v>0.0</v>
      </c>
      <c r="E6227" s="62" t="s">
        <v>109</v>
      </c>
      <c r="F6227" s="62" t="s">
        <v>110</v>
      </c>
      <c r="G6227" s="64" t="s">
        <v>63</v>
      </c>
      <c r="H6227" s="3" t="s">
        <v>228</v>
      </c>
      <c r="I6227" s="65" t="str">
        <f>IFERROR(VLOOKUP(A6227,'3. Call duration'!$A:$C,3,0),"--")</f>
        <v>--</v>
      </c>
      <c r="J6227" s="65" t="str">
        <f t="array" ref="J6227">XLOOKUP(H6227,'2. Matching'!$A$2:$A$39,'2. Matching'!$B$2:$B$39,"--")</f>
        <v>Farming</v>
      </c>
      <c r="K6227" s="65" t="str">
        <f t="shared" si="1"/>
        <v>In</v>
      </c>
    </row>
    <row r="6228">
      <c r="A6228" s="62" t="s">
        <v>6366</v>
      </c>
      <c r="B6228" s="63">
        <v>44363.0</v>
      </c>
      <c r="C6228" s="62" t="s">
        <v>119</v>
      </c>
      <c r="D6228" s="64">
        <v>47.5</v>
      </c>
      <c r="E6228" s="62" t="s">
        <v>109</v>
      </c>
      <c r="F6228" s="62" t="s">
        <v>110</v>
      </c>
      <c r="G6228" s="64" t="s">
        <v>60</v>
      </c>
      <c r="H6228" s="3" t="s">
        <v>67</v>
      </c>
      <c r="I6228" s="65">
        <f>IFERROR(VLOOKUP(A6228,'3. Call duration'!$A:$C,3,0),"--")</f>
        <v>28.38590556</v>
      </c>
      <c r="J6228" s="65" t="str">
        <f t="array" ref="J6228">XLOOKUP(H6228,'2. Matching'!$A$2:$A$39,'2. Matching'!$B$2:$B$39,"--")</f>
        <v>Acquisition</v>
      </c>
      <c r="K6228" s="65" t="str">
        <f t="shared" si="1"/>
        <v>In</v>
      </c>
    </row>
    <row r="6229">
      <c r="A6229" s="62" t="s">
        <v>6367</v>
      </c>
      <c r="B6229" s="63">
        <v>44347.0</v>
      </c>
      <c r="C6229" s="62" t="s">
        <v>112</v>
      </c>
      <c r="D6229" s="64">
        <v>0.0</v>
      </c>
      <c r="E6229" s="62" t="s">
        <v>109</v>
      </c>
      <c r="F6229" s="62" t="s">
        <v>110</v>
      </c>
      <c r="G6229" s="64" t="s">
        <v>63</v>
      </c>
      <c r="H6229" s="3" t="s">
        <v>128</v>
      </c>
      <c r="I6229" s="65" t="str">
        <f>IFERROR(VLOOKUP(A6229,'3. Call duration'!$A:$C,3,0),"--")</f>
        <v>--</v>
      </c>
      <c r="J6229" s="65" t="str">
        <f t="array" ref="J6229">XLOOKUP(H6229,'2. Matching'!$A$2:$A$39,'2. Matching'!$B$2:$B$39,"--")</f>
        <v>Acquisition</v>
      </c>
      <c r="K6229" s="65" t="str">
        <f t="shared" si="1"/>
        <v>In</v>
      </c>
    </row>
    <row r="6230">
      <c r="A6230" s="62" t="s">
        <v>6368</v>
      </c>
      <c r="B6230" s="63">
        <v>44353.0</v>
      </c>
      <c r="C6230" s="62" t="s">
        <v>119</v>
      </c>
      <c r="D6230" s="64">
        <v>47.5</v>
      </c>
      <c r="E6230" s="62" t="s">
        <v>109</v>
      </c>
      <c r="F6230" s="62" t="s">
        <v>110</v>
      </c>
      <c r="G6230" s="64" t="s">
        <v>59</v>
      </c>
      <c r="H6230" s="3" t="s">
        <v>68</v>
      </c>
      <c r="I6230" s="65">
        <f>IFERROR(VLOOKUP(A6230,'3. Call duration'!$A:$C,3,0),"--")</f>
        <v>33.11396318</v>
      </c>
      <c r="J6230" s="65" t="str">
        <f t="array" ref="J6230">XLOOKUP(H6230,'2. Matching'!$A$2:$A$39,'2. Matching'!$B$2:$B$39,"--")</f>
        <v>Acquisition</v>
      </c>
      <c r="K6230" s="65" t="str">
        <f t="shared" si="1"/>
        <v>In</v>
      </c>
    </row>
    <row r="6231">
      <c r="A6231" s="62" t="s">
        <v>6369</v>
      </c>
      <c r="B6231" s="63">
        <v>44358.0</v>
      </c>
      <c r="C6231" s="62" t="s">
        <v>119</v>
      </c>
      <c r="D6231" s="64">
        <v>47.5</v>
      </c>
      <c r="E6231" s="62" t="s">
        <v>109</v>
      </c>
      <c r="F6231" s="62" t="s">
        <v>110</v>
      </c>
      <c r="G6231" s="64" t="s">
        <v>60</v>
      </c>
      <c r="H6231" s="3" t="s">
        <v>68</v>
      </c>
      <c r="I6231" s="65">
        <f>IFERROR(VLOOKUP(A6231,'3. Call duration'!$A:$C,3,0),"--")</f>
        <v>31.14531707</v>
      </c>
      <c r="J6231" s="65" t="str">
        <f t="array" ref="J6231">XLOOKUP(H6231,'2. Matching'!$A$2:$A$39,'2. Matching'!$B$2:$B$39,"--")</f>
        <v>Acquisition</v>
      </c>
      <c r="K6231" s="65" t="str">
        <f t="shared" si="1"/>
        <v>In</v>
      </c>
    </row>
    <row r="6232">
      <c r="A6232" s="62" t="s">
        <v>6370</v>
      </c>
      <c r="B6232" s="63">
        <v>44375.0</v>
      </c>
      <c r="C6232" s="62" t="s">
        <v>119</v>
      </c>
      <c r="D6232" s="64">
        <v>47.5</v>
      </c>
      <c r="E6232" s="62" t="s">
        <v>109</v>
      </c>
      <c r="F6232" s="62" t="s">
        <v>115</v>
      </c>
      <c r="G6232" s="64" t="s">
        <v>64</v>
      </c>
      <c r="H6232" s="3" t="s">
        <v>185</v>
      </c>
      <c r="I6232" s="65">
        <f>IFERROR(VLOOKUP(A6232,'3. Call duration'!$A:$C,3,0),"--")</f>
        <v>16.40367142</v>
      </c>
      <c r="J6232" s="65" t="str">
        <f t="array" ref="J6232">XLOOKUP(H6232,'2. Matching'!$A$2:$A$39,'2. Matching'!$B$2:$B$39,"--")</f>
        <v>SEO</v>
      </c>
      <c r="K6232" s="65" t="str">
        <f t="shared" si="1"/>
        <v>In</v>
      </c>
    </row>
    <row r="6233">
      <c r="A6233" s="62" t="s">
        <v>6371</v>
      </c>
      <c r="B6233" s="63">
        <v>44321.0</v>
      </c>
      <c r="C6233" s="62" t="s">
        <v>112</v>
      </c>
      <c r="D6233" s="64">
        <v>0.0</v>
      </c>
      <c r="E6233" s="62" t="s">
        <v>109</v>
      </c>
      <c r="F6233" s="62" t="s">
        <v>110</v>
      </c>
      <c r="G6233" s="64" t="s">
        <v>64</v>
      </c>
      <c r="H6233" s="3" t="s">
        <v>145</v>
      </c>
      <c r="I6233" s="65" t="str">
        <f>IFERROR(VLOOKUP(A6233,'3. Call duration'!$A:$C,3,0),"--")</f>
        <v>--</v>
      </c>
      <c r="J6233" s="65" t="str">
        <f t="array" ref="J6233">XLOOKUP(H6233,'2. Matching'!$A$2:$A$39,'2. Matching'!$B$2:$B$39,"--")</f>
        <v>SEO</v>
      </c>
      <c r="K6233" s="65" t="str">
        <f t="shared" si="1"/>
        <v>In</v>
      </c>
    </row>
    <row r="6234">
      <c r="A6234" s="62" t="s">
        <v>6372</v>
      </c>
      <c r="B6234" s="63">
        <v>44347.0</v>
      </c>
      <c r="C6234" s="62" t="s">
        <v>112</v>
      </c>
      <c r="D6234" s="64">
        <v>0.0</v>
      </c>
      <c r="E6234" s="62" t="s">
        <v>109</v>
      </c>
      <c r="F6234" s="62" t="s">
        <v>110</v>
      </c>
      <c r="G6234" s="64" t="s">
        <v>60</v>
      </c>
      <c r="H6234" s="3" t="s">
        <v>68</v>
      </c>
      <c r="I6234" s="65" t="str">
        <f>IFERROR(VLOOKUP(A6234,'3. Call duration'!$A:$C,3,0),"--")</f>
        <v>--</v>
      </c>
      <c r="J6234" s="65" t="str">
        <f t="array" ref="J6234">XLOOKUP(H6234,'2. Matching'!$A$2:$A$39,'2. Matching'!$B$2:$B$39,"--")</f>
        <v>Acquisition</v>
      </c>
      <c r="K6234" s="65" t="str">
        <f t="shared" si="1"/>
        <v>In</v>
      </c>
    </row>
    <row r="6235">
      <c r="A6235" s="62" t="s">
        <v>6373</v>
      </c>
      <c r="B6235" s="63">
        <v>44377.0</v>
      </c>
      <c r="C6235" s="62" t="s">
        <v>119</v>
      </c>
      <c r="D6235" s="64">
        <v>47.5</v>
      </c>
      <c r="E6235" s="62" t="s">
        <v>109</v>
      </c>
      <c r="F6235" s="62" t="s">
        <v>110</v>
      </c>
      <c r="G6235" s="64" t="s">
        <v>60</v>
      </c>
      <c r="H6235" s="3" t="s">
        <v>68</v>
      </c>
      <c r="I6235" s="65">
        <f>IFERROR(VLOOKUP(A6235,'3. Call duration'!$A:$C,3,0),"--")</f>
        <v>25.26291954</v>
      </c>
      <c r="J6235" s="65" t="str">
        <f t="array" ref="J6235">XLOOKUP(H6235,'2. Matching'!$A$2:$A$39,'2. Matching'!$B$2:$B$39,"--")</f>
        <v>Acquisition</v>
      </c>
      <c r="K6235" s="65" t="str">
        <f t="shared" si="1"/>
        <v>In</v>
      </c>
    </row>
    <row r="6236">
      <c r="A6236" s="62" t="s">
        <v>6374</v>
      </c>
      <c r="B6236" s="63">
        <v>44376.0</v>
      </c>
      <c r="C6236" s="62" t="s">
        <v>119</v>
      </c>
      <c r="D6236" s="64">
        <v>47.5</v>
      </c>
      <c r="E6236" s="62" t="s">
        <v>109</v>
      </c>
      <c r="F6236" s="62" t="s">
        <v>110</v>
      </c>
      <c r="G6236" s="64" t="s">
        <v>60</v>
      </c>
      <c r="H6236" s="3" t="s">
        <v>67</v>
      </c>
      <c r="I6236" s="65">
        <f>IFERROR(VLOOKUP(A6236,'3. Call duration'!$A:$C,3,0),"--")</f>
        <v>26.13392436</v>
      </c>
      <c r="J6236" s="65" t="str">
        <f t="array" ref="J6236">XLOOKUP(H6236,'2. Matching'!$A$2:$A$39,'2. Matching'!$B$2:$B$39,"--")</f>
        <v>Acquisition</v>
      </c>
      <c r="K6236" s="65" t="str">
        <f t="shared" si="1"/>
        <v>In</v>
      </c>
    </row>
    <row r="6237">
      <c r="A6237" s="62" t="s">
        <v>6375</v>
      </c>
      <c r="B6237" s="63">
        <v>44370.0</v>
      </c>
      <c r="C6237" s="62" t="s">
        <v>119</v>
      </c>
      <c r="D6237" s="64">
        <v>47.5</v>
      </c>
      <c r="E6237" s="62" t="s">
        <v>109</v>
      </c>
      <c r="F6237" s="62" t="s">
        <v>115</v>
      </c>
      <c r="G6237" s="64" t="s">
        <v>64</v>
      </c>
      <c r="H6237" s="3" t="s">
        <v>169</v>
      </c>
      <c r="I6237" s="65">
        <f>IFERROR(VLOOKUP(A6237,'3. Call duration'!$A:$C,3,0),"--")</f>
        <v>26.89428246</v>
      </c>
      <c r="J6237" s="65" t="str">
        <f t="array" ref="J6237">XLOOKUP(H6237,'2. Matching'!$A$2:$A$39,'2. Matching'!$B$2:$B$39,"--")</f>
        <v>SEO</v>
      </c>
      <c r="K6237" s="65" t="str">
        <f t="shared" si="1"/>
        <v>In</v>
      </c>
    </row>
    <row r="6238">
      <c r="A6238" s="62" t="s">
        <v>6376</v>
      </c>
      <c r="B6238" s="63">
        <v>44326.0</v>
      </c>
      <c r="C6238" s="62" t="s">
        <v>112</v>
      </c>
      <c r="D6238" s="64">
        <v>0.0</v>
      </c>
      <c r="E6238" s="62" t="s">
        <v>109</v>
      </c>
      <c r="F6238" s="62" t="s">
        <v>115</v>
      </c>
      <c r="G6238" s="64" t="s">
        <v>59</v>
      </c>
      <c r="H6238" s="3" t="s">
        <v>68</v>
      </c>
      <c r="I6238" s="65" t="str">
        <f>IFERROR(VLOOKUP(A6238,'3. Call duration'!$A:$C,3,0),"--")</f>
        <v>--</v>
      </c>
      <c r="J6238" s="65" t="str">
        <f t="array" ref="J6238">XLOOKUP(H6238,'2. Matching'!$A$2:$A$39,'2. Matching'!$B$2:$B$39,"--")</f>
        <v>Acquisition</v>
      </c>
      <c r="K6238" s="65" t="str">
        <f t="shared" si="1"/>
        <v>In</v>
      </c>
    </row>
    <row r="6239">
      <c r="A6239" s="62" t="s">
        <v>6377</v>
      </c>
      <c r="B6239" s="63">
        <v>44377.0</v>
      </c>
      <c r="C6239" s="62" t="s">
        <v>119</v>
      </c>
      <c r="D6239" s="64">
        <v>47.5</v>
      </c>
      <c r="E6239" s="62" t="s">
        <v>109</v>
      </c>
      <c r="F6239" s="62" t="s">
        <v>115</v>
      </c>
      <c r="G6239" s="64" t="s">
        <v>60</v>
      </c>
      <c r="H6239" s="3" t="s">
        <v>68</v>
      </c>
      <c r="I6239" s="65">
        <f>IFERROR(VLOOKUP(A6239,'3. Call duration'!$A:$C,3,0),"--")</f>
        <v>31.62418908</v>
      </c>
      <c r="J6239" s="65" t="str">
        <f t="array" ref="J6239">XLOOKUP(H6239,'2. Matching'!$A$2:$A$39,'2. Matching'!$B$2:$B$39,"--")</f>
        <v>Acquisition</v>
      </c>
      <c r="K6239" s="65" t="str">
        <f t="shared" si="1"/>
        <v>In</v>
      </c>
    </row>
    <row r="6240">
      <c r="A6240" s="62" t="s">
        <v>6378</v>
      </c>
      <c r="B6240" s="63">
        <v>44351.0</v>
      </c>
      <c r="C6240" s="62" t="s">
        <v>119</v>
      </c>
      <c r="D6240" s="64">
        <v>47.5</v>
      </c>
      <c r="E6240" s="62" t="s">
        <v>109</v>
      </c>
      <c r="F6240" s="62" t="s">
        <v>115</v>
      </c>
      <c r="G6240" s="64" t="s">
        <v>64</v>
      </c>
      <c r="H6240" s="3" t="s">
        <v>145</v>
      </c>
      <c r="I6240" s="65">
        <f>IFERROR(VLOOKUP(A6240,'3. Call duration'!$A:$C,3,0),"--")</f>
        <v>24.69115607</v>
      </c>
      <c r="J6240" s="65" t="str">
        <f t="array" ref="J6240">XLOOKUP(H6240,'2. Matching'!$A$2:$A$39,'2. Matching'!$B$2:$B$39,"--")</f>
        <v>SEO</v>
      </c>
      <c r="K6240" s="65" t="str">
        <f t="shared" si="1"/>
        <v>In</v>
      </c>
    </row>
    <row r="6241">
      <c r="A6241" s="62" t="s">
        <v>6379</v>
      </c>
      <c r="B6241" s="63">
        <v>44377.0</v>
      </c>
      <c r="C6241" s="62" t="s">
        <v>119</v>
      </c>
      <c r="D6241" s="64">
        <v>47.5</v>
      </c>
      <c r="E6241" s="62" t="s">
        <v>109</v>
      </c>
      <c r="F6241" s="62" t="s">
        <v>115</v>
      </c>
      <c r="G6241" s="64" t="s">
        <v>64</v>
      </c>
      <c r="H6241" s="3" t="s">
        <v>139</v>
      </c>
      <c r="I6241" s="65">
        <f>IFERROR(VLOOKUP(A6241,'3. Call duration'!$A:$C,3,0),"--")</f>
        <v>23.15054136</v>
      </c>
      <c r="J6241" s="65" t="str">
        <f t="array" ref="J6241">XLOOKUP(H6241,'2. Matching'!$A$2:$A$39,'2. Matching'!$B$2:$B$39,"--")</f>
        <v>Acquisition</v>
      </c>
      <c r="K6241" s="65" t="str">
        <f t="shared" si="1"/>
        <v>In</v>
      </c>
    </row>
    <row r="6242">
      <c r="A6242" s="62" t="s">
        <v>6380</v>
      </c>
      <c r="B6242" s="63">
        <v>44337.0</v>
      </c>
      <c r="C6242" s="62" t="s">
        <v>112</v>
      </c>
      <c r="D6242" s="64">
        <v>0.0</v>
      </c>
      <c r="E6242" s="62" t="s">
        <v>109</v>
      </c>
      <c r="F6242" s="62" t="s">
        <v>110</v>
      </c>
      <c r="G6242" s="64" t="s">
        <v>64</v>
      </c>
      <c r="H6242" s="3" t="s">
        <v>171</v>
      </c>
      <c r="I6242" s="65" t="str">
        <f>IFERROR(VLOOKUP(A6242,'3. Call duration'!$A:$C,3,0),"--")</f>
        <v>--</v>
      </c>
      <c r="J6242" s="65" t="str">
        <f t="array" ref="J6242">XLOOKUP(H6242,'2. Matching'!$A$2:$A$39,'2. Matching'!$B$2:$B$39,"--")</f>
        <v>SEO</v>
      </c>
      <c r="K6242" s="65" t="str">
        <f t="shared" si="1"/>
        <v>In</v>
      </c>
    </row>
    <row r="6243">
      <c r="A6243" s="62" t="s">
        <v>6381</v>
      </c>
      <c r="B6243" s="63">
        <v>44331.0</v>
      </c>
      <c r="C6243" s="62" t="s">
        <v>112</v>
      </c>
      <c r="D6243" s="64">
        <v>0.0</v>
      </c>
      <c r="E6243" s="62" t="s">
        <v>109</v>
      </c>
      <c r="F6243" s="62" t="s">
        <v>115</v>
      </c>
      <c r="G6243" s="64" t="s">
        <v>59</v>
      </c>
      <c r="H6243" s="3" t="s">
        <v>68</v>
      </c>
      <c r="I6243" s="65" t="str">
        <f>IFERROR(VLOOKUP(A6243,'3. Call duration'!$A:$C,3,0),"--")</f>
        <v>--</v>
      </c>
      <c r="J6243" s="65" t="str">
        <f t="array" ref="J6243">XLOOKUP(H6243,'2. Matching'!$A$2:$A$39,'2. Matching'!$B$2:$B$39,"--")</f>
        <v>Acquisition</v>
      </c>
      <c r="K6243" s="65" t="str">
        <f t="shared" si="1"/>
        <v>In</v>
      </c>
    </row>
    <row r="6244">
      <c r="A6244" s="62" t="s">
        <v>6382</v>
      </c>
      <c r="B6244" s="63">
        <v>44326.0</v>
      </c>
      <c r="C6244" s="62" t="s">
        <v>112</v>
      </c>
      <c r="D6244" s="64">
        <v>0.0</v>
      </c>
      <c r="E6244" s="62" t="s">
        <v>109</v>
      </c>
      <c r="F6244" s="62" t="s">
        <v>115</v>
      </c>
      <c r="G6244" s="64" t="s">
        <v>64</v>
      </c>
      <c r="H6244" s="3" t="s">
        <v>141</v>
      </c>
      <c r="I6244" s="65" t="str">
        <f>IFERROR(VLOOKUP(A6244,'3. Call duration'!$A:$C,3,0),"--")</f>
        <v>--</v>
      </c>
      <c r="J6244" s="65" t="str">
        <f t="array" ref="J6244">XLOOKUP(H6244,'2. Matching'!$A$2:$A$39,'2. Matching'!$B$2:$B$39,"--")</f>
        <v>Acquisition</v>
      </c>
      <c r="K6244" s="65" t="str">
        <f t="shared" si="1"/>
        <v>In</v>
      </c>
    </row>
    <row r="6245">
      <c r="A6245" s="62" t="s">
        <v>6383</v>
      </c>
      <c r="B6245" s="63">
        <v>44327.0</v>
      </c>
      <c r="C6245" s="62" t="s">
        <v>112</v>
      </c>
      <c r="D6245" s="64">
        <v>0.0</v>
      </c>
      <c r="E6245" s="62" t="s">
        <v>114</v>
      </c>
      <c r="F6245" s="62" t="s">
        <v>115</v>
      </c>
      <c r="G6245" s="64" t="s">
        <v>63</v>
      </c>
      <c r="H6245" s="3" t="s">
        <v>189</v>
      </c>
      <c r="I6245" s="65" t="str">
        <f>IFERROR(VLOOKUP(A6245,'3. Call duration'!$A:$C,3,0),"--")</f>
        <v>--</v>
      </c>
      <c r="J6245" s="65" t="str">
        <f t="array" ref="J6245">XLOOKUP(H6245,'2. Matching'!$A$2:$A$39,'2. Matching'!$B$2:$B$39,"--")</f>
        <v>SEO</v>
      </c>
      <c r="K6245" s="65" t="str">
        <f t="shared" si="1"/>
        <v>Out</v>
      </c>
    </row>
    <row r="6246">
      <c r="A6246" s="62" t="s">
        <v>6384</v>
      </c>
      <c r="B6246" s="63">
        <v>44321.0</v>
      </c>
      <c r="C6246" s="62" t="s">
        <v>112</v>
      </c>
      <c r="D6246" s="64">
        <v>0.0</v>
      </c>
      <c r="E6246" s="62" t="s">
        <v>109</v>
      </c>
      <c r="F6246" s="62" t="s">
        <v>110</v>
      </c>
      <c r="G6246" s="64" t="s">
        <v>64</v>
      </c>
      <c r="H6246" s="3" t="s">
        <v>55</v>
      </c>
      <c r="I6246" s="65" t="str">
        <f>IFERROR(VLOOKUP(A6246,'3. Call duration'!$A:$C,3,0),"--")</f>
        <v>--</v>
      </c>
      <c r="J6246" s="65" t="str">
        <f t="array" ref="J6246">XLOOKUP(H6246,'2. Matching'!$A$2:$A$39,'2. Matching'!$B$2:$B$39,"--")</f>
        <v>Partnerships</v>
      </c>
      <c r="K6246" s="65" t="str">
        <f t="shared" si="1"/>
        <v>In</v>
      </c>
    </row>
    <row r="6247">
      <c r="A6247" s="62" t="s">
        <v>6385</v>
      </c>
      <c r="B6247" s="63">
        <v>44326.0</v>
      </c>
      <c r="C6247" s="62" t="s">
        <v>112</v>
      </c>
      <c r="D6247" s="64">
        <v>0.0</v>
      </c>
      <c r="E6247" s="62" t="s">
        <v>109</v>
      </c>
      <c r="F6247" s="62" t="s">
        <v>115</v>
      </c>
      <c r="G6247" s="64" t="s">
        <v>61</v>
      </c>
      <c r="H6247" s="3" t="s">
        <v>69</v>
      </c>
      <c r="I6247" s="65" t="str">
        <f>IFERROR(VLOOKUP(A6247,'3. Call duration'!$A:$C,3,0),"--")</f>
        <v>--</v>
      </c>
      <c r="J6247" s="65" t="str">
        <f t="array" ref="J6247">XLOOKUP(H6247,'2. Matching'!$A$2:$A$39,'2. Matching'!$B$2:$B$39,"--")</f>
        <v>Acquisition</v>
      </c>
      <c r="K6247" s="65" t="str">
        <f t="shared" si="1"/>
        <v>In</v>
      </c>
    </row>
    <row r="6248">
      <c r="A6248" s="62" t="s">
        <v>6386</v>
      </c>
      <c r="B6248" s="63">
        <v>44350.0</v>
      </c>
      <c r="C6248" s="62" t="s">
        <v>119</v>
      </c>
      <c r="D6248" s="64">
        <v>47.5</v>
      </c>
      <c r="E6248" s="62" t="s">
        <v>109</v>
      </c>
      <c r="F6248" s="62" t="s">
        <v>115</v>
      </c>
      <c r="G6248" s="64" t="s">
        <v>64</v>
      </c>
      <c r="H6248" s="3" t="s">
        <v>139</v>
      </c>
      <c r="I6248" s="65">
        <f>IFERROR(VLOOKUP(A6248,'3. Call duration'!$A:$C,3,0),"--")</f>
        <v>33.18932286</v>
      </c>
      <c r="J6248" s="65" t="str">
        <f t="array" ref="J6248">XLOOKUP(H6248,'2. Matching'!$A$2:$A$39,'2. Matching'!$B$2:$B$39,"--")</f>
        <v>Acquisition</v>
      </c>
      <c r="K6248" s="65" t="str">
        <f t="shared" si="1"/>
        <v>In</v>
      </c>
    </row>
    <row r="6249">
      <c r="A6249" s="62" t="s">
        <v>6387</v>
      </c>
      <c r="B6249" s="63">
        <v>44357.0</v>
      </c>
      <c r="C6249" s="62" t="s">
        <v>119</v>
      </c>
      <c r="D6249" s="64">
        <v>47.5</v>
      </c>
      <c r="E6249" s="62" t="s">
        <v>109</v>
      </c>
      <c r="F6249" s="62" t="s">
        <v>110</v>
      </c>
      <c r="G6249" s="64" t="s">
        <v>64</v>
      </c>
      <c r="H6249" s="3" t="s">
        <v>171</v>
      </c>
      <c r="I6249" s="65">
        <f>IFERROR(VLOOKUP(A6249,'3. Call duration'!$A:$C,3,0),"--")</f>
        <v>31.78107123</v>
      </c>
      <c r="J6249" s="65" t="str">
        <f t="array" ref="J6249">XLOOKUP(H6249,'2. Matching'!$A$2:$A$39,'2. Matching'!$B$2:$B$39,"--")</f>
        <v>SEO</v>
      </c>
      <c r="K6249" s="65" t="str">
        <f t="shared" si="1"/>
        <v>In</v>
      </c>
    </row>
    <row r="6250">
      <c r="A6250" s="62" t="s">
        <v>6388</v>
      </c>
      <c r="B6250" s="63">
        <v>44376.0</v>
      </c>
      <c r="C6250" s="62" t="s">
        <v>119</v>
      </c>
      <c r="D6250" s="64">
        <v>47.5</v>
      </c>
      <c r="E6250" s="62" t="s">
        <v>109</v>
      </c>
      <c r="F6250" s="62" t="s">
        <v>110</v>
      </c>
      <c r="G6250" s="64" t="s">
        <v>60</v>
      </c>
      <c r="H6250" s="3" t="s">
        <v>68</v>
      </c>
      <c r="I6250" s="65">
        <f>IFERROR(VLOOKUP(A6250,'3. Call duration'!$A:$C,3,0),"--")</f>
        <v>20.90331452</v>
      </c>
      <c r="J6250" s="65" t="str">
        <f t="array" ref="J6250">XLOOKUP(H6250,'2. Matching'!$A$2:$A$39,'2. Matching'!$B$2:$B$39,"--")</f>
        <v>Acquisition</v>
      </c>
      <c r="K6250" s="65" t="str">
        <f t="shared" si="1"/>
        <v>In</v>
      </c>
    </row>
    <row r="6251">
      <c r="A6251" s="62" t="s">
        <v>6389</v>
      </c>
      <c r="B6251" s="63">
        <v>44320.0</v>
      </c>
      <c r="C6251" s="62" t="s">
        <v>112</v>
      </c>
      <c r="D6251" s="64">
        <v>0.0</v>
      </c>
      <c r="E6251" s="62" t="s">
        <v>109</v>
      </c>
      <c r="F6251" s="62" t="s">
        <v>115</v>
      </c>
      <c r="G6251" s="64" t="s">
        <v>64</v>
      </c>
      <c r="H6251" s="3" t="s">
        <v>155</v>
      </c>
      <c r="I6251" s="65" t="str">
        <f>IFERROR(VLOOKUP(A6251,'3. Call duration'!$A:$C,3,0),"--")</f>
        <v>--</v>
      </c>
      <c r="J6251" s="65" t="str">
        <f t="array" ref="J6251">XLOOKUP(H6251,'2. Matching'!$A$2:$A$39,'2. Matching'!$B$2:$B$39,"--")</f>
        <v>SEO</v>
      </c>
      <c r="K6251" s="65" t="str">
        <f t="shared" si="1"/>
        <v>In</v>
      </c>
    </row>
    <row r="6252">
      <c r="A6252" s="62" t="s">
        <v>6390</v>
      </c>
      <c r="B6252" s="63">
        <v>44375.0</v>
      </c>
      <c r="C6252" s="62" t="s">
        <v>119</v>
      </c>
      <c r="D6252" s="64">
        <v>47.5</v>
      </c>
      <c r="E6252" s="62" t="s">
        <v>109</v>
      </c>
      <c r="F6252" s="62" t="s">
        <v>115</v>
      </c>
      <c r="G6252" s="64" t="s">
        <v>63</v>
      </c>
      <c r="H6252" s="3" t="s">
        <v>124</v>
      </c>
      <c r="I6252" s="65">
        <f>IFERROR(VLOOKUP(A6252,'3. Call duration'!$A:$C,3,0),"--")</f>
        <v>30.58230182</v>
      </c>
      <c r="J6252" s="65" t="str">
        <f t="array" ref="J6252">XLOOKUP(H6252,'2. Matching'!$A$2:$A$39,'2. Matching'!$B$2:$B$39,"--")</f>
        <v>Acquisition</v>
      </c>
      <c r="K6252" s="65" t="str">
        <f t="shared" si="1"/>
        <v>In</v>
      </c>
    </row>
    <row r="6253">
      <c r="A6253" s="62" t="s">
        <v>6391</v>
      </c>
      <c r="B6253" s="63">
        <v>44358.0</v>
      </c>
      <c r="C6253" s="62" t="s">
        <v>119</v>
      </c>
      <c r="D6253" s="64">
        <v>47.5</v>
      </c>
      <c r="E6253" s="62" t="s">
        <v>109</v>
      </c>
      <c r="F6253" s="62" t="s">
        <v>115</v>
      </c>
      <c r="G6253" s="64" t="s">
        <v>64</v>
      </c>
      <c r="H6253" s="3" t="s">
        <v>116</v>
      </c>
      <c r="I6253" s="65">
        <f>IFERROR(VLOOKUP(A6253,'3. Call duration'!$A:$C,3,0),"--")</f>
        <v>33.19080791</v>
      </c>
      <c r="J6253" s="65" t="str">
        <f t="array" ref="J6253">XLOOKUP(H6253,'2. Matching'!$A$2:$A$39,'2. Matching'!$B$2:$B$39,"--")</f>
        <v>Acquisition</v>
      </c>
      <c r="K6253" s="65" t="str">
        <f t="shared" si="1"/>
        <v>In</v>
      </c>
    </row>
    <row r="6254">
      <c r="A6254" s="62" t="s">
        <v>6392</v>
      </c>
      <c r="B6254" s="63">
        <v>44377.0</v>
      </c>
      <c r="C6254" s="62" t="s">
        <v>119</v>
      </c>
      <c r="D6254" s="64">
        <v>47.5</v>
      </c>
      <c r="E6254" s="62" t="s">
        <v>109</v>
      </c>
      <c r="F6254" s="62" t="s">
        <v>115</v>
      </c>
      <c r="G6254" s="64" t="s">
        <v>60</v>
      </c>
      <c r="H6254" s="3" t="s">
        <v>68</v>
      </c>
      <c r="I6254" s="65">
        <f>IFERROR(VLOOKUP(A6254,'3. Call duration'!$A:$C,3,0),"--")</f>
        <v>24.73369295</v>
      </c>
      <c r="J6254" s="65" t="str">
        <f t="array" ref="J6254">XLOOKUP(H6254,'2. Matching'!$A$2:$A$39,'2. Matching'!$B$2:$B$39,"--")</f>
        <v>Acquisition</v>
      </c>
      <c r="K6254" s="65" t="str">
        <f t="shared" si="1"/>
        <v>In</v>
      </c>
    </row>
    <row r="6255">
      <c r="A6255" s="62" t="s">
        <v>6393</v>
      </c>
      <c r="B6255" s="63">
        <v>44358.0</v>
      </c>
      <c r="C6255" s="62" t="s">
        <v>119</v>
      </c>
      <c r="D6255" s="64">
        <v>47.5</v>
      </c>
      <c r="E6255" s="62" t="s">
        <v>109</v>
      </c>
      <c r="F6255" s="62" t="s">
        <v>110</v>
      </c>
      <c r="G6255" s="64" t="s">
        <v>64</v>
      </c>
      <c r="H6255" s="3" t="s">
        <v>297</v>
      </c>
      <c r="I6255" s="65">
        <f>IFERROR(VLOOKUP(A6255,'3. Call duration'!$A:$C,3,0),"--")</f>
        <v>20.68162744</v>
      </c>
      <c r="J6255" s="65" t="str">
        <f t="array" ref="J6255">XLOOKUP(H6255,'2. Matching'!$A$2:$A$39,'2. Matching'!$B$2:$B$39,"--")</f>
        <v>Farming</v>
      </c>
      <c r="K6255" s="65" t="str">
        <f t="shared" si="1"/>
        <v>In</v>
      </c>
    </row>
    <row r="6256">
      <c r="A6256" s="62" t="s">
        <v>6394</v>
      </c>
      <c r="B6256" s="63">
        <v>44337.0</v>
      </c>
      <c r="C6256" s="62" t="s">
        <v>112</v>
      </c>
      <c r="D6256" s="64">
        <v>0.0</v>
      </c>
      <c r="E6256" s="62" t="s">
        <v>109</v>
      </c>
      <c r="F6256" s="62" t="s">
        <v>115</v>
      </c>
      <c r="G6256" s="64" t="s">
        <v>112</v>
      </c>
      <c r="H6256" s="3"/>
      <c r="I6256" s="65" t="str">
        <f>IFERROR(VLOOKUP(A6256,'3. Call duration'!$A:$C,3,0),"--")</f>
        <v>--</v>
      </c>
      <c r="J6256" s="65" t="str">
        <f t="array" ref="J6256">XLOOKUP(H6256,'2. Matching'!$A$2:$A$39,'2. Matching'!$B$2:$B$39,"--")</f>
        <v>--</v>
      </c>
      <c r="K6256" s="65" t="str">
        <f t="shared" si="1"/>
        <v>In</v>
      </c>
    </row>
    <row r="6257">
      <c r="A6257" s="62" t="s">
        <v>6395</v>
      </c>
      <c r="B6257" s="63">
        <v>44368.0</v>
      </c>
      <c r="C6257" s="62" t="s">
        <v>119</v>
      </c>
      <c r="D6257" s="64">
        <v>47.5</v>
      </c>
      <c r="E6257" s="62" t="s">
        <v>109</v>
      </c>
      <c r="F6257" s="62" t="s">
        <v>115</v>
      </c>
      <c r="G6257" s="64" t="s">
        <v>63</v>
      </c>
      <c r="H6257" s="3" t="s">
        <v>228</v>
      </c>
      <c r="I6257" s="65">
        <f>IFERROR(VLOOKUP(A6257,'3. Call duration'!$A:$C,3,0),"--")</f>
        <v>11.58705739</v>
      </c>
      <c r="J6257" s="65" t="str">
        <f t="array" ref="J6257">XLOOKUP(H6257,'2. Matching'!$A$2:$A$39,'2. Matching'!$B$2:$B$39,"--")</f>
        <v>Farming</v>
      </c>
      <c r="K6257" s="65" t="str">
        <f t="shared" si="1"/>
        <v>In</v>
      </c>
    </row>
    <row r="6258">
      <c r="A6258" s="62" t="s">
        <v>6396</v>
      </c>
      <c r="B6258" s="63">
        <v>44353.0</v>
      </c>
      <c r="C6258" s="62" t="s">
        <v>119</v>
      </c>
      <c r="D6258" s="64">
        <v>47.5</v>
      </c>
      <c r="E6258" s="62" t="s">
        <v>109</v>
      </c>
      <c r="F6258" s="62" t="s">
        <v>115</v>
      </c>
      <c r="G6258" s="64" t="s">
        <v>59</v>
      </c>
      <c r="H6258" s="3" t="s">
        <v>68</v>
      </c>
      <c r="I6258" s="65">
        <f>IFERROR(VLOOKUP(A6258,'3. Call duration'!$A:$C,3,0),"--")</f>
        <v>28.24024195</v>
      </c>
      <c r="J6258" s="65" t="str">
        <f t="array" ref="J6258">XLOOKUP(H6258,'2. Matching'!$A$2:$A$39,'2. Matching'!$B$2:$B$39,"--")</f>
        <v>Acquisition</v>
      </c>
      <c r="K6258" s="65" t="str">
        <f t="shared" si="1"/>
        <v>In</v>
      </c>
    </row>
    <row r="6259">
      <c r="A6259" s="62" t="s">
        <v>6397</v>
      </c>
      <c r="B6259" s="63">
        <v>44348.0</v>
      </c>
      <c r="C6259" s="62" t="s">
        <v>119</v>
      </c>
      <c r="D6259" s="64">
        <v>47.5</v>
      </c>
      <c r="E6259" s="62" t="s">
        <v>109</v>
      </c>
      <c r="F6259" s="62" t="s">
        <v>115</v>
      </c>
      <c r="G6259" s="64" t="s">
        <v>59</v>
      </c>
      <c r="H6259" s="3" t="s">
        <v>68</v>
      </c>
      <c r="I6259" s="65">
        <f>IFERROR(VLOOKUP(A6259,'3. Call duration'!$A:$C,3,0),"--")</f>
        <v>29.28020804</v>
      </c>
      <c r="J6259" s="65" t="str">
        <f t="array" ref="J6259">XLOOKUP(H6259,'2. Matching'!$A$2:$A$39,'2. Matching'!$B$2:$B$39,"--")</f>
        <v>Acquisition</v>
      </c>
      <c r="K6259" s="65" t="str">
        <f t="shared" si="1"/>
        <v>In</v>
      </c>
    </row>
    <row r="6260">
      <c r="A6260" s="62" t="s">
        <v>6398</v>
      </c>
      <c r="B6260" s="63">
        <v>44356.0</v>
      </c>
      <c r="C6260" s="62" t="s">
        <v>119</v>
      </c>
      <c r="D6260" s="64">
        <v>47.5</v>
      </c>
      <c r="E6260" s="62" t="s">
        <v>109</v>
      </c>
      <c r="F6260" s="62" t="s">
        <v>110</v>
      </c>
      <c r="G6260" s="64" t="s">
        <v>60</v>
      </c>
      <c r="H6260" s="3" t="s">
        <v>67</v>
      </c>
      <c r="I6260" s="65">
        <f>IFERROR(VLOOKUP(A6260,'3. Call duration'!$A:$C,3,0),"--")</f>
        <v>21.76297236</v>
      </c>
      <c r="J6260" s="65" t="str">
        <f t="array" ref="J6260">XLOOKUP(H6260,'2. Matching'!$A$2:$A$39,'2. Matching'!$B$2:$B$39,"--")</f>
        <v>Acquisition</v>
      </c>
      <c r="K6260" s="65" t="str">
        <f t="shared" si="1"/>
        <v>In</v>
      </c>
    </row>
    <row r="6261">
      <c r="A6261" s="62" t="s">
        <v>6399</v>
      </c>
      <c r="B6261" s="63">
        <v>44341.0</v>
      </c>
      <c r="C6261" s="62" t="s">
        <v>112</v>
      </c>
      <c r="D6261" s="64">
        <v>0.0</v>
      </c>
      <c r="E6261" s="62" t="s">
        <v>114</v>
      </c>
      <c r="F6261" s="62" t="s">
        <v>110</v>
      </c>
      <c r="G6261" s="64" t="s">
        <v>63</v>
      </c>
      <c r="H6261" s="3" t="s">
        <v>189</v>
      </c>
      <c r="I6261" s="65" t="str">
        <f>IFERROR(VLOOKUP(A6261,'3. Call duration'!$A:$C,3,0),"--")</f>
        <v>--</v>
      </c>
      <c r="J6261" s="65" t="str">
        <f t="array" ref="J6261">XLOOKUP(H6261,'2. Matching'!$A$2:$A$39,'2. Matching'!$B$2:$B$39,"--")</f>
        <v>SEO</v>
      </c>
      <c r="K6261" s="65" t="str">
        <f t="shared" si="1"/>
        <v>Out</v>
      </c>
    </row>
    <row r="6262">
      <c r="A6262" s="62" t="s">
        <v>6400</v>
      </c>
      <c r="B6262" s="63">
        <v>44377.0</v>
      </c>
      <c r="C6262" s="62" t="s">
        <v>119</v>
      </c>
      <c r="D6262" s="64">
        <v>47.5</v>
      </c>
      <c r="E6262" s="62" t="s">
        <v>109</v>
      </c>
      <c r="F6262" s="62" t="s">
        <v>115</v>
      </c>
      <c r="G6262" s="64" t="s">
        <v>59</v>
      </c>
      <c r="H6262" s="3" t="s">
        <v>68</v>
      </c>
      <c r="I6262" s="65">
        <f>IFERROR(VLOOKUP(A6262,'3. Call duration'!$A:$C,3,0),"--")</f>
        <v>12.72714335</v>
      </c>
      <c r="J6262" s="65" t="str">
        <f t="array" ref="J6262">XLOOKUP(H6262,'2. Matching'!$A$2:$A$39,'2. Matching'!$B$2:$B$39,"--")</f>
        <v>Acquisition</v>
      </c>
      <c r="K6262" s="65" t="str">
        <f t="shared" si="1"/>
        <v>In</v>
      </c>
    </row>
    <row r="6263">
      <c r="A6263" s="62" t="s">
        <v>6401</v>
      </c>
      <c r="B6263" s="63">
        <v>44361.0</v>
      </c>
      <c r="C6263" s="62" t="s">
        <v>119</v>
      </c>
      <c r="D6263" s="64">
        <v>47.5</v>
      </c>
      <c r="E6263" s="62" t="s">
        <v>109</v>
      </c>
      <c r="F6263" s="62" t="s">
        <v>110</v>
      </c>
      <c r="G6263" s="64" t="s">
        <v>60</v>
      </c>
      <c r="H6263" s="3" t="s">
        <v>67</v>
      </c>
      <c r="I6263" s="65">
        <f>IFERROR(VLOOKUP(A6263,'3. Call duration'!$A:$C,3,0),"--")</f>
        <v>31.70941488</v>
      </c>
      <c r="J6263" s="65" t="str">
        <f t="array" ref="J6263">XLOOKUP(H6263,'2. Matching'!$A$2:$A$39,'2. Matching'!$B$2:$B$39,"--")</f>
        <v>Acquisition</v>
      </c>
      <c r="K6263" s="65" t="str">
        <f t="shared" si="1"/>
        <v>In</v>
      </c>
    </row>
    <row r="6264">
      <c r="A6264" s="62" t="s">
        <v>6402</v>
      </c>
      <c r="B6264" s="63">
        <v>44343.0</v>
      </c>
      <c r="C6264" s="62" t="s">
        <v>112</v>
      </c>
      <c r="D6264" s="64">
        <v>0.0</v>
      </c>
      <c r="E6264" s="62" t="s">
        <v>109</v>
      </c>
      <c r="F6264" s="62" t="s">
        <v>110</v>
      </c>
      <c r="G6264" s="64" t="s">
        <v>59</v>
      </c>
      <c r="H6264" s="3" t="s">
        <v>68</v>
      </c>
      <c r="I6264" s="65" t="str">
        <f>IFERROR(VLOOKUP(A6264,'3. Call duration'!$A:$C,3,0),"--")</f>
        <v>--</v>
      </c>
      <c r="J6264" s="65" t="str">
        <f t="array" ref="J6264">XLOOKUP(H6264,'2. Matching'!$A$2:$A$39,'2. Matching'!$B$2:$B$39,"--")</f>
        <v>Acquisition</v>
      </c>
      <c r="K6264" s="65" t="str">
        <f t="shared" si="1"/>
        <v>In</v>
      </c>
    </row>
    <row r="6265">
      <c r="A6265" s="62" t="s">
        <v>6403</v>
      </c>
      <c r="B6265" s="63">
        <v>44341.0</v>
      </c>
      <c r="C6265" s="62" t="s">
        <v>112</v>
      </c>
      <c r="D6265" s="64">
        <v>0.0</v>
      </c>
      <c r="E6265" s="62" t="s">
        <v>109</v>
      </c>
      <c r="F6265" s="62" t="s">
        <v>110</v>
      </c>
      <c r="G6265" s="64" t="s">
        <v>64</v>
      </c>
      <c r="H6265" s="3" t="s">
        <v>52</v>
      </c>
      <c r="I6265" s="65" t="str">
        <f>IFERROR(VLOOKUP(A6265,'3. Call duration'!$A:$C,3,0),"--")</f>
        <v>--</v>
      </c>
      <c r="J6265" s="65" t="str">
        <f t="array" ref="J6265">XLOOKUP(H6265,'2. Matching'!$A$2:$A$39,'2. Matching'!$B$2:$B$39,"--")</f>
        <v>Partnerships</v>
      </c>
      <c r="K6265" s="65" t="str">
        <f t="shared" si="1"/>
        <v>In</v>
      </c>
    </row>
    <row r="6266">
      <c r="A6266" s="62" t="s">
        <v>6404</v>
      </c>
      <c r="B6266" s="63">
        <v>44327.0</v>
      </c>
      <c r="C6266" s="62" t="s">
        <v>112</v>
      </c>
      <c r="D6266" s="64">
        <v>0.0</v>
      </c>
      <c r="E6266" s="62" t="s">
        <v>109</v>
      </c>
      <c r="F6266" s="62" t="s">
        <v>110</v>
      </c>
      <c r="G6266" s="64" t="s">
        <v>63</v>
      </c>
      <c r="H6266" s="3" t="s">
        <v>189</v>
      </c>
      <c r="I6266" s="65" t="str">
        <f>IFERROR(VLOOKUP(A6266,'3. Call duration'!$A:$C,3,0),"--")</f>
        <v>--</v>
      </c>
      <c r="J6266" s="65" t="str">
        <f t="array" ref="J6266">XLOOKUP(H6266,'2. Matching'!$A$2:$A$39,'2. Matching'!$B$2:$B$39,"--")</f>
        <v>SEO</v>
      </c>
      <c r="K6266" s="65" t="str">
        <f t="shared" si="1"/>
        <v>Out</v>
      </c>
    </row>
    <row r="6267">
      <c r="A6267" s="62" t="s">
        <v>6405</v>
      </c>
      <c r="B6267" s="63">
        <v>44363.0</v>
      </c>
      <c r="C6267" s="62" t="s">
        <v>119</v>
      </c>
      <c r="D6267" s="64">
        <v>47.5</v>
      </c>
      <c r="E6267" s="62" t="s">
        <v>109</v>
      </c>
      <c r="F6267" s="62" t="s">
        <v>115</v>
      </c>
      <c r="G6267" s="64" t="s">
        <v>63</v>
      </c>
      <c r="H6267" s="3" t="s">
        <v>124</v>
      </c>
      <c r="I6267" s="65">
        <f>IFERROR(VLOOKUP(A6267,'3. Call duration'!$A:$C,3,0),"--")</f>
        <v>26.21803625</v>
      </c>
      <c r="J6267" s="65" t="str">
        <f t="array" ref="J6267">XLOOKUP(H6267,'2. Matching'!$A$2:$A$39,'2. Matching'!$B$2:$B$39,"--")</f>
        <v>Acquisition</v>
      </c>
      <c r="K6267" s="65" t="str">
        <f t="shared" si="1"/>
        <v>In</v>
      </c>
    </row>
    <row r="6268">
      <c r="A6268" s="62" t="s">
        <v>6406</v>
      </c>
      <c r="B6268" s="63">
        <v>44373.0</v>
      </c>
      <c r="C6268" s="62" t="s">
        <v>119</v>
      </c>
      <c r="D6268" s="64">
        <v>47.5</v>
      </c>
      <c r="E6268" s="62" t="s">
        <v>109</v>
      </c>
      <c r="F6268" s="62" t="s">
        <v>115</v>
      </c>
      <c r="G6268" s="64" t="s">
        <v>64</v>
      </c>
      <c r="H6268" s="3" t="s">
        <v>164</v>
      </c>
      <c r="I6268" s="65">
        <f>IFERROR(VLOOKUP(A6268,'3. Call duration'!$A:$C,3,0),"--")</f>
        <v>21.08054879</v>
      </c>
      <c r="J6268" s="65" t="str">
        <f t="array" ref="J6268">XLOOKUP(H6268,'2. Matching'!$A$2:$A$39,'2. Matching'!$B$2:$B$39,"--")</f>
        <v>SEO</v>
      </c>
      <c r="K6268" s="65" t="str">
        <f t="shared" si="1"/>
        <v>In</v>
      </c>
    </row>
    <row r="6269">
      <c r="A6269" s="62" t="s">
        <v>6407</v>
      </c>
      <c r="B6269" s="63">
        <v>44335.0</v>
      </c>
      <c r="C6269" s="62" t="s">
        <v>112</v>
      </c>
      <c r="D6269" s="64">
        <v>0.0</v>
      </c>
      <c r="E6269" s="62" t="s">
        <v>109</v>
      </c>
      <c r="F6269" s="62" t="s">
        <v>115</v>
      </c>
      <c r="G6269" s="64" t="s">
        <v>64</v>
      </c>
      <c r="H6269" s="3" t="s">
        <v>175</v>
      </c>
      <c r="I6269" s="65" t="str">
        <f>IFERROR(VLOOKUP(A6269,'3. Call duration'!$A:$C,3,0),"--")</f>
        <v>--</v>
      </c>
      <c r="J6269" s="65" t="str">
        <f t="array" ref="J6269">XLOOKUP(H6269,'2. Matching'!$A$2:$A$39,'2. Matching'!$B$2:$B$39,"--")</f>
        <v>SEO</v>
      </c>
      <c r="K6269" s="65" t="str">
        <f t="shared" si="1"/>
        <v>In</v>
      </c>
    </row>
    <row r="6270">
      <c r="A6270" s="62" t="s">
        <v>6408</v>
      </c>
      <c r="B6270" s="63">
        <v>44336.0</v>
      </c>
      <c r="C6270" s="62" t="s">
        <v>112</v>
      </c>
      <c r="D6270" s="64">
        <v>0.0</v>
      </c>
      <c r="E6270" s="62" t="s">
        <v>109</v>
      </c>
      <c r="F6270" s="62" t="s">
        <v>110</v>
      </c>
      <c r="G6270" s="64" t="s">
        <v>59</v>
      </c>
      <c r="H6270" s="3" t="s">
        <v>68</v>
      </c>
      <c r="I6270" s="65" t="str">
        <f>IFERROR(VLOOKUP(A6270,'3. Call duration'!$A:$C,3,0),"--")</f>
        <v>--</v>
      </c>
      <c r="J6270" s="65" t="str">
        <f t="array" ref="J6270">XLOOKUP(H6270,'2. Matching'!$A$2:$A$39,'2. Matching'!$B$2:$B$39,"--")</f>
        <v>Acquisition</v>
      </c>
      <c r="K6270" s="65" t="str">
        <f t="shared" si="1"/>
        <v>In</v>
      </c>
    </row>
    <row r="6271">
      <c r="A6271" s="62" t="s">
        <v>6409</v>
      </c>
      <c r="B6271" s="63">
        <v>44347.0</v>
      </c>
      <c r="C6271" s="62" t="s">
        <v>112</v>
      </c>
      <c r="D6271" s="64">
        <v>0.0</v>
      </c>
      <c r="E6271" s="62" t="s">
        <v>109</v>
      </c>
      <c r="F6271" s="62" t="s">
        <v>110</v>
      </c>
      <c r="G6271" s="64" t="s">
        <v>59</v>
      </c>
      <c r="H6271" s="3" t="s">
        <v>68</v>
      </c>
      <c r="I6271" s="65" t="str">
        <f>IFERROR(VLOOKUP(A6271,'3. Call duration'!$A:$C,3,0),"--")</f>
        <v>--</v>
      </c>
      <c r="J6271" s="65" t="str">
        <f t="array" ref="J6271">XLOOKUP(H6271,'2. Matching'!$A$2:$A$39,'2. Matching'!$B$2:$B$39,"--")</f>
        <v>Acquisition</v>
      </c>
      <c r="K6271" s="65" t="str">
        <f t="shared" si="1"/>
        <v>In</v>
      </c>
    </row>
    <row r="6272">
      <c r="A6272" s="62" t="s">
        <v>6410</v>
      </c>
      <c r="B6272" s="63">
        <v>44322.0</v>
      </c>
      <c r="C6272" s="62" t="s">
        <v>112</v>
      </c>
      <c r="D6272" s="64">
        <v>0.0</v>
      </c>
      <c r="E6272" s="62" t="s">
        <v>114</v>
      </c>
      <c r="F6272" s="62" t="s">
        <v>110</v>
      </c>
      <c r="G6272" s="64" t="s">
        <v>63</v>
      </c>
      <c r="H6272" s="3" t="s">
        <v>189</v>
      </c>
      <c r="I6272" s="65" t="str">
        <f>IFERROR(VLOOKUP(A6272,'3. Call duration'!$A:$C,3,0),"--")</f>
        <v>--</v>
      </c>
      <c r="J6272" s="65" t="str">
        <f t="array" ref="J6272">XLOOKUP(H6272,'2. Matching'!$A$2:$A$39,'2. Matching'!$B$2:$B$39,"--")</f>
        <v>SEO</v>
      </c>
      <c r="K6272" s="65" t="str">
        <f t="shared" si="1"/>
        <v>Out</v>
      </c>
    </row>
    <row r="6273">
      <c r="A6273" s="62" t="s">
        <v>6411</v>
      </c>
      <c r="B6273" s="63">
        <v>44347.0</v>
      </c>
      <c r="C6273" s="62" t="s">
        <v>112</v>
      </c>
      <c r="D6273" s="64">
        <v>0.0</v>
      </c>
      <c r="E6273" s="62" t="s">
        <v>109</v>
      </c>
      <c r="F6273" s="62" t="s">
        <v>115</v>
      </c>
      <c r="G6273" s="64" t="s">
        <v>64</v>
      </c>
      <c r="H6273" s="3" t="s">
        <v>155</v>
      </c>
      <c r="I6273" s="65" t="str">
        <f>IFERROR(VLOOKUP(A6273,'3. Call duration'!$A:$C,3,0),"--")</f>
        <v>--</v>
      </c>
      <c r="J6273" s="65" t="str">
        <f t="array" ref="J6273">XLOOKUP(H6273,'2. Matching'!$A$2:$A$39,'2. Matching'!$B$2:$B$39,"--")</f>
        <v>SEO</v>
      </c>
      <c r="K6273" s="65" t="str">
        <f t="shared" si="1"/>
        <v>In</v>
      </c>
    </row>
    <row r="6274">
      <c r="A6274" s="62" t="s">
        <v>6412</v>
      </c>
      <c r="B6274" s="63">
        <v>44350.0</v>
      </c>
      <c r="C6274" s="62" t="s">
        <v>119</v>
      </c>
      <c r="D6274" s="64">
        <v>47.5</v>
      </c>
      <c r="E6274" s="62" t="s">
        <v>109</v>
      </c>
      <c r="F6274" s="62" t="s">
        <v>115</v>
      </c>
      <c r="G6274" s="64" t="s">
        <v>59</v>
      </c>
      <c r="H6274" s="3" t="s">
        <v>68</v>
      </c>
      <c r="I6274" s="65">
        <f>IFERROR(VLOOKUP(A6274,'3. Call duration'!$A:$C,3,0),"--")</f>
        <v>31.14551275</v>
      </c>
      <c r="J6274" s="65" t="str">
        <f t="array" ref="J6274">XLOOKUP(H6274,'2. Matching'!$A$2:$A$39,'2. Matching'!$B$2:$B$39,"--")</f>
        <v>Acquisition</v>
      </c>
      <c r="K6274" s="65" t="str">
        <f t="shared" si="1"/>
        <v>In</v>
      </c>
    </row>
    <row r="6275">
      <c r="A6275" s="62" t="s">
        <v>6413</v>
      </c>
      <c r="B6275" s="63">
        <v>44333.0</v>
      </c>
      <c r="C6275" s="62" t="s">
        <v>112</v>
      </c>
      <c r="D6275" s="64">
        <v>0.0</v>
      </c>
      <c r="E6275" s="62" t="s">
        <v>114</v>
      </c>
      <c r="F6275" s="62" t="s">
        <v>110</v>
      </c>
      <c r="G6275" s="64" t="s">
        <v>63</v>
      </c>
      <c r="H6275" s="3" t="s">
        <v>189</v>
      </c>
      <c r="I6275" s="65" t="str">
        <f>IFERROR(VLOOKUP(A6275,'3. Call duration'!$A:$C,3,0),"--")</f>
        <v>--</v>
      </c>
      <c r="J6275" s="65" t="str">
        <f t="array" ref="J6275">XLOOKUP(H6275,'2. Matching'!$A$2:$A$39,'2. Matching'!$B$2:$B$39,"--")</f>
        <v>SEO</v>
      </c>
      <c r="K6275" s="65" t="str">
        <f t="shared" si="1"/>
        <v>Out</v>
      </c>
    </row>
    <row r="6276">
      <c r="A6276" s="62" t="s">
        <v>6414</v>
      </c>
      <c r="B6276" s="63">
        <v>44323.0</v>
      </c>
      <c r="C6276" s="62" t="s">
        <v>112</v>
      </c>
      <c r="D6276" s="64">
        <v>0.0</v>
      </c>
      <c r="E6276" s="62" t="s">
        <v>114</v>
      </c>
      <c r="F6276" s="62" t="s">
        <v>110</v>
      </c>
      <c r="G6276" s="64" t="s">
        <v>64</v>
      </c>
      <c r="H6276" s="3" t="s">
        <v>52</v>
      </c>
      <c r="I6276" s="65" t="str">
        <f>IFERROR(VLOOKUP(A6276,'3. Call duration'!$A:$C,3,0),"--")</f>
        <v>--</v>
      </c>
      <c r="J6276" s="65" t="str">
        <f t="array" ref="J6276">XLOOKUP(H6276,'2. Matching'!$A$2:$A$39,'2. Matching'!$B$2:$B$39,"--")</f>
        <v>Partnerships</v>
      </c>
      <c r="K6276" s="65" t="str">
        <f t="shared" si="1"/>
        <v>In</v>
      </c>
    </row>
    <row r="6277">
      <c r="A6277" s="62" t="s">
        <v>6415</v>
      </c>
      <c r="B6277" s="63">
        <v>44347.0</v>
      </c>
      <c r="C6277" s="62" t="s">
        <v>112</v>
      </c>
      <c r="D6277" s="64">
        <v>0.0</v>
      </c>
      <c r="E6277" s="62" t="s">
        <v>109</v>
      </c>
      <c r="F6277" s="62" t="s">
        <v>115</v>
      </c>
      <c r="G6277" s="64" t="s">
        <v>64</v>
      </c>
      <c r="H6277" s="3" t="s">
        <v>185</v>
      </c>
      <c r="I6277" s="65" t="str">
        <f>IFERROR(VLOOKUP(A6277,'3. Call duration'!$A:$C,3,0),"--")</f>
        <v>--</v>
      </c>
      <c r="J6277" s="65" t="str">
        <f t="array" ref="J6277">XLOOKUP(H6277,'2. Matching'!$A$2:$A$39,'2. Matching'!$B$2:$B$39,"--")</f>
        <v>SEO</v>
      </c>
      <c r="K6277" s="65" t="str">
        <f t="shared" si="1"/>
        <v>In</v>
      </c>
    </row>
    <row r="6278">
      <c r="A6278" s="62" t="s">
        <v>6416</v>
      </c>
      <c r="B6278" s="63">
        <v>44331.0</v>
      </c>
      <c r="C6278" s="62" t="s">
        <v>112</v>
      </c>
      <c r="D6278" s="64">
        <v>0.0</v>
      </c>
      <c r="E6278" s="62" t="s">
        <v>109</v>
      </c>
      <c r="F6278" s="62" t="s">
        <v>110</v>
      </c>
      <c r="G6278" s="64" t="s">
        <v>59</v>
      </c>
      <c r="H6278" s="3" t="s">
        <v>67</v>
      </c>
      <c r="I6278" s="65" t="str">
        <f>IFERROR(VLOOKUP(A6278,'3. Call duration'!$A:$C,3,0),"--")</f>
        <v>--</v>
      </c>
      <c r="J6278" s="65" t="str">
        <f t="array" ref="J6278">XLOOKUP(H6278,'2. Matching'!$A$2:$A$39,'2. Matching'!$B$2:$B$39,"--")</f>
        <v>Acquisition</v>
      </c>
      <c r="K6278" s="65" t="str">
        <f t="shared" si="1"/>
        <v>In</v>
      </c>
    </row>
    <row r="6279">
      <c r="A6279" s="62" t="s">
        <v>6417</v>
      </c>
      <c r="B6279" s="63">
        <v>44375.0</v>
      </c>
      <c r="C6279" s="62" t="s">
        <v>119</v>
      </c>
      <c r="D6279" s="64">
        <v>47.5</v>
      </c>
      <c r="E6279" s="62" t="s">
        <v>109</v>
      </c>
      <c r="F6279" s="62" t="s">
        <v>115</v>
      </c>
      <c r="G6279" s="64" t="s">
        <v>59</v>
      </c>
      <c r="H6279" s="3" t="s">
        <v>68</v>
      </c>
      <c r="I6279" s="65">
        <f>IFERROR(VLOOKUP(A6279,'3. Call duration'!$A:$C,3,0),"--")</f>
        <v>29.8359982</v>
      </c>
      <c r="J6279" s="65" t="str">
        <f t="array" ref="J6279">XLOOKUP(H6279,'2. Matching'!$A$2:$A$39,'2. Matching'!$B$2:$B$39,"--")</f>
        <v>Acquisition</v>
      </c>
      <c r="K6279" s="65" t="str">
        <f t="shared" si="1"/>
        <v>In</v>
      </c>
    </row>
    <row r="6280">
      <c r="A6280" s="62" t="s">
        <v>6418</v>
      </c>
      <c r="B6280" s="63">
        <v>44354.0</v>
      </c>
      <c r="C6280" s="62" t="s">
        <v>119</v>
      </c>
      <c r="D6280" s="64">
        <v>47.5</v>
      </c>
      <c r="E6280" s="62" t="s">
        <v>109</v>
      </c>
      <c r="F6280" s="62" t="s">
        <v>110</v>
      </c>
      <c r="G6280" s="64" t="s">
        <v>59</v>
      </c>
      <c r="H6280" s="3" t="s">
        <v>68</v>
      </c>
      <c r="I6280" s="65" t="str">
        <f>IFERROR(VLOOKUP(A6280,'3. Call duration'!$A:$C,3,0),"--")</f>
        <v>--</v>
      </c>
      <c r="J6280" s="65" t="str">
        <f t="array" ref="J6280">XLOOKUP(H6280,'2. Matching'!$A$2:$A$39,'2. Matching'!$B$2:$B$39,"--")</f>
        <v>Acquisition</v>
      </c>
      <c r="K6280" s="65" t="str">
        <f t="shared" si="1"/>
        <v>In</v>
      </c>
    </row>
    <row r="6281">
      <c r="A6281" s="62" t="s">
        <v>6419</v>
      </c>
      <c r="B6281" s="63">
        <v>44363.0</v>
      </c>
      <c r="C6281" s="62" t="s">
        <v>119</v>
      </c>
      <c r="D6281" s="64">
        <v>47.5</v>
      </c>
      <c r="E6281" s="62" t="s">
        <v>109</v>
      </c>
      <c r="F6281" s="62" t="s">
        <v>115</v>
      </c>
      <c r="G6281" s="64" t="s">
        <v>64</v>
      </c>
      <c r="H6281" s="3" t="s">
        <v>141</v>
      </c>
      <c r="I6281" s="65">
        <f>IFERROR(VLOOKUP(A6281,'3. Call duration'!$A:$C,3,0),"--")</f>
        <v>33.49464719</v>
      </c>
      <c r="J6281" s="65" t="str">
        <f t="array" ref="J6281">XLOOKUP(H6281,'2. Matching'!$A$2:$A$39,'2. Matching'!$B$2:$B$39,"--")</f>
        <v>Acquisition</v>
      </c>
      <c r="K6281" s="65" t="str">
        <f t="shared" si="1"/>
        <v>In</v>
      </c>
    </row>
    <row r="6282">
      <c r="A6282" s="62" t="s">
        <v>6420</v>
      </c>
      <c r="B6282" s="63">
        <v>44345.0</v>
      </c>
      <c r="C6282" s="62" t="s">
        <v>112</v>
      </c>
      <c r="D6282" s="64">
        <v>0.0</v>
      </c>
      <c r="E6282" s="62" t="s">
        <v>109</v>
      </c>
      <c r="F6282" s="62" t="s">
        <v>115</v>
      </c>
      <c r="G6282" s="64" t="s">
        <v>59</v>
      </c>
      <c r="H6282" s="3" t="s">
        <v>68</v>
      </c>
      <c r="I6282" s="65" t="str">
        <f>IFERROR(VLOOKUP(A6282,'3. Call duration'!$A:$C,3,0),"--")</f>
        <v>--</v>
      </c>
      <c r="J6282" s="65" t="str">
        <f t="array" ref="J6282">XLOOKUP(H6282,'2. Matching'!$A$2:$A$39,'2. Matching'!$B$2:$B$39,"--")</f>
        <v>Acquisition</v>
      </c>
      <c r="K6282" s="65" t="str">
        <f t="shared" si="1"/>
        <v>In</v>
      </c>
    </row>
    <row r="6283">
      <c r="A6283" s="62" t="s">
        <v>6421</v>
      </c>
      <c r="B6283" s="63">
        <v>44341.0</v>
      </c>
      <c r="C6283" s="62" t="s">
        <v>112</v>
      </c>
      <c r="D6283" s="64">
        <v>0.0</v>
      </c>
      <c r="E6283" s="62" t="s">
        <v>109</v>
      </c>
      <c r="F6283" s="62" t="s">
        <v>110</v>
      </c>
      <c r="G6283" s="64" t="s">
        <v>64</v>
      </c>
      <c r="H6283" s="3" t="s">
        <v>171</v>
      </c>
      <c r="I6283" s="65" t="str">
        <f>IFERROR(VLOOKUP(A6283,'3. Call duration'!$A:$C,3,0),"--")</f>
        <v>--</v>
      </c>
      <c r="J6283" s="65" t="str">
        <f t="array" ref="J6283">XLOOKUP(H6283,'2. Matching'!$A$2:$A$39,'2. Matching'!$B$2:$B$39,"--")</f>
        <v>SEO</v>
      </c>
      <c r="K6283" s="65" t="str">
        <f t="shared" si="1"/>
        <v>In</v>
      </c>
    </row>
    <row r="6284">
      <c r="A6284" s="62" t="s">
        <v>6422</v>
      </c>
      <c r="B6284" s="63">
        <v>44321.0</v>
      </c>
      <c r="C6284" s="62" t="s">
        <v>112</v>
      </c>
      <c r="D6284" s="64">
        <v>0.0</v>
      </c>
      <c r="E6284" s="62" t="s">
        <v>109</v>
      </c>
      <c r="F6284" s="62" t="s">
        <v>110</v>
      </c>
      <c r="G6284" s="64" t="s">
        <v>61</v>
      </c>
      <c r="H6284" s="3" t="s">
        <v>70</v>
      </c>
      <c r="I6284" s="65" t="str">
        <f>IFERROR(VLOOKUP(A6284,'3. Call duration'!$A:$C,3,0),"--")</f>
        <v>--</v>
      </c>
      <c r="J6284" s="65" t="str">
        <f t="array" ref="J6284">XLOOKUP(H6284,'2. Matching'!$A$2:$A$39,'2. Matching'!$B$2:$B$39,"--")</f>
        <v>Farming</v>
      </c>
      <c r="K6284" s="65" t="str">
        <f t="shared" si="1"/>
        <v>In</v>
      </c>
    </row>
    <row r="6285">
      <c r="A6285" s="62" t="s">
        <v>6423</v>
      </c>
      <c r="B6285" s="63">
        <v>44366.0</v>
      </c>
      <c r="C6285" s="62" t="s">
        <v>119</v>
      </c>
      <c r="D6285" s="64">
        <v>47.5</v>
      </c>
      <c r="E6285" s="62" t="s">
        <v>109</v>
      </c>
      <c r="F6285" s="62" t="s">
        <v>110</v>
      </c>
      <c r="G6285" s="64" t="s">
        <v>60</v>
      </c>
      <c r="H6285" s="3" t="s">
        <v>67</v>
      </c>
      <c r="I6285" s="65">
        <f>IFERROR(VLOOKUP(A6285,'3. Call duration'!$A:$C,3,0),"--")</f>
        <v>22.37989293</v>
      </c>
      <c r="J6285" s="65" t="str">
        <f t="array" ref="J6285">XLOOKUP(H6285,'2. Matching'!$A$2:$A$39,'2. Matching'!$B$2:$B$39,"--")</f>
        <v>Acquisition</v>
      </c>
      <c r="K6285" s="65" t="str">
        <f t="shared" si="1"/>
        <v>In</v>
      </c>
    </row>
    <row r="6286">
      <c r="A6286" s="62" t="s">
        <v>6424</v>
      </c>
      <c r="B6286" s="63">
        <v>44343.0</v>
      </c>
      <c r="C6286" s="62" t="s">
        <v>112</v>
      </c>
      <c r="D6286" s="64">
        <v>0.0</v>
      </c>
      <c r="E6286" s="62" t="s">
        <v>109</v>
      </c>
      <c r="F6286" s="62" t="s">
        <v>110</v>
      </c>
      <c r="G6286" s="64" t="s">
        <v>64</v>
      </c>
      <c r="H6286" s="3" t="s">
        <v>54</v>
      </c>
      <c r="I6286" s="65" t="str">
        <f>IFERROR(VLOOKUP(A6286,'3. Call duration'!$A:$C,3,0),"--")</f>
        <v>--</v>
      </c>
      <c r="J6286" s="65" t="str">
        <f t="array" ref="J6286">XLOOKUP(H6286,'2. Matching'!$A$2:$A$39,'2. Matching'!$B$2:$B$39,"--")</f>
        <v>Partnerships</v>
      </c>
      <c r="K6286" s="65" t="str">
        <f t="shared" si="1"/>
        <v>In</v>
      </c>
    </row>
    <row r="6287">
      <c r="A6287" s="62" t="s">
        <v>6425</v>
      </c>
      <c r="B6287" s="63">
        <v>44329.0</v>
      </c>
      <c r="C6287" s="62" t="s">
        <v>112</v>
      </c>
      <c r="D6287" s="64">
        <v>0.0</v>
      </c>
      <c r="E6287" s="62" t="s">
        <v>109</v>
      </c>
      <c r="F6287" s="62" t="s">
        <v>115</v>
      </c>
      <c r="G6287" s="64" t="s">
        <v>64</v>
      </c>
      <c r="H6287" s="3" t="s">
        <v>141</v>
      </c>
      <c r="I6287" s="65" t="str">
        <f>IFERROR(VLOOKUP(A6287,'3. Call duration'!$A:$C,3,0),"--")</f>
        <v>--</v>
      </c>
      <c r="J6287" s="65" t="str">
        <f t="array" ref="J6287">XLOOKUP(H6287,'2. Matching'!$A$2:$A$39,'2. Matching'!$B$2:$B$39,"--")</f>
        <v>Acquisition</v>
      </c>
      <c r="K6287" s="65" t="str">
        <f t="shared" si="1"/>
        <v>In</v>
      </c>
    </row>
    <row r="6288">
      <c r="A6288" s="62" t="s">
        <v>6426</v>
      </c>
      <c r="B6288" s="63">
        <v>44337.0</v>
      </c>
      <c r="C6288" s="62" t="s">
        <v>112</v>
      </c>
      <c r="D6288" s="64">
        <v>0.0</v>
      </c>
      <c r="E6288" s="62" t="s">
        <v>109</v>
      </c>
      <c r="F6288" s="62" t="s">
        <v>110</v>
      </c>
      <c r="G6288" s="64" t="s">
        <v>64</v>
      </c>
      <c r="H6288" s="3" t="s">
        <v>175</v>
      </c>
      <c r="I6288" s="65" t="str">
        <f>IFERROR(VLOOKUP(A6288,'3. Call duration'!$A:$C,3,0),"--")</f>
        <v>--</v>
      </c>
      <c r="J6288" s="65" t="str">
        <f t="array" ref="J6288">XLOOKUP(H6288,'2. Matching'!$A$2:$A$39,'2. Matching'!$B$2:$B$39,"--")</f>
        <v>SEO</v>
      </c>
      <c r="K6288" s="65" t="str">
        <f t="shared" si="1"/>
        <v>In</v>
      </c>
    </row>
    <row r="6289">
      <c r="A6289" s="62" t="s">
        <v>6427</v>
      </c>
      <c r="B6289" s="63">
        <v>44371.0</v>
      </c>
      <c r="C6289" s="62" t="s">
        <v>119</v>
      </c>
      <c r="D6289" s="64">
        <v>47.5</v>
      </c>
      <c r="E6289" s="62" t="s">
        <v>109</v>
      </c>
      <c r="F6289" s="62" t="s">
        <v>110</v>
      </c>
      <c r="G6289" s="64" t="s">
        <v>61</v>
      </c>
      <c r="H6289" s="3" t="s">
        <v>67</v>
      </c>
      <c r="I6289" s="65">
        <f>IFERROR(VLOOKUP(A6289,'3. Call duration'!$A:$C,3,0),"--")</f>
        <v>32.31122629</v>
      </c>
      <c r="J6289" s="65" t="str">
        <f t="array" ref="J6289">XLOOKUP(H6289,'2. Matching'!$A$2:$A$39,'2. Matching'!$B$2:$B$39,"--")</f>
        <v>Acquisition</v>
      </c>
      <c r="K6289" s="65" t="str">
        <f t="shared" si="1"/>
        <v>In</v>
      </c>
    </row>
    <row r="6290">
      <c r="A6290" s="62" t="s">
        <v>6428</v>
      </c>
      <c r="B6290" s="63">
        <v>44362.0</v>
      </c>
      <c r="C6290" s="62" t="s">
        <v>119</v>
      </c>
      <c r="D6290" s="64">
        <v>47.5</v>
      </c>
      <c r="E6290" s="62" t="s">
        <v>109</v>
      </c>
      <c r="F6290" s="62" t="s">
        <v>115</v>
      </c>
      <c r="G6290" s="64" t="s">
        <v>64</v>
      </c>
      <c r="H6290" s="3" t="s">
        <v>145</v>
      </c>
      <c r="I6290" s="65">
        <f>IFERROR(VLOOKUP(A6290,'3. Call duration'!$A:$C,3,0),"--")</f>
        <v>20.61865123</v>
      </c>
      <c r="J6290" s="65" t="str">
        <f t="array" ref="J6290">XLOOKUP(H6290,'2. Matching'!$A$2:$A$39,'2. Matching'!$B$2:$B$39,"--")</f>
        <v>SEO</v>
      </c>
      <c r="K6290" s="65" t="str">
        <f t="shared" si="1"/>
        <v>In</v>
      </c>
    </row>
    <row r="6291">
      <c r="A6291" s="62" t="s">
        <v>6429</v>
      </c>
      <c r="B6291" s="63">
        <v>44375.0</v>
      </c>
      <c r="C6291" s="62" t="s">
        <v>119</v>
      </c>
      <c r="D6291" s="64">
        <v>47.5</v>
      </c>
      <c r="E6291" s="62" t="s">
        <v>109</v>
      </c>
      <c r="F6291" s="62" t="s">
        <v>115</v>
      </c>
      <c r="G6291" s="64" t="s">
        <v>64</v>
      </c>
      <c r="H6291" s="3" t="s">
        <v>55</v>
      </c>
      <c r="I6291" s="65" t="str">
        <f>IFERROR(VLOOKUP(A6291,'3. Call duration'!$A:$C,3,0),"--")</f>
        <v>--</v>
      </c>
      <c r="J6291" s="65" t="str">
        <f t="array" ref="J6291">XLOOKUP(H6291,'2. Matching'!$A$2:$A$39,'2. Matching'!$B$2:$B$39,"--")</f>
        <v>Partnerships</v>
      </c>
      <c r="K6291" s="65" t="str">
        <f t="shared" si="1"/>
        <v>In</v>
      </c>
    </row>
    <row r="6292">
      <c r="A6292" s="62" t="s">
        <v>6430</v>
      </c>
      <c r="B6292" s="63">
        <v>44359.0</v>
      </c>
      <c r="C6292" s="62" t="s">
        <v>119</v>
      </c>
      <c r="D6292" s="64">
        <v>47.5</v>
      </c>
      <c r="E6292" s="62" t="s">
        <v>109</v>
      </c>
      <c r="F6292" s="62" t="s">
        <v>115</v>
      </c>
      <c r="G6292" s="64" t="s">
        <v>64</v>
      </c>
      <c r="H6292" s="3" t="s">
        <v>139</v>
      </c>
      <c r="I6292" s="65">
        <f>IFERROR(VLOOKUP(A6292,'3. Call duration'!$A:$C,3,0),"--")</f>
        <v>30.70016388</v>
      </c>
      <c r="J6292" s="65" t="str">
        <f t="array" ref="J6292">XLOOKUP(H6292,'2. Matching'!$A$2:$A$39,'2. Matching'!$B$2:$B$39,"--")</f>
        <v>Acquisition</v>
      </c>
      <c r="K6292" s="65" t="str">
        <f t="shared" si="1"/>
        <v>In</v>
      </c>
    </row>
    <row r="6293">
      <c r="A6293" s="62" t="s">
        <v>6431</v>
      </c>
      <c r="B6293" s="63">
        <v>44333.0</v>
      </c>
      <c r="C6293" s="62" t="s">
        <v>112</v>
      </c>
      <c r="D6293" s="64">
        <v>0.0</v>
      </c>
      <c r="E6293" s="62" t="s">
        <v>109</v>
      </c>
      <c r="F6293" s="62" t="s">
        <v>110</v>
      </c>
      <c r="G6293" s="64" t="s">
        <v>60</v>
      </c>
      <c r="H6293" s="3" t="s">
        <v>68</v>
      </c>
      <c r="I6293" s="65" t="str">
        <f>IFERROR(VLOOKUP(A6293,'3. Call duration'!$A:$C,3,0),"--")</f>
        <v>--</v>
      </c>
      <c r="J6293" s="65" t="str">
        <f t="array" ref="J6293">XLOOKUP(H6293,'2. Matching'!$A$2:$A$39,'2. Matching'!$B$2:$B$39,"--")</f>
        <v>Acquisition</v>
      </c>
      <c r="K6293" s="65" t="str">
        <f t="shared" si="1"/>
        <v>In</v>
      </c>
    </row>
    <row r="6294">
      <c r="A6294" s="62" t="s">
        <v>6432</v>
      </c>
      <c r="B6294" s="63">
        <v>44348.0</v>
      </c>
      <c r="C6294" s="62" t="s">
        <v>119</v>
      </c>
      <c r="D6294" s="64">
        <v>47.5</v>
      </c>
      <c r="E6294" s="62" t="s">
        <v>109</v>
      </c>
      <c r="F6294" s="62" t="s">
        <v>110</v>
      </c>
      <c r="G6294" s="64" t="s">
        <v>64</v>
      </c>
      <c r="H6294" s="3" t="s">
        <v>145</v>
      </c>
      <c r="I6294" s="65">
        <f>IFERROR(VLOOKUP(A6294,'3. Call duration'!$A:$C,3,0),"--")</f>
        <v>21.1628088</v>
      </c>
      <c r="J6294" s="65" t="str">
        <f t="array" ref="J6294">XLOOKUP(H6294,'2. Matching'!$A$2:$A$39,'2. Matching'!$B$2:$B$39,"--")</f>
        <v>SEO</v>
      </c>
      <c r="K6294" s="65" t="str">
        <f t="shared" si="1"/>
        <v>In</v>
      </c>
    </row>
    <row r="6295">
      <c r="A6295" s="62" t="s">
        <v>6433</v>
      </c>
      <c r="B6295" s="63">
        <v>44347.0</v>
      </c>
      <c r="C6295" s="62" t="s">
        <v>112</v>
      </c>
      <c r="D6295" s="64">
        <v>0.0</v>
      </c>
      <c r="E6295" s="62" t="s">
        <v>109</v>
      </c>
      <c r="F6295" s="62" t="s">
        <v>110</v>
      </c>
      <c r="G6295" s="64" t="s">
        <v>59</v>
      </c>
      <c r="H6295" s="3" t="s">
        <v>68</v>
      </c>
      <c r="I6295" s="65" t="str">
        <f>IFERROR(VLOOKUP(A6295,'3. Call duration'!$A:$C,3,0),"--")</f>
        <v>--</v>
      </c>
      <c r="J6295" s="65" t="str">
        <f t="array" ref="J6295">XLOOKUP(H6295,'2. Matching'!$A$2:$A$39,'2. Matching'!$B$2:$B$39,"--")</f>
        <v>Acquisition</v>
      </c>
      <c r="K6295" s="65" t="str">
        <f t="shared" si="1"/>
        <v>In</v>
      </c>
    </row>
    <row r="6296">
      <c r="A6296" s="62" t="s">
        <v>6434</v>
      </c>
      <c r="B6296" s="63">
        <v>44349.0</v>
      </c>
      <c r="C6296" s="62" t="s">
        <v>119</v>
      </c>
      <c r="D6296" s="64">
        <v>47.5</v>
      </c>
      <c r="E6296" s="62" t="s">
        <v>109</v>
      </c>
      <c r="F6296" s="62" t="s">
        <v>110</v>
      </c>
      <c r="G6296" s="64" t="s">
        <v>64</v>
      </c>
      <c r="H6296" s="3" t="s">
        <v>139</v>
      </c>
      <c r="I6296" s="65">
        <f>IFERROR(VLOOKUP(A6296,'3. Call duration'!$A:$C,3,0),"--")</f>
        <v>23.7185186</v>
      </c>
      <c r="J6296" s="65" t="str">
        <f t="array" ref="J6296">XLOOKUP(H6296,'2. Matching'!$A$2:$A$39,'2. Matching'!$B$2:$B$39,"--")</f>
        <v>Acquisition</v>
      </c>
      <c r="K6296" s="65" t="str">
        <f t="shared" si="1"/>
        <v>In</v>
      </c>
    </row>
    <row r="6297">
      <c r="A6297" s="62" t="s">
        <v>6435</v>
      </c>
      <c r="B6297" s="63">
        <v>44347.0</v>
      </c>
      <c r="C6297" s="62" t="s">
        <v>112</v>
      </c>
      <c r="D6297" s="64">
        <v>0.0</v>
      </c>
      <c r="E6297" s="62" t="s">
        <v>109</v>
      </c>
      <c r="F6297" s="62" t="s">
        <v>110</v>
      </c>
      <c r="G6297" s="64" t="s">
        <v>64</v>
      </c>
      <c r="H6297" s="3" t="s">
        <v>145</v>
      </c>
      <c r="I6297" s="65" t="str">
        <f>IFERROR(VLOOKUP(A6297,'3. Call duration'!$A:$C,3,0),"--")</f>
        <v>--</v>
      </c>
      <c r="J6297" s="65" t="str">
        <f t="array" ref="J6297">XLOOKUP(H6297,'2. Matching'!$A$2:$A$39,'2. Matching'!$B$2:$B$39,"--")</f>
        <v>SEO</v>
      </c>
      <c r="K6297" s="65" t="str">
        <f t="shared" si="1"/>
        <v>In</v>
      </c>
    </row>
    <row r="6298">
      <c r="A6298" s="62" t="s">
        <v>6436</v>
      </c>
      <c r="B6298" s="63">
        <v>44364.0</v>
      </c>
      <c r="C6298" s="62" t="s">
        <v>119</v>
      </c>
      <c r="D6298" s="64">
        <v>47.5</v>
      </c>
      <c r="E6298" s="62" t="s">
        <v>109</v>
      </c>
      <c r="F6298" s="62" t="s">
        <v>110</v>
      </c>
      <c r="G6298" s="64" t="s">
        <v>64</v>
      </c>
      <c r="H6298" s="3" t="s">
        <v>297</v>
      </c>
      <c r="I6298" s="65">
        <f>IFERROR(VLOOKUP(A6298,'3. Call duration'!$A:$C,3,0),"--")</f>
        <v>22.27919801</v>
      </c>
      <c r="J6298" s="65" t="str">
        <f t="array" ref="J6298">XLOOKUP(H6298,'2. Matching'!$A$2:$A$39,'2. Matching'!$B$2:$B$39,"--")</f>
        <v>Farming</v>
      </c>
      <c r="K6298" s="65" t="str">
        <f t="shared" si="1"/>
        <v>In</v>
      </c>
    </row>
    <row r="6299">
      <c r="A6299" s="62" t="s">
        <v>6437</v>
      </c>
      <c r="B6299" s="63">
        <v>44349.0</v>
      </c>
      <c r="C6299" s="62" t="s">
        <v>119</v>
      </c>
      <c r="D6299" s="64">
        <v>47.5</v>
      </c>
      <c r="E6299" s="62" t="s">
        <v>109</v>
      </c>
      <c r="F6299" s="62" t="s">
        <v>110</v>
      </c>
      <c r="G6299" s="64" t="s">
        <v>60</v>
      </c>
      <c r="H6299" s="3" t="s">
        <v>67</v>
      </c>
      <c r="I6299" s="65" t="str">
        <f>IFERROR(VLOOKUP(A6299,'3. Call duration'!$A:$C,3,0),"--")</f>
        <v>--</v>
      </c>
      <c r="J6299" s="65" t="str">
        <f t="array" ref="J6299">XLOOKUP(H6299,'2. Matching'!$A$2:$A$39,'2. Matching'!$B$2:$B$39,"--")</f>
        <v>Acquisition</v>
      </c>
      <c r="K6299" s="65" t="str">
        <f t="shared" si="1"/>
        <v>In</v>
      </c>
    </row>
    <row r="6300">
      <c r="A6300" s="62" t="s">
        <v>6438</v>
      </c>
      <c r="B6300" s="63">
        <v>44336.0</v>
      </c>
      <c r="C6300" s="62" t="s">
        <v>112</v>
      </c>
      <c r="D6300" s="64">
        <v>0.0</v>
      </c>
      <c r="E6300" s="62" t="s">
        <v>109</v>
      </c>
      <c r="F6300" s="62" t="s">
        <v>115</v>
      </c>
      <c r="G6300" s="64" t="s">
        <v>64</v>
      </c>
      <c r="H6300" s="3" t="s">
        <v>55</v>
      </c>
      <c r="I6300" s="65" t="str">
        <f>IFERROR(VLOOKUP(A6300,'3. Call duration'!$A:$C,3,0),"--")</f>
        <v>--</v>
      </c>
      <c r="J6300" s="65" t="str">
        <f t="array" ref="J6300">XLOOKUP(H6300,'2. Matching'!$A$2:$A$39,'2. Matching'!$B$2:$B$39,"--")</f>
        <v>Partnerships</v>
      </c>
      <c r="K6300" s="65" t="str">
        <f t="shared" si="1"/>
        <v>In</v>
      </c>
    </row>
    <row r="6301">
      <c r="A6301" s="62" t="s">
        <v>6439</v>
      </c>
      <c r="B6301" s="63">
        <v>44327.0</v>
      </c>
      <c r="C6301" s="62" t="s">
        <v>112</v>
      </c>
      <c r="D6301" s="64">
        <v>0.0</v>
      </c>
      <c r="E6301" s="62" t="s">
        <v>109</v>
      </c>
      <c r="F6301" s="62" t="s">
        <v>110</v>
      </c>
      <c r="G6301" s="64" t="s">
        <v>64</v>
      </c>
      <c r="H6301" s="3" t="s">
        <v>55</v>
      </c>
      <c r="I6301" s="65" t="str">
        <f>IFERROR(VLOOKUP(A6301,'3. Call duration'!$A:$C,3,0),"--")</f>
        <v>--</v>
      </c>
      <c r="J6301" s="65" t="str">
        <f t="array" ref="J6301">XLOOKUP(H6301,'2. Matching'!$A$2:$A$39,'2. Matching'!$B$2:$B$39,"--")</f>
        <v>Partnerships</v>
      </c>
      <c r="K6301" s="65" t="str">
        <f t="shared" si="1"/>
        <v>In</v>
      </c>
    </row>
    <row r="6302">
      <c r="A6302" s="62" t="s">
        <v>6440</v>
      </c>
      <c r="B6302" s="63">
        <v>44340.0</v>
      </c>
      <c r="C6302" s="62" t="s">
        <v>112</v>
      </c>
      <c r="D6302" s="64">
        <v>0.0</v>
      </c>
      <c r="E6302" s="62" t="s">
        <v>109</v>
      </c>
      <c r="F6302" s="62" t="s">
        <v>115</v>
      </c>
      <c r="G6302" s="64" t="s">
        <v>64</v>
      </c>
      <c r="H6302" s="3" t="s">
        <v>169</v>
      </c>
      <c r="I6302" s="65" t="str">
        <f>IFERROR(VLOOKUP(A6302,'3. Call duration'!$A:$C,3,0),"--")</f>
        <v>--</v>
      </c>
      <c r="J6302" s="65" t="str">
        <f t="array" ref="J6302">XLOOKUP(H6302,'2. Matching'!$A$2:$A$39,'2. Matching'!$B$2:$B$39,"--")</f>
        <v>SEO</v>
      </c>
      <c r="K6302" s="65" t="str">
        <f t="shared" si="1"/>
        <v>In</v>
      </c>
    </row>
    <row r="6303">
      <c r="A6303" s="62" t="s">
        <v>6441</v>
      </c>
      <c r="B6303" s="63">
        <v>44375.0</v>
      </c>
      <c r="C6303" s="62" t="s">
        <v>119</v>
      </c>
      <c r="D6303" s="64">
        <v>47.5</v>
      </c>
      <c r="E6303" s="62" t="s">
        <v>109</v>
      </c>
      <c r="F6303" s="62" t="s">
        <v>115</v>
      </c>
      <c r="G6303" s="64" t="s">
        <v>64</v>
      </c>
      <c r="H6303" s="3" t="s">
        <v>175</v>
      </c>
      <c r="I6303" s="65">
        <f>IFERROR(VLOOKUP(A6303,'3. Call duration'!$A:$C,3,0),"--")</f>
        <v>31.64085055</v>
      </c>
      <c r="J6303" s="65" t="str">
        <f t="array" ref="J6303">XLOOKUP(H6303,'2. Matching'!$A$2:$A$39,'2. Matching'!$B$2:$B$39,"--")</f>
        <v>SEO</v>
      </c>
      <c r="K6303" s="65" t="str">
        <f t="shared" si="1"/>
        <v>In</v>
      </c>
    </row>
    <row r="6304">
      <c r="A6304" s="62" t="s">
        <v>6442</v>
      </c>
      <c r="B6304" s="63">
        <v>44376.0</v>
      </c>
      <c r="C6304" s="62" t="s">
        <v>119</v>
      </c>
      <c r="D6304" s="64">
        <v>47.5</v>
      </c>
      <c r="E6304" s="62" t="s">
        <v>109</v>
      </c>
      <c r="F6304" s="62" t="s">
        <v>115</v>
      </c>
      <c r="G6304" s="64" t="s">
        <v>64</v>
      </c>
      <c r="H6304" s="3" t="s">
        <v>49</v>
      </c>
      <c r="I6304" s="65">
        <f>IFERROR(VLOOKUP(A6304,'3. Call duration'!$A:$C,3,0),"--")</f>
        <v>22.47476727</v>
      </c>
      <c r="J6304" s="65" t="str">
        <f t="array" ref="J6304">XLOOKUP(H6304,'2. Matching'!$A$2:$A$39,'2. Matching'!$B$2:$B$39,"--")</f>
        <v>Partnerships</v>
      </c>
      <c r="K6304" s="65" t="str">
        <f t="shared" si="1"/>
        <v>In</v>
      </c>
    </row>
    <row r="6305">
      <c r="A6305" s="62" t="s">
        <v>6443</v>
      </c>
      <c r="B6305" s="63">
        <v>44376.0</v>
      </c>
      <c r="C6305" s="62" t="s">
        <v>119</v>
      </c>
      <c r="D6305" s="64">
        <v>47.5</v>
      </c>
      <c r="E6305" s="62" t="s">
        <v>109</v>
      </c>
      <c r="F6305" s="62" t="s">
        <v>115</v>
      </c>
      <c r="G6305" s="64" t="s">
        <v>59</v>
      </c>
      <c r="H6305" s="3" t="s">
        <v>68</v>
      </c>
      <c r="I6305" s="65">
        <f>IFERROR(VLOOKUP(A6305,'3. Call duration'!$A:$C,3,0),"--")</f>
        <v>45.02744243</v>
      </c>
      <c r="J6305" s="65" t="str">
        <f t="array" ref="J6305">XLOOKUP(H6305,'2. Matching'!$A$2:$A$39,'2. Matching'!$B$2:$B$39,"--")</f>
        <v>Acquisition</v>
      </c>
      <c r="K6305" s="65" t="str">
        <f t="shared" si="1"/>
        <v>In</v>
      </c>
    </row>
    <row r="6306">
      <c r="A6306" s="62" t="s">
        <v>6444</v>
      </c>
      <c r="B6306" s="63">
        <v>44361.0</v>
      </c>
      <c r="C6306" s="62" t="s">
        <v>119</v>
      </c>
      <c r="D6306" s="64">
        <v>47.5</v>
      </c>
      <c r="E6306" s="62" t="s">
        <v>109</v>
      </c>
      <c r="F6306" s="62" t="s">
        <v>115</v>
      </c>
      <c r="G6306" s="64" t="s">
        <v>63</v>
      </c>
      <c r="H6306" s="3" t="s">
        <v>228</v>
      </c>
      <c r="I6306" s="65" t="str">
        <f>IFERROR(VLOOKUP(A6306,'3. Call duration'!$A:$C,3,0),"--")</f>
        <v>--</v>
      </c>
      <c r="J6306" s="65" t="str">
        <f t="array" ref="J6306">XLOOKUP(H6306,'2. Matching'!$A$2:$A$39,'2. Matching'!$B$2:$B$39,"--")</f>
        <v>Farming</v>
      </c>
      <c r="K6306" s="65" t="str">
        <f t="shared" si="1"/>
        <v>In</v>
      </c>
    </row>
    <row r="6307">
      <c r="A6307" s="62" t="s">
        <v>6445</v>
      </c>
      <c r="B6307" s="63">
        <v>44330.0</v>
      </c>
      <c r="C6307" s="62" t="s">
        <v>112</v>
      </c>
      <c r="D6307" s="64">
        <v>0.0</v>
      </c>
      <c r="E6307" s="62" t="s">
        <v>109</v>
      </c>
      <c r="F6307" s="62" t="s">
        <v>115</v>
      </c>
      <c r="G6307" s="64" t="s">
        <v>112</v>
      </c>
      <c r="H6307" s="3"/>
      <c r="I6307" s="65" t="str">
        <f>IFERROR(VLOOKUP(A6307,'3. Call duration'!$A:$C,3,0),"--")</f>
        <v>--</v>
      </c>
      <c r="J6307" s="65" t="str">
        <f t="array" ref="J6307">XLOOKUP(H6307,'2. Matching'!$A$2:$A$39,'2. Matching'!$B$2:$B$39,"--")</f>
        <v>--</v>
      </c>
      <c r="K6307" s="65" t="str">
        <f t="shared" si="1"/>
        <v>In</v>
      </c>
    </row>
    <row r="6308">
      <c r="A6308" s="62" t="s">
        <v>6446</v>
      </c>
      <c r="B6308" s="63">
        <v>44364.0</v>
      </c>
      <c r="C6308" s="62" t="s">
        <v>119</v>
      </c>
      <c r="D6308" s="64">
        <v>47.5</v>
      </c>
      <c r="E6308" s="62" t="s">
        <v>109</v>
      </c>
      <c r="F6308" s="62" t="s">
        <v>110</v>
      </c>
      <c r="G6308" s="64" t="s">
        <v>59</v>
      </c>
      <c r="H6308" s="3" t="s">
        <v>68</v>
      </c>
      <c r="I6308" s="65">
        <f>IFERROR(VLOOKUP(A6308,'3. Call duration'!$A:$C,3,0),"--")</f>
        <v>22.0765786</v>
      </c>
      <c r="J6308" s="65" t="str">
        <f t="array" ref="J6308">XLOOKUP(H6308,'2. Matching'!$A$2:$A$39,'2. Matching'!$B$2:$B$39,"--")</f>
        <v>Acquisition</v>
      </c>
      <c r="K6308" s="65" t="str">
        <f t="shared" si="1"/>
        <v>In</v>
      </c>
    </row>
    <row r="6309">
      <c r="A6309" s="62" t="s">
        <v>6447</v>
      </c>
      <c r="B6309" s="63">
        <v>44356.0</v>
      </c>
      <c r="C6309" s="62" t="s">
        <v>119</v>
      </c>
      <c r="D6309" s="64">
        <v>47.5</v>
      </c>
      <c r="E6309" s="62" t="s">
        <v>109</v>
      </c>
      <c r="F6309" s="62" t="s">
        <v>115</v>
      </c>
      <c r="G6309" s="64" t="s">
        <v>64</v>
      </c>
      <c r="H6309" s="3" t="s">
        <v>116</v>
      </c>
      <c r="I6309" s="65">
        <f>IFERROR(VLOOKUP(A6309,'3. Call duration'!$A:$C,3,0),"--")</f>
        <v>15.86206889</v>
      </c>
      <c r="J6309" s="65" t="str">
        <f t="array" ref="J6309">XLOOKUP(H6309,'2. Matching'!$A$2:$A$39,'2. Matching'!$B$2:$B$39,"--")</f>
        <v>Acquisition</v>
      </c>
      <c r="K6309" s="65" t="str">
        <f t="shared" si="1"/>
        <v>In</v>
      </c>
    </row>
    <row r="6310">
      <c r="A6310" s="62" t="s">
        <v>6448</v>
      </c>
      <c r="B6310" s="63">
        <v>44376.0</v>
      </c>
      <c r="C6310" s="62" t="s">
        <v>119</v>
      </c>
      <c r="D6310" s="64">
        <v>47.5</v>
      </c>
      <c r="E6310" s="62" t="s">
        <v>109</v>
      </c>
      <c r="F6310" s="62" t="s">
        <v>110</v>
      </c>
      <c r="G6310" s="64" t="s">
        <v>60</v>
      </c>
      <c r="H6310" s="3" t="s">
        <v>67</v>
      </c>
      <c r="I6310" s="65">
        <f>IFERROR(VLOOKUP(A6310,'3. Call duration'!$A:$C,3,0),"--")</f>
        <v>32.80091163</v>
      </c>
      <c r="J6310" s="65" t="str">
        <f t="array" ref="J6310">XLOOKUP(H6310,'2. Matching'!$A$2:$A$39,'2. Matching'!$B$2:$B$39,"--")</f>
        <v>Acquisition</v>
      </c>
      <c r="K6310" s="65" t="str">
        <f t="shared" si="1"/>
        <v>In</v>
      </c>
    </row>
    <row r="6311">
      <c r="A6311" s="62" t="s">
        <v>6449</v>
      </c>
      <c r="B6311" s="63">
        <v>44319.0</v>
      </c>
      <c r="C6311" s="62" t="s">
        <v>112</v>
      </c>
      <c r="D6311" s="64">
        <v>0.0</v>
      </c>
      <c r="E6311" s="62" t="s">
        <v>109</v>
      </c>
      <c r="F6311" s="62" t="s">
        <v>110</v>
      </c>
      <c r="G6311" s="64" t="s">
        <v>59</v>
      </c>
      <c r="H6311" s="3" t="s">
        <v>68</v>
      </c>
      <c r="I6311" s="65" t="str">
        <f>IFERROR(VLOOKUP(A6311,'3. Call duration'!$A:$C,3,0),"--")</f>
        <v>--</v>
      </c>
      <c r="J6311" s="65" t="str">
        <f t="array" ref="J6311">XLOOKUP(H6311,'2. Matching'!$A$2:$A$39,'2. Matching'!$B$2:$B$39,"--")</f>
        <v>Acquisition</v>
      </c>
      <c r="K6311" s="65" t="str">
        <f t="shared" si="1"/>
        <v>In</v>
      </c>
    </row>
    <row r="6312">
      <c r="A6312" s="62" t="s">
        <v>6450</v>
      </c>
      <c r="B6312" s="63">
        <v>44327.0</v>
      </c>
      <c r="C6312" s="62" t="s">
        <v>112</v>
      </c>
      <c r="D6312" s="64">
        <v>0.0</v>
      </c>
      <c r="E6312" s="62" t="s">
        <v>109</v>
      </c>
      <c r="F6312" s="62" t="s">
        <v>110</v>
      </c>
      <c r="G6312" s="64" t="s">
        <v>60</v>
      </c>
      <c r="H6312" s="3" t="s">
        <v>67</v>
      </c>
      <c r="I6312" s="65" t="str">
        <f>IFERROR(VLOOKUP(A6312,'3. Call duration'!$A:$C,3,0),"--")</f>
        <v>--</v>
      </c>
      <c r="J6312" s="65" t="str">
        <f t="array" ref="J6312">XLOOKUP(H6312,'2. Matching'!$A$2:$A$39,'2. Matching'!$B$2:$B$39,"--")</f>
        <v>Acquisition</v>
      </c>
      <c r="K6312" s="65" t="str">
        <f t="shared" si="1"/>
        <v>In</v>
      </c>
    </row>
    <row r="6313">
      <c r="A6313" s="62" t="s">
        <v>6451</v>
      </c>
      <c r="B6313" s="63">
        <v>44328.0</v>
      </c>
      <c r="C6313" s="62" t="s">
        <v>112</v>
      </c>
      <c r="D6313" s="64">
        <v>0.0</v>
      </c>
      <c r="E6313" s="62" t="s">
        <v>109</v>
      </c>
      <c r="F6313" s="62" t="s">
        <v>115</v>
      </c>
      <c r="G6313" s="64" t="s">
        <v>64</v>
      </c>
      <c r="H6313" s="3" t="s">
        <v>169</v>
      </c>
      <c r="I6313" s="65" t="str">
        <f>IFERROR(VLOOKUP(A6313,'3. Call duration'!$A:$C,3,0),"--")</f>
        <v>--</v>
      </c>
      <c r="J6313" s="65" t="str">
        <f t="array" ref="J6313">XLOOKUP(H6313,'2. Matching'!$A$2:$A$39,'2. Matching'!$B$2:$B$39,"--")</f>
        <v>SEO</v>
      </c>
      <c r="K6313" s="65" t="str">
        <f t="shared" si="1"/>
        <v>In</v>
      </c>
    </row>
    <row r="6314">
      <c r="A6314" s="62" t="s">
        <v>6452</v>
      </c>
      <c r="B6314" s="63">
        <v>44355.0</v>
      </c>
      <c r="C6314" s="62" t="s">
        <v>119</v>
      </c>
      <c r="D6314" s="64">
        <v>47.5</v>
      </c>
      <c r="E6314" s="62" t="s">
        <v>109</v>
      </c>
      <c r="F6314" s="62" t="s">
        <v>115</v>
      </c>
      <c r="G6314" s="64" t="s">
        <v>63</v>
      </c>
      <c r="H6314" s="3" t="s">
        <v>124</v>
      </c>
      <c r="I6314" s="65">
        <f>IFERROR(VLOOKUP(A6314,'3. Call duration'!$A:$C,3,0),"--")</f>
        <v>25.26727761</v>
      </c>
      <c r="J6314" s="65" t="str">
        <f t="array" ref="J6314">XLOOKUP(H6314,'2. Matching'!$A$2:$A$39,'2. Matching'!$B$2:$B$39,"--")</f>
        <v>Acquisition</v>
      </c>
      <c r="K6314" s="65" t="str">
        <f t="shared" si="1"/>
        <v>In</v>
      </c>
    </row>
    <row r="6315">
      <c r="A6315" s="62" t="s">
        <v>6453</v>
      </c>
      <c r="B6315" s="63">
        <v>44362.0</v>
      </c>
      <c r="C6315" s="62" t="s">
        <v>119</v>
      </c>
      <c r="D6315" s="64">
        <v>47.5</v>
      </c>
      <c r="E6315" s="62" t="s">
        <v>109</v>
      </c>
      <c r="F6315" s="62" t="s">
        <v>115</v>
      </c>
      <c r="G6315" s="64" t="s">
        <v>64</v>
      </c>
      <c r="H6315" s="3" t="s">
        <v>141</v>
      </c>
      <c r="I6315" s="65">
        <f>IFERROR(VLOOKUP(A6315,'3. Call duration'!$A:$C,3,0),"--")</f>
        <v>15.65209353</v>
      </c>
      <c r="J6315" s="65" t="str">
        <f t="array" ref="J6315">XLOOKUP(H6315,'2. Matching'!$A$2:$A$39,'2. Matching'!$B$2:$B$39,"--")</f>
        <v>Acquisition</v>
      </c>
      <c r="K6315" s="65" t="str">
        <f t="shared" si="1"/>
        <v>In</v>
      </c>
    </row>
    <row r="6316">
      <c r="A6316" s="62" t="s">
        <v>6454</v>
      </c>
      <c r="B6316" s="63">
        <v>44344.0</v>
      </c>
      <c r="C6316" s="62" t="s">
        <v>112</v>
      </c>
      <c r="D6316" s="64">
        <v>0.0</v>
      </c>
      <c r="E6316" s="62" t="s">
        <v>109</v>
      </c>
      <c r="F6316" s="62" t="s">
        <v>110</v>
      </c>
      <c r="G6316" s="64" t="s">
        <v>60</v>
      </c>
      <c r="H6316" s="3" t="s">
        <v>67</v>
      </c>
      <c r="I6316" s="65" t="str">
        <f>IFERROR(VLOOKUP(A6316,'3. Call duration'!$A:$C,3,0),"--")</f>
        <v>--</v>
      </c>
      <c r="J6316" s="65" t="str">
        <f t="array" ref="J6316">XLOOKUP(H6316,'2. Matching'!$A$2:$A$39,'2. Matching'!$B$2:$B$39,"--")</f>
        <v>Acquisition</v>
      </c>
      <c r="K6316" s="65" t="str">
        <f t="shared" si="1"/>
        <v>In</v>
      </c>
    </row>
    <row r="6317">
      <c r="A6317" s="62" t="s">
        <v>6455</v>
      </c>
      <c r="B6317" s="63">
        <v>44375.0</v>
      </c>
      <c r="C6317" s="62" t="s">
        <v>119</v>
      </c>
      <c r="D6317" s="64">
        <v>47.5</v>
      </c>
      <c r="E6317" s="62" t="s">
        <v>109</v>
      </c>
      <c r="F6317" s="62" t="s">
        <v>110</v>
      </c>
      <c r="G6317" s="64" t="s">
        <v>64</v>
      </c>
      <c r="H6317" s="3" t="s">
        <v>52</v>
      </c>
      <c r="I6317" s="65">
        <f>IFERROR(VLOOKUP(A6317,'3. Call duration'!$A:$C,3,0),"--")</f>
        <v>9.215781222</v>
      </c>
      <c r="J6317" s="65" t="str">
        <f t="array" ref="J6317">XLOOKUP(H6317,'2. Matching'!$A$2:$A$39,'2. Matching'!$B$2:$B$39,"--")</f>
        <v>Partnerships</v>
      </c>
      <c r="K6317" s="65" t="str">
        <f t="shared" si="1"/>
        <v>In</v>
      </c>
    </row>
    <row r="6318">
      <c r="A6318" s="62" t="s">
        <v>6456</v>
      </c>
      <c r="B6318" s="63">
        <v>44323.0</v>
      </c>
      <c r="C6318" s="62" t="s">
        <v>112</v>
      </c>
      <c r="D6318" s="64">
        <v>0.0</v>
      </c>
      <c r="E6318" s="62" t="s">
        <v>109</v>
      </c>
      <c r="F6318" s="62" t="s">
        <v>110</v>
      </c>
      <c r="G6318" s="64" t="s">
        <v>63</v>
      </c>
      <c r="H6318" s="3" t="s">
        <v>189</v>
      </c>
      <c r="I6318" s="65" t="str">
        <f>IFERROR(VLOOKUP(A6318,'3. Call duration'!$A:$C,3,0),"--")</f>
        <v>--</v>
      </c>
      <c r="J6318" s="65" t="str">
        <f t="array" ref="J6318">XLOOKUP(H6318,'2. Matching'!$A$2:$A$39,'2. Matching'!$B$2:$B$39,"--")</f>
        <v>SEO</v>
      </c>
      <c r="K6318" s="65" t="str">
        <f t="shared" si="1"/>
        <v>Out</v>
      </c>
    </row>
    <row r="6319">
      <c r="A6319" s="62" t="s">
        <v>6457</v>
      </c>
      <c r="B6319" s="63">
        <v>44333.0</v>
      </c>
      <c r="C6319" s="62" t="s">
        <v>112</v>
      </c>
      <c r="D6319" s="64">
        <v>0.0</v>
      </c>
      <c r="E6319" s="62" t="s">
        <v>109</v>
      </c>
      <c r="F6319" s="62" t="s">
        <v>110</v>
      </c>
      <c r="G6319" s="64" t="s">
        <v>64</v>
      </c>
      <c r="H6319" s="3" t="s">
        <v>52</v>
      </c>
      <c r="I6319" s="65" t="str">
        <f>IFERROR(VLOOKUP(A6319,'3. Call duration'!$A:$C,3,0),"--")</f>
        <v>--</v>
      </c>
      <c r="J6319" s="65" t="str">
        <f t="array" ref="J6319">XLOOKUP(H6319,'2. Matching'!$A$2:$A$39,'2. Matching'!$B$2:$B$39,"--")</f>
        <v>Partnerships</v>
      </c>
      <c r="K6319" s="65" t="str">
        <f t="shared" si="1"/>
        <v>In</v>
      </c>
    </row>
    <row r="6320">
      <c r="A6320" s="62" t="s">
        <v>6458</v>
      </c>
      <c r="B6320" s="63">
        <v>44365.0</v>
      </c>
      <c r="C6320" s="62" t="s">
        <v>119</v>
      </c>
      <c r="D6320" s="64">
        <v>47.5</v>
      </c>
      <c r="E6320" s="62" t="s">
        <v>109</v>
      </c>
      <c r="F6320" s="62" t="s">
        <v>115</v>
      </c>
      <c r="G6320" s="64" t="s">
        <v>63</v>
      </c>
      <c r="H6320" s="3" t="s">
        <v>189</v>
      </c>
      <c r="I6320" s="65">
        <f>IFERROR(VLOOKUP(A6320,'3. Call duration'!$A:$C,3,0),"--")</f>
        <v>29.13920614</v>
      </c>
      <c r="J6320" s="65" t="str">
        <f t="array" ref="J6320">XLOOKUP(H6320,'2. Matching'!$A$2:$A$39,'2. Matching'!$B$2:$B$39,"--")</f>
        <v>SEO</v>
      </c>
      <c r="K6320" s="65" t="str">
        <f t="shared" si="1"/>
        <v>Out</v>
      </c>
    </row>
    <row r="6321">
      <c r="A6321" s="62" t="s">
        <v>6459</v>
      </c>
      <c r="B6321" s="63">
        <v>44337.0</v>
      </c>
      <c r="C6321" s="62" t="s">
        <v>112</v>
      </c>
      <c r="D6321" s="64">
        <v>0.0</v>
      </c>
      <c r="E6321" s="62" t="s">
        <v>109</v>
      </c>
      <c r="F6321" s="62" t="s">
        <v>115</v>
      </c>
      <c r="G6321" s="64" t="s">
        <v>63</v>
      </c>
      <c r="H6321" s="3" t="s">
        <v>189</v>
      </c>
      <c r="I6321" s="65" t="str">
        <f>IFERROR(VLOOKUP(A6321,'3. Call duration'!$A:$C,3,0),"--")</f>
        <v>--</v>
      </c>
      <c r="J6321" s="65" t="str">
        <f t="array" ref="J6321">XLOOKUP(H6321,'2. Matching'!$A$2:$A$39,'2. Matching'!$B$2:$B$39,"--")</f>
        <v>SEO</v>
      </c>
      <c r="K6321" s="65" t="str">
        <f t="shared" si="1"/>
        <v>Out</v>
      </c>
    </row>
    <row r="6322">
      <c r="A6322" s="62" t="s">
        <v>6460</v>
      </c>
      <c r="B6322" s="63">
        <v>44376.0</v>
      </c>
      <c r="C6322" s="62" t="s">
        <v>119</v>
      </c>
      <c r="D6322" s="64">
        <v>47.5</v>
      </c>
      <c r="E6322" s="62" t="s">
        <v>109</v>
      </c>
      <c r="F6322" s="62" t="s">
        <v>110</v>
      </c>
      <c r="G6322" s="64" t="s">
        <v>60</v>
      </c>
      <c r="H6322" s="3" t="s">
        <v>68</v>
      </c>
      <c r="I6322" s="65">
        <f>IFERROR(VLOOKUP(A6322,'3. Call duration'!$A:$C,3,0),"--")</f>
        <v>27.61575081</v>
      </c>
      <c r="J6322" s="65" t="str">
        <f t="array" ref="J6322">XLOOKUP(H6322,'2. Matching'!$A$2:$A$39,'2. Matching'!$B$2:$B$39,"--")</f>
        <v>Acquisition</v>
      </c>
      <c r="K6322" s="65" t="str">
        <f t="shared" si="1"/>
        <v>In</v>
      </c>
    </row>
    <row r="6323">
      <c r="A6323" s="62" t="s">
        <v>6461</v>
      </c>
      <c r="B6323" s="63">
        <v>44375.0</v>
      </c>
      <c r="C6323" s="62" t="s">
        <v>119</v>
      </c>
      <c r="D6323" s="64">
        <v>47.5</v>
      </c>
      <c r="E6323" s="62" t="s">
        <v>109</v>
      </c>
      <c r="F6323" s="62" t="s">
        <v>110</v>
      </c>
      <c r="G6323" s="64" t="s">
        <v>60</v>
      </c>
      <c r="H6323" s="3" t="s">
        <v>67</v>
      </c>
      <c r="I6323" s="65">
        <f>IFERROR(VLOOKUP(A6323,'3. Call duration'!$A:$C,3,0),"--")</f>
        <v>15.26521857</v>
      </c>
      <c r="J6323" s="65" t="str">
        <f t="array" ref="J6323">XLOOKUP(H6323,'2. Matching'!$A$2:$A$39,'2. Matching'!$B$2:$B$39,"--")</f>
        <v>Acquisition</v>
      </c>
      <c r="K6323" s="65" t="str">
        <f t="shared" si="1"/>
        <v>In</v>
      </c>
    </row>
    <row r="6324">
      <c r="A6324" s="62" t="s">
        <v>6462</v>
      </c>
      <c r="B6324" s="63">
        <v>44370.0</v>
      </c>
      <c r="C6324" s="62" t="s">
        <v>119</v>
      </c>
      <c r="D6324" s="64">
        <v>47.5</v>
      </c>
      <c r="E6324" s="62" t="s">
        <v>109</v>
      </c>
      <c r="F6324" s="62" t="s">
        <v>115</v>
      </c>
      <c r="G6324" s="64" t="s">
        <v>64</v>
      </c>
      <c r="H6324" s="3" t="s">
        <v>221</v>
      </c>
      <c r="I6324" s="65">
        <f>IFERROR(VLOOKUP(A6324,'3. Call duration'!$A:$C,3,0),"--")</f>
        <v>15.61754647</v>
      </c>
      <c r="J6324" s="65" t="str">
        <f t="array" ref="J6324">XLOOKUP(H6324,'2. Matching'!$A$2:$A$39,'2. Matching'!$B$2:$B$39,"--")</f>
        <v>Farming</v>
      </c>
      <c r="K6324" s="65" t="str">
        <f t="shared" si="1"/>
        <v>In</v>
      </c>
    </row>
    <row r="6325">
      <c r="A6325" s="62" t="s">
        <v>6463</v>
      </c>
      <c r="B6325" s="63">
        <v>44342.0</v>
      </c>
      <c r="C6325" s="62" t="s">
        <v>112</v>
      </c>
      <c r="D6325" s="64">
        <v>0.0</v>
      </c>
      <c r="E6325" s="62" t="s">
        <v>109</v>
      </c>
      <c r="F6325" s="62" t="s">
        <v>115</v>
      </c>
      <c r="G6325" s="64" t="s">
        <v>64</v>
      </c>
      <c r="H6325" s="3" t="s">
        <v>52</v>
      </c>
      <c r="I6325" s="65" t="str">
        <f>IFERROR(VLOOKUP(A6325,'3. Call duration'!$A:$C,3,0),"--")</f>
        <v>--</v>
      </c>
      <c r="J6325" s="65" t="str">
        <f t="array" ref="J6325">XLOOKUP(H6325,'2. Matching'!$A$2:$A$39,'2. Matching'!$B$2:$B$39,"--")</f>
        <v>Partnerships</v>
      </c>
      <c r="K6325" s="65" t="str">
        <f t="shared" si="1"/>
        <v>In</v>
      </c>
    </row>
    <row r="6326">
      <c r="A6326" s="62" t="s">
        <v>6464</v>
      </c>
      <c r="B6326" s="63">
        <v>44333.0</v>
      </c>
      <c r="C6326" s="62" t="s">
        <v>112</v>
      </c>
      <c r="D6326" s="64">
        <v>0.0</v>
      </c>
      <c r="E6326" s="62" t="s">
        <v>109</v>
      </c>
      <c r="F6326" s="62" t="s">
        <v>110</v>
      </c>
      <c r="G6326" s="64" t="s">
        <v>64</v>
      </c>
      <c r="H6326" s="3" t="s">
        <v>155</v>
      </c>
      <c r="I6326" s="65" t="str">
        <f>IFERROR(VLOOKUP(A6326,'3. Call duration'!$A:$C,3,0),"--")</f>
        <v>--</v>
      </c>
      <c r="J6326" s="65" t="str">
        <f t="array" ref="J6326">XLOOKUP(H6326,'2. Matching'!$A$2:$A$39,'2. Matching'!$B$2:$B$39,"--")</f>
        <v>SEO</v>
      </c>
      <c r="K6326" s="65" t="str">
        <f t="shared" si="1"/>
        <v>In</v>
      </c>
    </row>
    <row r="6327">
      <c r="A6327" s="62" t="s">
        <v>6465</v>
      </c>
      <c r="B6327" s="63">
        <v>44376.0</v>
      </c>
      <c r="C6327" s="62" t="s">
        <v>119</v>
      </c>
      <c r="D6327" s="64">
        <v>47.5</v>
      </c>
      <c r="E6327" s="62" t="s">
        <v>109</v>
      </c>
      <c r="F6327" s="62" t="s">
        <v>115</v>
      </c>
      <c r="G6327" s="64" t="s">
        <v>64</v>
      </c>
      <c r="H6327" s="3" t="s">
        <v>139</v>
      </c>
      <c r="I6327" s="65">
        <f>IFERROR(VLOOKUP(A6327,'3. Call duration'!$A:$C,3,0),"--")</f>
        <v>28.72785101</v>
      </c>
      <c r="J6327" s="65" t="str">
        <f t="array" ref="J6327">XLOOKUP(H6327,'2. Matching'!$A$2:$A$39,'2. Matching'!$B$2:$B$39,"--")</f>
        <v>Acquisition</v>
      </c>
      <c r="K6327" s="65" t="str">
        <f t="shared" si="1"/>
        <v>In</v>
      </c>
    </row>
    <row r="6328">
      <c r="A6328" s="62" t="s">
        <v>6466</v>
      </c>
      <c r="B6328" s="63">
        <v>44355.0</v>
      </c>
      <c r="C6328" s="62" t="s">
        <v>119</v>
      </c>
      <c r="D6328" s="64">
        <v>47.5</v>
      </c>
      <c r="E6328" s="62" t="s">
        <v>109</v>
      </c>
      <c r="F6328" s="62" t="s">
        <v>115</v>
      </c>
      <c r="G6328" s="64" t="s">
        <v>64</v>
      </c>
      <c r="H6328" s="3" t="s">
        <v>221</v>
      </c>
      <c r="I6328" s="65">
        <f>IFERROR(VLOOKUP(A6328,'3. Call duration'!$A:$C,3,0),"--")</f>
        <v>33.32648757</v>
      </c>
      <c r="J6328" s="65" t="str">
        <f t="array" ref="J6328">XLOOKUP(H6328,'2. Matching'!$A$2:$A$39,'2. Matching'!$B$2:$B$39,"--")</f>
        <v>Farming</v>
      </c>
      <c r="K6328" s="65" t="str">
        <f t="shared" si="1"/>
        <v>In</v>
      </c>
    </row>
    <row r="6329">
      <c r="A6329" s="62" t="s">
        <v>6467</v>
      </c>
      <c r="B6329" s="63">
        <v>44368.0</v>
      </c>
      <c r="C6329" s="62" t="s">
        <v>119</v>
      </c>
      <c r="D6329" s="64">
        <v>47.5</v>
      </c>
      <c r="E6329" s="62" t="s">
        <v>109</v>
      </c>
      <c r="F6329" s="62" t="s">
        <v>115</v>
      </c>
      <c r="G6329" s="64" t="s">
        <v>64</v>
      </c>
      <c r="H6329" s="3" t="s">
        <v>139</v>
      </c>
      <c r="I6329" s="65">
        <f>IFERROR(VLOOKUP(A6329,'3. Call duration'!$A:$C,3,0),"--")</f>
        <v>32.17660024</v>
      </c>
      <c r="J6329" s="65" t="str">
        <f t="array" ref="J6329">XLOOKUP(H6329,'2. Matching'!$A$2:$A$39,'2. Matching'!$B$2:$B$39,"--")</f>
        <v>Acquisition</v>
      </c>
      <c r="K6329" s="65" t="str">
        <f t="shared" si="1"/>
        <v>In</v>
      </c>
    </row>
    <row r="6330">
      <c r="A6330" s="62" t="s">
        <v>6468</v>
      </c>
      <c r="B6330" s="63">
        <v>44354.0</v>
      </c>
      <c r="C6330" s="62" t="s">
        <v>119</v>
      </c>
      <c r="D6330" s="64">
        <v>47.5</v>
      </c>
      <c r="E6330" s="62" t="s">
        <v>109</v>
      </c>
      <c r="F6330" s="62" t="s">
        <v>110</v>
      </c>
      <c r="G6330" s="64" t="s">
        <v>64</v>
      </c>
      <c r="H6330" s="3" t="s">
        <v>175</v>
      </c>
      <c r="I6330" s="65">
        <f>IFERROR(VLOOKUP(A6330,'3. Call duration'!$A:$C,3,0),"--")</f>
        <v>15.44513471</v>
      </c>
      <c r="J6330" s="65" t="str">
        <f t="array" ref="J6330">XLOOKUP(H6330,'2. Matching'!$A$2:$A$39,'2. Matching'!$B$2:$B$39,"--")</f>
        <v>SEO</v>
      </c>
      <c r="K6330" s="65" t="str">
        <f t="shared" si="1"/>
        <v>In</v>
      </c>
    </row>
    <row r="6331">
      <c r="A6331" s="62" t="s">
        <v>6469</v>
      </c>
      <c r="B6331" s="63">
        <v>44323.0</v>
      </c>
      <c r="C6331" s="62" t="s">
        <v>112</v>
      </c>
      <c r="D6331" s="64">
        <v>0.0</v>
      </c>
      <c r="E6331" s="62" t="s">
        <v>109</v>
      </c>
      <c r="F6331" s="62" t="s">
        <v>110</v>
      </c>
      <c r="G6331" s="64" t="s">
        <v>63</v>
      </c>
      <c r="H6331" s="3" t="s">
        <v>189</v>
      </c>
      <c r="I6331" s="65" t="str">
        <f>IFERROR(VLOOKUP(A6331,'3. Call duration'!$A:$C,3,0),"--")</f>
        <v>--</v>
      </c>
      <c r="J6331" s="65" t="str">
        <f t="array" ref="J6331">XLOOKUP(H6331,'2. Matching'!$A$2:$A$39,'2. Matching'!$B$2:$B$39,"--")</f>
        <v>SEO</v>
      </c>
      <c r="K6331" s="65" t="str">
        <f t="shared" si="1"/>
        <v>Out</v>
      </c>
    </row>
    <row r="6332">
      <c r="A6332" s="62" t="s">
        <v>6470</v>
      </c>
      <c r="B6332" s="63">
        <v>44337.0</v>
      </c>
      <c r="C6332" s="62" t="s">
        <v>112</v>
      </c>
      <c r="D6332" s="64">
        <v>0.0</v>
      </c>
      <c r="E6332" s="62" t="s">
        <v>109</v>
      </c>
      <c r="F6332" s="62" t="s">
        <v>115</v>
      </c>
      <c r="G6332" s="64" t="s">
        <v>64</v>
      </c>
      <c r="H6332" s="3" t="s">
        <v>55</v>
      </c>
      <c r="I6332" s="65" t="str">
        <f>IFERROR(VLOOKUP(A6332,'3. Call duration'!$A:$C,3,0),"--")</f>
        <v>--</v>
      </c>
      <c r="J6332" s="65" t="str">
        <f t="array" ref="J6332">XLOOKUP(H6332,'2. Matching'!$A$2:$A$39,'2. Matching'!$B$2:$B$39,"--")</f>
        <v>Partnerships</v>
      </c>
      <c r="K6332" s="65" t="str">
        <f t="shared" si="1"/>
        <v>In</v>
      </c>
    </row>
    <row r="6333">
      <c r="A6333" s="62" t="s">
        <v>6471</v>
      </c>
      <c r="B6333" s="63">
        <v>44365.0</v>
      </c>
      <c r="C6333" s="62" t="s">
        <v>119</v>
      </c>
      <c r="D6333" s="64">
        <v>47.5</v>
      </c>
      <c r="E6333" s="62" t="s">
        <v>109</v>
      </c>
      <c r="F6333" s="62" t="s">
        <v>110</v>
      </c>
      <c r="G6333" s="64" t="s">
        <v>59</v>
      </c>
      <c r="H6333" s="3" t="s">
        <v>68</v>
      </c>
      <c r="I6333" s="65">
        <f>IFERROR(VLOOKUP(A6333,'3. Call duration'!$A:$C,3,0),"--")</f>
        <v>27.02609315</v>
      </c>
      <c r="J6333" s="65" t="str">
        <f t="array" ref="J6333">XLOOKUP(H6333,'2. Matching'!$A$2:$A$39,'2. Matching'!$B$2:$B$39,"--")</f>
        <v>Acquisition</v>
      </c>
      <c r="K6333" s="65" t="str">
        <f t="shared" si="1"/>
        <v>In</v>
      </c>
    </row>
    <row r="6334">
      <c r="A6334" s="62" t="s">
        <v>6472</v>
      </c>
      <c r="B6334" s="63">
        <v>44329.0</v>
      </c>
      <c r="C6334" s="62" t="s">
        <v>112</v>
      </c>
      <c r="D6334" s="64">
        <v>0.0</v>
      </c>
      <c r="E6334" s="62" t="s">
        <v>109</v>
      </c>
      <c r="F6334" s="62" t="s">
        <v>110</v>
      </c>
      <c r="G6334" s="64" t="s">
        <v>64</v>
      </c>
      <c r="H6334" s="3" t="s">
        <v>175</v>
      </c>
      <c r="I6334" s="65" t="str">
        <f>IFERROR(VLOOKUP(A6334,'3. Call duration'!$A:$C,3,0),"--")</f>
        <v>--</v>
      </c>
      <c r="J6334" s="65" t="str">
        <f t="array" ref="J6334">XLOOKUP(H6334,'2. Matching'!$A$2:$A$39,'2. Matching'!$B$2:$B$39,"--")</f>
        <v>SEO</v>
      </c>
      <c r="K6334" s="65" t="str">
        <f t="shared" si="1"/>
        <v>In</v>
      </c>
    </row>
    <row r="6335">
      <c r="A6335" s="62" t="s">
        <v>6473</v>
      </c>
      <c r="B6335" s="63">
        <v>44347.0</v>
      </c>
      <c r="C6335" s="62" t="s">
        <v>112</v>
      </c>
      <c r="D6335" s="64">
        <v>0.0</v>
      </c>
      <c r="E6335" s="62" t="s">
        <v>109</v>
      </c>
      <c r="F6335" s="62" t="s">
        <v>110</v>
      </c>
      <c r="G6335" s="64" t="s">
        <v>64</v>
      </c>
      <c r="H6335" s="3" t="s">
        <v>185</v>
      </c>
      <c r="I6335" s="65" t="str">
        <f>IFERROR(VLOOKUP(A6335,'3. Call duration'!$A:$C,3,0),"--")</f>
        <v>--</v>
      </c>
      <c r="J6335" s="65" t="str">
        <f t="array" ref="J6335">XLOOKUP(H6335,'2. Matching'!$A$2:$A$39,'2. Matching'!$B$2:$B$39,"--")</f>
        <v>SEO</v>
      </c>
      <c r="K6335" s="65" t="str">
        <f t="shared" si="1"/>
        <v>In</v>
      </c>
    </row>
    <row r="6336">
      <c r="A6336" s="62" t="s">
        <v>6474</v>
      </c>
      <c r="B6336" s="63">
        <v>44320.0</v>
      </c>
      <c r="C6336" s="62" t="s">
        <v>112</v>
      </c>
      <c r="D6336" s="64">
        <v>0.0</v>
      </c>
      <c r="E6336" s="62" t="s">
        <v>791</v>
      </c>
      <c r="F6336" s="62" t="s">
        <v>115</v>
      </c>
      <c r="G6336" s="64" t="s">
        <v>64</v>
      </c>
      <c r="H6336" s="3" t="s">
        <v>116</v>
      </c>
      <c r="I6336" s="65" t="str">
        <f>IFERROR(VLOOKUP(A6336,'3. Call duration'!$A:$C,3,0),"--")</f>
        <v>--</v>
      </c>
      <c r="J6336" s="65" t="str">
        <f t="array" ref="J6336">XLOOKUP(H6336,'2. Matching'!$A$2:$A$39,'2. Matching'!$B$2:$B$39,"--")</f>
        <v>Acquisition</v>
      </c>
      <c r="K6336" s="65" t="str">
        <f t="shared" si="1"/>
        <v>In</v>
      </c>
    </row>
    <row r="6337">
      <c r="A6337" s="62" t="s">
        <v>6475</v>
      </c>
      <c r="B6337" s="63">
        <v>44320.0</v>
      </c>
      <c r="C6337" s="62" t="s">
        <v>112</v>
      </c>
      <c r="D6337" s="64">
        <v>0.0</v>
      </c>
      <c r="E6337" s="62" t="s">
        <v>114</v>
      </c>
      <c r="F6337" s="62" t="s">
        <v>115</v>
      </c>
      <c r="G6337" s="64" t="s">
        <v>64</v>
      </c>
      <c r="H6337" s="3" t="s">
        <v>169</v>
      </c>
      <c r="I6337" s="65" t="str">
        <f>IFERROR(VLOOKUP(A6337,'3. Call duration'!$A:$C,3,0),"--")</f>
        <v>--</v>
      </c>
      <c r="J6337" s="65" t="str">
        <f t="array" ref="J6337">XLOOKUP(H6337,'2. Matching'!$A$2:$A$39,'2. Matching'!$B$2:$B$39,"--")</f>
        <v>SEO</v>
      </c>
      <c r="K6337" s="65" t="str">
        <f t="shared" si="1"/>
        <v>In</v>
      </c>
    </row>
    <row r="6338">
      <c r="A6338" s="62" t="s">
        <v>6476</v>
      </c>
      <c r="B6338" s="63">
        <v>44365.0</v>
      </c>
      <c r="C6338" s="62" t="s">
        <v>119</v>
      </c>
      <c r="D6338" s="64">
        <v>47.5</v>
      </c>
      <c r="E6338" s="62" t="s">
        <v>109</v>
      </c>
      <c r="F6338" s="62" t="s">
        <v>110</v>
      </c>
      <c r="G6338" s="64" t="s">
        <v>63</v>
      </c>
      <c r="H6338" s="3" t="s">
        <v>183</v>
      </c>
      <c r="I6338" s="65">
        <f>IFERROR(VLOOKUP(A6338,'3. Call duration'!$A:$C,3,0),"--")</f>
        <v>20.97345566</v>
      </c>
      <c r="J6338" s="65" t="str">
        <f t="array" ref="J6338">XLOOKUP(H6338,'2. Matching'!$A$2:$A$39,'2. Matching'!$B$2:$B$39,"--")</f>
        <v>SEO</v>
      </c>
      <c r="K6338" s="65" t="str">
        <f t="shared" si="1"/>
        <v>In</v>
      </c>
    </row>
    <row r="6339">
      <c r="A6339" s="62" t="s">
        <v>6477</v>
      </c>
      <c r="B6339" s="63">
        <v>44342.0</v>
      </c>
      <c r="C6339" s="62" t="s">
        <v>112</v>
      </c>
      <c r="D6339" s="64">
        <v>0.0</v>
      </c>
      <c r="E6339" s="62" t="s">
        <v>109</v>
      </c>
      <c r="F6339" s="62" t="s">
        <v>110</v>
      </c>
      <c r="G6339" s="64" t="s">
        <v>64</v>
      </c>
      <c r="H6339" s="3" t="s">
        <v>169</v>
      </c>
      <c r="I6339" s="65" t="str">
        <f>IFERROR(VLOOKUP(A6339,'3. Call duration'!$A:$C,3,0),"--")</f>
        <v>--</v>
      </c>
      <c r="J6339" s="65" t="str">
        <f t="array" ref="J6339">XLOOKUP(H6339,'2. Matching'!$A$2:$A$39,'2. Matching'!$B$2:$B$39,"--")</f>
        <v>SEO</v>
      </c>
      <c r="K6339" s="65" t="str">
        <f t="shared" si="1"/>
        <v>In</v>
      </c>
    </row>
    <row r="6340">
      <c r="A6340" s="62" t="s">
        <v>6478</v>
      </c>
      <c r="B6340" s="63">
        <v>44351.0</v>
      </c>
      <c r="C6340" s="62" t="s">
        <v>119</v>
      </c>
      <c r="D6340" s="64">
        <v>47.5</v>
      </c>
      <c r="E6340" s="62" t="s">
        <v>109</v>
      </c>
      <c r="F6340" s="62" t="s">
        <v>110</v>
      </c>
      <c r="G6340" s="64" t="s">
        <v>60</v>
      </c>
      <c r="H6340" s="3" t="s">
        <v>67</v>
      </c>
      <c r="I6340" s="65">
        <f>IFERROR(VLOOKUP(A6340,'3. Call duration'!$A:$C,3,0),"--")</f>
        <v>21.15546181</v>
      </c>
      <c r="J6340" s="65" t="str">
        <f t="array" ref="J6340">XLOOKUP(H6340,'2. Matching'!$A$2:$A$39,'2. Matching'!$B$2:$B$39,"--")</f>
        <v>Acquisition</v>
      </c>
      <c r="K6340" s="65" t="str">
        <f t="shared" si="1"/>
        <v>In</v>
      </c>
    </row>
    <row r="6341">
      <c r="A6341" s="62" t="s">
        <v>6479</v>
      </c>
      <c r="B6341" s="63">
        <v>44363.0</v>
      </c>
      <c r="C6341" s="62" t="s">
        <v>119</v>
      </c>
      <c r="D6341" s="64">
        <v>47.5</v>
      </c>
      <c r="E6341" s="62" t="s">
        <v>109</v>
      </c>
      <c r="F6341" s="62" t="s">
        <v>115</v>
      </c>
      <c r="G6341" s="64" t="s">
        <v>63</v>
      </c>
      <c r="H6341" s="3" t="s">
        <v>183</v>
      </c>
      <c r="I6341" s="65">
        <f>IFERROR(VLOOKUP(A6341,'3. Call duration'!$A:$C,3,0),"--")</f>
        <v>14.69779567</v>
      </c>
      <c r="J6341" s="65" t="str">
        <f t="array" ref="J6341">XLOOKUP(H6341,'2. Matching'!$A$2:$A$39,'2. Matching'!$B$2:$B$39,"--")</f>
        <v>SEO</v>
      </c>
      <c r="K6341" s="65" t="str">
        <f t="shared" si="1"/>
        <v>In</v>
      </c>
    </row>
    <row r="6342">
      <c r="A6342" s="62" t="s">
        <v>6480</v>
      </c>
      <c r="B6342" s="63">
        <v>44341.0</v>
      </c>
      <c r="C6342" s="62" t="s">
        <v>112</v>
      </c>
      <c r="D6342" s="64">
        <v>0.0</v>
      </c>
      <c r="E6342" s="62" t="s">
        <v>109</v>
      </c>
      <c r="F6342" s="62" t="s">
        <v>115</v>
      </c>
      <c r="G6342" s="64" t="s">
        <v>63</v>
      </c>
      <c r="H6342" s="3" t="s">
        <v>189</v>
      </c>
      <c r="I6342" s="65" t="str">
        <f>IFERROR(VLOOKUP(A6342,'3. Call duration'!$A:$C,3,0),"--")</f>
        <v>--</v>
      </c>
      <c r="J6342" s="65" t="str">
        <f t="array" ref="J6342">XLOOKUP(H6342,'2. Matching'!$A$2:$A$39,'2. Matching'!$B$2:$B$39,"--")</f>
        <v>SEO</v>
      </c>
      <c r="K6342" s="65" t="str">
        <f t="shared" si="1"/>
        <v>Out</v>
      </c>
    </row>
    <row r="6343">
      <c r="A6343" s="62" t="s">
        <v>6481</v>
      </c>
      <c r="B6343" s="63">
        <v>44355.0</v>
      </c>
      <c r="C6343" s="62" t="s">
        <v>119</v>
      </c>
      <c r="D6343" s="64">
        <v>47.5</v>
      </c>
      <c r="E6343" s="62" t="s">
        <v>109</v>
      </c>
      <c r="F6343" s="62" t="s">
        <v>115</v>
      </c>
      <c r="G6343" s="64" t="s">
        <v>64</v>
      </c>
      <c r="H6343" s="3" t="s">
        <v>164</v>
      </c>
      <c r="I6343" s="65">
        <f>IFERROR(VLOOKUP(A6343,'3. Call duration'!$A:$C,3,0),"--")</f>
        <v>30.89565781</v>
      </c>
      <c r="J6343" s="65" t="str">
        <f t="array" ref="J6343">XLOOKUP(H6343,'2. Matching'!$A$2:$A$39,'2. Matching'!$B$2:$B$39,"--")</f>
        <v>SEO</v>
      </c>
      <c r="K6343" s="65" t="str">
        <f t="shared" si="1"/>
        <v>In</v>
      </c>
    </row>
    <row r="6344">
      <c r="A6344" s="62" t="s">
        <v>6482</v>
      </c>
      <c r="B6344" s="63">
        <v>44376.0</v>
      </c>
      <c r="C6344" s="62" t="s">
        <v>119</v>
      </c>
      <c r="D6344" s="64">
        <v>47.5</v>
      </c>
      <c r="E6344" s="62" t="s">
        <v>109</v>
      </c>
      <c r="F6344" s="62" t="s">
        <v>110</v>
      </c>
      <c r="G6344" s="64" t="s">
        <v>64</v>
      </c>
      <c r="H6344" s="3" t="s">
        <v>155</v>
      </c>
      <c r="I6344" s="65">
        <f>IFERROR(VLOOKUP(A6344,'3. Call duration'!$A:$C,3,0),"--")</f>
        <v>31.76206501</v>
      </c>
      <c r="J6344" s="65" t="str">
        <f t="array" ref="J6344">XLOOKUP(H6344,'2. Matching'!$A$2:$A$39,'2. Matching'!$B$2:$B$39,"--")</f>
        <v>SEO</v>
      </c>
      <c r="K6344" s="65" t="str">
        <f t="shared" si="1"/>
        <v>In</v>
      </c>
    </row>
    <row r="6345">
      <c r="A6345" s="62" t="s">
        <v>6483</v>
      </c>
      <c r="B6345" s="63">
        <v>44348.0</v>
      </c>
      <c r="C6345" s="62" t="s">
        <v>119</v>
      </c>
      <c r="D6345" s="64">
        <v>47.5</v>
      </c>
      <c r="E6345" s="62" t="s">
        <v>109</v>
      </c>
      <c r="F6345" s="62" t="s">
        <v>115</v>
      </c>
      <c r="G6345" s="64" t="s">
        <v>64</v>
      </c>
      <c r="H6345" s="3" t="s">
        <v>116</v>
      </c>
      <c r="I6345" s="65">
        <f>IFERROR(VLOOKUP(A6345,'3. Call duration'!$A:$C,3,0),"--")</f>
        <v>27.08196228</v>
      </c>
      <c r="J6345" s="65" t="str">
        <f t="array" ref="J6345">XLOOKUP(H6345,'2. Matching'!$A$2:$A$39,'2. Matching'!$B$2:$B$39,"--")</f>
        <v>Acquisition</v>
      </c>
      <c r="K6345" s="65" t="str">
        <f t="shared" si="1"/>
        <v>In</v>
      </c>
    </row>
    <row r="6346">
      <c r="A6346" s="62" t="s">
        <v>6484</v>
      </c>
      <c r="B6346" s="63">
        <v>44338.0</v>
      </c>
      <c r="C6346" s="62" t="s">
        <v>112</v>
      </c>
      <c r="D6346" s="64">
        <v>0.0</v>
      </c>
      <c r="E6346" s="62" t="s">
        <v>114</v>
      </c>
      <c r="F6346" s="62" t="s">
        <v>115</v>
      </c>
      <c r="G6346" s="64" t="s">
        <v>64</v>
      </c>
      <c r="H6346" s="3" t="s">
        <v>221</v>
      </c>
      <c r="I6346" s="65" t="str">
        <f>IFERROR(VLOOKUP(A6346,'3. Call duration'!$A:$C,3,0),"--")</f>
        <v>--</v>
      </c>
      <c r="J6346" s="65" t="str">
        <f t="array" ref="J6346">XLOOKUP(H6346,'2. Matching'!$A$2:$A$39,'2. Matching'!$B$2:$B$39,"--")</f>
        <v>Farming</v>
      </c>
      <c r="K6346" s="65" t="str">
        <f t="shared" si="1"/>
        <v>In</v>
      </c>
    </row>
    <row r="6347">
      <c r="A6347" s="62" t="s">
        <v>6485</v>
      </c>
      <c r="B6347" s="63">
        <v>44335.0</v>
      </c>
      <c r="C6347" s="62" t="s">
        <v>112</v>
      </c>
      <c r="D6347" s="64">
        <v>0.0</v>
      </c>
      <c r="E6347" s="62" t="s">
        <v>114</v>
      </c>
      <c r="F6347" s="62" t="s">
        <v>110</v>
      </c>
      <c r="G6347" s="64" t="s">
        <v>64</v>
      </c>
      <c r="H6347" s="3" t="s">
        <v>52</v>
      </c>
      <c r="I6347" s="65" t="str">
        <f>IFERROR(VLOOKUP(A6347,'3. Call duration'!$A:$C,3,0),"--")</f>
        <v>--</v>
      </c>
      <c r="J6347" s="65" t="str">
        <f t="array" ref="J6347">XLOOKUP(H6347,'2. Matching'!$A$2:$A$39,'2. Matching'!$B$2:$B$39,"--")</f>
        <v>Partnerships</v>
      </c>
      <c r="K6347" s="65" t="str">
        <f t="shared" si="1"/>
        <v>In</v>
      </c>
    </row>
    <row r="6348">
      <c r="A6348" s="62" t="s">
        <v>6486</v>
      </c>
      <c r="B6348" s="63">
        <v>44326.0</v>
      </c>
      <c r="C6348" s="62" t="s">
        <v>112</v>
      </c>
      <c r="D6348" s="64">
        <v>0.0</v>
      </c>
      <c r="E6348" s="62" t="s">
        <v>109</v>
      </c>
      <c r="F6348" s="62" t="s">
        <v>115</v>
      </c>
      <c r="G6348" s="64" t="s">
        <v>64</v>
      </c>
      <c r="H6348" s="3" t="s">
        <v>141</v>
      </c>
      <c r="I6348" s="65" t="str">
        <f>IFERROR(VLOOKUP(A6348,'3. Call duration'!$A:$C,3,0),"--")</f>
        <v>--</v>
      </c>
      <c r="J6348" s="65" t="str">
        <f t="array" ref="J6348">XLOOKUP(H6348,'2. Matching'!$A$2:$A$39,'2. Matching'!$B$2:$B$39,"--")</f>
        <v>Acquisition</v>
      </c>
      <c r="K6348" s="65" t="str">
        <f t="shared" si="1"/>
        <v>In</v>
      </c>
    </row>
    <row r="6349">
      <c r="A6349" s="62" t="s">
        <v>6487</v>
      </c>
      <c r="B6349" s="63">
        <v>44344.0</v>
      </c>
      <c r="C6349" s="62" t="s">
        <v>112</v>
      </c>
      <c r="D6349" s="64">
        <v>0.0</v>
      </c>
      <c r="E6349" s="62" t="s">
        <v>109</v>
      </c>
      <c r="F6349" s="62" t="s">
        <v>110</v>
      </c>
      <c r="G6349" s="64" t="s">
        <v>59</v>
      </c>
      <c r="H6349" s="3" t="s">
        <v>68</v>
      </c>
      <c r="I6349" s="65" t="str">
        <f>IFERROR(VLOOKUP(A6349,'3. Call duration'!$A:$C,3,0),"--")</f>
        <v>--</v>
      </c>
      <c r="J6349" s="65" t="str">
        <f t="array" ref="J6349">XLOOKUP(H6349,'2. Matching'!$A$2:$A$39,'2. Matching'!$B$2:$B$39,"--")</f>
        <v>Acquisition</v>
      </c>
      <c r="K6349" s="65" t="str">
        <f t="shared" si="1"/>
        <v>In</v>
      </c>
    </row>
    <row r="6350">
      <c r="A6350" s="62" t="s">
        <v>6488</v>
      </c>
      <c r="B6350" s="63">
        <v>44327.0</v>
      </c>
      <c r="C6350" s="62" t="s">
        <v>112</v>
      </c>
      <c r="D6350" s="64">
        <v>0.0</v>
      </c>
      <c r="E6350" s="62" t="s">
        <v>109</v>
      </c>
      <c r="F6350" s="62" t="s">
        <v>110</v>
      </c>
      <c r="G6350" s="64" t="s">
        <v>64</v>
      </c>
      <c r="H6350" s="3" t="s">
        <v>171</v>
      </c>
      <c r="I6350" s="65" t="str">
        <f>IFERROR(VLOOKUP(A6350,'3. Call duration'!$A:$C,3,0),"--")</f>
        <v>--</v>
      </c>
      <c r="J6350" s="65" t="str">
        <f t="array" ref="J6350">XLOOKUP(H6350,'2. Matching'!$A$2:$A$39,'2. Matching'!$B$2:$B$39,"--")</f>
        <v>SEO</v>
      </c>
      <c r="K6350" s="65" t="str">
        <f t="shared" si="1"/>
        <v>In</v>
      </c>
    </row>
    <row r="6351">
      <c r="A6351" s="62" t="s">
        <v>6489</v>
      </c>
      <c r="B6351" s="63">
        <v>44329.0</v>
      </c>
      <c r="C6351" s="62" t="s">
        <v>112</v>
      </c>
      <c r="D6351" s="64">
        <v>0.0</v>
      </c>
      <c r="E6351" s="62" t="s">
        <v>114</v>
      </c>
      <c r="F6351" s="62" t="s">
        <v>115</v>
      </c>
      <c r="G6351" s="64" t="s">
        <v>64</v>
      </c>
      <c r="H6351" s="3" t="s">
        <v>131</v>
      </c>
      <c r="I6351" s="65" t="str">
        <f>IFERROR(VLOOKUP(A6351,'3. Call duration'!$A:$C,3,0),"--")</f>
        <v>--</v>
      </c>
      <c r="J6351" s="65" t="str">
        <f t="array" ref="J6351">XLOOKUP(H6351,'2. Matching'!$A$2:$A$39,'2. Matching'!$B$2:$B$39,"--")</f>
        <v>Acquisition</v>
      </c>
      <c r="K6351" s="65" t="str">
        <f t="shared" si="1"/>
        <v>In</v>
      </c>
    </row>
    <row r="6352">
      <c r="A6352" s="62" t="s">
        <v>6490</v>
      </c>
      <c r="B6352" s="63">
        <v>44375.0</v>
      </c>
      <c r="C6352" s="62" t="s">
        <v>119</v>
      </c>
      <c r="D6352" s="64">
        <v>47.5</v>
      </c>
      <c r="E6352" s="62" t="s">
        <v>109</v>
      </c>
      <c r="F6352" s="62" t="s">
        <v>115</v>
      </c>
      <c r="G6352" s="64" t="s">
        <v>64</v>
      </c>
      <c r="H6352" s="3" t="s">
        <v>185</v>
      </c>
      <c r="I6352" s="65">
        <f>IFERROR(VLOOKUP(A6352,'3. Call duration'!$A:$C,3,0),"--")</f>
        <v>30.04865555</v>
      </c>
      <c r="J6352" s="65" t="str">
        <f t="array" ref="J6352">XLOOKUP(H6352,'2. Matching'!$A$2:$A$39,'2. Matching'!$B$2:$B$39,"--")</f>
        <v>SEO</v>
      </c>
      <c r="K6352" s="65" t="str">
        <f t="shared" si="1"/>
        <v>In</v>
      </c>
    </row>
    <row r="6353">
      <c r="A6353" s="62" t="s">
        <v>6491</v>
      </c>
      <c r="B6353" s="63">
        <v>44337.0</v>
      </c>
      <c r="C6353" s="62" t="s">
        <v>112</v>
      </c>
      <c r="D6353" s="64">
        <v>0.0</v>
      </c>
      <c r="E6353" s="62" t="s">
        <v>109</v>
      </c>
      <c r="F6353" s="62" t="s">
        <v>110</v>
      </c>
      <c r="G6353" s="64" t="s">
        <v>59</v>
      </c>
      <c r="H6353" s="3" t="s">
        <v>68</v>
      </c>
      <c r="I6353" s="65" t="str">
        <f>IFERROR(VLOOKUP(A6353,'3. Call duration'!$A:$C,3,0),"--")</f>
        <v>--</v>
      </c>
      <c r="J6353" s="65" t="str">
        <f t="array" ref="J6353">XLOOKUP(H6353,'2. Matching'!$A$2:$A$39,'2. Matching'!$B$2:$B$39,"--")</f>
        <v>Acquisition</v>
      </c>
      <c r="K6353" s="65" t="str">
        <f t="shared" si="1"/>
        <v>In</v>
      </c>
    </row>
    <row r="6354">
      <c r="A6354" s="62" t="s">
        <v>6492</v>
      </c>
      <c r="B6354" s="63">
        <v>44376.0</v>
      </c>
      <c r="C6354" s="62" t="s">
        <v>119</v>
      </c>
      <c r="D6354" s="64">
        <v>47.5</v>
      </c>
      <c r="E6354" s="62" t="s">
        <v>109</v>
      </c>
      <c r="F6354" s="62" t="s">
        <v>110</v>
      </c>
      <c r="G6354" s="64" t="s">
        <v>60</v>
      </c>
      <c r="H6354" s="3" t="s">
        <v>68</v>
      </c>
      <c r="I6354" s="65">
        <f>IFERROR(VLOOKUP(A6354,'3. Call duration'!$A:$C,3,0),"--")</f>
        <v>30.69278363</v>
      </c>
      <c r="J6354" s="65" t="str">
        <f t="array" ref="J6354">XLOOKUP(H6354,'2. Matching'!$A$2:$A$39,'2. Matching'!$B$2:$B$39,"--")</f>
        <v>Acquisition</v>
      </c>
      <c r="K6354" s="65" t="str">
        <f t="shared" si="1"/>
        <v>In</v>
      </c>
    </row>
    <row r="6355">
      <c r="A6355" s="62" t="s">
        <v>6493</v>
      </c>
      <c r="B6355" s="63">
        <v>44373.0</v>
      </c>
      <c r="C6355" s="62" t="s">
        <v>119</v>
      </c>
      <c r="D6355" s="64">
        <v>47.5</v>
      </c>
      <c r="E6355" s="62" t="s">
        <v>109</v>
      </c>
      <c r="F6355" s="62" t="s">
        <v>110</v>
      </c>
      <c r="G6355" s="64" t="s">
        <v>62</v>
      </c>
      <c r="H6355" s="3" t="s">
        <v>286</v>
      </c>
      <c r="I6355" s="65">
        <f>IFERROR(VLOOKUP(A6355,'3. Call duration'!$A:$C,3,0),"--")</f>
        <v>34.11182535</v>
      </c>
      <c r="J6355" s="65" t="str">
        <f t="array" ref="J6355">XLOOKUP(H6355,'2. Matching'!$A$2:$A$39,'2. Matching'!$B$2:$B$39,"--")</f>
        <v>Farming</v>
      </c>
      <c r="K6355" s="65" t="str">
        <f t="shared" si="1"/>
        <v>In</v>
      </c>
    </row>
    <row r="6356">
      <c r="A6356" s="62" t="s">
        <v>6494</v>
      </c>
      <c r="B6356" s="63">
        <v>44362.0</v>
      </c>
      <c r="C6356" s="62" t="s">
        <v>119</v>
      </c>
      <c r="D6356" s="64">
        <v>47.5</v>
      </c>
      <c r="E6356" s="62" t="s">
        <v>109</v>
      </c>
      <c r="F6356" s="62" t="s">
        <v>110</v>
      </c>
      <c r="G6356" s="64" t="s">
        <v>60</v>
      </c>
      <c r="H6356" s="3" t="s">
        <v>67</v>
      </c>
      <c r="I6356" s="65">
        <f>IFERROR(VLOOKUP(A6356,'3. Call duration'!$A:$C,3,0),"--")</f>
        <v>47.24433411</v>
      </c>
      <c r="J6356" s="65" t="str">
        <f t="array" ref="J6356">XLOOKUP(H6356,'2. Matching'!$A$2:$A$39,'2. Matching'!$B$2:$B$39,"--")</f>
        <v>Acquisition</v>
      </c>
      <c r="K6356" s="65" t="str">
        <f t="shared" si="1"/>
        <v>In</v>
      </c>
    </row>
    <row r="6357">
      <c r="A6357" s="62" t="s">
        <v>6495</v>
      </c>
      <c r="B6357" s="63">
        <v>44359.0</v>
      </c>
      <c r="C6357" s="62" t="s">
        <v>119</v>
      </c>
      <c r="D6357" s="64">
        <v>47.5</v>
      </c>
      <c r="E6357" s="62" t="s">
        <v>109</v>
      </c>
      <c r="F6357" s="62" t="s">
        <v>115</v>
      </c>
      <c r="G6357" s="64" t="s">
        <v>64</v>
      </c>
      <c r="H6357" s="3" t="s">
        <v>52</v>
      </c>
      <c r="I6357" s="65">
        <f>IFERROR(VLOOKUP(A6357,'3. Call duration'!$A:$C,3,0),"--")</f>
        <v>20.21471117</v>
      </c>
      <c r="J6357" s="65" t="str">
        <f t="array" ref="J6357">XLOOKUP(H6357,'2. Matching'!$A$2:$A$39,'2. Matching'!$B$2:$B$39,"--")</f>
        <v>Partnerships</v>
      </c>
      <c r="K6357" s="65" t="str">
        <f t="shared" si="1"/>
        <v>In</v>
      </c>
    </row>
    <row r="6358">
      <c r="A6358" s="62" t="s">
        <v>6496</v>
      </c>
      <c r="B6358" s="63">
        <v>44338.0</v>
      </c>
      <c r="C6358" s="62" t="s">
        <v>112</v>
      </c>
      <c r="D6358" s="64">
        <v>0.0</v>
      </c>
      <c r="E6358" s="62" t="s">
        <v>109</v>
      </c>
      <c r="F6358" s="62" t="s">
        <v>115</v>
      </c>
      <c r="G6358" s="64" t="s">
        <v>64</v>
      </c>
      <c r="H6358" s="3" t="s">
        <v>139</v>
      </c>
      <c r="I6358" s="65" t="str">
        <f>IFERROR(VLOOKUP(A6358,'3. Call duration'!$A:$C,3,0),"--")</f>
        <v>--</v>
      </c>
      <c r="J6358" s="65" t="str">
        <f t="array" ref="J6358">XLOOKUP(H6358,'2. Matching'!$A$2:$A$39,'2. Matching'!$B$2:$B$39,"--")</f>
        <v>Acquisition</v>
      </c>
      <c r="K6358" s="65" t="str">
        <f t="shared" si="1"/>
        <v>In</v>
      </c>
    </row>
    <row r="6359">
      <c r="A6359" s="62" t="s">
        <v>6497</v>
      </c>
      <c r="B6359" s="63">
        <v>44348.0</v>
      </c>
      <c r="C6359" s="62" t="s">
        <v>119</v>
      </c>
      <c r="D6359" s="64">
        <v>47.5</v>
      </c>
      <c r="E6359" s="62" t="s">
        <v>109</v>
      </c>
      <c r="F6359" s="62" t="s">
        <v>110</v>
      </c>
      <c r="G6359" s="64" t="s">
        <v>64</v>
      </c>
      <c r="H6359" s="3" t="s">
        <v>297</v>
      </c>
      <c r="I6359" s="65">
        <f>IFERROR(VLOOKUP(A6359,'3. Call duration'!$A:$C,3,0),"--")</f>
        <v>27.18013452</v>
      </c>
      <c r="J6359" s="65" t="str">
        <f t="array" ref="J6359">XLOOKUP(H6359,'2. Matching'!$A$2:$A$39,'2. Matching'!$B$2:$B$39,"--")</f>
        <v>Farming</v>
      </c>
      <c r="K6359" s="65" t="str">
        <f t="shared" si="1"/>
        <v>In</v>
      </c>
    </row>
    <row r="6360">
      <c r="A6360" s="62" t="s">
        <v>6498</v>
      </c>
      <c r="B6360" s="63">
        <v>44375.0</v>
      </c>
      <c r="C6360" s="62" t="s">
        <v>119</v>
      </c>
      <c r="D6360" s="64">
        <v>47.5</v>
      </c>
      <c r="E6360" s="62" t="s">
        <v>109</v>
      </c>
      <c r="F6360" s="62" t="s">
        <v>115</v>
      </c>
      <c r="G6360" s="64" t="s">
        <v>59</v>
      </c>
      <c r="H6360" s="3" t="s">
        <v>68</v>
      </c>
      <c r="I6360" s="65">
        <f>IFERROR(VLOOKUP(A6360,'3. Call duration'!$A:$C,3,0),"--")</f>
        <v>27.10675628</v>
      </c>
      <c r="J6360" s="65" t="str">
        <f t="array" ref="J6360">XLOOKUP(H6360,'2. Matching'!$A$2:$A$39,'2. Matching'!$B$2:$B$39,"--")</f>
        <v>Acquisition</v>
      </c>
      <c r="K6360" s="65" t="str">
        <f t="shared" si="1"/>
        <v>In</v>
      </c>
    </row>
    <row r="6361">
      <c r="A6361" s="62" t="s">
        <v>6499</v>
      </c>
      <c r="B6361" s="63">
        <v>44364.0</v>
      </c>
      <c r="C6361" s="62" t="s">
        <v>119</v>
      </c>
      <c r="D6361" s="64">
        <v>47.5</v>
      </c>
      <c r="E6361" s="62" t="s">
        <v>109</v>
      </c>
      <c r="F6361" s="62" t="s">
        <v>110</v>
      </c>
      <c r="G6361" s="64" t="s">
        <v>60</v>
      </c>
      <c r="H6361" s="3" t="s">
        <v>67</v>
      </c>
      <c r="I6361" s="65">
        <f>IFERROR(VLOOKUP(A6361,'3. Call duration'!$A:$C,3,0),"--")</f>
        <v>21.77734715</v>
      </c>
      <c r="J6361" s="65" t="str">
        <f t="array" ref="J6361">XLOOKUP(H6361,'2. Matching'!$A$2:$A$39,'2. Matching'!$B$2:$B$39,"--")</f>
        <v>Acquisition</v>
      </c>
      <c r="K6361" s="65" t="str">
        <f t="shared" si="1"/>
        <v>In</v>
      </c>
    </row>
    <row r="6362">
      <c r="A6362" s="62" t="s">
        <v>6500</v>
      </c>
      <c r="B6362" s="63">
        <v>44363.0</v>
      </c>
      <c r="C6362" s="62" t="s">
        <v>119</v>
      </c>
      <c r="D6362" s="64">
        <v>47.5</v>
      </c>
      <c r="E6362" s="62" t="s">
        <v>109</v>
      </c>
      <c r="F6362" s="62" t="s">
        <v>115</v>
      </c>
      <c r="G6362" s="64" t="s">
        <v>60</v>
      </c>
      <c r="H6362" s="3" t="s">
        <v>68</v>
      </c>
      <c r="I6362" s="65">
        <f>IFERROR(VLOOKUP(A6362,'3. Call duration'!$A:$C,3,0),"--")</f>
        <v>22.68769884</v>
      </c>
      <c r="J6362" s="65" t="str">
        <f t="array" ref="J6362">XLOOKUP(H6362,'2. Matching'!$A$2:$A$39,'2. Matching'!$B$2:$B$39,"--")</f>
        <v>Acquisition</v>
      </c>
      <c r="K6362" s="65" t="str">
        <f t="shared" si="1"/>
        <v>In</v>
      </c>
    </row>
    <row r="6363">
      <c r="A6363" s="62" t="s">
        <v>6501</v>
      </c>
      <c r="B6363" s="63">
        <v>44327.0</v>
      </c>
      <c r="C6363" s="62" t="s">
        <v>112</v>
      </c>
      <c r="D6363" s="64">
        <v>0.0</v>
      </c>
      <c r="E6363" s="62" t="s">
        <v>109</v>
      </c>
      <c r="F6363" s="62" t="s">
        <v>110</v>
      </c>
      <c r="G6363" s="64" t="s">
        <v>64</v>
      </c>
      <c r="H6363" s="3" t="s">
        <v>116</v>
      </c>
      <c r="I6363" s="65" t="str">
        <f>IFERROR(VLOOKUP(A6363,'3. Call duration'!$A:$C,3,0),"--")</f>
        <v>--</v>
      </c>
      <c r="J6363" s="65" t="str">
        <f t="array" ref="J6363">XLOOKUP(H6363,'2. Matching'!$A$2:$A$39,'2. Matching'!$B$2:$B$39,"--")</f>
        <v>Acquisition</v>
      </c>
      <c r="K6363" s="65" t="str">
        <f t="shared" si="1"/>
        <v>In</v>
      </c>
    </row>
    <row r="6364">
      <c r="A6364" s="62" t="s">
        <v>6502</v>
      </c>
      <c r="B6364" s="63">
        <v>44369.0</v>
      </c>
      <c r="C6364" s="62" t="s">
        <v>119</v>
      </c>
      <c r="D6364" s="64">
        <v>47.5</v>
      </c>
      <c r="E6364" s="62" t="s">
        <v>109</v>
      </c>
      <c r="F6364" s="62" t="s">
        <v>115</v>
      </c>
      <c r="G6364" s="64" t="s">
        <v>64</v>
      </c>
      <c r="H6364" s="3" t="s">
        <v>116</v>
      </c>
      <c r="I6364" s="65">
        <f>IFERROR(VLOOKUP(A6364,'3. Call duration'!$A:$C,3,0),"--")</f>
        <v>26.2932372</v>
      </c>
      <c r="J6364" s="65" t="str">
        <f t="array" ref="J6364">XLOOKUP(H6364,'2. Matching'!$A$2:$A$39,'2. Matching'!$B$2:$B$39,"--")</f>
        <v>Acquisition</v>
      </c>
      <c r="K6364" s="65" t="str">
        <f t="shared" si="1"/>
        <v>In</v>
      </c>
    </row>
    <row r="6365">
      <c r="A6365" s="62" t="s">
        <v>6503</v>
      </c>
      <c r="B6365" s="63">
        <v>44354.0</v>
      </c>
      <c r="C6365" s="62" t="s">
        <v>119</v>
      </c>
      <c r="D6365" s="64">
        <v>47.5</v>
      </c>
      <c r="E6365" s="62" t="s">
        <v>109</v>
      </c>
      <c r="F6365" s="62" t="s">
        <v>115</v>
      </c>
      <c r="G6365" s="64" t="s">
        <v>59</v>
      </c>
      <c r="H6365" s="3" t="s">
        <v>68</v>
      </c>
      <c r="I6365" s="65">
        <f>IFERROR(VLOOKUP(A6365,'3. Call duration'!$A:$C,3,0),"--")</f>
        <v>47.63934331</v>
      </c>
      <c r="J6365" s="65" t="str">
        <f t="array" ref="J6365">XLOOKUP(H6365,'2. Matching'!$A$2:$A$39,'2. Matching'!$B$2:$B$39,"--")</f>
        <v>Acquisition</v>
      </c>
      <c r="K6365" s="65" t="str">
        <f t="shared" si="1"/>
        <v>In</v>
      </c>
    </row>
    <row r="6366">
      <c r="A6366" s="62" t="s">
        <v>6504</v>
      </c>
      <c r="B6366" s="63">
        <v>44326.0</v>
      </c>
      <c r="C6366" s="62" t="s">
        <v>112</v>
      </c>
      <c r="D6366" s="64">
        <v>0.0</v>
      </c>
      <c r="E6366" s="62" t="s">
        <v>109</v>
      </c>
      <c r="F6366" s="62" t="s">
        <v>110</v>
      </c>
      <c r="G6366" s="64" t="s">
        <v>64</v>
      </c>
      <c r="H6366" s="3" t="s">
        <v>116</v>
      </c>
      <c r="I6366" s="65" t="str">
        <f>IFERROR(VLOOKUP(A6366,'3. Call duration'!$A:$C,3,0),"--")</f>
        <v>--</v>
      </c>
      <c r="J6366" s="65" t="str">
        <f t="array" ref="J6366">XLOOKUP(H6366,'2. Matching'!$A$2:$A$39,'2. Matching'!$B$2:$B$39,"--")</f>
        <v>Acquisition</v>
      </c>
      <c r="K6366" s="65" t="str">
        <f t="shared" si="1"/>
        <v>In</v>
      </c>
    </row>
    <row r="6367">
      <c r="A6367" s="62" t="s">
        <v>6505</v>
      </c>
      <c r="B6367" s="63">
        <v>44357.0</v>
      </c>
      <c r="C6367" s="62" t="s">
        <v>119</v>
      </c>
      <c r="D6367" s="64">
        <v>47.5</v>
      </c>
      <c r="E6367" s="62" t="s">
        <v>109</v>
      </c>
      <c r="F6367" s="62" t="s">
        <v>115</v>
      </c>
      <c r="G6367" s="64" t="s">
        <v>59</v>
      </c>
      <c r="H6367" s="3" t="s">
        <v>68</v>
      </c>
      <c r="I6367" s="65">
        <f>IFERROR(VLOOKUP(A6367,'3. Call duration'!$A:$C,3,0),"--")</f>
        <v>35.79964871</v>
      </c>
      <c r="J6367" s="65" t="str">
        <f t="array" ref="J6367">XLOOKUP(H6367,'2. Matching'!$A$2:$A$39,'2. Matching'!$B$2:$B$39,"--")</f>
        <v>Acquisition</v>
      </c>
      <c r="K6367" s="65" t="str">
        <f t="shared" si="1"/>
        <v>In</v>
      </c>
    </row>
    <row r="6368">
      <c r="A6368" s="62" t="s">
        <v>6506</v>
      </c>
      <c r="B6368" s="63">
        <v>44357.0</v>
      </c>
      <c r="C6368" s="62" t="s">
        <v>119</v>
      </c>
      <c r="D6368" s="64">
        <v>47.5</v>
      </c>
      <c r="E6368" s="62" t="s">
        <v>109</v>
      </c>
      <c r="F6368" s="62" t="s">
        <v>110</v>
      </c>
      <c r="G6368" s="64" t="s">
        <v>60</v>
      </c>
      <c r="H6368" s="3" t="s">
        <v>67</v>
      </c>
      <c r="I6368" s="65">
        <f>IFERROR(VLOOKUP(A6368,'3. Call duration'!$A:$C,3,0),"--")</f>
        <v>22.07635674</v>
      </c>
      <c r="J6368" s="65" t="str">
        <f t="array" ref="J6368">XLOOKUP(H6368,'2. Matching'!$A$2:$A$39,'2. Matching'!$B$2:$B$39,"--")</f>
        <v>Acquisition</v>
      </c>
      <c r="K6368" s="65" t="str">
        <f t="shared" si="1"/>
        <v>In</v>
      </c>
    </row>
    <row r="6369">
      <c r="A6369" s="62" t="s">
        <v>6507</v>
      </c>
      <c r="B6369" s="63">
        <v>44376.0</v>
      </c>
      <c r="C6369" s="62" t="s">
        <v>119</v>
      </c>
      <c r="D6369" s="64">
        <v>47.5</v>
      </c>
      <c r="E6369" s="62" t="s">
        <v>109</v>
      </c>
      <c r="F6369" s="62" t="s">
        <v>110</v>
      </c>
      <c r="G6369" s="64" t="s">
        <v>60</v>
      </c>
      <c r="H6369" s="3" t="s">
        <v>68</v>
      </c>
      <c r="I6369" s="65">
        <f>IFERROR(VLOOKUP(A6369,'3. Call duration'!$A:$C,3,0),"--")</f>
        <v>25.96727793</v>
      </c>
      <c r="J6369" s="65" t="str">
        <f t="array" ref="J6369">XLOOKUP(H6369,'2. Matching'!$A$2:$A$39,'2. Matching'!$B$2:$B$39,"--")</f>
        <v>Acquisition</v>
      </c>
      <c r="K6369" s="65" t="str">
        <f t="shared" si="1"/>
        <v>In</v>
      </c>
    </row>
    <row r="6370">
      <c r="A6370" s="62" t="s">
        <v>6508</v>
      </c>
      <c r="B6370" s="63">
        <v>44361.0</v>
      </c>
      <c r="C6370" s="62" t="s">
        <v>119</v>
      </c>
      <c r="D6370" s="64">
        <v>47.5</v>
      </c>
      <c r="E6370" s="62" t="s">
        <v>109</v>
      </c>
      <c r="F6370" s="62" t="s">
        <v>115</v>
      </c>
      <c r="G6370" s="64" t="s">
        <v>64</v>
      </c>
      <c r="H6370" s="3" t="s">
        <v>139</v>
      </c>
      <c r="I6370" s="65">
        <f>IFERROR(VLOOKUP(A6370,'3. Call duration'!$A:$C,3,0),"--")</f>
        <v>33.13789856</v>
      </c>
      <c r="J6370" s="65" t="str">
        <f t="array" ref="J6370">XLOOKUP(H6370,'2. Matching'!$A$2:$A$39,'2. Matching'!$B$2:$B$39,"--")</f>
        <v>Acquisition</v>
      </c>
      <c r="K6370" s="65" t="str">
        <f t="shared" si="1"/>
        <v>In</v>
      </c>
    </row>
    <row r="6371">
      <c r="A6371" s="62" t="s">
        <v>6509</v>
      </c>
      <c r="B6371" s="63">
        <v>44336.0</v>
      </c>
      <c r="C6371" s="62" t="s">
        <v>112</v>
      </c>
      <c r="D6371" s="64">
        <v>0.0</v>
      </c>
      <c r="E6371" s="62" t="s">
        <v>109</v>
      </c>
      <c r="F6371" s="62" t="s">
        <v>115</v>
      </c>
      <c r="G6371" s="64" t="s">
        <v>64</v>
      </c>
      <c r="H6371" s="3" t="s">
        <v>49</v>
      </c>
      <c r="I6371" s="65" t="str">
        <f>IFERROR(VLOOKUP(A6371,'3. Call duration'!$A:$C,3,0),"--")</f>
        <v>--</v>
      </c>
      <c r="J6371" s="65" t="str">
        <f t="array" ref="J6371">XLOOKUP(H6371,'2. Matching'!$A$2:$A$39,'2. Matching'!$B$2:$B$39,"--")</f>
        <v>Partnerships</v>
      </c>
      <c r="K6371" s="65" t="str">
        <f t="shared" si="1"/>
        <v>In</v>
      </c>
    </row>
    <row r="6372">
      <c r="A6372" s="62" t="s">
        <v>6510</v>
      </c>
      <c r="B6372" s="63">
        <v>44355.0</v>
      </c>
      <c r="C6372" s="62" t="s">
        <v>119</v>
      </c>
      <c r="D6372" s="64">
        <v>47.5</v>
      </c>
      <c r="E6372" s="62" t="s">
        <v>109</v>
      </c>
      <c r="F6372" s="62" t="s">
        <v>110</v>
      </c>
      <c r="G6372" s="64" t="s">
        <v>64</v>
      </c>
      <c r="H6372" s="3" t="s">
        <v>55</v>
      </c>
      <c r="I6372" s="65">
        <f>IFERROR(VLOOKUP(A6372,'3. Call duration'!$A:$C,3,0),"--")</f>
        <v>33.15208368</v>
      </c>
      <c r="J6372" s="65" t="str">
        <f t="array" ref="J6372">XLOOKUP(H6372,'2. Matching'!$A$2:$A$39,'2. Matching'!$B$2:$B$39,"--")</f>
        <v>Partnerships</v>
      </c>
      <c r="K6372" s="65" t="str">
        <f t="shared" si="1"/>
        <v>In</v>
      </c>
    </row>
    <row r="6373">
      <c r="A6373" s="62" t="s">
        <v>6511</v>
      </c>
      <c r="B6373" s="63">
        <v>44347.0</v>
      </c>
      <c r="C6373" s="62" t="s">
        <v>112</v>
      </c>
      <c r="D6373" s="64">
        <v>0.0</v>
      </c>
      <c r="E6373" s="62" t="s">
        <v>109</v>
      </c>
      <c r="F6373" s="62" t="s">
        <v>110</v>
      </c>
      <c r="G6373" s="64" t="s">
        <v>60</v>
      </c>
      <c r="H6373" s="3" t="s">
        <v>67</v>
      </c>
      <c r="I6373" s="65" t="str">
        <f>IFERROR(VLOOKUP(A6373,'3. Call duration'!$A:$C,3,0),"--")</f>
        <v>--</v>
      </c>
      <c r="J6373" s="65" t="str">
        <f t="array" ref="J6373">XLOOKUP(H6373,'2. Matching'!$A$2:$A$39,'2. Matching'!$B$2:$B$39,"--")</f>
        <v>Acquisition</v>
      </c>
      <c r="K6373" s="65" t="str">
        <f t="shared" si="1"/>
        <v>In</v>
      </c>
    </row>
    <row r="6374">
      <c r="A6374" s="62" t="s">
        <v>6512</v>
      </c>
      <c r="B6374" s="63">
        <v>44350.0</v>
      </c>
      <c r="C6374" s="62" t="s">
        <v>119</v>
      </c>
      <c r="D6374" s="64">
        <v>47.5</v>
      </c>
      <c r="E6374" s="62" t="s">
        <v>109</v>
      </c>
      <c r="F6374" s="62" t="s">
        <v>115</v>
      </c>
      <c r="G6374" s="64" t="s">
        <v>60</v>
      </c>
      <c r="H6374" s="3" t="s">
        <v>68</v>
      </c>
      <c r="I6374" s="65">
        <f>IFERROR(VLOOKUP(A6374,'3. Call duration'!$A:$C,3,0),"--")</f>
        <v>23.912907</v>
      </c>
      <c r="J6374" s="65" t="str">
        <f t="array" ref="J6374">XLOOKUP(H6374,'2. Matching'!$A$2:$A$39,'2. Matching'!$B$2:$B$39,"--")</f>
        <v>Acquisition</v>
      </c>
      <c r="K6374" s="65" t="str">
        <f t="shared" si="1"/>
        <v>In</v>
      </c>
    </row>
    <row r="6375">
      <c r="A6375" s="62" t="s">
        <v>6513</v>
      </c>
      <c r="B6375" s="63">
        <v>44368.0</v>
      </c>
      <c r="C6375" s="62" t="s">
        <v>119</v>
      </c>
      <c r="D6375" s="64">
        <v>47.5</v>
      </c>
      <c r="E6375" s="62" t="s">
        <v>109</v>
      </c>
      <c r="F6375" s="62" t="s">
        <v>110</v>
      </c>
      <c r="G6375" s="64" t="s">
        <v>60</v>
      </c>
      <c r="H6375" s="3" t="s">
        <v>68</v>
      </c>
      <c r="I6375" s="65">
        <f>IFERROR(VLOOKUP(A6375,'3. Call duration'!$A:$C,3,0),"--")</f>
        <v>31.4179324</v>
      </c>
      <c r="J6375" s="65" t="str">
        <f t="array" ref="J6375">XLOOKUP(H6375,'2. Matching'!$A$2:$A$39,'2. Matching'!$B$2:$B$39,"--")</f>
        <v>Acquisition</v>
      </c>
      <c r="K6375" s="65" t="str">
        <f t="shared" si="1"/>
        <v>In</v>
      </c>
    </row>
    <row r="6376">
      <c r="A6376" s="62" t="s">
        <v>6514</v>
      </c>
      <c r="B6376" s="63">
        <v>44347.0</v>
      </c>
      <c r="C6376" s="62" t="s">
        <v>112</v>
      </c>
      <c r="D6376" s="64">
        <v>0.0</v>
      </c>
      <c r="E6376" s="62" t="s">
        <v>109</v>
      </c>
      <c r="F6376" s="62" t="s">
        <v>110</v>
      </c>
      <c r="G6376" s="64" t="s">
        <v>64</v>
      </c>
      <c r="H6376" s="3" t="s">
        <v>52</v>
      </c>
      <c r="I6376" s="65" t="str">
        <f>IFERROR(VLOOKUP(A6376,'3. Call duration'!$A:$C,3,0),"--")</f>
        <v>--</v>
      </c>
      <c r="J6376" s="65" t="str">
        <f t="array" ref="J6376">XLOOKUP(H6376,'2. Matching'!$A$2:$A$39,'2. Matching'!$B$2:$B$39,"--")</f>
        <v>Partnerships</v>
      </c>
      <c r="K6376" s="65" t="str">
        <f t="shared" si="1"/>
        <v>In</v>
      </c>
    </row>
    <row r="6377">
      <c r="A6377" s="62" t="s">
        <v>6515</v>
      </c>
      <c r="B6377" s="63">
        <v>44354.0</v>
      </c>
      <c r="C6377" s="62" t="s">
        <v>119</v>
      </c>
      <c r="D6377" s="64">
        <v>47.5</v>
      </c>
      <c r="E6377" s="62" t="s">
        <v>109</v>
      </c>
      <c r="F6377" s="62" t="s">
        <v>110</v>
      </c>
      <c r="G6377" s="64" t="s">
        <v>60</v>
      </c>
      <c r="H6377" s="3" t="s">
        <v>67</v>
      </c>
      <c r="I6377" s="65">
        <f>IFERROR(VLOOKUP(A6377,'3. Call duration'!$A:$C,3,0),"--")</f>
        <v>31.64305357</v>
      </c>
      <c r="J6377" s="65" t="str">
        <f t="array" ref="J6377">XLOOKUP(H6377,'2. Matching'!$A$2:$A$39,'2. Matching'!$B$2:$B$39,"--")</f>
        <v>Acquisition</v>
      </c>
      <c r="K6377" s="65" t="str">
        <f t="shared" si="1"/>
        <v>In</v>
      </c>
    </row>
    <row r="6378">
      <c r="A6378" s="62" t="s">
        <v>6516</v>
      </c>
      <c r="B6378" s="63">
        <v>44337.0</v>
      </c>
      <c r="C6378" s="62" t="s">
        <v>112</v>
      </c>
      <c r="D6378" s="64">
        <v>0.0</v>
      </c>
      <c r="E6378" s="62" t="s">
        <v>109</v>
      </c>
      <c r="F6378" s="62" t="s">
        <v>110</v>
      </c>
      <c r="G6378" s="64" t="s">
        <v>63</v>
      </c>
      <c r="H6378" s="3" t="s">
        <v>189</v>
      </c>
      <c r="I6378" s="65" t="str">
        <f>IFERROR(VLOOKUP(A6378,'3. Call duration'!$A:$C,3,0),"--")</f>
        <v>--</v>
      </c>
      <c r="J6378" s="65" t="str">
        <f t="array" ref="J6378">XLOOKUP(H6378,'2. Matching'!$A$2:$A$39,'2. Matching'!$B$2:$B$39,"--")</f>
        <v>SEO</v>
      </c>
      <c r="K6378" s="65" t="str">
        <f t="shared" si="1"/>
        <v>Out</v>
      </c>
    </row>
    <row r="6379">
      <c r="A6379" s="62" t="s">
        <v>6517</v>
      </c>
      <c r="B6379" s="63">
        <v>44350.0</v>
      </c>
      <c r="C6379" s="62" t="s">
        <v>119</v>
      </c>
      <c r="D6379" s="64">
        <v>47.5</v>
      </c>
      <c r="E6379" s="62" t="s">
        <v>109</v>
      </c>
      <c r="F6379" s="62" t="s">
        <v>115</v>
      </c>
      <c r="G6379" s="64" t="s">
        <v>64</v>
      </c>
      <c r="H6379" s="3" t="s">
        <v>141</v>
      </c>
      <c r="I6379" s="65">
        <f>IFERROR(VLOOKUP(A6379,'3. Call duration'!$A:$C,3,0),"--")</f>
        <v>20.349089</v>
      </c>
      <c r="J6379" s="65" t="str">
        <f t="array" ref="J6379">XLOOKUP(H6379,'2. Matching'!$A$2:$A$39,'2. Matching'!$B$2:$B$39,"--")</f>
        <v>Acquisition</v>
      </c>
      <c r="K6379" s="65" t="str">
        <f t="shared" si="1"/>
        <v>In</v>
      </c>
    </row>
    <row r="6380">
      <c r="A6380" s="62" t="s">
        <v>6518</v>
      </c>
      <c r="B6380" s="63">
        <v>44361.0</v>
      </c>
      <c r="C6380" s="62" t="s">
        <v>119</v>
      </c>
      <c r="D6380" s="64">
        <v>47.5</v>
      </c>
      <c r="E6380" s="62" t="s">
        <v>109</v>
      </c>
      <c r="F6380" s="62" t="s">
        <v>115</v>
      </c>
      <c r="G6380" s="64" t="s">
        <v>64</v>
      </c>
      <c r="H6380" s="3" t="s">
        <v>55</v>
      </c>
      <c r="I6380" s="65">
        <f>IFERROR(VLOOKUP(A6380,'3. Call duration'!$A:$C,3,0),"--")</f>
        <v>19.7838079</v>
      </c>
      <c r="J6380" s="65" t="str">
        <f t="array" ref="J6380">XLOOKUP(H6380,'2. Matching'!$A$2:$A$39,'2. Matching'!$B$2:$B$39,"--")</f>
        <v>Partnerships</v>
      </c>
      <c r="K6380" s="65" t="str">
        <f t="shared" si="1"/>
        <v>In</v>
      </c>
    </row>
    <row r="6381">
      <c r="A6381" s="62" t="s">
        <v>6519</v>
      </c>
      <c r="B6381" s="63">
        <v>44370.0</v>
      </c>
      <c r="C6381" s="62" t="s">
        <v>119</v>
      </c>
      <c r="D6381" s="64">
        <v>47.5</v>
      </c>
      <c r="E6381" s="62" t="s">
        <v>109</v>
      </c>
      <c r="F6381" s="62" t="s">
        <v>115</v>
      </c>
      <c r="G6381" s="64" t="s">
        <v>59</v>
      </c>
      <c r="H6381" s="3" t="s">
        <v>68</v>
      </c>
      <c r="I6381" s="65">
        <f>IFERROR(VLOOKUP(A6381,'3. Call duration'!$A:$C,3,0),"--")</f>
        <v>12.79305089</v>
      </c>
      <c r="J6381" s="65" t="str">
        <f t="array" ref="J6381">XLOOKUP(H6381,'2. Matching'!$A$2:$A$39,'2. Matching'!$B$2:$B$39,"--")</f>
        <v>Acquisition</v>
      </c>
      <c r="K6381" s="65" t="str">
        <f t="shared" si="1"/>
        <v>In</v>
      </c>
    </row>
    <row r="6382">
      <c r="A6382" s="62" t="s">
        <v>6520</v>
      </c>
      <c r="B6382" s="63">
        <v>44372.0</v>
      </c>
      <c r="C6382" s="62" t="s">
        <v>119</v>
      </c>
      <c r="D6382" s="64">
        <v>95.0</v>
      </c>
      <c r="E6382" s="62" t="s">
        <v>114</v>
      </c>
      <c r="F6382" s="62" t="s">
        <v>110</v>
      </c>
      <c r="G6382" s="64" t="s">
        <v>64</v>
      </c>
      <c r="H6382" s="3" t="s">
        <v>54</v>
      </c>
      <c r="I6382" s="65">
        <f>IFERROR(VLOOKUP(A6382,'3. Call duration'!$A:$C,3,0),"--")</f>
        <v>21.97543027</v>
      </c>
      <c r="J6382" s="65" t="str">
        <f t="array" ref="J6382">XLOOKUP(H6382,'2. Matching'!$A$2:$A$39,'2. Matching'!$B$2:$B$39,"--")</f>
        <v>Partnerships</v>
      </c>
      <c r="K6382" s="65" t="str">
        <f t="shared" si="1"/>
        <v>In</v>
      </c>
    </row>
    <row r="6383">
      <c r="A6383" s="62" t="s">
        <v>6521</v>
      </c>
      <c r="B6383" s="63">
        <v>44341.0</v>
      </c>
      <c r="C6383" s="62" t="s">
        <v>112</v>
      </c>
      <c r="D6383" s="64">
        <v>0.0</v>
      </c>
      <c r="E6383" s="62" t="s">
        <v>109</v>
      </c>
      <c r="F6383" s="62" t="s">
        <v>110</v>
      </c>
      <c r="G6383" s="64" t="s">
        <v>60</v>
      </c>
      <c r="H6383" s="3" t="s">
        <v>70</v>
      </c>
      <c r="I6383" s="65" t="str">
        <f>IFERROR(VLOOKUP(A6383,'3. Call duration'!$A:$C,3,0),"--")</f>
        <v>--</v>
      </c>
      <c r="J6383" s="65" t="str">
        <f t="array" ref="J6383">XLOOKUP(H6383,'2. Matching'!$A$2:$A$39,'2. Matching'!$B$2:$B$39,"--")</f>
        <v>Farming</v>
      </c>
      <c r="K6383" s="65" t="str">
        <f t="shared" si="1"/>
        <v>In</v>
      </c>
    </row>
    <row r="6384">
      <c r="A6384" s="62" t="s">
        <v>6522</v>
      </c>
      <c r="B6384" s="63">
        <v>44343.0</v>
      </c>
      <c r="C6384" s="62" t="s">
        <v>112</v>
      </c>
      <c r="D6384" s="64">
        <v>0.0</v>
      </c>
      <c r="E6384" s="62" t="s">
        <v>109</v>
      </c>
      <c r="F6384" s="62" t="s">
        <v>110</v>
      </c>
      <c r="G6384" s="64" t="s">
        <v>64</v>
      </c>
      <c r="H6384" s="3" t="s">
        <v>175</v>
      </c>
      <c r="I6384" s="65" t="str">
        <f>IFERROR(VLOOKUP(A6384,'3. Call duration'!$A:$C,3,0),"--")</f>
        <v>--</v>
      </c>
      <c r="J6384" s="65" t="str">
        <f t="array" ref="J6384">XLOOKUP(H6384,'2. Matching'!$A$2:$A$39,'2. Matching'!$B$2:$B$39,"--")</f>
        <v>SEO</v>
      </c>
      <c r="K6384" s="65" t="str">
        <f t="shared" si="1"/>
        <v>In</v>
      </c>
    </row>
    <row r="6385">
      <c r="A6385" s="62" t="s">
        <v>6523</v>
      </c>
      <c r="B6385" s="63">
        <v>44343.0</v>
      </c>
      <c r="C6385" s="62" t="s">
        <v>112</v>
      </c>
      <c r="D6385" s="64">
        <v>0.0</v>
      </c>
      <c r="E6385" s="62" t="s">
        <v>109</v>
      </c>
      <c r="F6385" s="62" t="s">
        <v>110</v>
      </c>
      <c r="G6385" s="64" t="s">
        <v>64</v>
      </c>
      <c r="H6385" s="3" t="s">
        <v>52</v>
      </c>
      <c r="I6385" s="65" t="str">
        <f>IFERROR(VLOOKUP(A6385,'3. Call duration'!$A:$C,3,0),"--")</f>
        <v>--</v>
      </c>
      <c r="J6385" s="65" t="str">
        <f t="array" ref="J6385">XLOOKUP(H6385,'2. Matching'!$A$2:$A$39,'2. Matching'!$B$2:$B$39,"--")</f>
        <v>Partnerships</v>
      </c>
      <c r="K6385" s="65" t="str">
        <f t="shared" si="1"/>
        <v>In</v>
      </c>
    </row>
    <row r="6386">
      <c r="A6386" s="62" t="s">
        <v>6524</v>
      </c>
      <c r="B6386" s="63">
        <v>44364.0</v>
      </c>
      <c r="C6386" s="62" t="s">
        <v>119</v>
      </c>
      <c r="D6386" s="64">
        <v>95.0</v>
      </c>
      <c r="E6386" s="62" t="s">
        <v>114</v>
      </c>
      <c r="F6386" s="62" t="s">
        <v>110</v>
      </c>
      <c r="G6386" s="64" t="s">
        <v>64</v>
      </c>
      <c r="H6386" s="3" t="s">
        <v>297</v>
      </c>
      <c r="I6386" s="65" t="str">
        <f>IFERROR(VLOOKUP(A6386,'3. Call duration'!$A:$C,3,0),"--")</f>
        <v>--</v>
      </c>
      <c r="J6386" s="65" t="str">
        <f t="array" ref="J6386">XLOOKUP(H6386,'2. Matching'!$A$2:$A$39,'2. Matching'!$B$2:$B$39,"--")</f>
        <v>Farming</v>
      </c>
      <c r="K6386" s="65" t="str">
        <f t="shared" si="1"/>
        <v>In</v>
      </c>
    </row>
    <row r="6387">
      <c r="A6387" s="62" t="s">
        <v>6525</v>
      </c>
      <c r="B6387" s="63">
        <v>44348.0</v>
      </c>
      <c r="C6387" s="62" t="s">
        <v>119</v>
      </c>
      <c r="D6387" s="64">
        <v>95.0</v>
      </c>
      <c r="E6387" s="62" t="s">
        <v>114</v>
      </c>
      <c r="F6387" s="62" t="s">
        <v>115</v>
      </c>
      <c r="G6387" s="64" t="s">
        <v>64</v>
      </c>
      <c r="H6387" s="3" t="s">
        <v>185</v>
      </c>
      <c r="I6387" s="65">
        <f>IFERROR(VLOOKUP(A6387,'3. Call duration'!$A:$C,3,0),"--")</f>
        <v>37.70649905</v>
      </c>
      <c r="J6387" s="65" t="str">
        <f t="array" ref="J6387">XLOOKUP(H6387,'2. Matching'!$A$2:$A$39,'2. Matching'!$B$2:$B$39,"--")</f>
        <v>SEO</v>
      </c>
      <c r="K6387" s="65" t="str">
        <f t="shared" si="1"/>
        <v>In</v>
      </c>
    </row>
    <row r="6388">
      <c r="A6388" s="62" t="s">
        <v>6526</v>
      </c>
      <c r="B6388" s="63">
        <v>44321.0</v>
      </c>
      <c r="C6388" s="62" t="s">
        <v>112</v>
      </c>
      <c r="D6388" s="64">
        <v>0.0</v>
      </c>
      <c r="E6388" s="62" t="s">
        <v>114</v>
      </c>
      <c r="F6388" s="62" t="s">
        <v>110</v>
      </c>
      <c r="G6388" s="64" t="s">
        <v>63</v>
      </c>
      <c r="H6388" s="3" t="s">
        <v>189</v>
      </c>
      <c r="I6388" s="65" t="str">
        <f>IFERROR(VLOOKUP(A6388,'3. Call duration'!$A:$C,3,0),"--")</f>
        <v>--</v>
      </c>
      <c r="J6388" s="65" t="str">
        <f t="array" ref="J6388">XLOOKUP(H6388,'2. Matching'!$A$2:$A$39,'2. Matching'!$B$2:$B$39,"--")</f>
        <v>SEO</v>
      </c>
      <c r="K6388" s="65" t="str">
        <f t="shared" si="1"/>
        <v>Out</v>
      </c>
    </row>
    <row r="6389">
      <c r="A6389" s="62" t="s">
        <v>6527</v>
      </c>
      <c r="B6389" s="63">
        <v>44354.0</v>
      </c>
      <c r="C6389" s="62" t="s">
        <v>119</v>
      </c>
      <c r="D6389" s="64">
        <v>95.0</v>
      </c>
      <c r="E6389" s="62" t="s">
        <v>114</v>
      </c>
      <c r="F6389" s="62" t="s">
        <v>115</v>
      </c>
      <c r="G6389" s="64" t="s">
        <v>60</v>
      </c>
      <c r="H6389" s="3" t="s">
        <v>67</v>
      </c>
      <c r="I6389" s="65" t="str">
        <f>IFERROR(VLOOKUP(A6389,'3. Call duration'!$A:$C,3,0),"--")</f>
        <v>--</v>
      </c>
      <c r="J6389" s="65" t="str">
        <f t="array" ref="J6389">XLOOKUP(H6389,'2. Matching'!$A$2:$A$39,'2. Matching'!$B$2:$B$39,"--")</f>
        <v>Acquisition</v>
      </c>
      <c r="K6389" s="65" t="str">
        <f t="shared" si="1"/>
        <v>In</v>
      </c>
    </row>
    <row r="6390">
      <c r="A6390" s="62" t="s">
        <v>6528</v>
      </c>
      <c r="B6390" s="63">
        <v>44376.0</v>
      </c>
      <c r="C6390" s="62" t="s">
        <v>119</v>
      </c>
      <c r="D6390" s="64">
        <v>95.0</v>
      </c>
      <c r="E6390" s="62" t="s">
        <v>114</v>
      </c>
      <c r="F6390" s="62" t="s">
        <v>115</v>
      </c>
      <c r="G6390" s="64" t="s">
        <v>64</v>
      </c>
      <c r="H6390" s="3" t="s">
        <v>139</v>
      </c>
      <c r="I6390" s="65">
        <f>IFERROR(VLOOKUP(A6390,'3. Call duration'!$A:$C,3,0),"--")</f>
        <v>22.1513583</v>
      </c>
      <c r="J6390" s="65" t="str">
        <f t="array" ref="J6390">XLOOKUP(H6390,'2. Matching'!$A$2:$A$39,'2. Matching'!$B$2:$B$39,"--")</f>
        <v>Acquisition</v>
      </c>
      <c r="K6390" s="65" t="str">
        <f t="shared" si="1"/>
        <v>In</v>
      </c>
    </row>
    <row r="6391">
      <c r="A6391" s="62" t="s">
        <v>6529</v>
      </c>
      <c r="B6391" s="63">
        <v>44355.0</v>
      </c>
      <c r="C6391" s="62" t="s">
        <v>119</v>
      </c>
      <c r="D6391" s="64">
        <v>95.0</v>
      </c>
      <c r="E6391" s="62" t="s">
        <v>114</v>
      </c>
      <c r="F6391" s="62" t="s">
        <v>110</v>
      </c>
      <c r="G6391" s="64" t="s">
        <v>60</v>
      </c>
      <c r="H6391" s="3" t="s">
        <v>67</v>
      </c>
      <c r="I6391" s="65">
        <f>IFERROR(VLOOKUP(A6391,'3. Call duration'!$A:$C,3,0),"--")</f>
        <v>38.53026481</v>
      </c>
      <c r="J6391" s="65" t="str">
        <f t="array" ref="J6391">XLOOKUP(H6391,'2. Matching'!$A$2:$A$39,'2. Matching'!$B$2:$B$39,"--")</f>
        <v>Acquisition</v>
      </c>
      <c r="K6391" s="65" t="str">
        <f t="shared" si="1"/>
        <v>In</v>
      </c>
    </row>
    <row r="6392">
      <c r="A6392" s="62" t="s">
        <v>6530</v>
      </c>
      <c r="B6392" s="63">
        <v>44364.0</v>
      </c>
      <c r="C6392" s="62" t="s">
        <v>119</v>
      </c>
      <c r="D6392" s="64">
        <v>95.0</v>
      </c>
      <c r="E6392" s="62" t="s">
        <v>114</v>
      </c>
      <c r="F6392" s="62" t="s">
        <v>110</v>
      </c>
      <c r="G6392" s="64" t="s">
        <v>64</v>
      </c>
      <c r="H6392" s="3" t="s">
        <v>297</v>
      </c>
      <c r="I6392" s="65">
        <f>IFERROR(VLOOKUP(A6392,'3. Call duration'!$A:$C,3,0),"--")</f>
        <v>32.41498823</v>
      </c>
      <c r="J6392" s="65" t="str">
        <f t="array" ref="J6392">XLOOKUP(H6392,'2. Matching'!$A$2:$A$39,'2. Matching'!$B$2:$B$39,"--")</f>
        <v>Farming</v>
      </c>
      <c r="K6392" s="65" t="str">
        <f t="shared" si="1"/>
        <v>In</v>
      </c>
    </row>
    <row r="6393">
      <c r="A6393" s="62" t="s">
        <v>6531</v>
      </c>
      <c r="B6393" s="63">
        <v>44337.0</v>
      </c>
      <c r="C6393" s="62" t="s">
        <v>112</v>
      </c>
      <c r="D6393" s="64">
        <v>0.0</v>
      </c>
      <c r="E6393" s="62" t="s">
        <v>109</v>
      </c>
      <c r="F6393" s="62" t="s">
        <v>115</v>
      </c>
      <c r="G6393" s="64" t="s">
        <v>59</v>
      </c>
      <c r="H6393" s="3" t="s">
        <v>68</v>
      </c>
      <c r="I6393" s="65" t="str">
        <f>IFERROR(VLOOKUP(A6393,'3. Call duration'!$A:$C,3,0),"--")</f>
        <v>--</v>
      </c>
      <c r="J6393" s="65" t="str">
        <f t="array" ref="J6393">XLOOKUP(H6393,'2. Matching'!$A$2:$A$39,'2. Matching'!$B$2:$B$39,"--")</f>
        <v>Acquisition</v>
      </c>
      <c r="K6393" s="65" t="str">
        <f t="shared" si="1"/>
        <v>In</v>
      </c>
    </row>
    <row r="6394">
      <c r="A6394" s="62" t="s">
        <v>6532</v>
      </c>
      <c r="B6394" s="63">
        <v>44376.0</v>
      </c>
      <c r="C6394" s="62" t="s">
        <v>119</v>
      </c>
      <c r="D6394" s="64">
        <v>95.0</v>
      </c>
      <c r="E6394" s="62" t="s">
        <v>114</v>
      </c>
      <c r="F6394" s="62" t="s">
        <v>115</v>
      </c>
      <c r="G6394" s="64" t="s">
        <v>64</v>
      </c>
      <c r="H6394" s="3" t="s">
        <v>175</v>
      </c>
      <c r="I6394" s="65">
        <f>IFERROR(VLOOKUP(A6394,'3. Call duration'!$A:$C,3,0),"--")</f>
        <v>22.09677582</v>
      </c>
      <c r="J6394" s="65" t="str">
        <f t="array" ref="J6394">XLOOKUP(H6394,'2. Matching'!$A$2:$A$39,'2. Matching'!$B$2:$B$39,"--")</f>
        <v>SEO</v>
      </c>
      <c r="K6394" s="65" t="str">
        <f t="shared" si="1"/>
        <v>In</v>
      </c>
    </row>
    <row r="6395">
      <c r="A6395" s="62" t="s">
        <v>6533</v>
      </c>
      <c r="B6395" s="63">
        <v>44371.0</v>
      </c>
      <c r="C6395" s="62" t="s">
        <v>119</v>
      </c>
      <c r="D6395" s="64">
        <v>95.0</v>
      </c>
      <c r="E6395" s="62" t="s">
        <v>114</v>
      </c>
      <c r="F6395" s="62" t="s">
        <v>110</v>
      </c>
      <c r="G6395" s="64" t="s">
        <v>59</v>
      </c>
      <c r="H6395" s="3" t="s">
        <v>68</v>
      </c>
      <c r="I6395" s="65">
        <f>IFERROR(VLOOKUP(A6395,'3. Call duration'!$A:$C,3,0),"--")</f>
        <v>22.78645051</v>
      </c>
      <c r="J6395" s="65" t="str">
        <f t="array" ref="J6395">XLOOKUP(H6395,'2. Matching'!$A$2:$A$39,'2. Matching'!$B$2:$B$39,"--")</f>
        <v>Acquisition</v>
      </c>
      <c r="K6395" s="65" t="str">
        <f t="shared" si="1"/>
        <v>In</v>
      </c>
    </row>
    <row r="6396">
      <c r="A6396" s="62" t="s">
        <v>6534</v>
      </c>
      <c r="B6396" s="63">
        <v>44344.0</v>
      </c>
      <c r="C6396" s="62" t="s">
        <v>112</v>
      </c>
      <c r="D6396" s="64">
        <v>0.0</v>
      </c>
      <c r="E6396" s="62" t="s">
        <v>109</v>
      </c>
      <c r="F6396" s="62" t="s">
        <v>110</v>
      </c>
      <c r="G6396" s="64" t="s">
        <v>63</v>
      </c>
      <c r="H6396" s="3" t="s">
        <v>183</v>
      </c>
      <c r="I6396" s="65" t="str">
        <f>IFERROR(VLOOKUP(A6396,'3. Call duration'!$A:$C,3,0),"--")</f>
        <v>--</v>
      </c>
      <c r="J6396" s="65" t="str">
        <f t="array" ref="J6396">XLOOKUP(H6396,'2. Matching'!$A$2:$A$39,'2. Matching'!$B$2:$B$39,"--")</f>
        <v>SEO</v>
      </c>
      <c r="K6396" s="65" t="str">
        <f t="shared" si="1"/>
        <v>In</v>
      </c>
    </row>
    <row r="6397">
      <c r="A6397" s="62" t="s">
        <v>6535</v>
      </c>
      <c r="B6397" s="63">
        <v>44335.0</v>
      </c>
      <c r="C6397" s="62" t="s">
        <v>112</v>
      </c>
      <c r="D6397" s="64">
        <v>0.0</v>
      </c>
      <c r="E6397" s="62" t="s">
        <v>109</v>
      </c>
      <c r="F6397" s="62" t="s">
        <v>115</v>
      </c>
      <c r="G6397" s="64" t="s">
        <v>62</v>
      </c>
      <c r="H6397" s="3" t="s">
        <v>286</v>
      </c>
      <c r="I6397" s="65" t="str">
        <f>IFERROR(VLOOKUP(A6397,'3. Call duration'!$A:$C,3,0),"--")</f>
        <v>--</v>
      </c>
      <c r="J6397" s="65" t="str">
        <f t="array" ref="J6397">XLOOKUP(H6397,'2. Matching'!$A$2:$A$39,'2. Matching'!$B$2:$B$39,"--")</f>
        <v>Farming</v>
      </c>
      <c r="K6397" s="65" t="str">
        <f t="shared" si="1"/>
        <v>In</v>
      </c>
    </row>
    <row r="6398">
      <c r="A6398" s="62" t="s">
        <v>6536</v>
      </c>
      <c r="B6398" s="63">
        <v>44330.0</v>
      </c>
      <c r="C6398" s="62" t="s">
        <v>112</v>
      </c>
      <c r="D6398" s="64">
        <v>0.0</v>
      </c>
      <c r="E6398" s="62" t="s">
        <v>109</v>
      </c>
      <c r="F6398" s="62" t="s">
        <v>115</v>
      </c>
      <c r="G6398" s="64" t="s">
        <v>64</v>
      </c>
      <c r="H6398" s="3" t="s">
        <v>141</v>
      </c>
      <c r="I6398" s="65" t="str">
        <f>IFERROR(VLOOKUP(A6398,'3. Call duration'!$A:$C,3,0),"--")</f>
        <v>--</v>
      </c>
      <c r="J6398" s="65" t="str">
        <f t="array" ref="J6398">XLOOKUP(H6398,'2. Matching'!$A$2:$A$39,'2. Matching'!$B$2:$B$39,"--")</f>
        <v>Acquisition</v>
      </c>
      <c r="K6398" s="65" t="str">
        <f t="shared" si="1"/>
        <v>In</v>
      </c>
    </row>
    <row r="6399">
      <c r="A6399" s="62" t="s">
        <v>6537</v>
      </c>
      <c r="B6399" s="63">
        <v>44357.0</v>
      </c>
      <c r="C6399" s="62" t="s">
        <v>119</v>
      </c>
      <c r="D6399" s="64">
        <v>95.0</v>
      </c>
      <c r="E6399" s="62" t="s">
        <v>114</v>
      </c>
      <c r="F6399" s="62" t="s">
        <v>110</v>
      </c>
      <c r="G6399" s="64" t="s">
        <v>60</v>
      </c>
      <c r="H6399" s="3" t="s">
        <v>67</v>
      </c>
      <c r="I6399" s="65">
        <f>IFERROR(VLOOKUP(A6399,'3. Call duration'!$A:$C,3,0),"--")</f>
        <v>27.43490139</v>
      </c>
      <c r="J6399" s="65" t="str">
        <f t="array" ref="J6399">XLOOKUP(H6399,'2. Matching'!$A$2:$A$39,'2. Matching'!$B$2:$B$39,"--")</f>
        <v>Acquisition</v>
      </c>
      <c r="K6399" s="65" t="str">
        <f t="shared" si="1"/>
        <v>In</v>
      </c>
    </row>
    <row r="6400">
      <c r="A6400" s="62" t="s">
        <v>6538</v>
      </c>
      <c r="B6400" s="63">
        <v>44327.0</v>
      </c>
      <c r="C6400" s="62" t="s">
        <v>112</v>
      </c>
      <c r="D6400" s="64">
        <v>0.0</v>
      </c>
      <c r="E6400" s="62" t="s">
        <v>109</v>
      </c>
      <c r="F6400" s="62" t="s">
        <v>115</v>
      </c>
      <c r="G6400" s="64" t="s">
        <v>64</v>
      </c>
      <c r="H6400" s="3" t="s">
        <v>145</v>
      </c>
      <c r="I6400" s="65" t="str">
        <f>IFERROR(VLOOKUP(A6400,'3. Call duration'!$A:$C,3,0),"--")</f>
        <v>--</v>
      </c>
      <c r="J6400" s="65" t="str">
        <f t="array" ref="J6400">XLOOKUP(H6400,'2. Matching'!$A$2:$A$39,'2. Matching'!$B$2:$B$39,"--")</f>
        <v>SEO</v>
      </c>
      <c r="K6400" s="65" t="str">
        <f t="shared" si="1"/>
        <v>In</v>
      </c>
    </row>
    <row r="6401">
      <c r="A6401" s="62" t="s">
        <v>6539</v>
      </c>
      <c r="B6401" s="63">
        <v>44362.0</v>
      </c>
      <c r="C6401" s="62" t="s">
        <v>119</v>
      </c>
      <c r="D6401" s="64">
        <v>95.0</v>
      </c>
      <c r="E6401" s="62" t="s">
        <v>114</v>
      </c>
      <c r="F6401" s="62" t="s">
        <v>115</v>
      </c>
      <c r="G6401" s="64" t="s">
        <v>64</v>
      </c>
      <c r="H6401" s="3" t="s">
        <v>139</v>
      </c>
      <c r="I6401" s="65">
        <f>IFERROR(VLOOKUP(A6401,'3. Call duration'!$A:$C,3,0),"--")</f>
        <v>28.95860475</v>
      </c>
      <c r="J6401" s="65" t="str">
        <f t="array" ref="J6401">XLOOKUP(H6401,'2. Matching'!$A$2:$A$39,'2. Matching'!$B$2:$B$39,"--")</f>
        <v>Acquisition</v>
      </c>
      <c r="K6401" s="65" t="str">
        <f t="shared" si="1"/>
        <v>In</v>
      </c>
    </row>
    <row r="6402">
      <c r="A6402" s="62" t="s">
        <v>6540</v>
      </c>
      <c r="B6402" s="63">
        <v>44322.0</v>
      </c>
      <c r="C6402" s="62" t="s">
        <v>112</v>
      </c>
      <c r="D6402" s="64">
        <v>0.0</v>
      </c>
      <c r="E6402" s="62" t="s">
        <v>109</v>
      </c>
      <c r="F6402" s="62" t="s">
        <v>115</v>
      </c>
      <c r="G6402" s="64" t="s">
        <v>64</v>
      </c>
      <c r="H6402" s="3" t="s">
        <v>145</v>
      </c>
      <c r="I6402" s="65" t="str">
        <f>IFERROR(VLOOKUP(A6402,'3. Call duration'!$A:$C,3,0),"--")</f>
        <v>--</v>
      </c>
      <c r="J6402" s="65" t="str">
        <f t="array" ref="J6402">XLOOKUP(H6402,'2. Matching'!$A$2:$A$39,'2. Matching'!$B$2:$B$39,"--")</f>
        <v>SEO</v>
      </c>
      <c r="K6402" s="65" t="str">
        <f t="shared" si="1"/>
        <v>In</v>
      </c>
    </row>
    <row r="6403">
      <c r="A6403" s="62" t="s">
        <v>6541</v>
      </c>
      <c r="B6403" s="63">
        <v>44356.0</v>
      </c>
      <c r="C6403" s="62" t="s">
        <v>119</v>
      </c>
      <c r="D6403" s="64">
        <v>95.0</v>
      </c>
      <c r="E6403" s="62" t="s">
        <v>114</v>
      </c>
      <c r="F6403" s="62" t="s">
        <v>115</v>
      </c>
      <c r="G6403" s="64" t="s">
        <v>59</v>
      </c>
      <c r="H6403" s="3" t="s">
        <v>68</v>
      </c>
      <c r="I6403" s="65">
        <f>IFERROR(VLOOKUP(A6403,'3. Call duration'!$A:$C,3,0),"--")</f>
        <v>31.26705535</v>
      </c>
      <c r="J6403" s="65" t="str">
        <f t="array" ref="J6403">XLOOKUP(H6403,'2. Matching'!$A$2:$A$39,'2. Matching'!$B$2:$B$39,"--")</f>
        <v>Acquisition</v>
      </c>
      <c r="K6403" s="65" t="str">
        <f t="shared" si="1"/>
        <v>In</v>
      </c>
    </row>
    <row r="6404">
      <c r="A6404" s="62" t="s">
        <v>6542</v>
      </c>
      <c r="B6404" s="63">
        <v>44366.0</v>
      </c>
      <c r="C6404" s="62" t="s">
        <v>119</v>
      </c>
      <c r="D6404" s="64">
        <v>95.0</v>
      </c>
      <c r="E6404" s="62" t="s">
        <v>114</v>
      </c>
      <c r="F6404" s="62" t="s">
        <v>115</v>
      </c>
      <c r="G6404" s="64" t="s">
        <v>64</v>
      </c>
      <c r="H6404" s="3" t="s">
        <v>221</v>
      </c>
      <c r="I6404" s="65">
        <f>IFERROR(VLOOKUP(A6404,'3. Call duration'!$A:$C,3,0),"--")</f>
        <v>31.00969873</v>
      </c>
      <c r="J6404" s="65" t="str">
        <f t="array" ref="J6404">XLOOKUP(H6404,'2. Matching'!$A$2:$A$39,'2. Matching'!$B$2:$B$39,"--")</f>
        <v>Farming</v>
      </c>
      <c r="K6404" s="65" t="str">
        <f t="shared" si="1"/>
        <v>In</v>
      </c>
    </row>
    <row r="6405">
      <c r="A6405" s="62" t="s">
        <v>6543</v>
      </c>
      <c r="B6405" s="63">
        <v>44375.0</v>
      </c>
      <c r="C6405" s="62" t="s">
        <v>119</v>
      </c>
      <c r="D6405" s="64">
        <v>95.0</v>
      </c>
      <c r="E6405" s="62" t="s">
        <v>114</v>
      </c>
      <c r="F6405" s="62" t="s">
        <v>110</v>
      </c>
      <c r="G6405" s="64" t="s">
        <v>59</v>
      </c>
      <c r="H6405" s="3" t="s">
        <v>68</v>
      </c>
      <c r="I6405" s="65">
        <f>IFERROR(VLOOKUP(A6405,'3. Call duration'!$A:$C,3,0),"--")</f>
        <v>32.11458286</v>
      </c>
      <c r="J6405" s="65" t="str">
        <f t="array" ref="J6405">XLOOKUP(H6405,'2. Matching'!$A$2:$A$39,'2. Matching'!$B$2:$B$39,"--")</f>
        <v>Acquisition</v>
      </c>
      <c r="K6405" s="65" t="str">
        <f t="shared" si="1"/>
        <v>In</v>
      </c>
    </row>
    <row r="6406">
      <c r="A6406" s="62" t="s">
        <v>6544</v>
      </c>
      <c r="B6406" s="63">
        <v>44365.0</v>
      </c>
      <c r="C6406" s="62" t="s">
        <v>119</v>
      </c>
      <c r="D6406" s="64">
        <v>95.0</v>
      </c>
      <c r="E6406" s="62" t="s">
        <v>114</v>
      </c>
      <c r="F6406" s="62" t="s">
        <v>110</v>
      </c>
      <c r="G6406" s="64" t="s">
        <v>60</v>
      </c>
      <c r="H6406" s="3" t="s">
        <v>67</v>
      </c>
      <c r="I6406" s="65" t="str">
        <f>IFERROR(VLOOKUP(A6406,'3. Call duration'!$A:$C,3,0),"--")</f>
        <v>--</v>
      </c>
      <c r="J6406" s="65" t="str">
        <f t="array" ref="J6406">XLOOKUP(H6406,'2. Matching'!$A$2:$A$39,'2. Matching'!$B$2:$B$39,"--")</f>
        <v>Acquisition</v>
      </c>
      <c r="K6406" s="65" t="str">
        <f t="shared" si="1"/>
        <v>In</v>
      </c>
    </row>
    <row r="6407">
      <c r="A6407" s="62" t="s">
        <v>6545</v>
      </c>
      <c r="B6407" s="63">
        <v>44347.0</v>
      </c>
      <c r="C6407" s="62" t="s">
        <v>112</v>
      </c>
      <c r="D6407" s="64">
        <v>0.0</v>
      </c>
      <c r="E6407" s="62" t="s">
        <v>109</v>
      </c>
      <c r="F6407" s="62" t="s">
        <v>110</v>
      </c>
      <c r="G6407" s="64" t="s">
        <v>59</v>
      </c>
      <c r="H6407" s="3" t="s">
        <v>68</v>
      </c>
      <c r="I6407" s="65" t="str">
        <f>IFERROR(VLOOKUP(A6407,'3. Call duration'!$A:$C,3,0),"--")</f>
        <v>--</v>
      </c>
      <c r="J6407" s="65" t="str">
        <f t="array" ref="J6407">XLOOKUP(H6407,'2. Matching'!$A$2:$A$39,'2. Matching'!$B$2:$B$39,"--")</f>
        <v>Acquisition</v>
      </c>
      <c r="K6407" s="65" t="str">
        <f t="shared" si="1"/>
        <v>In</v>
      </c>
    </row>
    <row r="6408">
      <c r="A6408" s="62" t="s">
        <v>6546</v>
      </c>
      <c r="B6408" s="63">
        <v>44358.0</v>
      </c>
      <c r="C6408" s="62" t="s">
        <v>119</v>
      </c>
      <c r="D6408" s="64">
        <v>95.0</v>
      </c>
      <c r="E6408" s="62" t="s">
        <v>114</v>
      </c>
      <c r="F6408" s="62" t="s">
        <v>110</v>
      </c>
      <c r="G6408" s="64" t="s">
        <v>60</v>
      </c>
      <c r="H6408" s="3" t="s">
        <v>67</v>
      </c>
      <c r="I6408" s="65">
        <f>IFERROR(VLOOKUP(A6408,'3. Call duration'!$A:$C,3,0),"--")</f>
        <v>33.05313675</v>
      </c>
      <c r="J6408" s="65" t="str">
        <f t="array" ref="J6408">XLOOKUP(H6408,'2. Matching'!$A$2:$A$39,'2. Matching'!$B$2:$B$39,"--")</f>
        <v>Acquisition</v>
      </c>
      <c r="K6408" s="65" t="str">
        <f t="shared" si="1"/>
        <v>In</v>
      </c>
    </row>
    <row r="6409">
      <c r="A6409" s="62" t="s">
        <v>6547</v>
      </c>
      <c r="B6409" s="63">
        <v>44377.0</v>
      </c>
      <c r="C6409" s="62" t="s">
        <v>119</v>
      </c>
      <c r="D6409" s="64">
        <v>95.0</v>
      </c>
      <c r="E6409" s="62" t="s">
        <v>114</v>
      </c>
      <c r="F6409" s="62" t="s">
        <v>110</v>
      </c>
      <c r="G6409" s="64" t="s">
        <v>64</v>
      </c>
      <c r="H6409" s="3" t="s">
        <v>297</v>
      </c>
      <c r="I6409" s="65">
        <f>IFERROR(VLOOKUP(A6409,'3. Call duration'!$A:$C,3,0),"--")</f>
        <v>13.10931644</v>
      </c>
      <c r="J6409" s="65" t="str">
        <f t="array" ref="J6409">XLOOKUP(H6409,'2. Matching'!$A$2:$A$39,'2. Matching'!$B$2:$B$39,"--")</f>
        <v>Farming</v>
      </c>
      <c r="K6409" s="65" t="str">
        <f t="shared" si="1"/>
        <v>In</v>
      </c>
    </row>
    <row r="6410">
      <c r="A6410" s="62" t="s">
        <v>6548</v>
      </c>
      <c r="B6410" s="63">
        <v>44351.0</v>
      </c>
      <c r="C6410" s="62" t="s">
        <v>119</v>
      </c>
      <c r="D6410" s="64">
        <v>95.0</v>
      </c>
      <c r="E6410" s="62" t="s">
        <v>114</v>
      </c>
      <c r="F6410" s="62" t="s">
        <v>115</v>
      </c>
      <c r="G6410" s="64" t="s">
        <v>64</v>
      </c>
      <c r="H6410" s="3" t="s">
        <v>185</v>
      </c>
      <c r="I6410" s="65">
        <f>IFERROR(VLOOKUP(A6410,'3. Call duration'!$A:$C,3,0),"--")</f>
        <v>32.17887012</v>
      </c>
      <c r="J6410" s="65" t="str">
        <f t="array" ref="J6410">XLOOKUP(H6410,'2. Matching'!$A$2:$A$39,'2. Matching'!$B$2:$B$39,"--")</f>
        <v>SEO</v>
      </c>
      <c r="K6410" s="65" t="str">
        <f t="shared" si="1"/>
        <v>In</v>
      </c>
    </row>
    <row r="6411">
      <c r="A6411" s="62" t="s">
        <v>6549</v>
      </c>
      <c r="B6411" s="63">
        <v>44370.0</v>
      </c>
      <c r="C6411" s="62" t="s">
        <v>119</v>
      </c>
      <c r="D6411" s="64">
        <v>95.0</v>
      </c>
      <c r="E6411" s="62" t="s">
        <v>114</v>
      </c>
      <c r="F6411" s="62" t="s">
        <v>115</v>
      </c>
      <c r="G6411" s="64" t="s">
        <v>64</v>
      </c>
      <c r="H6411" s="3" t="s">
        <v>155</v>
      </c>
      <c r="I6411" s="65">
        <f>IFERROR(VLOOKUP(A6411,'3. Call duration'!$A:$C,3,0),"--")</f>
        <v>28.88642056</v>
      </c>
      <c r="J6411" s="65" t="str">
        <f t="array" ref="J6411">XLOOKUP(H6411,'2. Matching'!$A$2:$A$39,'2. Matching'!$B$2:$B$39,"--")</f>
        <v>SEO</v>
      </c>
      <c r="K6411" s="65" t="str">
        <f t="shared" si="1"/>
        <v>In</v>
      </c>
    </row>
    <row r="6412">
      <c r="A6412" s="62" t="s">
        <v>6550</v>
      </c>
      <c r="B6412" s="63">
        <v>44350.0</v>
      </c>
      <c r="C6412" s="62" t="s">
        <v>119</v>
      </c>
      <c r="D6412" s="64">
        <v>95.0</v>
      </c>
      <c r="E6412" s="62" t="s">
        <v>114</v>
      </c>
      <c r="F6412" s="62" t="s">
        <v>110</v>
      </c>
      <c r="G6412" s="64" t="s">
        <v>60</v>
      </c>
      <c r="H6412" s="3" t="s">
        <v>67</v>
      </c>
      <c r="I6412" s="65">
        <f>IFERROR(VLOOKUP(A6412,'3. Call duration'!$A:$C,3,0),"--")</f>
        <v>26.10995862</v>
      </c>
      <c r="J6412" s="65" t="str">
        <f t="array" ref="J6412">XLOOKUP(H6412,'2. Matching'!$A$2:$A$39,'2. Matching'!$B$2:$B$39,"--")</f>
        <v>Acquisition</v>
      </c>
      <c r="K6412" s="65" t="str">
        <f t="shared" si="1"/>
        <v>In</v>
      </c>
    </row>
    <row r="6413">
      <c r="A6413" s="62" t="s">
        <v>6551</v>
      </c>
      <c r="B6413" s="63">
        <v>44347.0</v>
      </c>
      <c r="C6413" s="62" t="s">
        <v>112</v>
      </c>
      <c r="D6413" s="64">
        <v>0.0</v>
      </c>
      <c r="E6413" s="62" t="s">
        <v>109</v>
      </c>
      <c r="F6413" s="62" t="s">
        <v>115</v>
      </c>
      <c r="G6413" s="64" t="s">
        <v>64</v>
      </c>
      <c r="H6413" s="3" t="s">
        <v>169</v>
      </c>
      <c r="I6413" s="65" t="str">
        <f>IFERROR(VLOOKUP(A6413,'3. Call duration'!$A:$C,3,0),"--")</f>
        <v>--</v>
      </c>
      <c r="J6413" s="65" t="str">
        <f t="array" ref="J6413">XLOOKUP(H6413,'2. Matching'!$A$2:$A$39,'2. Matching'!$B$2:$B$39,"--")</f>
        <v>SEO</v>
      </c>
      <c r="K6413" s="65" t="str">
        <f t="shared" si="1"/>
        <v>In</v>
      </c>
    </row>
    <row r="6414">
      <c r="A6414" s="62" t="s">
        <v>6552</v>
      </c>
      <c r="B6414" s="63">
        <v>44368.0</v>
      </c>
      <c r="C6414" s="62" t="s">
        <v>119</v>
      </c>
      <c r="D6414" s="64">
        <v>95.0</v>
      </c>
      <c r="E6414" s="62" t="s">
        <v>114</v>
      </c>
      <c r="F6414" s="62" t="s">
        <v>110</v>
      </c>
      <c r="G6414" s="64" t="s">
        <v>60</v>
      </c>
      <c r="H6414" s="3" t="s">
        <v>67</v>
      </c>
      <c r="I6414" s="65">
        <f>IFERROR(VLOOKUP(A6414,'3. Call duration'!$A:$C,3,0),"--")</f>
        <v>28.63520498</v>
      </c>
      <c r="J6414" s="65" t="str">
        <f t="array" ref="J6414">XLOOKUP(H6414,'2. Matching'!$A$2:$A$39,'2. Matching'!$B$2:$B$39,"--")</f>
        <v>Acquisition</v>
      </c>
      <c r="K6414" s="65" t="str">
        <f t="shared" si="1"/>
        <v>In</v>
      </c>
    </row>
    <row r="6415">
      <c r="A6415" s="62" t="s">
        <v>6553</v>
      </c>
      <c r="B6415" s="63">
        <v>44357.0</v>
      </c>
      <c r="C6415" s="62" t="s">
        <v>119</v>
      </c>
      <c r="D6415" s="64">
        <v>95.0</v>
      </c>
      <c r="E6415" s="62" t="s">
        <v>114</v>
      </c>
      <c r="F6415" s="62" t="s">
        <v>110</v>
      </c>
      <c r="G6415" s="64" t="s">
        <v>64</v>
      </c>
      <c r="H6415" s="3" t="s">
        <v>297</v>
      </c>
      <c r="I6415" s="65">
        <f>IFERROR(VLOOKUP(A6415,'3. Call duration'!$A:$C,3,0),"--")</f>
        <v>22.67102754</v>
      </c>
      <c r="J6415" s="65" t="str">
        <f t="array" ref="J6415">XLOOKUP(H6415,'2. Matching'!$A$2:$A$39,'2. Matching'!$B$2:$B$39,"--")</f>
        <v>Farming</v>
      </c>
      <c r="K6415" s="65" t="str">
        <f t="shared" si="1"/>
        <v>In</v>
      </c>
    </row>
    <row r="6416">
      <c r="A6416" s="62" t="s">
        <v>6554</v>
      </c>
      <c r="B6416" s="63">
        <v>44336.0</v>
      </c>
      <c r="C6416" s="62" t="s">
        <v>112</v>
      </c>
      <c r="D6416" s="64">
        <v>0.0</v>
      </c>
      <c r="E6416" s="62" t="s">
        <v>109</v>
      </c>
      <c r="F6416" s="62" t="s">
        <v>110</v>
      </c>
      <c r="G6416" s="64" t="s">
        <v>59</v>
      </c>
      <c r="H6416" s="3" t="s">
        <v>68</v>
      </c>
      <c r="I6416" s="65" t="str">
        <f>IFERROR(VLOOKUP(A6416,'3. Call duration'!$A:$C,3,0),"--")</f>
        <v>--</v>
      </c>
      <c r="J6416" s="65" t="str">
        <f t="array" ref="J6416">XLOOKUP(H6416,'2. Matching'!$A$2:$A$39,'2. Matching'!$B$2:$B$39,"--")</f>
        <v>Acquisition</v>
      </c>
      <c r="K6416" s="65" t="str">
        <f t="shared" si="1"/>
        <v>In</v>
      </c>
    </row>
    <row r="6417">
      <c r="A6417" s="62" t="s">
        <v>6555</v>
      </c>
      <c r="B6417" s="63">
        <v>44349.0</v>
      </c>
      <c r="C6417" s="62" t="s">
        <v>119</v>
      </c>
      <c r="D6417" s="64">
        <v>95.0</v>
      </c>
      <c r="E6417" s="62" t="s">
        <v>114</v>
      </c>
      <c r="F6417" s="62" t="s">
        <v>110</v>
      </c>
      <c r="G6417" s="64" t="s">
        <v>64</v>
      </c>
      <c r="H6417" s="3" t="s">
        <v>145</v>
      </c>
      <c r="I6417" s="65">
        <f>IFERROR(VLOOKUP(A6417,'3. Call duration'!$A:$C,3,0),"--")</f>
        <v>27.13859787</v>
      </c>
      <c r="J6417" s="65" t="str">
        <f t="array" ref="J6417">XLOOKUP(H6417,'2. Matching'!$A$2:$A$39,'2. Matching'!$B$2:$B$39,"--")</f>
        <v>SEO</v>
      </c>
      <c r="K6417" s="65" t="str">
        <f t="shared" si="1"/>
        <v>In</v>
      </c>
    </row>
    <row r="6418">
      <c r="A6418" s="62" t="s">
        <v>6556</v>
      </c>
      <c r="B6418" s="63">
        <v>44343.0</v>
      </c>
      <c r="C6418" s="62" t="s">
        <v>112</v>
      </c>
      <c r="D6418" s="64">
        <v>0.0</v>
      </c>
      <c r="E6418" s="62" t="s">
        <v>109</v>
      </c>
      <c r="F6418" s="62" t="s">
        <v>110</v>
      </c>
      <c r="G6418" s="64" t="s">
        <v>64</v>
      </c>
      <c r="H6418" s="3" t="s">
        <v>52</v>
      </c>
      <c r="I6418" s="65" t="str">
        <f>IFERROR(VLOOKUP(A6418,'3. Call duration'!$A:$C,3,0),"--")</f>
        <v>--</v>
      </c>
      <c r="J6418" s="65" t="str">
        <f t="array" ref="J6418">XLOOKUP(H6418,'2. Matching'!$A$2:$A$39,'2. Matching'!$B$2:$B$39,"--")</f>
        <v>Partnerships</v>
      </c>
      <c r="K6418" s="65" t="str">
        <f t="shared" si="1"/>
        <v>In</v>
      </c>
    </row>
    <row r="6419">
      <c r="A6419" s="62" t="s">
        <v>6557</v>
      </c>
      <c r="B6419" s="63">
        <v>44376.0</v>
      </c>
      <c r="C6419" s="62" t="s">
        <v>119</v>
      </c>
      <c r="D6419" s="64">
        <v>95.0</v>
      </c>
      <c r="E6419" s="62" t="s">
        <v>114</v>
      </c>
      <c r="F6419" s="62" t="s">
        <v>115</v>
      </c>
      <c r="G6419" s="64" t="s">
        <v>64</v>
      </c>
      <c r="H6419" s="3" t="s">
        <v>139</v>
      </c>
      <c r="I6419" s="65">
        <f>IFERROR(VLOOKUP(A6419,'3. Call duration'!$A:$C,3,0),"--")</f>
        <v>31.82513811</v>
      </c>
      <c r="J6419" s="65" t="str">
        <f t="array" ref="J6419">XLOOKUP(H6419,'2. Matching'!$A$2:$A$39,'2. Matching'!$B$2:$B$39,"--")</f>
        <v>Acquisition</v>
      </c>
      <c r="K6419" s="65" t="str">
        <f t="shared" si="1"/>
        <v>In</v>
      </c>
    </row>
    <row r="6420">
      <c r="A6420" s="62" t="s">
        <v>6558</v>
      </c>
      <c r="B6420" s="63">
        <v>44334.0</v>
      </c>
      <c r="C6420" s="62" t="s">
        <v>112</v>
      </c>
      <c r="D6420" s="64">
        <v>0.0</v>
      </c>
      <c r="E6420" s="62" t="s">
        <v>109</v>
      </c>
      <c r="F6420" s="62" t="s">
        <v>110</v>
      </c>
      <c r="G6420" s="64" t="s">
        <v>60</v>
      </c>
      <c r="H6420" s="3" t="s">
        <v>67</v>
      </c>
      <c r="I6420" s="65" t="str">
        <f>IFERROR(VLOOKUP(A6420,'3. Call duration'!$A:$C,3,0),"--")</f>
        <v>--</v>
      </c>
      <c r="J6420" s="65" t="str">
        <f t="array" ref="J6420">XLOOKUP(H6420,'2. Matching'!$A$2:$A$39,'2. Matching'!$B$2:$B$39,"--")</f>
        <v>Acquisition</v>
      </c>
      <c r="K6420" s="65" t="str">
        <f t="shared" si="1"/>
        <v>In</v>
      </c>
    </row>
    <row r="6421">
      <c r="A6421" s="62" t="s">
        <v>6559</v>
      </c>
      <c r="B6421" s="63">
        <v>44334.0</v>
      </c>
      <c r="C6421" s="62" t="s">
        <v>112</v>
      </c>
      <c r="D6421" s="64">
        <v>0.0</v>
      </c>
      <c r="E6421" s="62" t="s">
        <v>109</v>
      </c>
      <c r="F6421" s="62" t="s">
        <v>110</v>
      </c>
      <c r="G6421" s="64" t="s">
        <v>60</v>
      </c>
      <c r="H6421" s="3" t="s">
        <v>67</v>
      </c>
      <c r="I6421" s="65" t="str">
        <f>IFERROR(VLOOKUP(A6421,'3. Call duration'!$A:$C,3,0),"--")</f>
        <v>--</v>
      </c>
      <c r="J6421" s="65" t="str">
        <f t="array" ref="J6421">XLOOKUP(H6421,'2. Matching'!$A$2:$A$39,'2. Matching'!$B$2:$B$39,"--")</f>
        <v>Acquisition</v>
      </c>
      <c r="K6421" s="65" t="str">
        <f t="shared" si="1"/>
        <v>In</v>
      </c>
    </row>
    <row r="6422">
      <c r="A6422" s="62" t="s">
        <v>6560</v>
      </c>
      <c r="B6422" s="63">
        <v>44357.0</v>
      </c>
      <c r="C6422" s="62" t="s">
        <v>119</v>
      </c>
      <c r="D6422" s="64">
        <v>95.0</v>
      </c>
      <c r="E6422" s="62" t="s">
        <v>114</v>
      </c>
      <c r="F6422" s="62" t="s">
        <v>110</v>
      </c>
      <c r="G6422" s="64" t="s">
        <v>60</v>
      </c>
      <c r="H6422" s="3" t="s">
        <v>67</v>
      </c>
      <c r="I6422" s="65">
        <f>IFERROR(VLOOKUP(A6422,'3. Call duration'!$A:$C,3,0),"--")</f>
        <v>20.14194449</v>
      </c>
      <c r="J6422" s="65" t="str">
        <f t="array" ref="J6422">XLOOKUP(H6422,'2. Matching'!$A$2:$A$39,'2. Matching'!$B$2:$B$39,"--")</f>
        <v>Acquisition</v>
      </c>
      <c r="K6422" s="65" t="str">
        <f t="shared" si="1"/>
        <v>In</v>
      </c>
    </row>
    <row r="6423">
      <c r="A6423" s="62" t="s">
        <v>6561</v>
      </c>
      <c r="B6423" s="63">
        <v>44355.0</v>
      </c>
      <c r="C6423" s="62" t="s">
        <v>119</v>
      </c>
      <c r="D6423" s="64">
        <v>95.0</v>
      </c>
      <c r="E6423" s="62" t="s">
        <v>114</v>
      </c>
      <c r="F6423" s="62" t="s">
        <v>110</v>
      </c>
      <c r="G6423" s="64" t="s">
        <v>60</v>
      </c>
      <c r="H6423" s="3" t="s">
        <v>67</v>
      </c>
      <c r="I6423" s="65">
        <f>IFERROR(VLOOKUP(A6423,'3. Call duration'!$A:$C,3,0),"--")</f>
        <v>43.75588026</v>
      </c>
      <c r="J6423" s="65" t="str">
        <f t="array" ref="J6423">XLOOKUP(H6423,'2. Matching'!$A$2:$A$39,'2. Matching'!$B$2:$B$39,"--")</f>
        <v>Acquisition</v>
      </c>
      <c r="K6423" s="65" t="str">
        <f t="shared" si="1"/>
        <v>In</v>
      </c>
    </row>
    <row r="6424">
      <c r="A6424" s="62" t="s">
        <v>6562</v>
      </c>
      <c r="B6424" s="63">
        <v>44368.0</v>
      </c>
      <c r="C6424" s="62" t="s">
        <v>119</v>
      </c>
      <c r="D6424" s="64">
        <v>95.0</v>
      </c>
      <c r="E6424" s="62" t="s">
        <v>114</v>
      </c>
      <c r="F6424" s="62" t="s">
        <v>110</v>
      </c>
      <c r="G6424" s="64" t="s">
        <v>60</v>
      </c>
      <c r="H6424" s="3" t="s">
        <v>67</v>
      </c>
      <c r="I6424" s="65">
        <f>IFERROR(VLOOKUP(A6424,'3. Call duration'!$A:$C,3,0),"--")</f>
        <v>30.66643085</v>
      </c>
      <c r="J6424" s="65" t="str">
        <f t="array" ref="J6424">XLOOKUP(H6424,'2. Matching'!$A$2:$A$39,'2. Matching'!$B$2:$B$39,"--")</f>
        <v>Acquisition</v>
      </c>
      <c r="K6424" s="65" t="str">
        <f t="shared" si="1"/>
        <v>In</v>
      </c>
    </row>
    <row r="6425">
      <c r="A6425" s="62" t="s">
        <v>6563</v>
      </c>
      <c r="B6425" s="63">
        <v>44326.0</v>
      </c>
      <c r="C6425" s="62" t="s">
        <v>112</v>
      </c>
      <c r="D6425" s="64">
        <v>0.0</v>
      </c>
      <c r="E6425" s="62" t="s">
        <v>109</v>
      </c>
      <c r="F6425" s="62" t="s">
        <v>110</v>
      </c>
      <c r="G6425" s="64" t="s">
        <v>59</v>
      </c>
      <c r="H6425" s="3" t="s">
        <v>68</v>
      </c>
      <c r="I6425" s="65" t="str">
        <f>IFERROR(VLOOKUP(A6425,'3. Call duration'!$A:$C,3,0),"--")</f>
        <v>--</v>
      </c>
      <c r="J6425" s="65" t="str">
        <f t="array" ref="J6425">XLOOKUP(H6425,'2. Matching'!$A$2:$A$39,'2. Matching'!$B$2:$B$39,"--")</f>
        <v>Acquisition</v>
      </c>
      <c r="K6425" s="65" t="str">
        <f t="shared" si="1"/>
        <v>In</v>
      </c>
    </row>
    <row r="6426">
      <c r="A6426" s="62" t="s">
        <v>6564</v>
      </c>
      <c r="B6426" s="63">
        <v>44376.0</v>
      </c>
      <c r="C6426" s="62" t="s">
        <v>119</v>
      </c>
      <c r="D6426" s="64">
        <v>95.0</v>
      </c>
      <c r="E6426" s="62" t="s">
        <v>114</v>
      </c>
      <c r="F6426" s="62" t="s">
        <v>110</v>
      </c>
      <c r="G6426" s="64" t="s">
        <v>60</v>
      </c>
      <c r="H6426" s="3" t="s">
        <v>67</v>
      </c>
      <c r="I6426" s="65">
        <f>IFERROR(VLOOKUP(A6426,'3. Call duration'!$A:$C,3,0),"--")</f>
        <v>14.46573952</v>
      </c>
      <c r="J6426" s="65" t="str">
        <f t="array" ref="J6426">XLOOKUP(H6426,'2. Matching'!$A$2:$A$39,'2. Matching'!$B$2:$B$39,"--")</f>
        <v>Acquisition</v>
      </c>
      <c r="K6426" s="65" t="str">
        <f t="shared" si="1"/>
        <v>In</v>
      </c>
    </row>
    <row r="6427">
      <c r="A6427" s="62" t="s">
        <v>6565</v>
      </c>
      <c r="B6427" s="63">
        <v>44377.0</v>
      </c>
      <c r="C6427" s="62" t="s">
        <v>119</v>
      </c>
      <c r="D6427" s="64">
        <v>95.0</v>
      </c>
      <c r="E6427" s="62" t="s">
        <v>114</v>
      </c>
      <c r="F6427" s="62" t="s">
        <v>110</v>
      </c>
      <c r="G6427" s="64" t="s">
        <v>59</v>
      </c>
      <c r="H6427" s="3" t="s">
        <v>68</v>
      </c>
      <c r="I6427" s="65">
        <f>IFERROR(VLOOKUP(A6427,'3. Call duration'!$A:$C,3,0),"--")</f>
        <v>15.74605098</v>
      </c>
      <c r="J6427" s="65" t="str">
        <f t="array" ref="J6427">XLOOKUP(H6427,'2. Matching'!$A$2:$A$39,'2. Matching'!$B$2:$B$39,"--")</f>
        <v>Acquisition</v>
      </c>
      <c r="K6427" s="65" t="str">
        <f t="shared" si="1"/>
        <v>In</v>
      </c>
    </row>
    <row r="6428">
      <c r="A6428" s="62" t="s">
        <v>6566</v>
      </c>
      <c r="B6428" s="63">
        <v>44344.0</v>
      </c>
      <c r="C6428" s="62" t="s">
        <v>112</v>
      </c>
      <c r="D6428" s="64">
        <v>0.0</v>
      </c>
      <c r="E6428" s="62" t="s">
        <v>109</v>
      </c>
      <c r="F6428" s="62" t="s">
        <v>110</v>
      </c>
      <c r="G6428" s="64" t="s">
        <v>64</v>
      </c>
      <c r="H6428" s="3" t="s">
        <v>175</v>
      </c>
      <c r="I6428" s="65" t="str">
        <f>IFERROR(VLOOKUP(A6428,'3. Call duration'!$A:$C,3,0),"--")</f>
        <v>--</v>
      </c>
      <c r="J6428" s="65" t="str">
        <f t="array" ref="J6428">XLOOKUP(H6428,'2. Matching'!$A$2:$A$39,'2. Matching'!$B$2:$B$39,"--")</f>
        <v>SEO</v>
      </c>
      <c r="K6428" s="65" t="str">
        <f t="shared" si="1"/>
        <v>In</v>
      </c>
    </row>
    <row r="6429">
      <c r="A6429" s="62" t="s">
        <v>6567</v>
      </c>
      <c r="B6429" s="63">
        <v>44344.0</v>
      </c>
      <c r="C6429" s="62" t="s">
        <v>112</v>
      </c>
      <c r="D6429" s="64">
        <v>0.0</v>
      </c>
      <c r="E6429" s="62" t="s">
        <v>109</v>
      </c>
      <c r="F6429" s="62" t="s">
        <v>110</v>
      </c>
      <c r="G6429" s="64" t="s">
        <v>63</v>
      </c>
      <c r="H6429" s="3" t="s">
        <v>183</v>
      </c>
      <c r="I6429" s="65" t="str">
        <f>IFERROR(VLOOKUP(A6429,'3. Call duration'!$A:$C,3,0),"--")</f>
        <v>--</v>
      </c>
      <c r="J6429" s="65" t="str">
        <f t="array" ref="J6429">XLOOKUP(H6429,'2. Matching'!$A$2:$A$39,'2. Matching'!$B$2:$B$39,"--")</f>
        <v>SEO</v>
      </c>
      <c r="K6429" s="65" t="str">
        <f t="shared" si="1"/>
        <v>In</v>
      </c>
    </row>
    <row r="6430">
      <c r="A6430" s="62" t="s">
        <v>6568</v>
      </c>
      <c r="B6430" s="63">
        <v>44335.0</v>
      </c>
      <c r="C6430" s="62" t="s">
        <v>112</v>
      </c>
      <c r="D6430" s="64">
        <v>0.0</v>
      </c>
      <c r="E6430" s="62" t="s">
        <v>109</v>
      </c>
      <c r="F6430" s="62" t="s">
        <v>110</v>
      </c>
      <c r="G6430" s="64" t="s">
        <v>64</v>
      </c>
      <c r="H6430" s="3" t="s">
        <v>52</v>
      </c>
      <c r="I6430" s="65" t="str">
        <f>IFERROR(VLOOKUP(A6430,'3. Call duration'!$A:$C,3,0),"--")</f>
        <v>--</v>
      </c>
      <c r="J6430" s="65" t="str">
        <f t="array" ref="J6430">XLOOKUP(H6430,'2. Matching'!$A$2:$A$39,'2. Matching'!$B$2:$B$39,"--")</f>
        <v>Partnerships</v>
      </c>
      <c r="K6430" s="65" t="str">
        <f t="shared" si="1"/>
        <v>In</v>
      </c>
    </row>
    <row r="6431">
      <c r="A6431" s="62" t="s">
        <v>6569</v>
      </c>
      <c r="B6431" s="63">
        <v>44355.0</v>
      </c>
      <c r="C6431" s="62" t="s">
        <v>119</v>
      </c>
      <c r="D6431" s="64">
        <v>95.0</v>
      </c>
      <c r="E6431" s="62" t="s">
        <v>114</v>
      </c>
      <c r="F6431" s="62" t="s">
        <v>110</v>
      </c>
      <c r="G6431" s="64" t="s">
        <v>63</v>
      </c>
      <c r="H6431" s="3" t="s">
        <v>189</v>
      </c>
      <c r="I6431" s="65">
        <f>IFERROR(VLOOKUP(A6431,'3. Call duration'!$A:$C,3,0),"--")</f>
        <v>28.12067958</v>
      </c>
      <c r="J6431" s="65" t="str">
        <f t="array" ref="J6431">XLOOKUP(H6431,'2. Matching'!$A$2:$A$39,'2. Matching'!$B$2:$B$39,"--")</f>
        <v>SEO</v>
      </c>
      <c r="K6431" s="65" t="str">
        <f t="shared" si="1"/>
        <v>Out</v>
      </c>
    </row>
    <row r="6432">
      <c r="A6432" s="62" t="s">
        <v>6570</v>
      </c>
      <c r="B6432" s="63">
        <v>44344.0</v>
      </c>
      <c r="C6432" s="62" t="s">
        <v>112</v>
      </c>
      <c r="D6432" s="64">
        <v>0.0</v>
      </c>
      <c r="E6432" s="62" t="s">
        <v>109</v>
      </c>
      <c r="F6432" s="62" t="s">
        <v>110</v>
      </c>
      <c r="G6432" s="64" t="s">
        <v>64</v>
      </c>
      <c r="H6432" s="3" t="s">
        <v>145</v>
      </c>
      <c r="I6432" s="65" t="str">
        <f>IFERROR(VLOOKUP(A6432,'3. Call duration'!$A:$C,3,0),"--")</f>
        <v>--</v>
      </c>
      <c r="J6432" s="65" t="str">
        <f t="array" ref="J6432">XLOOKUP(H6432,'2. Matching'!$A$2:$A$39,'2. Matching'!$B$2:$B$39,"--")</f>
        <v>SEO</v>
      </c>
      <c r="K6432" s="65" t="str">
        <f t="shared" si="1"/>
        <v>In</v>
      </c>
    </row>
    <row r="6433">
      <c r="A6433" s="62" t="s">
        <v>6571</v>
      </c>
      <c r="B6433" s="63">
        <v>44368.0</v>
      </c>
      <c r="C6433" s="62" t="s">
        <v>119</v>
      </c>
      <c r="D6433" s="64">
        <v>95.0</v>
      </c>
      <c r="E6433" s="62" t="s">
        <v>114</v>
      </c>
      <c r="F6433" s="62" t="s">
        <v>110</v>
      </c>
      <c r="G6433" s="64" t="s">
        <v>60</v>
      </c>
      <c r="H6433" s="3" t="s">
        <v>67</v>
      </c>
      <c r="I6433" s="65">
        <f>IFERROR(VLOOKUP(A6433,'3. Call duration'!$A:$C,3,0),"--")</f>
        <v>33.62721765</v>
      </c>
      <c r="J6433" s="65" t="str">
        <f t="array" ref="J6433">XLOOKUP(H6433,'2. Matching'!$A$2:$A$39,'2. Matching'!$B$2:$B$39,"--")</f>
        <v>Acquisition</v>
      </c>
      <c r="K6433" s="65" t="str">
        <f t="shared" si="1"/>
        <v>In</v>
      </c>
    </row>
    <row r="6434">
      <c r="A6434" s="62" t="s">
        <v>6572</v>
      </c>
      <c r="B6434" s="63">
        <v>44363.0</v>
      </c>
      <c r="C6434" s="62" t="s">
        <v>119</v>
      </c>
      <c r="D6434" s="64">
        <v>95.0</v>
      </c>
      <c r="E6434" s="62" t="s">
        <v>114</v>
      </c>
      <c r="F6434" s="62" t="s">
        <v>110</v>
      </c>
      <c r="G6434" s="64" t="s">
        <v>60</v>
      </c>
      <c r="H6434" s="3" t="s">
        <v>67</v>
      </c>
      <c r="I6434" s="65">
        <f>IFERROR(VLOOKUP(A6434,'3. Call duration'!$A:$C,3,0),"--")</f>
        <v>27.67304948</v>
      </c>
      <c r="J6434" s="65" t="str">
        <f t="array" ref="J6434">XLOOKUP(H6434,'2. Matching'!$A$2:$A$39,'2. Matching'!$B$2:$B$39,"--")</f>
        <v>Acquisition</v>
      </c>
      <c r="K6434" s="65" t="str">
        <f t="shared" si="1"/>
        <v>In</v>
      </c>
    </row>
    <row r="6435">
      <c r="A6435" s="62" t="s">
        <v>6573</v>
      </c>
      <c r="B6435" s="63">
        <v>44355.0</v>
      </c>
      <c r="C6435" s="62" t="s">
        <v>119</v>
      </c>
      <c r="D6435" s="64">
        <v>95.0</v>
      </c>
      <c r="E6435" s="62" t="s">
        <v>114</v>
      </c>
      <c r="F6435" s="62" t="s">
        <v>115</v>
      </c>
      <c r="G6435" s="64" t="s">
        <v>64</v>
      </c>
      <c r="H6435" s="3" t="s">
        <v>221</v>
      </c>
      <c r="I6435" s="65">
        <f>IFERROR(VLOOKUP(A6435,'3. Call duration'!$A:$C,3,0),"--")</f>
        <v>15.84142889</v>
      </c>
      <c r="J6435" s="65" t="str">
        <f t="array" ref="J6435">XLOOKUP(H6435,'2. Matching'!$A$2:$A$39,'2. Matching'!$B$2:$B$39,"--")</f>
        <v>Farming</v>
      </c>
      <c r="K6435" s="65" t="str">
        <f t="shared" si="1"/>
        <v>In</v>
      </c>
    </row>
    <row r="6436">
      <c r="A6436" s="62" t="s">
        <v>6574</v>
      </c>
      <c r="B6436" s="63">
        <v>44356.0</v>
      </c>
      <c r="C6436" s="62" t="s">
        <v>119</v>
      </c>
      <c r="D6436" s="64">
        <v>95.0</v>
      </c>
      <c r="E6436" s="62" t="s">
        <v>114</v>
      </c>
      <c r="F6436" s="62" t="s">
        <v>115</v>
      </c>
      <c r="G6436" s="64" t="s">
        <v>60</v>
      </c>
      <c r="H6436" s="3" t="s">
        <v>67</v>
      </c>
      <c r="I6436" s="65">
        <f>IFERROR(VLOOKUP(A6436,'3. Call duration'!$A:$C,3,0),"--")</f>
        <v>27.5970858</v>
      </c>
      <c r="J6436" s="65" t="str">
        <f t="array" ref="J6436">XLOOKUP(H6436,'2. Matching'!$A$2:$A$39,'2. Matching'!$B$2:$B$39,"--")</f>
        <v>Acquisition</v>
      </c>
      <c r="K6436" s="65" t="str">
        <f t="shared" si="1"/>
        <v>In</v>
      </c>
    </row>
    <row r="6437">
      <c r="A6437" s="62" t="s">
        <v>6575</v>
      </c>
      <c r="B6437" s="63">
        <v>44354.0</v>
      </c>
      <c r="C6437" s="62" t="s">
        <v>119</v>
      </c>
      <c r="D6437" s="64">
        <v>95.0</v>
      </c>
      <c r="E6437" s="62" t="s">
        <v>114</v>
      </c>
      <c r="F6437" s="62" t="s">
        <v>115</v>
      </c>
      <c r="G6437" s="64" t="s">
        <v>64</v>
      </c>
      <c r="H6437" s="3" t="s">
        <v>131</v>
      </c>
      <c r="I6437" s="65">
        <f>IFERROR(VLOOKUP(A6437,'3. Call duration'!$A:$C,3,0),"--")</f>
        <v>26.38393898</v>
      </c>
      <c r="J6437" s="65" t="str">
        <f t="array" ref="J6437">XLOOKUP(H6437,'2. Matching'!$A$2:$A$39,'2. Matching'!$B$2:$B$39,"--")</f>
        <v>Acquisition</v>
      </c>
      <c r="K6437" s="65" t="str">
        <f t="shared" si="1"/>
        <v>In</v>
      </c>
    </row>
    <row r="6438">
      <c r="A6438" s="62" t="s">
        <v>6576</v>
      </c>
      <c r="B6438" s="63">
        <v>44334.0</v>
      </c>
      <c r="C6438" s="62" t="s">
        <v>112</v>
      </c>
      <c r="D6438" s="64">
        <v>0.0</v>
      </c>
      <c r="E6438" s="62" t="s">
        <v>109</v>
      </c>
      <c r="F6438" s="62" t="s">
        <v>115</v>
      </c>
      <c r="G6438" s="64" t="s">
        <v>64</v>
      </c>
      <c r="H6438" s="3" t="s">
        <v>52</v>
      </c>
      <c r="I6438" s="65" t="str">
        <f>IFERROR(VLOOKUP(A6438,'3. Call duration'!$A:$C,3,0),"--")</f>
        <v>--</v>
      </c>
      <c r="J6438" s="65" t="str">
        <f t="array" ref="J6438">XLOOKUP(H6438,'2. Matching'!$A$2:$A$39,'2. Matching'!$B$2:$B$39,"--")</f>
        <v>Partnerships</v>
      </c>
      <c r="K6438" s="65" t="str">
        <f t="shared" si="1"/>
        <v>In</v>
      </c>
    </row>
    <row r="6439">
      <c r="A6439" s="62" t="s">
        <v>6577</v>
      </c>
      <c r="B6439" s="63">
        <v>44372.0</v>
      </c>
      <c r="C6439" s="62" t="s">
        <v>119</v>
      </c>
      <c r="D6439" s="64">
        <v>95.0</v>
      </c>
      <c r="E6439" s="62" t="s">
        <v>114</v>
      </c>
      <c r="F6439" s="62" t="s">
        <v>115</v>
      </c>
      <c r="G6439" s="64" t="s">
        <v>64</v>
      </c>
      <c r="H6439" s="3" t="s">
        <v>139</v>
      </c>
      <c r="I6439" s="65">
        <f>IFERROR(VLOOKUP(A6439,'3. Call duration'!$A:$C,3,0),"--")</f>
        <v>27.21476221</v>
      </c>
      <c r="J6439" s="65" t="str">
        <f t="array" ref="J6439">XLOOKUP(H6439,'2. Matching'!$A$2:$A$39,'2. Matching'!$B$2:$B$39,"--")</f>
        <v>Acquisition</v>
      </c>
      <c r="K6439" s="65" t="str">
        <f t="shared" si="1"/>
        <v>In</v>
      </c>
    </row>
    <row r="6440">
      <c r="A6440" s="62" t="s">
        <v>6578</v>
      </c>
      <c r="B6440" s="63">
        <v>44347.0</v>
      </c>
      <c r="C6440" s="62" t="s">
        <v>112</v>
      </c>
      <c r="D6440" s="64">
        <v>0.0</v>
      </c>
      <c r="E6440" s="62" t="s">
        <v>109</v>
      </c>
      <c r="F6440" s="62" t="s">
        <v>110</v>
      </c>
      <c r="G6440" s="64" t="s">
        <v>60</v>
      </c>
      <c r="H6440" s="3" t="s">
        <v>68</v>
      </c>
      <c r="I6440" s="65" t="str">
        <f>IFERROR(VLOOKUP(A6440,'3. Call duration'!$A:$C,3,0),"--")</f>
        <v>--</v>
      </c>
      <c r="J6440" s="65" t="str">
        <f t="array" ref="J6440">XLOOKUP(H6440,'2. Matching'!$A$2:$A$39,'2. Matching'!$B$2:$B$39,"--")</f>
        <v>Acquisition</v>
      </c>
      <c r="K6440" s="65" t="str">
        <f t="shared" si="1"/>
        <v>In</v>
      </c>
    </row>
    <row r="6441">
      <c r="A6441" s="62" t="s">
        <v>6579</v>
      </c>
      <c r="B6441" s="63">
        <v>44377.0</v>
      </c>
      <c r="C6441" s="62" t="s">
        <v>119</v>
      </c>
      <c r="D6441" s="64">
        <v>95.0</v>
      </c>
      <c r="E6441" s="62" t="s">
        <v>114</v>
      </c>
      <c r="F6441" s="62" t="s">
        <v>110</v>
      </c>
      <c r="G6441" s="64" t="s">
        <v>64</v>
      </c>
      <c r="H6441" s="3" t="s">
        <v>52</v>
      </c>
      <c r="I6441" s="65">
        <f>IFERROR(VLOOKUP(A6441,'3. Call duration'!$A:$C,3,0),"--")</f>
        <v>16.03605271</v>
      </c>
      <c r="J6441" s="65" t="str">
        <f t="array" ref="J6441">XLOOKUP(H6441,'2. Matching'!$A$2:$A$39,'2. Matching'!$B$2:$B$39,"--")</f>
        <v>Partnerships</v>
      </c>
      <c r="K6441" s="65" t="str">
        <f t="shared" si="1"/>
        <v>In</v>
      </c>
    </row>
    <row r="6442">
      <c r="A6442" s="62" t="s">
        <v>6580</v>
      </c>
      <c r="B6442" s="63">
        <v>44361.0</v>
      </c>
      <c r="C6442" s="62" t="s">
        <v>119</v>
      </c>
      <c r="D6442" s="64">
        <v>95.0</v>
      </c>
      <c r="E6442" s="62" t="s">
        <v>114</v>
      </c>
      <c r="F6442" s="62" t="s">
        <v>110</v>
      </c>
      <c r="G6442" s="64" t="s">
        <v>60</v>
      </c>
      <c r="H6442" s="3" t="s">
        <v>67</v>
      </c>
      <c r="I6442" s="65">
        <f>IFERROR(VLOOKUP(A6442,'3. Call duration'!$A:$C,3,0),"--")</f>
        <v>24.69977196</v>
      </c>
      <c r="J6442" s="65" t="str">
        <f t="array" ref="J6442">XLOOKUP(H6442,'2. Matching'!$A$2:$A$39,'2. Matching'!$B$2:$B$39,"--")</f>
        <v>Acquisition</v>
      </c>
      <c r="K6442" s="65" t="str">
        <f t="shared" si="1"/>
        <v>In</v>
      </c>
    </row>
    <row r="6443">
      <c r="A6443" s="62" t="s">
        <v>6581</v>
      </c>
      <c r="B6443" s="63">
        <v>44326.0</v>
      </c>
      <c r="C6443" s="62" t="s">
        <v>112</v>
      </c>
      <c r="D6443" s="64">
        <v>0.0</v>
      </c>
      <c r="E6443" s="62" t="s">
        <v>114</v>
      </c>
      <c r="F6443" s="62" t="s">
        <v>110</v>
      </c>
      <c r="G6443" s="64" t="s">
        <v>61</v>
      </c>
      <c r="H6443" s="3" t="s">
        <v>69</v>
      </c>
      <c r="I6443" s="65" t="str">
        <f>IFERROR(VLOOKUP(A6443,'3. Call duration'!$A:$C,3,0),"--")</f>
        <v>--</v>
      </c>
      <c r="J6443" s="65" t="str">
        <f t="array" ref="J6443">XLOOKUP(H6443,'2. Matching'!$A$2:$A$39,'2. Matching'!$B$2:$B$39,"--")</f>
        <v>Acquisition</v>
      </c>
      <c r="K6443" s="65" t="str">
        <f t="shared" si="1"/>
        <v>In</v>
      </c>
    </row>
    <row r="6444">
      <c r="A6444" s="62" t="s">
        <v>6582</v>
      </c>
      <c r="B6444" s="63">
        <v>44357.0</v>
      </c>
      <c r="C6444" s="62" t="s">
        <v>119</v>
      </c>
      <c r="D6444" s="64">
        <v>95.0</v>
      </c>
      <c r="E6444" s="62" t="s">
        <v>114</v>
      </c>
      <c r="F6444" s="62" t="s">
        <v>115</v>
      </c>
      <c r="G6444" s="64" t="s">
        <v>64</v>
      </c>
      <c r="H6444" s="3" t="s">
        <v>139</v>
      </c>
      <c r="I6444" s="65">
        <f>IFERROR(VLOOKUP(A6444,'3. Call duration'!$A:$C,3,0),"--")</f>
        <v>23.47539634</v>
      </c>
      <c r="J6444" s="65" t="str">
        <f t="array" ref="J6444">XLOOKUP(H6444,'2. Matching'!$A$2:$A$39,'2. Matching'!$B$2:$B$39,"--")</f>
        <v>Acquisition</v>
      </c>
      <c r="K6444" s="65" t="str">
        <f t="shared" si="1"/>
        <v>In</v>
      </c>
    </row>
    <row r="6445">
      <c r="A6445" s="62" t="s">
        <v>6583</v>
      </c>
      <c r="B6445" s="63">
        <v>44336.0</v>
      </c>
      <c r="C6445" s="62" t="s">
        <v>112</v>
      </c>
      <c r="D6445" s="64">
        <v>0.0</v>
      </c>
      <c r="E6445" s="62" t="s">
        <v>114</v>
      </c>
      <c r="F6445" s="62" t="s">
        <v>110</v>
      </c>
      <c r="G6445" s="64" t="s">
        <v>64</v>
      </c>
      <c r="H6445" s="3" t="s">
        <v>49</v>
      </c>
      <c r="I6445" s="65" t="str">
        <f>IFERROR(VLOOKUP(A6445,'3. Call duration'!$A:$C,3,0),"--")</f>
        <v>--</v>
      </c>
      <c r="J6445" s="65" t="str">
        <f t="array" ref="J6445">XLOOKUP(H6445,'2. Matching'!$A$2:$A$39,'2. Matching'!$B$2:$B$39,"--")</f>
        <v>Partnerships</v>
      </c>
      <c r="K6445" s="65" t="str">
        <f t="shared" si="1"/>
        <v>In</v>
      </c>
    </row>
    <row r="6446">
      <c r="A6446" s="62" t="s">
        <v>6584</v>
      </c>
      <c r="B6446" s="63">
        <v>44354.0</v>
      </c>
      <c r="C6446" s="62" t="s">
        <v>119</v>
      </c>
      <c r="D6446" s="64">
        <v>95.0</v>
      </c>
      <c r="E6446" s="62" t="s">
        <v>114</v>
      </c>
      <c r="F6446" s="62" t="s">
        <v>115</v>
      </c>
      <c r="G6446" s="64" t="s">
        <v>64</v>
      </c>
      <c r="H6446" s="3" t="s">
        <v>297</v>
      </c>
      <c r="I6446" s="65">
        <f>IFERROR(VLOOKUP(A6446,'3. Call duration'!$A:$C,3,0),"--")</f>
        <v>29.78747331</v>
      </c>
      <c r="J6446" s="65" t="str">
        <f t="array" ref="J6446">XLOOKUP(H6446,'2. Matching'!$A$2:$A$39,'2. Matching'!$B$2:$B$39,"--")</f>
        <v>Farming</v>
      </c>
      <c r="K6446" s="65" t="str">
        <f t="shared" si="1"/>
        <v>In</v>
      </c>
    </row>
    <row r="6447">
      <c r="A6447" s="62" t="s">
        <v>6585</v>
      </c>
      <c r="B6447" s="63">
        <v>44320.0</v>
      </c>
      <c r="C6447" s="62" t="s">
        <v>112</v>
      </c>
      <c r="D6447" s="64">
        <v>0.0</v>
      </c>
      <c r="E6447" s="62" t="s">
        <v>109</v>
      </c>
      <c r="F6447" s="62" t="s">
        <v>110</v>
      </c>
      <c r="G6447" s="64" t="s">
        <v>64</v>
      </c>
      <c r="H6447" s="3" t="s">
        <v>145</v>
      </c>
      <c r="I6447" s="65" t="str">
        <f>IFERROR(VLOOKUP(A6447,'3. Call duration'!$A:$C,3,0),"--")</f>
        <v>--</v>
      </c>
      <c r="J6447" s="65" t="str">
        <f t="array" ref="J6447">XLOOKUP(H6447,'2. Matching'!$A$2:$A$39,'2. Matching'!$B$2:$B$39,"--")</f>
        <v>SEO</v>
      </c>
      <c r="K6447" s="65" t="str">
        <f t="shared" si="1"/>
        <v>In</v>
      </c>
    </row>
    <row r="6448">
      <c r="A6448" s="62" t="s">
        <v>6586</v>
      </c>
      <c r="B6448" s="63">
        <v>44357.0</v>
      </c>
      <c r="C6448" s="62" t="s">
        <v>119</v>
      </c>
      <c r="D6448" s="64">
        <v>95.0</v>
      </c>
      <c r="E6448" s="62" t="s">
        <v>114</v>
      </c>
      <c r="F6448" s="62" t="s">
        <v>110</v>
      </c>
      <c r="G6448" s="64" t="s">
        <v>60</v>
      </c>
      <c r="H6448" s="3" t="s">
        <v>67</v>
      </c>
      <c r="I6448" s="65">
        <f>IFERROR(VLOOKUP(A6448,'3. Call duration'!$A:$C,3,0),"--")</f>
        <v>24.84934993</v>
      </c>
      <c r="J6448" s="65" t="str">
        <f t="array" ref="J6448">XLOOKUP(H6448,'2. Matching'!$A$2:$A$39,'2. Matching'!$B$2:$B$39,"--")</f>
        <v>Acquisition</v>
      </c>
      <c r="K6448" s="65" t="str">
        <f t="shared" si="1"/>
        <v>In</v>
      </c>
    </row>
    <row r="6449">
      <c r="A6449" s="62" t="s">
        <v>6587</v>
      </c>
      <c r="B6449" s="63">
        <v>44344.0</v>
      </c>
      <c r="C6449" s="62" t="s">
        <v>112</v>
      </c>
      <c r="D6449" s="64">
        <v>0.0</v>
      </c>
      <c r="E6449" s="62" t="s">
        <v>109</v>
      </c>
      <c r="F6449" s="62" t="s">
        <v>110</v>
      </c>
      <c r="G6449" s="64" t="s">
        <v>60</v>
      </c>
      <c r="H6449" s="3" t="s">
        <v>67</v>
      </c>
      <c r="I6449" s="65" t="str">
        <f>IFERROR(VLOOKUP(A6449,'3. Call duration'!$A:$C,3,0),"--")</f>
        <v>--</v>
      </c>
      <c r="J6449" s="65" t="str">
        <f t="array" ref="J6449">XLOOKUP(H6449,'2. Matching'!$A$2:$A$39,'2. Matching'!$B$2:$B$39,"--")</f>
        <v>Acquisition</v>
      </c>
      <c r="K6449" s="65" t="str">
        <f t="shared" si="1"/>
        <v>In</v>
      </c>
    </row>
    <row r="6450">
      <c r="A6450" s="62" t="s">
        <v>6588</v>
      </c>
      <c r="B6450" s="63">
        <v>44367.0</v>
      </c>
      <c r="C6450" s="62" t="s">
        <v>119</v>
      </c>
      <c r="D6450" s="64">
        <v>95.0</v>
      </c>
      <c r="E6450" s="62" t="s">
        <v>114</v>
      </c>
      <c r="F6450" s="62" t="s">
        <v>110</v>
      </c>
      <c r="G6450" s="64" t="s">
        <v>64</v>
      </c>
      <c r="H6450" s="3" t="s">
        <v>139</v>
      </c>
      <c r="I6450" s="65">
        <f>IFERROR(VLOOKUP(A6450,'3. Call duration'!$A:$C,3,0),"--")</f>
        <v>27.53299611</v>
      </c>
      <c r="J6450" s="65" t="str">
        <f t="array" ref="J6450">XLOOKUP(H6450,'2. Matching'!$A$2:$A$39,'2. Matching'!$B$2:$B$39,"--")</f>
        <v>Acquisition</v>
      </c>
      <c r="K6450" s="65" t="str">
        <f t="shared" si="1"/>
        <v>In</v>
      </c>
    </row>
    <row r="6451">
      <c r="A6451" s="62" t="s">
        <v>6589</v>
      </c>
      <c r="B6451" s="63">
        <v>44376.0</v>
      </c>
      <c r="C6451" s="62" t="s">
        <v>119</v>
      </c>
      <c r="D6451" s="64">
        <v>95.0</v>
      </c>
      <c r="E6451" s="62" t="s">
        <v>114</v>
      </c>
      <c r="F6451" s="62" t="s">
        <v>115</v>
      </c>
      <c r="G6451" s="64" t="s">
        <v>63</v>
      </c>
      <c r="H6451" s="3" t="s">
        <v>189</v>
      </c>
      <c r="I6451" s="65" t="str">
        <f>IFERROR(VLOOKUP(A6451,'3. Call duration'!$A:$C,3,0),"--")</f>
        <v>--</v>
      </c>
      <c r="J6451" s="65" t="str">
        <f t="array" ref="J6451">XLOOKUP(H6451,'2. Matching'!$A$2:$A$39,'2. Matching'!$B$2:$B$39,"--")</f>
        <v>SEO</v>
      </c>
      <c r="K6451" s="65" t="str">
        <f t="shared" si="1"/>
        <v>Out</v>
      </c>
    </row>
    <row r="6452">
      <c r="A6452" s="62" t="s">
        <v>6590</v>
      </c>
      <c r="B6452" s="63">
        <v>44348.0</v>
      </c>
      <c r="C6452" s="62" t="s">
        <v>119</v>
      </c>
      <c r="D6452" s="64">
        <v>95.0</v>
      </c>
      <c r="E6452" s="62" t="s">
        <v>114</v>
      </c>
      <c r="F6452" s="62" t="s">
        <v>110</v>
      </c>
      <c r="G6452" s="64" t="s">
        <v>64</v>
      </c>
      <c r="H6452" s="3" t="s">
        <v>116</v>
      </c>
      <c r="I6452" s="65">
        <f>IFERROR(VLOOKUP(A6452,'3. Call duration'!$A:$C,3,0),"--")</f>
        <v>14.00063055</v>
      </c>
      <c r="J6452" s="65" t="str">
        <f t="array" ref="J6452">XLOOKUP(H6452,'2. Matching'!$A$2:$A$39,'2. Matching'!$B$2:$B$39,"--")</f>
        <v>Acquisition</v>
      </c>
      <c r="K6452" s="65" t="str">
        <f t="shared" si="1"/>
        <v>In</v>
      </c>
    </row>
    <row r="6453">
      <c r="A6453" s="62" t="s">
        <v>6591</v>
      </c>
      <c r="B6453" s="63">
        <v>44376.0</v>
      </c>
      <c r="C6453" s="62" t="s">
        <v>119</v>
      </c>
      <c r="D6453" s="64">
        <v>95.0</v>
      </c>
      <c r="E6453" s="62" t="s">
        <v>114</v>
      </c>
      <c r="F6453" s="62" t="s">
        <v>110</v>
      </c>
      <c r="G6453" s="64" t="s">
        <v>60</v>
      </c>
      <c r="H6453" s="3" t="s">
        <v>67</v>
      </c>
      <c r="I6453" s="65" t="str">
        <f>IFERROR(VLOOKUP(A6453,'3. Call duration'!$A:$C,3,0),"--")</f>
        <v>--</v>
      </c>
      <c r="J6453" s="65" t="str">
        <f t="array" ref="J6453">XLOOKUP(H6453,'2. Matching'!$A$2:$A$39,'2. Matching'!$B$2:$B$39,"--")</f>
        <v>Acquisition</v>
      </c>
      <c r="K6453" s="65" t="str">
        <f t="shared" si="1"/>
        <v>In</v>
      </c>
    </row>
    <row r="6454">
      <c r="A6454" s="62" t="s">
        <v>6592</v>
      </c>
      <c r="B6454" s="63">
        <v>44369.0</v>
      </c>
      <c r="C6454" s="62" t="s">
        <v>119</v>
      </c>
      <c r="D6454" s="64">
        <v>95.0</v>
      </c>
      <c r="E6454" s="62" t="s">
        <v>114</v>
      </c>
      <c r="F6454" s="62" t="s">
        <v>110</v>
      </c>
      <c r="G6454" s="64" t="s">
        <v>60</v>
      </c>
      <c r="H6454" s="3" t="s">
        <v>67</v>
      </c>
      <c r="I6454" s="65">
        <f>IFERROR(VLOOKUP(A6454,'3. Call duration'!$A:$C,3,0),"--")</f>
        <v>28.58606505</v>
      </c>
      <c r="J6454" s="65" t="str">
        <f t="array" ref="J6454">XLOOKUP(H6454,'2. Matching'!$A$2:$A$39,'2. Matching'!$B$2:$B$39,"--")</f>
        <v>Acquisition</v>
      </c>
      <c r="K6454" s="65" t="str">
        <f t="shared" si="1"/>
        <v>In</v>
      </c>
    </row>
    <row r="6455">
      <c r="A6455" s="62" t="s">
        <v>6593</v>
      </c>
      <c r="B6455" s="63">
        <v>44343.0</v>
      </c>
      <c r="C6455" s="62" t="s">
        <v>112</v>
      </c>
      <c r="D6455" s="64">
        <v>0.0</v>
      </c>
      <c r="E6455" s="62" t="s">
        <v>109</v>
      </c>
      <c r="F6455" s="62" t="s">
        <v>110</v>
      </c>
      <c r="G6455" s="64" t="s">
        <v>64</v>
      </c>
      <c r="H6455" s="3" t="s">
        <v>116</v>
      </c>
      <c r="I6455" s="65" t="str">
        <f>IFERROR(VLOOKUP(A6455,'3. Call duration'!$A:$C,3,0),"--")</f>
        <v>--</v>
      </c>
      <c r="J6455" s="65" t="str">
        <f t="array" ref="J6455">XLOOKUP(H6455,'2. Matching'!$A$2:$A$39,'2. Matching'!$B$2:$B$39,"--")</f>
        <v>Acquisition</v>
      </c>
      <c r="K6455" s="65" t="str">
        <f t="shared" si="1"/>
        <v>In</v>
      </c>
    </row>
    <row r="6456">
      <c r="A6456" s="62" t="s">
        <v>6594</v>
      </c>
      <c r="B6456" s="63">
        <v>44375.0</v>
      </c>
      <c r="C6456" s="62" t="s">
        <v>119</v>
      </c>
      <c r="D6456" s="64">
        <v>95.0</v>
      </c>
      <c r="E6456" s="62" t="s">
        <v>114</v>
      </c>
      <c r="F6456" s="62" t="s">
        <v>115</v>
      </c>
      <c r="G6456" s="64" t="s">
        <v>63</v>
      </c>
      <c r="H6456" s="3" t="s">
        <v>228</v>
      </c>
      <c r="I6456" s="65">
        <f>IFERROR(VLOOKUP(A6456,'3. Call duration'!$A:$C,3,0),"--")</f>
        <v>32.17278176</v>
      </c>
      <c r="J6456" s="65" t="str">
        <f t="array" ref="J6456">XLOOKUP(H6456,'2. Matching'!$A$2:$A$39,'2. Matching'!$B$2:$B$39,"--")</f>
        <v>Farming</v>
      </c>
      <c r="K6456" s="65" t="str">
        <f t="shared" si="1"/>
        <v>In</v>
      </c>
    </row>
    <row r="6457">
      <c r="A6457" s="62" t="s">
        <v>6595</v>
      </c>
      <c r="B6457" s="63">
        <v>44344.0</v>
      </c>
      <c r="C6457" s="62" t="s">
        <v>112</v>
      </c>
      <c r="D6457" s="64">
        <v>0.0</v>
      </c>
      <c r="E6457" s="62" t="s">
        <v>114</v>
      </c>
      <c r="F6457" s="62" t="s">
        <v>110</v>
      </c>
      <c r="G6457" s="64" t="s">
        <v>64</v>
      </c>
      <c r="H6457" s="3" t="s">
        <v>171</v>
      </c>
      <c r="I6457" s="65" t="str">
        <f>IFERROR(VLOOKUP(A6457,'3. Call duration'!$A:$C,3,0),"--")</f>
        <v>--</v>
      </c>
      <c r="J6457" s="65" t="str">
        <f t="array" ref="J6457">XLOOKUP(H6457,'2. Matching'!$A$2:$A$39,'2. Matching'!$B$2:$B$39,"--")</f>
        <v>SEO</v>
      </c>
      <c r="K6457" s="65" t="str">
        <f t="shared" si="1"/>
        <v>In</v>
      </c>
    </row>
    <row r="6458">
      <c r="A6458" s="62" t="s">
        <v>6596</v>
      </c>
      <c r="B6458" s="63">
        <v>44355.0</v>
      </c>
      <c r="C6458" s="62" t="s">
        <v>119</v>
      </c>
      <c r="D6458" s="64">
        <v>95.0</v>
      </c>
      <c r="E6458" s="62" t="s">
        <v>114</v>
      </c>
      <c r="F6458" s="62" t="s">
        <v>110</v>
      </c>
      <c r="G6458" s="64" t="s">
        <v>64</v>
      </c>
      <c r="H6458" s="3" t="s">
        <v>55</v>
      </c>
      <c r="I6458" s="65">
        <f>IFERROR(VLOOKUP(A6458,'3. Call duration'!$A:$C,3,0),"--")</f>
        <v>18.85933283</v>
      </c>
      <c r="J6458" s="65" t="str">
        <f t="array" ref="J6458">XLOOKUP(H6458,'2. Matching'!$A$2:$A$39,'2. Matching'!$B$2:$B$39,"--")</f>
        <v>Partnerships</v>
      </c>
      <c r="K6458" s="65" t="str">
        <f t="shared" si="1"/>
        <v>In</v>
      </c>
    </row>
    <row r="6459">
      <c r="A6459" s="62" t="s">
        <v>6597</v>
      </c>
      <c r="B6459" s="63">
        <v>44344.0</v>
      </c>
      <c r="C6459" s="62" t="s">
        <v>112</v>
      </c>
      <c r="D6459" s="64">
        <v>0.0</v>
      </c>
      <c r="E6459" s="62" t="s">
        <v>109</v>
      </c>
      <c r="F6459" s="62" t="s">
        <v>115</v>
      </c>
      <c r="G6459" s="64" t="s">
        <v>59</v>
      </c>
      <c r="H6459" s="3" t="s">
        <v>68</v>
      </c>
      <c r="I6459" s="65" t="str">
        <f>IFERROR(VLOOKUP(A6459,'3. Call duration'!$A:$C,3,0),"--")</f>
        <v>--</v>
      </c>
      <c r="J6459" s="65" t="str">
        <f t="array" ref="J6459">XLOOKUP(H6459,'2. Matching'!$A$2:$A$39,'2. Matching'!$B$2:$B$39,"--")</f>
        <v>Acquisition</v>
      </c>
      <c r="K6459" s="65" t="str">
        <f t="shared" si="1"/>
        <v>In</v>
      </c>
    </row>
    <row r="6460">
      <c r="A6460" s="62" t="s">
        <v>6598</v>
      </c>
      <c r="B6460" s="63">
        <v>44356.0</v>
      </c>
      <c r="C6460" s="62" t="s">
        <v>119</v>
      </c>
      <c r="D6460" s="64">
        <v>95.0</v>
      </c>
      <c r="E6460" s="62" t="s">
        <v>114</v>
      </c>
      <c r="F6460" s="62" t="s">
        <v>110</v>
      </c>
      <c r="G6460" s="64" t="s">
        <v>61</v>
      </c>
      <c r="H6460" s="3" t="s">
        <v>69</v>
      </c>
      <c r="I6460" s="65">
        <f>IFERROR(VLOOKUP(A6460,'3. Call duration'!$A:$C,3,0),"--")</f>
        <v>24.14688433</v>
      </c>
      <c r="J6460" s="65" t="str">
        <f t="array" ref="J6460">XLOOKUP(H6460,'2. Matching'!$A$2:$A$39,'2. Matching'!$B$2:$B$39,"--")</f>
        <v>Acquisition</v>
      </c>
      <c r="K6460" s="65" t="str">
        <f t="shared" si="1"/>
        <v>In</v>
      </c>
    </row>
    <row r="6461">
      <c r="A6461" s="62" t="s">
        <v>6599</v>
      </c>
      <c r="B6461" s="63">
        <v>44376.0</v>
      </c>
      <c r="C6461" s="62" t="s">
        <v>119</v>
      </c>
      <c r="D6461" s="64">
        <v>95.0</v>
      </c>
      <c r="E6461" s="62" t="s">
        <v>114</v>
      </c>
      <c r="F6461" s="62" t="s">
        <v>110</v>
      </c>
      <c r="G6461" s="64" t="s">
        <v>63</v>
      </c>
      <c r="H6461" s="3" t="s">
        <v>128</v>
      </c>
      <c r="I6461" s="65">
        <f>IFERROR(VLOOKUP(A6461,'3. Call duration'!$A:$C,3,0),"--")</f>
        <v>22.25751139</v>
      </c>
      <c r="J6461" s="65" t="str">
        <f t="array" ref="J6461">XLOOKUP(H6461,'2. Matching'!$A$2:$A$39,'2. Matching'!$B$2:$B$39,"--")</f>
        <v>Acquisition</v>
      </c>
      <c r="K6461" s="65" t="str">
        <f t="shared" si="1"/>
        <v>In</v>
      </c>
    </row>
    <row r="6462">
      <c r="A6462" s="62" t="s">
        <v>6600</v>
      </c>
      <c r="B6462" s="63">
        <v>44365.0</v>
      </c>
      <c r="C6462" s="62" t="s">
        <v>119</v>
      </c>
      <c r="D6462" s="64">
        <v>95.0</v>
      </c>
      <c r="E6462" s="62" t="s">
        <v>114</v>
      </c>
      <c r="F6462" s="62" t="s">
        <v>115</v>
      </c>
      <c r="G6462" s="64" t="s">
        <v>64</v>
      </c>
      <c r="H6462" s="3" t="s">
        <v>221</v>
      </c>
      <c r="I6462" s="65">
        <f>IFERROR(VLOOKUP(A6462,'3. Call duration'!$A:$C,3,0),"--")</f>
        <v>32.97342124</v>
      </c>
      <c r="J6462" s="65" t="str">
        <f t="array" ref="J6462">XLOOKUP(H6462,'2. Matching'!$A$2:$A$39,'2. Matching'!$B$2:$B$39,"--")</f>
        <v>Farming</v>
      </c>
      <c r="K6462" s="65" t="str">
        <f t="shared" si="1"/>
        <v>In</v>
      </c>
    </row>
    <row r="6463">
      <c r="A6463" s="62" t="s">
        <v>6601</v>
      </c>
      <c r="B6463" s="63">
        <v>44347.0</v>
      </c>
      <c r="C6463" s="62" t="s">
        <v>112</v>
      </c>
      <c r="D6463" s="64">
        <v>0.0</v>
      </c>
      <c r="E6463" s="62" t="s">
        <v>109</v>
      </c>
      <c r="F6463" s="62" t="s">
        <v>110</v>
      </c>
      <c r="G6463" s="64" t="s">
        <v>64</v>
      </c>
      <c r="H6463" s="3" t="s">
        <v>116</v>
      </c>
      <c r="I6463" s="65" t="str">
        <f>IFERROR(VLOOKUP(A6463,'3. Call duration'!$A:$C,3,0),"--")</f>
        <v>--</v>
      </c>
      <c r="J6463" s="65" t="str">
        <f t="array" ref="J6463">XLOOKUP(H6463,'2. Matching'!$A$2:$A$39,'2. Matching'!$B$2:$B$39,"--")</f>
        <v>Acquisition</v>
      </c>
      <c r="K6463" s="65" t="str">
        <f t="shared" si="1"/>
        <v>In</v>
      </c>
    </row>
    <row r="6464">
      <c r="A6464" s="62" t="s">
        <v>6602</v>
      </c>
      <c r="B6464" s="63">
        <v>44343.0</v>
      </c>
      <c r="C6464" s="62" t="s">
        <v>112</v>
      </c>
      <c r="D6464" s="64">
        <v>0.0</v>
      </c>
      <c r="E6464" s="62" t="s">
        <v>114</v>
      </c>
      <c r="F6464" s="62" t="s">
        <v>110</v>
      </c>
      <c r="G6464" s="64" t="s">
        <v>60</v>
      </c>
      <c r="H6464" s="3" t="s">
        <v>67</v>
      </c>
      <c r="I6464" s="65" t="str">
        <f>IFERROR(VLOOKUP(A6464,'3. Call duration'!$A:$C,3,0),"--")</f>
        <v>--</v>
      </c>
      <c r="J6464" s="65" t="str">
        <f t="array" ref="J6464">XLOOKUP(H6464,'2. Matching'!$A$2:$A$39,'2. Matching'!$B$2:$B$39,"--")</f>
        <v>Acquisition</v>
      </c>
      <c r="K6464" s="65" t="str">
        <f t="shared" si="1"/>
        <v>In</v>
      </c>
    </row>
    <row r="6465">
      <c r="A6465" s="62" t="s">
        <v>6603</v>
      </c>
      <c r="B6465" s="63">
        <v>44372.0</v>
      </c>
      <c r="C6465" s="62" t="s">
        <v>119</v>
      </c>
      <c r="D6465" s="64">
        <v>95.0</v>
      </c>
      <c r="E6465" s="62" t="s">
        <v>114</v>
      </c>
      <c r="F6465" s="62" t="s">
        <v>110</v>
      </c>
      <c r="G6465" s="64" t="s">
        <v>64</v>
      </c>
      <c r="H6465" s="3" t="s">
        <v>297</v>
      </c>
      <c r="I6465" s="65">
        <f>IFERROR(VLOOKUP(A6465,'3. Call duration'!$A:$C,3,0),"--")</f>
        <v>33.40573293</v>
      </c>
      <c r="J6465" s="65" t="str">
        <f t="array" ref="J6465">XLOOKUP(H6465,'2. Matching'!$A$2:$A$39,'2. Matching'!$B$2:$B$39,"--")</f>
        <v>Farming</v>
      </c>
      <c r="K6465" s="65" t="str">
        <f t="shared" si="1"/>
        <v>In</v>
      </c>
    </row>
    <row r="6466">
      <c r="A6466" s="62" t="s">
        <v>6604</v>
      </c>
      <c r="B6466" s="63">
        <v>44349.0</v>
      </c>
      <c r="C6466" s="62" t="s">
        <v>119</v>
      </c>
      <c r="D6466" s="64">
        <v>95.0</v>
      </c>
      <c r="E6466" s="62" t="s">
        <v>114</v>
      </c>
      <c r="F6466" s="62" t="s">
        <v>110</v>
      </c>
      <c r="G6466" s="64" t="s">
        <v>60</v>
      </c>
      <c r="H6466" s="3" t="s">
        <v>67</v>
      </c>
      <c r="I6466" s="65">
        <f>IFERROR(VLOOKUP(A6466,'3. Call duration'!$A:$C,3,0),"--")</f>
        <v>31.05094354</v>
      </c>
      <c r="J6466" s="65" t="str">
        <f t="array" ref="J6466">XLOOKUP(H6466,'2. Matching'!$A$2:$A$39,'2. Matching'!$B$2:$B$39,"--")</f>
        <v>Acquisition</v>
      </c>
      <c r="K6466" s="65" t="str">
        <f t="shared" si="1"/>
        <v>In</v>
      </c>
    </row>
    <row r="6467">
      <c r="A6467" s="62" t="s">
        <v>6605</v>
      </c>
      <c r="B6467" s="63">
        <v>44349.0</v>
      </c>
      <c r="C6467" s="62" t="s">
        <v>119</v>
      </c>
      <c r="D6467" s="64">
        <v>95.0</v>
      </c>
      <c r="E6467" s="62" t="s">
        <v>114</v>
      </c>
      <c r="F6467" s="62" t="s">
        <v>115</v>
      </c>
      <c r="G6467" s="64" t="s">
        <v>63</v>
      </c>
      <c r="H6467" s="3" t="s">
        <v>128</v>
      </c>
      <c r="I6467" s="65">
        <f>IFERROR(VLOOKUP(A6467,'3. Call duration'!$A:$C,3,0),"--")</f>
        <v>33.05320801</v>
      </c>
      <c r="J6467" s="65" t="str">
        <f t="array" ref="J6467">XLOOKUP(H6467,'2. Matching'!$A$2:$A$39,'2. Matching'!$B$2:$B$39,"--")</f>
        <v>Acquisition</v>
      </c>
      <c r="K6467" s="65" t="str">
        <f t="shared" si="1"/>
        <v>In</v>
      </c>
    </row>
    <row r="6468">
      <c r="A6468" s="62" t="s">
        <v>6606</v>
      </c>
      <c r="B6468" s="63">
        <v>44344.0</v>
      </c>
      <c r="C6468" s="62" t="s">
        <v>112</v>
      </c>
      <c r="D6468" s="64">
        <v>0.0</v>
      </c>
      <c r="E6468" s="62" t="s">
        <v>109</v>
      </c>
      <c r="F6468" s="62" t="s">
        <v>110</v>
      </c>
      <c r="G6468" s="64" t="s">
        <v>60</v>
      </c>
      <c r="H6468" s="3" t="s">
        <v>67</v>
      </c>
      <c r="I6468" s="65" t="str">
        <f>IFERROR(VLOOKUP(A6468,'3. Call duration'!$A:$C,3,0),"--")</f>
        <v>--</v>
      </c>
      <c r="J6468" s="65" t="str">
        <f t="array" ref="J6468">XLOOKUP(H6468,'2. Matching'!$A$2:$A$39,'2. Matching'!$B$2:$B$39,"--")</f>
        <v>Acquisition</v>
      </c>
      <c r="K6468" s="65" t="str">
        <f t="shared" si="1"/>
        <v>In</v>
      </c>
    </row>
    <row r="6469">
      <c r="A6469" s="62" t="s">
        <v>6607</v>
      </c>
      <c r="B6469" s="63">
        <v>44341.0</v>
      </c>
      <c r="C6469" s="62" t="s">
        <v>112</v>
      </c>
      <c r="D6469" s="64">
        <v>0.0</v>
      </c>
      <c r="E6469" s="62" t="s">
        <v>109</v>
      </c>
      <c r="F6469" s="62" t="s">
        <v>110</v>
      </c>
      <c r="G6469" s="64" t="s">
        <v>63</v>
      </c>
      <c r="H6469" s="3" t="s">
        <v>189</v>
      </c>
      <c r="I6469" s="65" t="str">
        <f>IFERROR(VLOOKUP(A6469,'3. Call duration'!$A:$C,3,0),"--")</f>
        <v>--</v>
      </c>
      <c r="J6469" s="65" t="str">
        <f t="array" ref="J6469">XLOOKUP(H6469,'2. Matching'!$A$2:$A$39,'2. Matching'!$B$2:$B$39,"--")</f>
        <v>SEO</v>
      </c>
      <c r="K6469" s="65" t="str">
        <f t="shared" si="1"/>
        <v>Out</v>
      </c>
    </row>
    <row r="6470">
      <c r="A6470" s="62" t="s">
        <v>6608</v>
      </c>
      <c r="B6470" s="63">
        <v>44376.0</v>
      </c>
      <c r="C6470" s="62" t="s">
        <v>119</v>
      </c>
      <c r="D6470" s="64">
        <v>95.0</v>
      </c>
      <c r="E6470" s="62" t="s">
        <v>114</v>
      </c>
      <c r="F6470" s="62" t="s">
        <v>115</v>
      </c>
      <c r="G6470" s="64" t="s">
        <v>64</v>
      </c>
      <c r="H6470" s="3" t="s">
        <v>171</v>
      </c>
      <c r="I6470" s="65">
        <f>IFERROR(VLOOKUP(A6470,'3. Call duration'!$A:$C,3,0),"--")</f>
        <v>27.83819139</v>
      </c>
      <c r="J6470" s="65" t="str">
        <f t="array" ref="J6470">XLOOKUP(H6470,'2. Matching'!$A$2:$A$39,'2. Matching'!$B$2:$B$39,"--")</f>
        <v>SEO</v>
      </c>
      <c r="K6470" s="65" t="str">
        <f t="shared" si="1"/>
        <v>In</v>
      </c>
    </row>
    <row r="6471">
      <c r="A6471" s="62" t="s">
        <v>6609</v>
      </c>
      <c r="B6471" s="63">
        <v>44370.0</v>
      </c>
      <c r="C6471" s="62" t="s">
        <v>119</v>
      </c>
      <c r="D6471" s="64">
        <v>95.0</v>
      </c>
      <c r="E6471" s="62" t="s">
        <v>114</v>
      </c>
      <c r="F6471" s="62" t="s">
        <v>115</v>
      </c>
      <c r="G6471" s="64" t="s">
        <v>64</v>
      </c>
      <c r="H6471" s="3" t="s">
        <v>116</v>
      </c>
      <c r="I6471" s="65">
        <f>IFERROR(VLOOKUP(A6471,'3. Call duration'!$A:$C,3,0),"--")</f>
        <v>32.74063584</v>
      </c>
      <c r="J6471" s="65" t="str">
        <f t="array" ref="J6471">XLOOKUP(H6471,'2. Matching'!$A$2:$A$39,'2. Matching'!$B$2:$B$39,"--")</f>
        <v>Acquisition</v>
      </c>
      <c r="K6471" s="65" t="str">
        <f t="shared" si="1"/>
        <v>In</v>
      </c>
    </row>
    <row r="6472">
      <c r="A6472" s="62" t="s">
        <v>6610</v>
      </c>
      <c r="B6472" s="63">
        <v>44349.0</v>
      </c>
      <c r="C6472" s="62" t="s">
        <v>119</v>
      </c>
      <c r="D6472" s="64">
        <v>95.0</v>
      </c>
      <c r="E6472" s="62" t="s">
        <v>114</v>
      </c>
      <c r="F6472" s="62" t="s">
        <v>115</v>
      </c>
      <c r="G6472" s="64" t="s">
        <v>64</v>
      </c>
      <c r="H6472" s="3" t="s">
        <v>139</v>
      </c>
      <c r="I6472" s="65">
        <f>IFERROR(VLOOKUP(A6472,'3. Call duration'!$A:$C,3,0),"--")</f>
        <v>32.90697621</v>
      </c>
      <c r="J6472" s="65" t="str">
        <f t="array" ref="J6472">XLOOKUP(H6472,'2. Matching'!$A$2:$A$39,'2. Matching'!$B$2:$B$39,"--")</f>
        <v>Acquisition</v>
      </c>
      <c r="K6472" s="65" t="str">
        <f t="shared" si="1"/>
        <v>In</v>
      </c>
    </row>
    <row r="6473">
      <c r="A6473" s="62" t="s">
        <v>6611</v>
      </c>
      <c r="B6473" s="63">
        <v>44358.0</v>
      </c>
      <c r="C6473" s="62" t="s">
        <v>119</v>
      </c>
      <c r="D6473" s="64">
        <v>95.0</v>
      </c>
      <c r="E6473" s="62" t="s">
        <v>114</v>
      </c>
      <c r="F6473" s="62" t="s">
        <v>115</v>
      </c>
      <c r="G6473" s="64" t="s">
        <v>63</v>
      </c>
      <c r="H6473" s="3" t="s">
        <v>128</v>
      </c>
      <c r="I6473" s="65">
        <f>IFERROR(VLOOKUP(A6473,'3. Call duration'!$A:$C,3,0),"--")</f>
        <v>21.73965771</v>
      </c>
      <c r="J6473" s="65" t="str">
        <f t="array" ref="J6473">XLOOKUP(H6473,'2. Matching'!$A$2:$A$39,'2. Matching'!$B$2:$B$39,"--")</f>
        <v>Acquisition</v>
      </c>
      <c r="K6473" s="65" t="str">
        <f t="shared" si="1"/>
        <v>In</v>
      </c>
    </row>
    <row r="6474">
      <c r="A6474" s="62" t="s">
        <v>6612</v>
      </c>
      <c r="B6474" s="63">
        <v>44377.0</v>
      </c>
      <c r="C6474" s="62" t="s">
        <v>119</v>
      </c>
      <c r="D6474" s="64">
        <v>95.0</v>
      </c>
      <c r="E6474" s="62" t="s">
        <v>114</v>
      </c>
      <c r="F6474" s="62" t="s">
        <v>110</v>
      </c>
      <c r="G6474" s="64" t="s">
        <v>59</v>
      </c>
      <c r="H6474" s="3" t="s">
        <v>68</v>
      </c>
      <c r="I6474" s="65">
        <f>IFERROR(VLOOKUP(A6474,'3. Call duration'!$A:$C,3,0),"--")</f>
        <v>32.18689988</v>
      </c>
      <c r="J6474" s="65" t="str">
        <f t="array" ref="J6474">XLOOKUP(H6474,'2. Matching'!$A$2:$A$39,'2. Matching'!$B$2:$B$39,"--")</f>
        <v>Acquisition</v>
      </c>
      <c r="K6474" s="65" t="str">
        <f t="shared" si="1"/>
        <v>In</v>
      </c>
    </row>
    <row r="6475">
      <c r="A6475" s="62" t="s">
        <v>6613</v>
      </c>
      <c r="B6475" s="63">
        <v>44341.0</v>
      </c>
      <c r="C6475" s="62" t="s">
        <v>112</v>
      </c>
      <c r="D6475" s="64">
        <v>0.0</v>
      </c>
      <c r="E6475" s="62" t="s">
        <v>114</v>
      </c>
      <c r="F6475" s="62" t="s">
        <v>115</v>
      </c>
      <c r="G6475" s="64" t="s">
        <v>64</v>
      </c>
      <c r="H6475" s="3" t="s">
        <v>139</v>
      </c>
      <c r="I6475" s="65" t="str">
        <f>IFERROR(VLOOKUP(A6475,'3. Call duration'!$A:$C,3,0),"--")</f>
        <v>--</v>
      </c>
      <c r="J6475" s="65" t="str">
        <f t="array" ref="J6475">XLOOKUP(H6475,'2. Matching'!$A$2:$A$39,'2. Matching'!$B$2:$B$39,"--")</f>
        <v>Acquisition</v>
      </c>
      <c r="K6475" s="65" t="str">
        <f t="shared" si="1"/>
        <v>In</v>
      </c>
    </row>
    <row r="6476">
      <c r="A6476" s="62" t="s">
        <v>6614</v>
      </c>
      <c r="B6476" s="63">
        <v>44334.0</v>
      </c>
      <c r="C6476" s="62" t="s">
        <v>112</v>
      </c>
      <c r="D6476" s="64">
        <v>0.0</v>
      </c>
      <c r="E6476" s="62" t="s">
        <v>109</v>
      </c>
      <c r="F6476" s="62" t="s">
        <v>110</v>
      </c>
      <c r="G6476" s="64" t="s">
        <v>64</v>
      </c>
      <c r="H6476" s="3" t="s">
        <v>171</v>
      </c>
      <c r="I6476" s="65" t="str">
        <f>IFERROR(VLOOKUP(A6476,'3. Call duration'!$A:$C,3,0),"--")</f>
        <v>--</v>
      </c>
      <c r="J6476" s="65" t="str">
        <f t="array" ref="J6476">XLOOKUP(H6476,'2. Matching'!$A$2:$A$39,'2. Matching'!$B$2:$B$39,"--")</f>
        <v>SEO</v>
      </c>
      <c r="K6476" s="65" t="str">
        <f t="shared" si="1"/>
        <v>In</v>
      </c>
    </row>
    <row r="6477">
      <c r="A6477" s="62" t="s">
        <v>6615</v>
      </c>
      <c r="B6477" s="63">
        <v>44351.0</v>
      </c>
      <c r="C6477" s="62" t="s">
        <v>119</v>
      </c>
      <c r="D6477" s="64">
        <v>95.0</v>
      </c>
      <c r="E6477" s="62" t="s">
        <v>114</v>
      </c>
      <c r="F6477" s="62" t="s">
        <v>110</v>
      </c>
      <c r="G6477" s="64" t="s">
        <v>63</v>
      </c>
      <c r="H6477" s="3" t="s">
        <v>128</v>
      </c>
      <c r="I6477" s="65">
        <f>IFERROR(VLOOKUP(A6477,'3. Call duration'!$A:$C,3,0),"--")</f>
        <v>33.62028809</v>
      </c>
      <c r="J6477" s="65" t="str">
        <f t="array" ref="J6477">XLOOKUP(H6477,'2. Matching'!$A$2:$A$39,'2. Matching'!$B$2:$B$39,"--")</f>
        <v>Acquisition</v>
      </c>
      <c r="K6477" s="65" t="str">
        <f t="shared" si="1"/>
        <v>In</v>
      </c>
    </row>
    <row r="6478">
      <c r="A6478" s="62" t="s">
        <v>6616</v>
      </c>
      <c r="B6478" s="63">
        <v>44372.0</v>
      </c>
      <c r="C6478" s="62" t="s">
        <v>119</v>
      </c>
      <c r="D6478" s="64">
        <v>95.0</v>
      </c>
      <c r="E6478" s="62" t="s">
        <v>114</v>
      </c>
      <c r="F6478" s="62" t="s">
        <v>115</v>
      </c>
      <c r="G6478" s="64" t="s">
        <v>63</v>
      </c>
      <c r="H6478" s="3" t="s">
        <v>189</v>
      </c>
      <c r="I6478" s="65">
        <f>IFERROR(VLOOKUP(A6478,'3. Call duration'!$A:$C,3,0),"--")</f>
        <v>29.60176343</v>
      </c>
      <c r="J6478" s="65" t="str">
        <f t="array" ref="J6478">XLOOKUP(H6478,'2. Matching'!$A$2:$A$39,'2. Matching'!$B$2:$B$39,"--")</f>
        <v>SEO</v>
      </c>
      <c r="K6478" s="65" t="str">
        <f t="shared" si="1"/>
        <v>Out</v>
      </c>
    </row>
    <row r="6479">
      <c r="A6479" s="62" t="s">
        <v>6617</v>
      </c>
      <c r="B6479" s="63">
        <v>44372.0</v>
      </c>
      <c r="C6479" s="62" t="s">
        <v>119</v>
      </c>
      <c r="D6479" s="64">
        <v>95.0</v>
      </c>
      <c r="E6479" s="62" t="s">
        <v>114</v>
      </c>
      <c r="F6479" s="62" t="s">
        <v>115</v>
      </c>
      <c r="G6479" s="64" t="s">
        <v>59</v>
      </c>
      <c r="H6479" s="3" t="s">
        <v>68</v>
      </c>
      <c r="I6479" s="65">
        <f>IFERROR(VLOOKUP(A6479,'3. Call duration'!$A:$C,3,0),"--")</f>
        <v>21.3819248</v>
      </c>
      <c r="J6479" s="65" t="str">
        <f t="array" ref="J6479">XLOOKUP(H6479,'2. Matching'!$A$2:$A$39,'2. Matching'!$B$2:$B$39,"--")</f>
        <v>Acquisition</v>
      </c>
      <c r="K6479" s="65" t="str">
        <f t="shared" si="1"/>
        <v>In</v>
      </c>
    </row>
    <row r="6480">
      <c r="A6480" s="62" t="s">
        <v>6618</v>
      </c>
      <c r="B6480" s="63">
        <v>44342.0</v>
      </c>
      <c r="C6480" s="62" t="s">
        <v>112</v>
      </c>
      <c r="D6480" s="64">
        <v>0.0</v>
      </c>
      <c r="E6480" s="62" t="s">
        <v>114</v>
      </c>
      <c r="F6480" s="62" t="s">
        <v>110</v>
      </c>
      <c r="G6480" s="64" t="s">
        <v>60</v>
      </c>
      <c r="H6480" s="3" t="s">
        <v>68</v>
      </c>
      <c r="I6480" s="65" t="str">
        <f>IFERROR(VLOOKUP(A6480,'3. Call duration'!$A:$C,3,0),"--")</f>
        <v>--</v>
      </c>
      <c r="J6480" s="65" t="str">
        <f t="array" ref="J6480">XLOOKUP(H6480,'2. Matching'!$A$2:$A$39,'2. Matching'!$B$2:$B$39,"--")</f>
        <v>Acquisition</v>
      </c>
      <c r="K6480" s="65" t="str">
        <f t="shared" si="1"/>
        <v>In</v>
      </c>
    </row>
    <row r="6481">
      <c r="A6481" s="62" t="s">
        <v>6619</v>
      </c>
      <c r="B6481" s="63">
        <v>44327.0</v>
      </c>
      <c r="C6481" s="62" t="s">
        <v>112</v>
      </c>
      <c r="D6481" s="64">
        <v>0.0</v>
      </c>
      <c r="E6481" s="62" t="s">
        <v>109</v>
      </c>
      <c r="F6481" s="62" t="s">
        <v>110</v>
      </c>
      <c r="G6481" s="64" t="s">
        <v>64</v>
      </c>
      <c r="H6481" s="3" t="s">
        <v>175</v>
      </c>
      <c r="I6481" s="65" t="str">
        <f>IFERROR(VLOOKUP(A6481,'3. Call duration'!$A:$C,3,0),"--")</f>
        <v>--</v>
      </c>
      <c r="J6481" s="65" t="str">
        <f t="array" ref="J6481">XLOOKUP(H6481,'2. Matching'!$A$2:$A$39,'2. Matching'!$B$2:$B$39,"--")</f>
        <v>SEO</v>
      </c>
      <c r="K6481" s="65" t="str">
        <f t="shared" si="1"/>
        <v>In</v>
      </c>
    </row>
    <row r="6482">
      <c r="A6482" s="62" t="s">
        <v>6620</v>
      </c>
      <c r="B6482" s="63">
        <v>44350.0</v>
      </c>
      <c r="C6482" s="62" t="s">
        <v>119</v>
      </c>
      <c r="D6482" s="64">
        <v>95.0</v>
      </c>
      <c r="E6482" s="62" t="s">
        <v>114</v>
      </c>
      <c r="F6482" s="62" t="s">
        <v>110</v>
      </c>
      <c r="G6482" s="64" t="s">
        <v>64</v>
      </c>
      <c r="H6482" s="3" t="s">
        <v>139</v>
      </c>
      <c r="I6482" s="65">
        <f>IFERROR(VLOOKUP(A6482,'3. Call duration'!$A:$C,3,0),"--")</f>
        <v>27.06790051</v>
      </c>
      <c r="J6482" s="65" t="str">
        <f t="array" ref="J6482">XLOOKUP(H6482,'2. Matching'!$A$2:$A$39,'2. Matching'!$B$2:$B$39,"--")</f>
        <v>Acquisition</v>
      </c>
      <c r="K6482" s="65" t="str">
        <f t="shared" si="1"/>
        <v>In</v>
      </c>
    </row>
    <row r="6483">
      <c r="A6483" s="62" t="s">
        <v>6621</v>
      </c>
      <c r="B6483" s="63">
        <v>44322.0</v>
      </c>
      <c r="C6483" s="62" t="s">
        <v>112</v>
      </c>
      <c r="D6483" s="64">
        <v>0.0</v>
      </c>
      <c r="E6483" s="62" t="s">
        <v>109</v>
      </c>
      <c r="F6483" s="62" t="s">
        <v>115</v>
      </c>
      <c r="G6483" s="64" t="s">
        <v>64</v>
      </c>
      <c r="H6483" s="3" t="s">
        <v>169</v>
      </c>
      <c r="I6483" s="65" t="str">
        <f>IFERROR(VLOOKUP(A6483,'3. Call duration'!$A:$C,3,0),"--")</f>
        <v>--</v>
      </c>
      <c r="J6483" s="65" t="str">
        <f t="array" ref="J6483">XLOOKUP(H6483,'2. Matching'!$A$2:$A$39,'2. Matching'!$B$2:$B$39,"--")</f>
        <v>SEO</v>
      </c>
      <c r="K6483" s="65" t="str">
        <f t="shared" si="1"/>
        <v>In</v>
      </c>
    </row>
    <row r="6484">
      <c r="A6484" s="62" t="s">
        <v>6622</v>
      </c>
      <c r="B6484" s="63">
        <v>44376.0</v>
      </c>
      <c r="C6484" s="62" t="s">
        <v>119</v>
      </c>
      <c r="D6484" s="64">
        <v>95.0</v>
      </c>
      <c r="E6484" s="62" t="s">
        <v>114</v>
      </c>
      <c r="F6484" s="62" t="s">
        <v>115</v>
      </c>
      <c r="G6484" s="64" t="s">
        <v>63</v>
      </c>
      <c r="H6484" s="3" t="s">
        <v>183</v>
      </c>
      <c r="I6484" s="65">
        <f>IFERROR(VLOOKUP(A6484,'3. Call duration'!$A:$C,3,0),"--")</f>
        <v>27.29273184</v>
      </c>
      <c r="J6484" s="65" t="str">
        <f t="array" ref="J6484">XLOOKUP(H6484,'2. Matching'!$A$2:$A$39,'2. Matching'!$B$2:$B$39,"--")</f>
        <v>SEO</v>
      </c>
      <c r="K6484" s="65" t="str">
        <f t="shared" si="1"/>
        <v>In</v>
      </c>
    </row>
    <row r="6485">
      <c r="A6485" s="62" t="s">
        <v>6623</v>
      </c>
      <c r="B6485" s="63">
        <v>44350.0</v>
      </c>
      <c r="C6485" s="62" t="s">
        <v>119</v>
      </c>
      <c r="D6485" s="64">
        <v>95.0</v>
      </c>
      <c r="E6485" s="62" t="s">
        <v>114</v>
      </c>
      <c r="F6485" s="62" t="s">
        <v>110</v>
      </c>
      <c r="G6485" s="64" t="s">
        <v>60</v>
      </c>
      <c r="H6485" s="3" t="s">
        <v>67</v>
      </c>
      <c r="I6485" s="65">
        <f>IFERROR(VLOOKUP(A6485,'3. Call duration'!$A:$C,3,0),"--")</f>
        <v>14.9517072</v>
      </c>
      <c r="J6485" s="65" t="str">
        <f t="array" ref="J6485">XLOOKUP(H6485,'2. Matching'!$A$2:$A$39,'2. Matching'!$B$2:$B$39,"--")</f>
        <v>Acquisition</v>
      </c>
      <c r="K6485" s="65" t="str">
        <f t="shared" si="1"/>
        <v>In</v>
      </c>
    </row>
    <row r="6486">
      <c r="A6486" s="62" t="s">
        <v>6624</v>
      </c>
      <c r="B6486" s="63">
        <v>44356.0</v>
      </c>
      <c r="C6486" s="62" t="s">
        <v>119</v>
      </c>
      <c r="D6486" s="64">
        <v>95.0</v>
      </c>
      <c r="E6486" s="62" t="s">
        <v>114</v>
      </c>
      <c r="F6486" s="62" t="s">
        <v>115</v>
      </c>
      <c r="G6486" s="64" t="s">
        <v>63</v>
      </c>
      <c r="H6486" s="3" t="s">
        <v>183</v>
      </c>
      <c r="I6486" s="65">
        <f>IFERROR(VLOOKUP(A6486,'3. Call duration'!$A:$C,3,0),"--")</f>
        <v>25.76665448</v>
      </c>
      <c r="J6486" s="65" t="str">
        <f t="array" ref="J6486">XLOOKUP(H6486,'2. Matching'!$A$2:$A$39,'2. Matching'!$B$2:$B$39,"--")</f>
        <v>SEO</v>
      </c>
      <c r="K6486" s="65" t="str">
        <f t="shared" si="1"/>
        <v>In</v>
      </c>
    </row>
    <row r="6487">
      <c r="A6487" s="62" t="s">
        <v>6625</v>
      </c>
      <c r="B6487" s="63">
        <v>44376.0</v>
      </c>
      <c r="C6487" s="62" t="s">
        <v>119</v>
      </c>
      <c r="D6487" s="64">
        <v>95.0</v>
      </c>
      <c r="E6487" s="62" t="s">
        <v>114</v>
      </c>
      <c r="F6487" s="62" t="s">
        <v>115</v>
      </c>
      <c r="G6487" s="64" t="s">
        <v>64</v>
      </c>
      <c r="H6487" s="3" t="s">
        <v>185</v>
      </c>
      <c r="I6487" s="65">
        <f>IFERROR(VLOOKUP(A6487,'3. Call duration'!$A:$C,3,0),"--")</f>
        <v>22.39457344</v>
      </c>
      <c r="J6487" s="65" t="str">
        <f t="array" ref="J6487">XLOOKUP(H6487,'2. Matching'!$A$2:$A$39,'2. Matching'!$B$2:$B$39,"--")</f>
        <v>SEO</v>
      </c>
      <c r="K6487" s="65" t="str">
        <f t="shared" si="1"/>
        <v>In</v>
      </c>
    </row>
    <row r="6488">
      <c r="A6488" s="62" t="s">
        <v>6626</v>
      </c>
      <c r="B6488" s="63">
        <v>44375.0</v>
      </c>
      <c r="C6488" s="62" t="s">
        <v>119</v>
      </c>
      <c r="D6488" s="64">
        <v>95.0</v>
      </c>
      <c r="E6488" s="62" t="s">
        <v>114</v>
      </c>
      <c r="F6488" s="62" t="s">
        <v>115</v>
      </c>
      <c r="G6488" s="64" t="s">
        <v>64</v>
      </c>
      <c r="H6488" s="3" t="s">
        <v>139</v>
      </c>
      <c r="I6488" s="65">
        <f>IFERROR(VLOOKUP(A6488,'3. Call duration'!$A:$C,3,0),"--")</f>
        <v>30.41432943</v>
      </c>
      <c r="J6488" s="65" t="str">
        <f t="array" ref="J6488">XLOOKUP(H6488,'2. Matching'!$A$2:$A$39,'2. Matching'!$B$2:$B$39,"--")</f>
        <v>Acquisition</v>
      </c>
      <c r="K6488" s="65" t="str">
        <f t="shared" si="1"/>
        <v>In</v>
      </c>
    </row>
    <row r="6489">
      <c r="A6489" s="62" t="s">
        <v>6627</v>
      </c>
      <c r="B6489" s="63">
        <v>44365.0</v>
      </c>
      <c r="C6489" s="62" t="s">
        <v>119</v>
      </c>
      <c r="D6489" s="64">
        <v>95.0</v>
      </c>
      <c r="E6489" s="62" t="s">
        <v>114</v>
      </c>
      <c r="F6489" s="62" t="s">
        <v>115</v>
      </c>
      <c r="G6489" s="64" t="s">
        <v>60</v>
      </c>
      <c r="H6489" s="3" t="s">
        <v>68</v>
      </c>
      <c r="I6489" s="65">
        <f>IFERROR(VLOOKUP(A6489,'3. Call duration'!$A:$C,3,0),"--")</f>
        <v>24.55100072</v>
      </c>
      <c r="J6489" s="65" t="str">
        <f t="array" ref="J6489">XLOOKUP(H6489,'2. Matching'!$A$2:$A$39,'2. Matching'!$B$2:$B$39,"--")</f>
        <v>Acquisition</v>
      </c>
      <c r="K6489" s="65" t="str">
        <f t="shared" si="1"/>
        <v>In</v>
      </c>
    </row>
    <row r="6490">
      <c r="A6490" s="62" t="s">
        <v>6628</v>
      </c>
      <c r="B6490" s="63">
        <v>44355.0</v>
      </c>
      <c r="C6490" s="62" t="s">
        <v>119</v>
      </c>
      <c r="D6490" s="64">
        <v>95.0</v>
      </c>
      <c r="E6490" s="62" t="s">
        <v>114</v>
      </c>
      <c r="F6490" s="62" t="s">
        <v>115</v>
      </c>
      <c r="G6490" s="64" t="s">
        <v>60</v>
      </c>
      <c r="H6490" s="3" t="s">
        <v>68</v>
      </c>
      <c r="I6490" s="65" t="str">
        <f>IFERROR(VLOOKUP(A6490,'3. Call duration'!$A:$C,3,0),"--")</f>
        <v>--</v>
      </c>
      <c r="J6490" s="65" t="str">
        <f t="array" ref="J6490">XLOOKUP(H6490,'2. Matching'!$A$2:$A$39,'2. Matching'!$B$2:$B$39,"--")</f>
        <v>Acquisition</v>
      </c>
      <c r="K6490" s="65" t="str">
        <f t="shared" si="1"/>
        <v>In</v>
      </c>
    </row>
    <row r="6491">
      <c r="A6491" s="62" t="s">
        <v>6629</v>
      </c>
      <c r="B6491" s="63">
        <v>44357.0</v>
      </c>
      <c r="C6491" s="62" t="s">
        <v>119</v>
      </c>
      <c r="D6491" s="64">
        <v>95.0</v>
      </c>
      <c r="E6491" s="62" t="s">
        <v>114</v>
      </c>
      <c r="F6491" s="62" t="s">
        <v>115</v>
      </c>
      <c r="G6491" s="64" t="s">
        <v>64</v>
      </c>
      <c r="H6491" s="3" t="s">
        <v>54</v>
      </c>
      <c r="I6491" s="65">
        <f>IFERROR(VLOOKUP(A6491,'3. Call duration'!$A:$C,3,0),"--")</f>
        <v>20.15549133</v>
      </c>
      <c r="J6491" s="65" t="str">
        <f t="array" ref="J6491">XLOOKUP(H6491,'2. Matching'!$A$2:$A$39,'2. Matching'!$B$2:$B$39,"--")</f>
        <v>Partnerships</v>
      </c>
      <c r="K6491" s="65" t="str">
        <f t="shared" si="1"/>
        <v>In</v>
      </c>
    </row>
    <row r="6492">
      <c r="A6492" s="62" t="s">
        <v>6630</v>
      </c>
      <c r="B6492" s="63">
        <v>44355.0</v>
      </c>
      <c r="C6492" s="62" t="s">
        <v>119</v>
      </c>
      <c r="D6492" s="64">
        <v>95.0</v>
      </c>
      <c r="E6492" s="62" t="s">
        <v>114</v>
      </c>
      <c r="F6492" s="62" t="s">
        <v>115</v>
      </c>
      <c r="G6492" s="64" t="s">
        <v>64</v>
      </c>
      <c r="H6492" s="3" t="s">
        <v>169</v>
      </c>
      <c r="I6492" s="65">
        <f>IFERROR(VLOOKUP(A6492,'3. Call duration'!$A:$C,3,0),"--")</f>
        <v>12.29172058</v>
      </c>
      <c r="J6492" s="65" t="str">
        <f t="array" ref="J6492">XLOOKUP(H6492,'2. Matching'!$A$2:$A$39,'2. Matching'!$B$2:$B$39,"--")</f>
        <v>SEO</v>
      </c>
      <c r="K6492" s="65" t="str">
        <f t="shared" si="1"/>
        <v>In</v>
      </c>
    </row>
    <row r="6493">
      <c r="A6493" s="62" t="s">
        <v>6631</v>
      </c>
      <c r="B6493" s="63">
        <v>44345.0</v>
      </c>
      <c r="C6493" s="62" t="s">
        <v>112</v>
      </c>
      <c r="D6493" s="64">
        <v>0.0</v>
      </c>
      <c r="E6493" s="62" t="s">
        <v>109</v>
      </c>
      <c r="F6493" s="62" t="s">
        <v>110</v>
      </c>
      <c r="G6493" s="64" t="s">
        <v>60</v>
      </c>
      <c r="H6493" s="3" t="s">
        <v>67</v>
      </c>
      <c r="I6493" s="65" t="str">
        <f>IFERROR(VLOOKUP(A6493,'3. Call duration'!$A:$C,3,0),"--")</f>
        <v>--</v>
      </c>
      <c r="J6493" s="65" t="str">
        <f t="array" ref="J6493">XLOOKUP(H6493,'2. Matching'!$A$2:$A$39,'2. Matching'!$B$2:$B$39,"--")</f>
        <v>Acquisition</v>
      </c>
      <c r="K6493" s="65" t="str">
        <f t="shared" si="1"/>
        <v>In</v>
      </c>
    </row>
    <row r="6494">
      <c r="A6494" s="62" t="s">
        <v>6632</v>
      </c>
      <c r="B6494" s="63">
        <v>44362.0</v>
      </c>
      <c r="C6494" s="62" t="s">
        <v>119</v>
      </c>
      <c r="D6494" s="64">
        <v>95.0</v>
      </c>
      <c r="E6494" s="62" t="s">
        <v>114</v>
      </c>
      <c r="F6494" s="62" t="s">
        <v>110</v>
      </c>
      <c r="G6494" s="64" t="s">
        <v>64</v>
      </c>
      <c r="H6494" s="3" t="s">
        <v>297</v>
      </c>
      <c r="I6494" s="65" t="str">
        <f>IFERROR(VLOOKUP(A6494,'3. Call duration'!$A:$C,3,0),"--")</f>
        <v>--</v>
      </c>
      <c r="J6494" s="65" t="str">
        <f t="array" ref="J6494">XLOOKUP(H6494,'2. Matching'!$A$2:$A$39,'2. Matching'!$B$2:$B$39,"--")</f>
        <v>Farming</v>
      </c>
      <c r="K6494" s="65" t="str">
        <f t="shared" si="1"/>
        <v>In</v>
      </c>
    </row>
    <row r="6495">
      <c r="A6495" s="62" t="s">
        <v>6633</v>
      </c>
      <c r="B6495" s="63">
        <v>44358.0</v>
      </c>
      <c r="C6495" s="62" t="s">
        <v>119</v>
      </c>
      <c r="D6495" s="64">
        <v>95.0</v>
      </c>
      <c r="E6495" s="62" t="s">
        <v>114</v>
      </c>
      <c r="F6495" s="62" t="s">
        <v>115</v>
      </c>
      <c r="G6495" s="64" t="s">
        <v>64</v>
      </c>
      <c r="H6495" s="3" t="s">
        <v>171</v>
      </c>
      <c r="I6495" s="65">
        <f>IFERROR(VLOOKUP(A6495,'3. Call duration'!$A:$C,3,0),"--")</f>
        <v>11.18443479</v>
      </c>
      <c r="J6495" s="65" t="str">
        <f t="array" ref="J6495">XLOOKUP(H6495,'2. Matching'!$A$2:$A$39,'2. Matching'!$B$2:$B$39,"--")</f>
        <v>SEO</v>
      </c>
      <c r="K6495" s="65" t="str">
        <f t="shared" si="1"/>
        <v>In</v>
      </c>
    </row>
    <row r="6496">
      <c r="A6496" s="62" t="s">
        <v>6634</v>
      </c>
      <c r="B6496" s="63">
        <v>44335.0</v>
      </c>
      <c r="C6496" s="62" t="s">
        <v>112</v>
      </c>
      <c r="D6496" s="64">
        <v>0.0</v>
      </c>
      <c r="E6496" s="62" t="s">
        <v>109</v>
      </c>
      <c r="F6496" s="62" t="s">
        <v>115</v>
      </c>
      <c r="G6496" s="64" t="s">
        <v>59</v>
      </c>
      <c r="H6496" s="3" t="s">
        <v>68</v>
      </c>
      <c r="I6496" s="65" t="str">
        <f>IFERROR(VLOOKUP(A6496,'3. Call duration'!$A:$C,3,0),"--")</f>
        <v>--</v>
      </c>
      <c r="J6496" s="65" t="str">
        <f t="array" ref="J6496">XLOOKUP(H6496,'2. Matching'!$A$2:$A$39,'2. Matching'!$B$2:$B$39,"--")</f>
        <v>Acquisition</v>
      </c>
      <c r="K6496" s="65" t="str">
        <f t="shared" si="1"/>
        <v>In</v>
      </c>
    </row>
    <row r="6497">
      <c r="A6497" s="62" t="s">
        <v>6635</v>
      </c>
      <c r="B6497" s="63">
        <v>44372.0</v>
      </c>
      <c r="C6497" s="62" t="s">
        <v>119</v>
      </c>
      <c r="D6497" s="64">
        <v>95.0</v>
      </c>
      <c r="E6497" s="62" t="s">
        <v>114</v>
      </c>
      <c r="F6497" s="62" t="s">
        <v>115</v>
      </c>
      <c r="G6497" s="64" t="s">
        <v>64</v>
      </c>
      <c r="H6497" s="3" t="s">
        <v>116</v>
      </c>
      <c r="I6497" s="65">
        <f>IFERROR(VLOOKUP(A6497,'3. Call duration'!$A:$C,3,0),"--")</f>
        <v>16.33045218</v>
      </c>
      <c r="J6497" s="65" t="str">
        <f t="array" ref="J6497">XLOOKUP(H6497,'2. Matching'!$A$2:$A$39,'2. Matching'!$B$2:$B$39,"--")</f>
        <v>Acquisition</v>
      </c>
      <c r="K6497" s="65" t="str">
        <f t="shared" si="1"/>
        <v>In</v>
      </c>
    </row>
    <row r="6498">
      <c r="A6498" s="62" t="s">
        <v>6636</v>
      </c>
      <c r="B6498" s="63">
        <v>44336.0</v>
      </c>
      <c r="C6498" s="62" t="s">
        <v>112</v>
      </c>
      <c r="D6498" s="64">
        <v>0.0</v>
      </c>
      <c r="E6498" s="62" t="s">
        <v>109</v>
      </c>
      <c r="F6498" s="62" t="s">
        <v>110</v>
      </c>
      <c r="G6498" s="64" t="s">
        <v>64</v>
      </c>
      <c r="H6498" s="3" t="s">
        <v>52</v>
      </c>
      <c r="I6498" s="65" t="str">
        <f>IFERROR(VLOOKUP(A6498,'3. Call duration'!$A:$C,3,0),"--")</f>
        <v>--</v>
      </c>
      <c r="J6498" s="65" t="str">
        <f t="array" ref="J6498">XLOOKUP(H6498,'2. Matching'!$A$2:$A$39,'2. Matching'!$B$2:$B$39,"--")</f>
        <v>Partnerships</v>
      </c>
      <c r="K6498" s="65" t="str">
        <f t="shared" si="1"/>
        <v>In</v>
      </c>
    </row>
    <row r="6499">
      <c r="A6499" s="62" t="s">
        <v>6637</v>
      </c>
      <c r="B6499" s="63">
        <v>44361.0</v>
      </c>
      <c r="C6499" s="62" t="s">
        <v>119</v>
      </c>
      <c r="D6499" s="64">
        <v>95.0</v>
      </c>
      <c r="E6499" s="62" t="s">
        <v>114</v>
      </c>
      <c r="F6499" s="62" t="s">
        <v>115</v>
      </c>
      <c r="G6499" s="64" t="s">
        <v>64</v>
      </c>
      <c r="H6499" s="3" t="s">
        <v>139</v>
      </c>
      <c r="I6499" s="65">
        <f>IFERROR(VLOOKUP(A6499,'3. Call duration'!$A:$C,3,0),"--")</f>
        <v>30.25319097</v>
      </c>
      <c r="J6499" s="65" t="str">
        <f t="array" ref="J6499">XLOOKUP(H6499,'2. Matching'!$A$2:$A$39,'2. Matching'!$B$2:$B$39,"--")</f>
        <v>Acquisition</v>
      </c>
      <c r="K6499" s="65" t="str">
        <f t="shared" si="1"/>
        <v>In</v>
      </c>
    </row>
    <row r="6500">
      <c r="A6500" s="62" t="s">
        <v>6638</v>
      </c>
      <c r="B6500" s="63">
        <v>44333.0</v>
      </c>
      <c r="C6500" s="62" t="s">
        <v>112</v>
      </c>
      <c r="D6500" s="64">
        <v>0.0</v>
      </c>
      <c r="E6500" s="62" t="s">
        <v>109</v>
      </c>
      <c r="F6500" s="62" t="s">
        <v>110</v>
      </c>
      <c r="G6500" s="64" t="s">
        <v>59</v>
      </c>
      <c r="H6500" s="3" t="s">
        <v>68</v>
      </c>
      <c r="I6500" s="65" t="str">
        <f>IFERROR(VLOOKUP(A6500,'3. Call duration'!$A:$C,3,0),"--")</f>
        <v>--</v>
      </c>
      <c r="J6500" s="65" t="str">
        <f t="array" ref="J6500">XLOOKUP(H6500,'2. Matching'!$A$2:$A$39,'2. Matching'!$B$2:$B$39,"--")</f>
        <v>Acquisition</v>
      </c>
      <c r="K6500" s="65" t="str">
        <f t="shared" si="1"/>
        <v>In</v>
      </c>
    </row>
    <row r="6501">
      <c r="A6501" s="62" t="s">
        <v>6639</v>
      </c>
      <c r="B6501" s="63">
        <v>44370.0</v>
      </c>
      <c r="C6501" s="62" t="s">
        <v>119</v>
      </c>
      <c r="D6501" s="64">
        <v>95.0</v>
      </c>
      <c r="E6501" s="62" t="s">
        <v>114</v>
      </c>
      <c r="F6501" s="62" t="s">
        <v>115</v>
      </c>
      <c r="G6501" s="64" t="s">
        <v>64</v>
      </c>
      <c r="H6501" s="3" t="s">
        <v>139</v>
      </c>
      <c r="I6501" s="65" t="str">
        <f>IFERROR(VLOOKUP(A6501,'3. Call duration'!$A:$C,3,0),"--")</f>
        <v>--</v>
      </c>
      <c r="J6501" s="65" t="str">
        <f t="array" ref="J6501">XLOOKUP(H6501,'2. Matching'!$A$2:$A$39,'2. Matching'!$B$2:$B$39,"--")</f>
        <v>Acquisition</v>
      </c>
      <c r="K6501" s="65" t="str">
        <f t="shared" si="1"/>
        <v>In</v>
      </c>
    </row>
    <row r="6502">
      <c r="A6502" s="62" t="s">
        <v>6640</v>
      </c>
      <c r="B6502" s="63">
        <v>44361.0</v>
      </c>
      <c r="C6502" s="62" t="s">
        <v>119</v>
      </c>
      <c r="D6502" s="64">
        <v>95.0</v>
      </c>
      <c r="E6502" s="62" t="s">
        <v>114</v>
      </c>
      <c r="F6502" s="62" t="s">
        <v>115</v>
      </c>
      <c r="G6502" s="64" t="s">
        <v>64</v>
      </c>
      <c r="H6502" s="3" t="s">
        <v>139</v>
      </c>
      <c r="I6502" s="65">
        <f>IFERROR(VLOOKUP(A6502,'3. Call duration'!$A:$C,3,0),"--")</f>
        <v>24.65689082</v>
      </c>
      <c r="J6502" s="65" t="str">
        <f t="array" ref="J6502">XLOOKUP(H6502,'2. Matching'!$A$2:$A$39,'2. Matching'!$B$2:$B$39,"--")</f>
        <v>Acquisition</v>
      </c>
      <c r="K6502" s="65" t="str">
        <f t="shared" si="1"/>
        <v>In</v>
      </c>
    </row>
    <row r="6503">
      <c r="A6503" s="62" t="s">
        <v>6641</v>
      </c>
      <c r="B6503" s="63">
        <v>44349.0</v>
      </c>
      <c r="C6503" s="62" t="s">
        <v>119</v>
      </c>
      <c r="D6503" s="64">
        <v>95.0</v>
      </c>
      <c r="E6503" s="62" t="s">
        <v>114</v>
      </c>
      <c r="F6503" s="62" t="s">
        <v>110</v>
      </c>
      <c r="G6503" s="64" t="s">
        <v>60</v>
      </c>
      <c r="H6503" s="3" t="s">
        <v>67</v>
      </c>
      <c r="I6503" s="65">
        <f>IFERROR(VLOOKUP(A6503,'3. Call duration'!$A:$C,3,0),"--")</f>
        <v>32.80795588</v>
      </c>
      <c r="J6503" s="65" t="str">
        <f t="array" ref="J6503">XLOOKUP(H6503,'2. Matching'!$A$2:$A$39,'2. Matching'!$B$2:$B$39,"--")</f>
        <v>Acquisition</v>
      </c>
      <c r="K6503" s="65" t="str">
        <f t="shared" si="1"/>
        <v>In</v>
      </c>
    </row>
    <row r="6504">
      <c r="A6504" s="62" t="s">
        <v>6642</v>
      </c>
      <c r="B6504" s="63">
        <v>44327.0</v>
      </c>
      <c r="C6504" s="62" t="s">
        <v>112</v>
      </c>
      <c r="D6504" s="64">
        <v>0.0</v>
      </c>
      <c r="E6504" s="62" t="s">
        <v>109</v>
      </c>
      <c r="F6504" s="62" t="s">
        <v>110</v>
      </c>
      <c r="G6504" s="64" t="s">
        <v>64</v>
      </c>
      <c r="H6504" s="3" t="s">
        <v>49</v>
      </c>
      <c r="I6504" s="65" t="str">
        <f>IFERROR(VLOOKUP(A6504,'3. Call duration'!$A:$C,3,0),"--")</f>
        <v>--</v>
      </c>
      <c r="J6504" s="65" t="str">
        <f t="array" ref="J6504">XLOOKUP(H6504,'2. Matching'!$A$2:$A$39,'2. Matching'!$B$2:$B$39,"--")</f>
        <v>Partnerships</v>
      </c>
      <c r="K6504" s="65" t="str">
        <f t="shared" si="1"/>
        <v>In</v>
      </c>
    </row>
    <row r="6505">
      <c r="A6505" s="62" t="s">
        <v>6643</v>
      </c>
      <c r="B6505" s="63">
        <v>44328.0</v>
      </c>
      <c r="C6505" s="62" t="s">
        <v>112</v>
      </c>
      <c r="D6505" s="64">
        <v>0.0</v>
      </c>
      <c r="E6505" s="62" t="s">
        <v>114</v>
      </c>
      <c r="F6505" s="62" t="s">
        <v>110</v>
      </c>
      <c r="G6505" s="64" t="s">
        <v>62</v>
      </c>
      <c r="H6505" s="3" t="s">
        <v>203</v>
      </c>
      <c r="I6505" s="65" t="str">
        <f>IFERROR(VLOOKUP(A6505,'3. Call duration'!$A:$C,3,0),"--")</f>
        <v>--</v>
      </c>
      <c r="J6505" s="65" t="str">
        <f t="array" ref="J6505">XLOOKUP(H6505,'2. Matching'!$A$2:$A$39,'2. Matching'!$B$2:$B$39,"--")</f>
        <v>Farming</v>
      </c>
      <c r="K6505" s="65" t="str">
        <f t="shared" si="1"/>
        <v>In</v>
      </c>
    </row>
    <row r="6506">
      <c r="A6506" s="62" t="s">
        <v>6644</v>
      </c>
      <c r="B6506" s="63">
        <v>44365.0</v>
      </c>
      <c r="C6506" s="62" t="s">
        <v>119</v>
      </c>
      <c r="D6506" s="64">
        <v>95.0</v>
      </c>
      <c r="E6506" s="62" t="s">
        <v>114</v>
      </c>
      <c r="F6506" s="62" t="s">
        <v>110</v>
      </c>
      <c r="G6506" s="64" t="s">
        <v>59</v>
      </c>
      <c r="H6506" s="3" t="s">
        <v>68</v>
      </c>
      <c r="I6506" s="65">
        <f>IFERROR(VLOOKUP(A6506,'3. Call duration'!$A:$C,3,0),"--")</f>
        <v>21.9694737</v>
      </c>
      <c r="J6506" s="65" t="str">
        <f t="array" ref="J6506">XLOOKUP(H6506,'2. Matching'!$A$2:$A$39,'2. Matching'!$B$2:$B$39,"--")</f>
        <v>Acquisition</v>
      </c>
      <c r="K6506" s="65" t="str">
        <f t="shared" si="1"/>
        <v>In</v>
      </c>
    </row>
    <row r="6507">
      <c r="A6507" s="62" t="s">
        <v>6645</v>
      </c>
      <c r="B6507" s="63">
        <v>44359.0</v>
      </c>
      <c r="C6507" s="62" t="s">
        <v>119</v>
      </c>
      <c r="D6507" s="64">
        <v>95.0</v>
      </c>
      <c r="E6507" s="62" t="s">
        <v>114</v>
      </c>
      <c r="F6507" s="62" t="s">
        <v>110</v>
      </c>
      <c r="G6507" s="64" t="s">
        <v>64</v>
      </c>
      <c r="H6507" s="3" t="s">
        <v>116</v>
      </c>
      <c r="I6507" s="65" t="str">
        <f>IFERROR(VLOOKUP(A6507,'3. Call duration'!$A:$C,3,0),"--")</f>
        <v>--</v>
      </c>
      <c r="J6507" s="65" t="str">
        <f t="array" ref="J6507">XLOOKUP(H6507,'2. Matching'!$A$2:$A$39,'2. Matching'!$B$2:$B$39,"--")</f>
        <v>Acquisition</v>
      </c>
      <c r="K6507" s="65" t="str">
        <f t="shared" si="1"/>
        <v>In</v>
      </c>
    </row>
    <row r="6508">
      <c r="A6508" s="62" t="s">
        <v>6646</v>
      </c>
      <c r="B6508" s="63">
        <v>44369.0</v>
      </c>
      <c r="C6508" s="62" t="s">
        <v>119</v>
      </c>
      <c r="D6508" s="64">
        <v>95.0</v>
      </c>
      <c r="E6508" s="62" t="s">
        <v>114</v>
      </c>
      <c r="F6508" s="62" t="s">
        <v>115</v>
      </c>
      <c r="G6508" s="64" t="s">
        <v>64</v>
      </c>
      <c r="H6508" s="3" t="s">
        <v>139</v>
      </c>
      <c r="I6508" s="65">
        <f>IFERROR(VLOOKUP(A6508,'3. Call duration'!$A:$C,3,0),"--")</f>
        <v>27.14324484</v>
      </c>
      <c r="J6508" s="65" t="str">
        <f t="array" ref="J6508">XLOOKUP(H6508,'2. Matching'!$A$2:$A$39,'2. Matching'!$B$2:$B$39,"--")</f>
        <v>Acquisition</v>
      </c>
      <c r="K6508" s="65" t="str">
        <f t="shared" si="1"/>
        <v>In</v>
      </c>
    </row>
    <row r="6509">
      <c r="A6509" s="62" t="s">
        <v>6647</v>
      </c>
      <c r="B6509" s="63">
        <v>44364.0</v>
      </c>
      <c r="C6509" s="62" t="s">
        <v>119</v>
      </c>
      <c r="D6509" s="64">
        <v>95.0</v>
      </c>
      <c r="E6509" s="62" t="s">
        <v>114</v>
      </c>
      <c r="F6509" s="62" t="s">
        <v>110</v>
      </c>
      <c r="G6509" s="64" t="s">
        <v>63</v>
      </c>
      <c r="H6509" s="3" t="s">
        <v>183</v>
      </c>
      <c r="I6509" s="65">
        <f>IFERROR(VLOOKUP(A6509,'3. Call duration'!$A:$C,3,0),"--")</f>
        <v>27.06999384</v>
      </c>
      <c r="J6509" s="65" t="str">
        <f t="array" ref="J6509">XLOOKUP(H6509,'2. Matching'!$A$2:$A$39,'2. Matching'!$B$2:$B$39,"--")</f>
        <v>SEO</v>
      </c>
      <c r="K6509" s="65" t="str">
        <f t="shared" si="1"/>
        <v>In</v>
      </c>
    </row>
    <row r="6510">
      <c r="A6510" s="62" t="s">
        <v>6648</v>
      </c>
      <c r="B6510" s="63">
        <v>44371.0</v>
      </c>
      <c r="C6510" s="62" t="s">
        <v>119</v>
      </c>
      <c r="D6510" s="64">
        <v>95.0</v>
      </c>
      <c r="E6510" s="62" t="s">
        <v>114</v>
      </c>
      <c r="F6510" s="62" t="s">
        <v>110</v>
      </c>
      <c r="G6510" s="64" t="s">
        <v>60</v>
      </c>
      <c r="H6510" s="3" t="s">
        <v>67</v>
      </c>
      <c r="I6510" s="65">
        <f>IFERROR(VLOOKUP(A6510,'3. Call duration'!$A:$C,3,0),"--")</f>
        <v>25.20991486</v>
      </c>
      <c r="J6510" s="65" t="str">
        <f t="array" ref="J6510">XLOOKUP(H6510,'2. Matching'!$A$2:$A$39,'2. Matching'!$B$2:$B$39,"--")</f>
        <v>Acquisition</v>
      </c>
      <c r="K6510" s="65" t="str">
        <f t="shared" si="1"/>
        <v>In</v>
      </c>
    </row>
    <row r="6511">
      <c r="A6511" s="62" t="s">
        <v>6649</v>
      </c>
      <c r="B6511" s="63">
        <v>44368.0</v>
      </c>
      <c r="C6511" s="62" t="s">
        <v>119</v>
      </c>
      <c r="D6511" s="64">
        <v>95.0</v>
      </c>
      <c r="E6511" s="62" t="s">
        <v>114</v>
      </c>
      <c r="F6511" s="62" t="s">
        <v>115</v>
      </c>
      <c r="G6511" s="64" t="s">
        <v>64</v>
      </c>
      <c r="H6511" s="3" t="s">
        <v>139</v>
      </c>
      <c r="I6511" s="65" t="str">
        <f>IFERROR(VLOOKUP(A6511,'3. Call duration'!$A:$C,3,0),"--")</f>
        <v>--</v>
      </c>
      <c r="J6511" s="65" t="str">
        <f t="array" ref="J6511">XLOOKUP(H6511,'2. Matching'!$A$2:$A$39,'2. Matching'!$B$2:$B$39,"--")</f>
        <v>Acquisition</v>
      </c>
      <c r="K6511" s="65" t="str">
        <f t="shared" si="1"/>
        <v>In</v>
      </c>
    </row>
    <row r="6512">
      <c r="A6512" s="62" t="s">
        <v>6650</v>
      </c>
      <c r="B6512" s="63">
        <v>44377.0</v>
      </c>
      <c r="C6512" s="62" t="s">
        <v>119</v>
      </c>
      <c r="D6512" s="64">
        <v>95.0</v>
      </c>
      <c r="E6512" s="62" t="s">
        <v>114</v>
      </c>
      <c r="F6512" s="62" t="s">
        <v>115</v>
      </c>
      <c r="G6512" s="64" t="s">
        <v>64</v>
      </c>
      <c r="H6512" s="3" t="s">
        <v>55</v>
      </c>
      <c r="I6512" s="65">
        <f>IFERROR(VLOOKUP(A6512,'3. Call duration'!$A:$C,3,0),"--")</f>
        <v>14.31436646</v>
      </c>
      <c r="J6512" s="65" t="str">
        <f t="array" ref="J6512">XLOOKUP(H6512,'2. Matching'!$A$2:$A$39,'2. Matching'!$B$2:$B$39,"--")</f>
        <v>Partnerships</v>
      </c>
      <c r="K6512" s="65" t="str">
        <f t="shared" si="1"/>
        <v>In</v>
      </c>
    </row>
    <row r="6513">
      <c r="A6513" s="62" t="s">
        <v>6651</v>
      </c>
      <c r="B6513" s="63">
        <v>44337.0</v>
      </c>
      <c r="C6513" s="62" t="s">
        <v>112</v>
      </c>
      <c r="D6513" s="64">
        <v>0.0</v>
      </c>
      <c r="E6513" s="62" t="s">
        <v>109</v>
      </c>
      <c r="F6513" s="62" t="s">
        <v>115</v>
      </c>
      <c r="G6513" s="64" t="s">
        <v>63</v>
      </c>
      <c r="H6513" s="3" t="s">
        <v>128</v>
      </c>
      <c r="I6513" s="65" t="str">
        <f>IFERROR(VLOOKUP(A6513,'3. Call duration'!$A:$C,3,0),"--")</f>
        <v>--</v>
      </c>
      <c r="J6513" s="65" t="str">
        <f t="array" ref="J6513">XLOOKUP(H6513,'2. Matching'!$A$2:$A$39,'2. Matching'!$B$2:$B$39,"--")</f>
        <v>Acquisition</v>
      </c>
      <c r="K6513" s="65" t="str">
        <f t="shared" si="1"/>
        <v>In</v>
      </c>
    </row>
    <row r="6514">
      <c r="A6514" s="62" t="s">
        <v>6652</v>
      </c>
      <c r="B6514" s="63">
        <v>44328.0</v>
      </c>
      <c r="C6514" s="62" t="s">
        <v>112</v>
      </c>
      <c r="D6514" s="64">
        <v>0.0</v>
      </c>
      <c r="E6514" s="62" t="s">
        <v>114</v>
      </c>
      <c r="F6514" s="62" t="s">
        <v>110</v>
      </c>
      <c r="G6514" s="64" t="s">
        <v>63</v>
      </c>
      <c r="H6514" s="3" t="s">
        <v>189</v>
      </c>
      <c r="I6514" s="65" t="str">
        <f>IFERROR(VLOOKUP(A6514,'3. Call duration'!$A:$C,3,0),"--")</f>
        <v>--</v>
      </c>
      <c r="J6514" s="65" t="str">
        <f t="array" ref="J6514">XLOOKUP(H6514,'2. Matching'!$A$2:$A$39,'2. Matching'!$B$2:$B$39,"--")</f>
        <v>SEO</v>
      </c>
      <c r="K6514" s="65" t="str">
        <f t="shared" si="1"/>
        <v>Out</v>
      </c>
    </row>
    <row r="6515">
      <c r="A6515" s="62" t="s">
        <v>6653</v>
      </c>
      <c r="B6515" s="63">
        <v>44377.0</v>
      </c>
      <c r="C6515" s="62" t="s">
        <v>119</v>
      </c>
      <c r="D6515" s="64">
        <v>95.0</v>
      </c>
      <c r="E6515" s="62" t="s">
        <v>114</v>
      </c>
      <c r="F6515" s="62" t="s">
        <v>110</v>
      </c>
      <c r="G6515" s="64" t="s">
        <v>60</v>
      </c>
      <c r="H6515" s="3" t="s">
        <v>67</v>
      </c>
      <c r="I6515" s="65">
        <f>IFERROR(VLOOKUP(A6515,'3. Call duration'!$A:$C,3,0),"--")</f>
        <v>15.08739433</v>
      </c>
      <c r="J6515" s="65" t="str">
        <f t="array" ref="J6515">XLOOKUP(H6515,'2. Matching'!$A$2:$A$39,'2. Matching'!$B$2:$B$39,"--")</f>
        <v>Acquisition</v>
      </c>
      <c r="K6515" s="65" t="str">
        <f t="shared" si="1"/>
        <v>In</v>
      </c>
    </row>
    <row r="6516">
      <c r="A6516" s="62" t="s">
        <v>6654</v>
      </c>
      <c r="B6516" s="63">
        <v>44333.0</v>
      </c>
      <c r="C6516" s="62" t="s">
        <v>112</v>
      </c>
      <c r="D6516" s="64">
        <v>0.0</v>
      </c>
      <c r="E6516" s="62" t="s">
        <v>109</v>
      </c>
      <c r="F6516" s="62" t="s">
        <v>115</v>
      </c>
      <c r="G6516" s="64" t="s">
        <v>63</v>
      </c>
      <c r="H6516" s="3" t="s">
        <v>189</v>
      </c>
      <c r="I6516" s="65" t="str">
        <f>IFERROR(VLOOKUP(A6516,'3. Call duration'!$A:$C,3,0),"--")</f>
        <v>--</v>
      </c>
      <c r="J6516" s="65" t="str">
        <f t="array" ref="J6516">XLOOKUP(H6516,'2. Matching'!$A$2:$A$39,'2. Matching'!$B$2:$B$39,"--")</f>
        <v>SEO</v>
      </c>
      <c r="K6516" s="65" t="str">
        <f t="shared" si="1"/>
        <v>Out</v>
      </c>
    </row>
    <row r="6517">
      <c r="A6517" s="62" t="s">
        <v>6655</v>
      </c>
      <c r="B6517" s="63">
        <v>44328.0</v>
      </c>
      <c r="C6517" s="62" t="s">
        <v>112</v>
      </c>
      <c r="D6517" s="64">
        <v>0.0</v>
      </c>
      <c r="E6517" s="62" t="s">
        <v>109</v>
      </c>
      <c r="F6517" s="62" t="s">
        <v>110</v>
      </c>
      <c r="G6517" s="64" t="s">
        <v>64</v>
      </c>
      <c r="H6517" s="3" t="s">
        <v>116</v>
      </c>
      <c r="I6517" s="65" t="str">
        <f>IFERROR(VLOOKUP(A6517,'3. Call duration'!$A:$C,3,0),"--")</f>
        <v>--</v>
      </c>
      <c r="J6517" s="65" t="str">
        <f t="array" ref="J6517">XLOOKUP(H6517,'2. Matching'!$A$2:$A$39,'2. Matching'!$B$2:$B$39,"--")</f>
        <v>Acquisition</v>
      </c>
      <c r="K6517" s="65" t="str">
        <f t="shared" si="1"/>
        <v>In</v>
      </c>
    </row>
    <row r="6518">
      <c r="A6518" s="62" t="s">
        <v>6656</v>
      </c>
      <c r="B6518" s="63">
        <v>44356.0</v>
      </c>
      <c r="C6518" s="62" t="s">
        <v>119</v>
      </c>
      <c r="D6518" s="64">
        <v>95.0</v>
      </c>
      <c r="E6518" s="62" t="s">
        <v>114</v>
      </c>
      <c r="F6518" s="62" t="s">
        <v>110</v>
      </c>
      <c r="G6518" s="64" t="s">
        <v>60</v>
      </c>
      <c r="H6518" s="3" t="s">
        <v>67</v>
      </c>
      <c r="I6518" s="65">
        <f>IFERROR(VLOOKUP(A6518,'3. Call duration'!$A:$C,3,0),"--")</f>
        <v>34.5596374</v>
      </c>
      <c r="J6518" s="65" t="str">
        <f t="array" ref="J6518">XLOOKUP(H6518,'2. Matching'!$A$2:$A$39,'2. Matching'!$B$2:$B$39,"--")</f>
        <v>Acquisition</v>
      </c>
      <c r="K6518" s="65" t="str">
        <f t="shared" si="1"/>
        <v>In</v>
      </c>
    </row>
    <row r="6519">
      <c r="A6519" s="62" t="s">
        <v>6657</v>
      </c>
      <c r="B6519" s="63">
        <v>44361.0</v>
      </c>
      <c r="C6519" s="62" t="s">
        <v>119</v>
      </c>
      <c r="D6519" s="64">
        <v>95.0</v>
      </c>
      <c r="E6519" s="62" t="s">
        <v>114</v>
      </c>
      <c r="F6519" s="62" t="s">
        <v>115</v>
      </c>
      <c r="G6519" s="64" t="s">
        <v>63</v>
      </c>
      <c r="H6519" s="3" t="s">
        <v>189</v>
      </c>
      <c r="I6519" s="65">
        <f>IFERROR(VLOOKUP(A6519,'3. Call duration'!$A:$C,3,0),"--")</f>
        <v>14.58769349</v>
      </c>
      <c r="J6519" s="65" t="str">
        <f t="array" ref="J6519">XLOOKUP(H6519,'2. Matching'!$A$2:$A$39,'2. Matching'!$B$2:$B$39,"--")</f>
        <v>SEO</v>
      </c>
      <c r="K6519" s="65" t="str">
        <f t="shared" si="1"/>
        <v>Out</v>
      </c>
    </row>
    <row r="6520">
      <c r="A6520" s="62" t="s">
        <v>6658</v>
      </c>
      <c r="B6520" s="63">
        <v>44348.0</v>
      </c>
      <c r="C6520" s="62" t="s">
        <v>119</v>
      </c>
      <c r="D6520" s="64">
        <v>95.0</v>
      </c>
      <c r="E6520" s="62" t="s">
        <v>114</v>
      </c>
      <c r="F6520" s="62" t="s">
        <v>115</v>
      </c>
      <c r="G6520" s="64" t="s">
        <v>63</v>
      </c>
      <c r="H6520" s="3" t="s">
        <v>189</v>
      </c>
      <c r="I6520" s="65">
        <f>IFERROR(VLOOKUP(A6520,'3. Call duration'!$A:$C,3,0),"--")</f>
        <v>31.60169607</v>
      </c>
      <c r="J6520" s="65" t="str">
        <f t="array" ref="J6520">XLOOKUP(H6520,'2. Matching'!$A$2:$A$39,'2. Matching'!$B$2:$B$39,"--")</f>
        <v>SEO</v>
      </c>
      <c r="K6520" s="65" t="str">
        <f t="shared" si="1"/>
        <v>Out</v>
      </c>
    </row>
    <row r="6521">
      <c r="A6521" s="62" t="s">
        <v>6659</v>
      </c>
      <c r="B6521" s="63">
        <v>44363.0</v>
      </c>
      <c r="C6521" s="62" t="s">
        <v>119</v>
      </c>
      <c r="D6521" s="64">
        <v>95.0</v>
      </c>
      <c r="E6521" s="62" t="s">
        <v>114</v>
      </c>
      <c r="F6521" s="62" t="s">
        <v>115</v>
      </c>
      <c r="G6521" s="64" t="s">
        <v>64</v>
      </c>
      <c r="H6521" s="3" t="s">
        <v>55</v>
      </c>
      <c r="I6521" s="65">
        <f>IFERROR(VLOOKUP(A6521,'3. Call duration'!$A:$C,3,0),"--")</f>
        <v>23.01934445</v>
      </c>
      <c r="J6521" s="65" t="str">
        <f t="array" ref="J6521">XLOOKUP(H6521,'2. Matching'!$A$2:$A$39,'2. Matching'!$B$2:$B$39,"--")</f>
        <v>Partnerships</v>
      </c>
      <c r="K6521" s="65" t="str">
        <f t="shared" si="1"/>
        <v>In</v>
      </c>
    </row>
    <row r="6522">
      <c r="A6522" s="62" t="s">
        <v>6660</v>
      </c>
      <c r="B6522" s="63">
        <v>44324.0</v>
      </c>
      <c r="C6522" s="62" t="s">
        <v>112</v>
      </c>
      <c r="D6522" s="64">
        <v>0.0</v>
      </c>
      <c r="E6522" s="62" t="s">
        <v>109</v>
      </c>
      <c r="F6522" s="62" t="s">
        <v>110</v>
      </c>
      <c r="G6522" s="64" t="s">
        <v>64</v>
      </c>
      <c r="H6522" s="3" t="s">
        <v>52</v>
      </c>
      <c r="I6522" s="65" t="str">
        <f>IFERROR(VLOOKUP(A6522,'3. Call duration'!$A:$C,3,0),"--")</f>
        <v>--</v>
      </c>
      <c r="J6522" s="65" t="str">
        <f t="array" ref="J6522">XLOOKUP(H6522,'2. Matching'!$A$2:$A$39,'2. Matching'!$B$2:$B$39,"--")</f>
        <v>Partnerships</v>
      </c>
      <c r="K6522" s="65" t="str">
        <f t="shared" si="1"/>
        <v>In</v>
      </c>
    </row>
    <row r="6523">
      <c r="A6523" s="62" t="s">
        <v>6661</v>
      </c>
      <c r="B6523" s="63">
        <v>44357.0</v>
      </c>
      <c r="C6523" s="62" t="s">
        <v>119</v>
      </c>
      <c r="D6523" s="64">
        <v>95.0</v>
      </c>
      <c r="E6523" s="62" t="s">
        <v>114</v>
      </c>
      <c r="F6523" s="62" t="s">
        <v>110</v>
      </c>
      <c r="G6523" s="64" t="s">
        <v>64</v>
      </c>
      <c r="H6523" s="3" t="s">
        <v>297</v>
      </c>
      <c r="I6523" s="65">
        <f>IFERROR(VLOOKUP(A6523,'3. Call duration'!$A:$C,3,0),"--")</f>
        <v>28.90962482</v>
      </c>
      <c r="J6523" s="65" t="str">
        <f t="array" ref="J6523">XLOOKUP(H6523,'2. Matching'!$A$2:$A$39,'2. Matching'!$B$2:$B$39,"--")</f>
        <v>Farming</v>
      </c>
      <c r="K6523" s="65" t="str">
        <f t="shared" si="1"/>
        <v>In</v>
      </c>
    </row>
    <row r="6524">
      <c r="A6524" s="62" t="s">
        <v>6662</v>
      </c>
      <c r="B6524" s="63">
        <v>44355.0</v>
      </c>
      <c r="C6524" s="62" t="s">
        <v>119</v>
      </c>
      <c r="D6524" s="64">
        <v>95.0</v>
      </c>
      <c r="E6524" s="62" t="s">
        <v>114</v>
      </c>
      <c r="F6524" s="62" t="s">
        <v>110</v>
      </c>
      <c r="G6524" s="64" t="s">
        <v>59</v>
      </c>
      <c r="H6524" s="3" t="s">
        <v>68</v>
      </c>
      <c r="I6524" s="65" t="str">
        <f>IFERROR(VLOOKUP(A6524,'3. Call duration'!$A:$C,3,0),"--")</f>
        <v>--</v>
      </c>
      <c r="J6524" s="65" t="str">
        <f t="array" ref="J6524">XLOOKUP(H6524,'2. Matching'!$A$2:$A$39,'2. Matching'!$B$2:$B$39,"--")</f>
        <v>Acquisition</v>
      </c>
      <c r="K6524" s="65" t="str">
        <f t="shared" si="1"/>
        <v>In</v>
      </c>
    </row>
    <row r="6525">
      <c r="A6525" s="62" t="s">
        <v>6663</v>
      </c>
      <c r="B6525" s="63">
        <v>44321.0</v>
      </c>
      <c r="C6525" s="62" t="s">
        <v>112</v>
      </c>
      <c r="D6525" s="64">
        <v>0.0</v>
      </c>
      <c r="E6525" s="62" t="s">
        <v>109</v>
      </c>
      <c r="F6525" s="62" t="s">
        <v>115</v>
      </c>
      <c r="G6525" s="64" t="s">
        <v>112</v>
      </c>
      <c r="H6525" s="3" t="s">
        <v>51</v>
      </c>
      <c r="I6525" s="65" t="str">
        <f>IFERROR(VLOOKUP(A6525,'3. Call duration'!$A:$C,3,0),"--")</f>
        <v>--</v>
      </c>
      <c r="J6525" s="65" t="str">
        <f t="array" ref="J6525">XLOOKUP(H6525,'2. Matching'!$A$2:$A$39,'2. Matching'!$B$2:$B$39,"--")</f>
        <v>Partnerships</v>
      </c>
      <c r="K6525" s="65" t="str">
        <f t="shared" si="1"/>
        <v>In</v>
      </c>
    </row>
    <row r="6526">
      <c r="A6526" s="62" t="s">
        <v>6664</v>
      </c>
      <c r="B6526" s="63">
        <v>44357.0</v>
      </c>
      <c r="C6526" s="62" t="s">
        <v>119</v>
      </c>
      <c r="D6526" s="64">
        <v>95.0</v>
      </c>
      <c r="E6526" s="62" t="s">
        <v>114</v>
      </c>
      <c r="F6526" s="62" t="s">
        <v>110</v>
      </c>
      <c r="G6526" s="64" t="s">
        <v>60</v>
      </c>
      <c r="H6526" s="3" t="s">
        <v>67</v>
      </c>
      <c r="I6526" s="65">
        <f>IFERROR(VLOOKUP(A6526,'3. Call duration'!$A:$C,3,0),"--")</f>
        <v>47.39308979</v>
      </c>
      <c r="J6526" s="65" t="str">
        <f t="array" ref="J6526">XLOOKUP(H6526,'2. Matching'!$A$2:$A$39,'2. Matching'!$B$2:$B$39,"--")</f>
        <v>Acquisition</v>
      </c>
      <c r="K6526" s="65" t="str">
        <f t="shared" si="1"/>
        <v>In</v>
      </c>
    </row>
    <row r="6527">
      <c r="A6527" s="62" t="s">
        <v>6665</v>
      </c>
      <c r="B6527" s="63">
        <v>44336.0</v>
      </c>
      <c r="C6527" s="62" t="s">
        <v>112</v>
      </c>
      <c r="D6527" s="64">
        <v>0.0</v>
      </c>
      <c r="E6527" s="62" t="s">
        <v>109</v>
      </c>
      <c r="F6527" s="62" t="s">
        <v>115</v>
      </c>
      <c r="G6527" s="64" t="s">
        <v>60</v>
      </c>
      <c r="H6527" s="3" t="s">
        <v>68</v>
      </c>
      <c r="I6527" s="65" t="str">
        <f>IFERROR(VLOOKUP(A6527,'3. Call duration'!$A:$C,3,0),"--")</f>
        <v>--</v>
      </c>
      <c r="J6527" s="65" t="str">
        <f t="array" ref="J6527">XLOOKUP(H6527,'2. Matching'!$A$2:$A$39,'2. Matching'!$B$2:$B$39,"--")</f>
        <v>Acquisition</v>
      </c>
      <c r="K6527" s="65" t="str">
        <f t="shared" si="1"/>
        <v>In</v>
      </c>
    </row>
    <row r="6528">
      <c r="A6528" s="62" t="s">
        <v>6666</v>
      </c>
      <c r="B6528" s="63">
        <v>44344.0</v>
      </c>
      <c r="C6528" s="62" t="s">
        <v>112</v>
      </c>
      <c r="D6528" s="64">
        <v>0.0</v>
      </c>
      <c r="E6528" s="62" t="s">
        <v>109</v>
      </c>
      <c r="F6528" s="62" t="s">
        <v>110</v>
      </c>
      <c r="G6528" s="64" t="s">
        <v>60</v>
      </c>
      <c r="H6528" s="3" t="s">
        <v>67</v>
      </c>
      <c r="I6528" s="65" t="str">
        <f>IFERROR(VLOOKUP(A6528,'3. Call duration'!$A:$C,3,0),"--")</f>
        <v>--</v>
      </c>
      <c r="J6528" s="65" t="str">
        <f t="array" ref="J6528">XLOOKUP(H6528,'2. Matching'!$A$2:$A$39,'2. Matching'!$B$2:$B$39,"--")</f>
        <v>Acquisition</v>
      </c>
      <c r="K6528" s="65" t="str">
        <f t="shared" si="1"/>
        <v>In</v>
      </c>
    </row>
    <row r="6529">
      <c r="A6529" s="62" t="s">
        <v>6667</v>
      </c>
      <c r="B6529" s="63">
        <v>44344.0</v>
      </c>
      <c r="C6529" s="62" t="s">
        <v>112</v>
      </c>
      <c r="D6529" s="64">
        <v>0.0</v>
      </c>
      <c r="E6529" s="62" t="s">
        <v>109</v>
      </c>
      <c r="F6529" s="62" t="s">
        <v>110</v>
      </c>
      <c r="G6529" s="64" t="s">
        <v>60</v>
      </c>
      <c r="H6529" s="3" t="s">
        <v>67</v>
      </c>
      <c r="I6529" s="65" t="str">
        <f>IFERROR(VLOOKUP(A6529,'3. Call duration'!$A:$C,3,0),"--")</f>
        <v>--</v>
      </c>
      <c r="J6529" s="65" t="str">
        <f t="array" ref="J6529">XLOOKUP(H6529,'2. Matching'!$A$2:$A$39,'2. Matching'!$B$2:$B$39,"--")</f>
        <v>Acquisition</v>
      </c>
      <c r="K6529" s="65" t="str">
        <f t="shared" si="1"/>
        <v>In</v>
      </c>
    </row>
    <row r="6530">
      <c r="A6530" s="62" t="s">
        <v>6668</v>
      </c>
      <c r="B6530" s="63">
        <v>44357.0</v>
      </c>
      <c r="C6530" s="62" t="s">
        <v>119</v>
      </c>
      <c r="D6530" s="64">
        <v>95.0</v>
      </c>
      <c r="E6530" s="62" t="s">
        <v>114</v>
      </c>
      <c r="F6530" s="62" t="s">
        <v>115</v>
      </c>
      <c r="G6530" s="64" t="s">
        <v>60</v>
      </c>
      <c r="H6530" s="3" t="s">
        <v>67</v>
      </c>
      <c r="I6530" s="65">
        <f>IFERROR(VLOOKUP(A6530,'3. Call duration'!$A:$C,3,0),"--")</f>
        <v>28.46935363</v>
      </c>
      <c r="J6530" s="65" t="str">
        <f t="array" ref="J6530">XLOOKUP(H6530,'2. Matching'!$A$2:$A$39,'2. Matching'!$B$2:$B$39,"--")</f>
        <v>Acquisition</v>
      </c>
      <c r="K6530" s="65" t="str">
        <f t="shared" si="1"/>
        <v>In</v>
      </c>
    </row>
    <row r="6531">
      <c r="A6531" s="62" t="s">
        <v>6669</v>
      </c>
      <c r="B6531" s="63">
        <v>44356.0</v>
      </c>
      <c r="C6531" s="62" t="s">
        <v>119</v>
      </c>
      <c r="D6531" s="64">
        <v>95.0</v>
      </c>
      <c r="E6531" s="62" t="s">
        <v>114</v>
      </c>
      <c r="F6531" s="62" t="s">
        <v>110</v>
      </c>
      <c r="G6531" s="64" t="s">
        <v>60</v>
      </c>
      <c r="H6531" s="3" t="s">
        <v>67</v>
      </c>
      <c r="I6531" s="65">
        <f>IFERROR(VLOOKUP(A6531,'3. Call duration'!$A:$C,3,0),"--")</f>
        <v>30.48294172</v>
      </c>
      <c r="J6531" s="65" t="str">
        <f t="array" ref="J6531">XLOOKUP(H6531,'2. Matching'!$A$2:$A$39,'2. Matching'!$B$2:$B$39,"--")</f>
        <v>Acquisition</v>
      </c>
      <c r="K6531" s="65" t="str">
        <f t="shared" si="1"/>
        <v>In</v>
      </c>
    </row>
    <row r="6532">
      <c r="A6532" s="62" t="s">
        <v>6670</v>
      </c>
      <c r="B6532" s="63">
        <v>44354.0</v>
      </c>
      <c r="C6532" s="62" t="s">
        <v>119</v>
      </c>
      <c r="D6532" s="64">
        <v>95.0</v>
      </c>
      <c r="E6532" s="62" t="s">
        <v>114</v>
      </c>
      <c r="F6532" s="62" t="s">
        <v>110</v>
      </c>
      <c r="G6532" s="64" t="s">
        <v>64</v>
      </c>
      <c r="H6532" s="3" t="s">
        <v>297</v>
      </c>
      <c r="I6532" s="65">
        <f>IFERROR(VLOOKUP(A6532,'3. Call duration'!$A:$C,3,0),"--")</f>
        <v>22.84966129</v>
      </c>
      <c r="J6532" s="65" t="str">
        <f t="array" ref="J6532">XLOOKUP(H6532,'2. Matching'!$A$2:$A$39,'2. Matching'!$B$2:$B$39,"--")</f>
        <v>Farming</v>
      </c>
      <c r="K6532" s="65" t="str">
        <f t="shared" si="1"/>
        <v>In</v>
      </c>
    </row>
    <row r="6533">
      <c r="A6533" s="62" t="s">
        <v>6671</v>
      </c>
      <c r="B6533" s="63">
        <v>44324.0</v>
      </c>
      <c r="C6533" s="62" t="s">
        <v>112</v>
      </c>
      <c r="D6533" s="64">
        <v>0.0</v>
      </c>
      <c r="E6533" s="62" t="s">
        <v>114</v>
      </c>
      <c r="F6533" s="62" t="s">
        <v>115</v>
      </c>
      <c r="G6533" s="64" t="s">
        <v>64</v>
      </c>
      <c r="H6533" s="3" t="s">
        <v>169</v>
      </c>
      <c r="I6533" s="65" t="str">
        <f>IFERROR(VLOOKUP(A6533,'3. Call duration'!$A:$C,3,0),"--")</f>
        <v>--</v>
      </c>
      <c r="J6533" s="65" t="str">
        <f t="array" ref="J6533">XLOOKUP(H6533,'2. Matching'!$A$2:$A$39,'2. Matching'!$B$2:$B$39,"--")</f>
        <v>SEO</v>
      </c>
      <c r="K6533" s="65" t="str">
        <f t="shared" si="1"/>
        <v>In</v>
      </c>
    </row>
    <row r="6534">
      <c r="A6534" s="62" t="s">
        <v>6672</v>
      </c>
      <c r="B6534" s="63">
        <v>44344.0</v>
      </c>
      <c r="C6534" s="62" t="s">
        <v>112</v>
      </c>
      <c r="D6534" s="64">
        <v>0.0</v>
      </c>
      <c r="E6534" s="62" t="s">
        <v>109</v>
      </c>
      <c r="F6534" s="62" t="s">
        <v>110</v>
      </c>
      <c r="G6534" s="64" t="s">
        <v>64</v>
      </c>
      <c r="H6534" s="3" t="s">
        <v>55</v>
      </c>
      <c r="I6534" s="65" t="str">
        <f>IFERROR(VLOOKUP(A6534,'3. Call duration'!$A:$C,3,0),"--")</f>
        <v>--</v>
      </c>
      <c r="J6534" s="65" t="str">
        <f t="array" ref="J6534">XLOOKUP(H6534,'2. Matching'!$A$2:$A$39,'2. Matching'!$B$2:$B$39,"--")</f>
        <v>Partnerships</v>
      </c>
      <c r="K6534" s="65" t="str">
        <f t="shared" si="1"/>
        <v>In</v>
      </c>
    </row>
    <row r="6535">
      <c r="A6535" s="62" t="s">
        <v>6673</v>
      </c>
      <c r="B6535" s="63">
        <v>44344.0</v>
      </c>
      <c r="C6535" s="62" t="s">
        <v>112</v>
      </c>
      <c r="D6535" s="64">
        <v>0.0</v>
      </c>
      <c r="E6535" s="62" t="s">
        <v>109</v>
      </c>
      <c r="F6535" s="62" t="s">
        <v>115</v>
      </c>
      <c r="G6535" s="64" t="s">
        <v>64</v>
      </c>
      <c r="H6535" s="3" t="s">
        <v>145</v>
      </c>
      <c r="I6535" s="65" t="str">
        <f>IFERROR(VLOOKUP(A6535,'3. Call duration'!$A:$C,3,0),"--")</f>
        <v>--</v>
      </c>
      <c r="J6535" s="65" t="str">
        <f t="array" ref="J6535">XLOOKUP(H6535,'2. Matching'!$A$2:$A$39,'2. Matching'!$B$2:$B$39,"--")</f>
        <v>SEO</v>
      </c>
      <c r="K6535" s="65" t="str">
        <f t="shared" si="1"/>
        <v>In</v>
      </c>
    </row>
    <row r="6536">
      <c r="A6536" s="62" t="s">
        <v>6674</v>
      </c>
      <c r="B6536" s="63">
        <v>44372.0</v>
      </c>
      <c r="C6536" s="62" t="s">
        <v>119</v>
      </c>
      <c r="D6536" s="64">
        <v>95.0</v>
      </c>
      <c r="E6536" s="62" t="s">
        <v>114</v>
      </c>
      <c r="F6536" s="62" t="s">
        <v>110</v>
      </c>
      <c r="G6536" s="64" t="s">
        <v>61</v>
      </c>
      <c r="H6536" s="3" t="s">
        <v>69</v>
      </c>
      <c r="I6536" s="65">
        <f>IFERROR(VLOOKUP(A6536,'3. Call duration'!$A:$C,3,0),"--")</f>
        <v>15.71960322</v>
      </c>
      <c r="J6536" s="65" t="str">
        <f t="array" ref="J6536">XLOOKUP(H6536,'2. Matching'!$A$2:$A$39,'2. Matching'!$B$2:$B$39,"--")</f>
        <v>Acquisition</v>
      </c>
      <c r="K6536" s="65" t="str">
        <f t="shared" si="1"/>
        <v>In</v>
      </c>
    </row>
    <row r="6537">
      <c r="A6537" s="62" t="s">
        <v>6675</v>
      </c>
      <c r="B6537" s="63">
        <v>44333.0</v>
      </c>
      <c r="C6537" s="62" t="s">
        <v>112</v>
      </c>
      <c r="D6537" s="64">
        <v>0.0</v>
      </c>
      <c r="E6537" s="62" t="s">
        <v>109</v>
      </c>
      <c r="F6537" s="62" t="s">
        <v>110</v>
      </c>
      <c r="G6537" s="64" t="s">
        <v>63</v>
      </c>
      <c r="H6537" s="3" t="s">
        <v>189</v>
      </c>
      <c r="I6537" s="65" t="str">
        <f>IFERROR(VLOOKUP(A6537,'3. Call duration'!$A:$C,3,0),"--")</f>
        <v>--</v>
      </c>
      <c r="J6537" s="65" t="str">
        <f t="array" ref="J6537">XLOOKUP(H6537,'2. Matching'!$A$2:$A$39,'2. Matching'!$B$2:$B$39,"--")</f>
        <v>SEO</v>
      </c>
      <c r="K6537" s="65" t="str">
        <f t="shared" si="1"/>
        <v>Out</v>
      </c>
    </row>
    <row r="6538">
      <c r="A6538" s="62" t="s">
        <v>6676</v>
      </c>
      <c r="B6538" s="63">
        <v>44372.0</v>
      </c>
      <c r="C6538" s="62" t="s">
        <v>119</v>
      </c>
      <c r="D6538" s="64">
        <v>95.0</v>
      </c>
      <c r="E6538" s="62" t="s">
        <v>114</v>
      </c>
      <c r="F6538" s="62" t="s">
        <v>115</v>
      </c>
      <c r="G6538" s="64" t="s">
        <v>63</v>
      </c>
      <c r="H6538" s="3" t="s">
        <v>124</v>
      </c>
      <c r="I6538" s="65">
        <f>IFERROR(VLOOKUP(A6538,'3. Call duration'!$A:$C,3,0),"--")</f>
        <v>21.70886117</v>
      </c>
      <c r="J6538" s="65" t="str">
        <f t="array" ref="J6538">XLOOKUP(H6538,'2. Matching'!$A$2:$A$39,'2. Matching'!$B$2:$B$39,"--")</f>
        <v>Acquisition</v>
      </c>
      <c r="K6538" s="65" t="str">
        <f t="shared" si="1"/>
        <v>In</v>
      </c>
    </row>
    <row r="6539">
      <c r="A6539" s="62" t="s">
        <v>6677</v>
      </c>
      <c r="B6539" s="63">
        <v>44364.0</v>
      </c>
      <c r="C6539" s="62" t="s">
        <v>119</v>
      </c>
      <c r="D6539" s="64">
        <v>95.0</v>
      </c>
      <c r="E6539" s="62" t="s">
        <v>114</v>
      </c>
      <c r="F6539" s="62" t="s">
        <v>110</v>
      </c>
      <c r="G6539" s="64" t="s">
        <v>60</v>
      </c>
      <c r="H6539" s="3" t="s">
        <v>67</v>
      </c>
      <c r="I6539" s="65">
        <f>IFERROR(VLOOKUP(A6539,'3. Call duration'!$A:$C,3,0),"--")</f>
        <v>29.54849473</v>
      </c>
      <c r="J6539" s="65" t="str">
        <f t="array" ref="J6539">XLOOKUP(H6539,'2. Matching'!$A$2:$A$39,'2. Matching'!$B$2:$B$39,"--")</f>
        <v>Acquisition</v>
      </c>
      <c r="K6539" s="65" t="str">
        <f t="shared" si="1"/>
        <v>In</v>
      </c>
    </row>
    <row r="6540">
      <c r="A6540" s="62" t="s">
        <v>6678</v>
      </c>
      <c r="B6540" s="63">
        <v>44357.0</v>
      </c>
      <c r="C6540" s="62" t="s">
        <v>119</v>
      </c>
      <c r="D6540" s="64">
        <v>95.0</v>
      </c>
      <c r="E6540" s="62" t="s">
        <v>114</v>
      </c>
      <c r="F6540" s="62" t="s">
        <v>110</v>
      </c>
      <c r="G6540" s="64" t="s">
        <v>64</v>
      </c>
      <c r="H6540" s="3" t="s">
        <v>297</v>
      </c>
      <c r="I6540" s="65">
        <f>IFERROR(VLOOKUP(A6540,'3. Call duration'!$A:$C,3,0),"--")</f>
        <v>24.42730394</v>
      </c>
      <c r="J6540" s="65" t="str">
        <f t="array" ref="J6540">XLOOKUP(H6540,'2. Matching'!$A$2:$A$39,'2. Matching'!$B$2:$B$39,"--")</f>
        <v>Farming</v>
      </c>
      <c r="K6540" s="65" t="str">
        <f t="shared" si="1"/>
        <v>In</v>
      </c>
    </row>
    <row r="6541">
      <c r="A6541" s="62" t="s">
        <v>6679</v>
      </c>
      <c r="B6541" s="63">
        <v>44348.0</v>
      </c>
      <c r="C6541" s="62" t="s">
        <v>119</v>
      </c>
      <c r="D6541" s="64">
        <v>95.0</v>
      </c>
      <c r="E6541" s="62" t="s">
        <v>114</v>
      </c>
      <c r="F6541" s="62" t="s">
        <v>115</v>
      </c>
      <c r="G6541" s="64" t="s">
        <v>60</v>
      </c>
      <c r="H6541" s="3" t="s">
        <v>67</v>
      </c>
      <c r="I6541" s="65">
        <f>IFERROR(VLOOKUP(A6541,'3. Call duration'!$A:$C,3,0),"--")</f>
        <v>25.40504728</v>
      </c>
      <c r="J6541" s="65" t="str">
        <f t="array" ref="J6541">XLOOKUP(H6541,'2. Matching'!$A$2:$A$39,'2. Matching'!$B$2:$B$39,"--")</f>
        <v>Acquisition</v>
      </c>
      <c r="K6541" s="65" t="str">
        <f t="shared" si="1"/>
        <v>In</v>
      </c>
    </row>
    <row r="6542">
      <c r="A6542" s="62" t="s">
        <v>6680</v>
      </c>
      <c r="B6542" s="63">
        <v>44320.0</v>
      </c>
      <c r="C6542" s="62" t="s">
        <v>112</v>
      </c>
      <c r="D6542" s="64">
        <v>0.0</v>
      </c>
      <c r="E6542" s="62" t="s">
        <v>109</v>
      </c>
      <c r="F6542" s="62" t="s">
        <v>110</v>
      </c>
      <c r="G6542" s="64" t="s">
        <v>59</v>
      </c>
      <c r="H6542" s="3" t="s">
        <v>67</v>
      </c>
      <c r="I6542" s="65" t="str">
        <f>IFERROR(VLOOKUP(A6542,'3. Call duration'!$A:$C,3,0),"--")</f>
        <v>--</v>
      </c>
      <c r="J6542" s="65" t="str">
        <f t="array" ref="J6542">XLOOKUP(H6542,'2. Matching'!$A$2:$A$39,'2. Matching'!$B$2:$B$39,"--")</f>
        <v>Acquisition</v>
      </c>
      <c r="K6542" s="65" t="str">
        <f t="shared" si="1"/>
        <v>In</v>
      </c>
    </row>
    <row r="6543">
      <c r="A6543" s="62" t="s">
        <v>6681</v>
      </c>
      <c r="B6543" s="63">
        <v>44359.0</v>
      </c>
      <c r="C6543" s="62" t="s">
        <v>119</v>
      </c>
      <c r="D6543" s="64">
        <v>95.0</v>
      </c>
      <c r="E6543" s="62" t="s">
        <v>114</v>
      </c>
      <c r="F6543" s="62" t="s">
        <v>110</v>
      </c>
      <c r="G6543" s="64" t="s">
        <v>60</v>
      </c>
      <c r="H6543" s="3" t="s">
        <v>67</v>
      </c>
      <c r="I6543" s="65">
        <f>IFERROR(VLOOKUP(A6543,'3. Call duration'!$A:$C,3,0),"--")</f>
        <v>29.2693807</v>
      </c>
      <c r="J6543" s="65" t="str">
        <f t="array" ref="J6543">XLOOKUP(H6543,'2. Matching'!$A$2:$A$39,'2. Matching'!$B$2:$B$39,"--")</f>
        <v>Acquisition</v>
      </c>
      <c r="K6543" s="65" t="str">
        <f t="shared" si="1"/>
        <v>In</v>
      </c>
    </row>
    <row r="6544">
      <c r="A6544" s="62" t="s">
        <v>6682</v>
      </c>
      <c r="B6544" s="63">
        <v>44351.0</v>
      </c>
      <c r="C6544" s="62" t="s">
        <v>119</v>
      </c>
      <c r="D6544" s="64">
        <v>95.0</v>
      </c>
      <c r="E6544" s="62" t="s">
        <v>114</v>
      </c>
      <c r="F6544" s="62" t="s">
        <v>115</v>
      </c>
      <c r="G6544" s="64" t="s">
        <v>64</v>
      </c>
      <c r="H6544" s="3" t="s">
        <v>139</v>
      </c>
      <c r="I6544" s="65">
        <f>IFERROR(VLOOKUP(A6544,'3. Call duration'!$A:$C,3,0),"--")</f>
        <v>29.07292229</v>
      </c>
      <c r="J6544" s="65" t="str">
        <f t="array" ref="J6544">XLOOKUP(H6544,'2. Matching'!$A$2:$A$39,'2. Matching'!$B$2:$B$39,"--")</f>
        <v>Acquisition</v>
      </c>
      <c r="K6544" s="65" t="str">
        <f t="shared" si="1"/>
        <v>In</v>
      </c>
    </row>
    <row r="6545">
      <c r="A6545" s="62" t="s">
        <v>6683</v>
      </c>
      <c r="B6545" s="63">
        <v>44328.0</v>
      </c>
      <c r="C6545" s="62" t="s">
        <v>112</v>
      </c>
      <c r="D6545" s="64">
        <v>0.0</v>
      </c>
      <c r="E6545" s="62" t="s">
        <v>114</v>
      </c>
      <c r="F6545" s="62" t="s">
        <v>115</v>
      </c>
      <c r="G6545" s="64" t="s">
        <v>64</v>
      </c>
      <c r="H6545" s="3" t="s">
        <v>155</v>
      </c>
      <c r="I6545" s="65" t="str">
        <f>IFERROR(VLOOKUP(A6545,'3. Call duration'!$A:$C,3,0),"--")</f>
        <v>--</v>
      </c>
      <c r="J6545" s="65" t="str">
        <f t="array" ref="J6545">XLOOKUP(H6545,'2. Matching'!$A$2:$A$39,'2. Matching'!$B$2:$B$39,"--")</f>
        <v>SEO</v>
      </c>
      <c r="K6545" s="65" t="str">
        <f t="shared" si="1"/>
        <v>In</v>
      </c>
    </row>
    <row r="6546">
      <c r="A6546" s="62" t="s">
        <v>6684</v>
      </c>
      <c r="B6546" s="63">
        <v>44326.0</v>
      </c>
      <c r="C6546" s="62" t="s">
        <v>112</v>
      </c>
      <c r="D6546" s="64">
        <v>0.0</v>
      </c>
      <c r="E6546" s="62" t="s">
        <v>114</v>
      </c>
      <c r="F6546" s="62" t="s">
        <v>110</v>
      </c>
      <c r="G6546" s="64" t="s">
        <v>63</v>
      </c>
      <c r="H6546" s="3" t="s">
        <v>128</v>
      </c>
      <c r="I6546" s="65" t="str">
        <f>IFERROR(VLOOKUP(A6546,'3. Call duration'!$A:$C,3,0),"--")</f>
        <v>--</v>
      </c>
      <c r="J6546" s="65" t="str">
        <f t="array" ref="J6546">XLOOKUP(H6546,'2. Matching'!$A$2:$A$39,'2. Matching'!$B$2:$B$39,"--")</f>
        <v>Acquisition</v>
      </c>
      <c r="K6546" s="65" t="str">
        <f t="shared" si="1"/>
        <v>In</v>
      </c>
    </row>
    <row r="6547">
      <c r="A6547" s="62" t="s">
        <v>6685</v>
      </c>
      <c r="B6547" s="63">
        <v>44375.0</v>
      </c>
      <c r="C6547" s="62" t="s">
        <v>119</v>
      </c>
      <c r="D6547" s="64">
        <v>95.0</v>
      </c>
      <c r="E6547" s="62" t="s">
        <v>114</v>
      </c>
      <c r="F6547" s="62" t="s">
        <v>115</v>
      </c>
      <c r="G6547" s="64" t="s">
        <v>64</v>
      </c>
      <c r="H6547" s="3" t="s">
        <v>139</v>
      </c>
      <c r="I6547" s="65">
        <f>IFERROR(VLOOKUP(A6547,'3. Call duration'!$A:$C,3,0),"--")</f>
        <v>28.0645421</v>
      </c>
      <c r="J6547" s="65" t="str">
        <f t="array" ref="J6547">XLOOKUP(H6547,'2. Matching'!$A$2:$A$39,'2. Matching'!$B$2:$B$39,"--")</f>
        <v>Acquisition</v>
      </c>
      <c r="K6547" s="65" t="str">
        <f t="shared" si="1"/>
        <v>In</v>
      </c>
    </row>
    <row r="6548">
      <c r="A6548" s="62" t="s">
        <v>6686</v>
      </c>
      <c r="B6548" s="63">
        <v>44345.0</v>
      </c>
      <c r="C6548" s="62" t="s">
        <v>119</v>
      </c>
      <c r="D6548" s="64">
        <v>47.5</v>
      </c>
      <c r="E6548" s="62" t="s">
        <v>109</v>
      </c>
      <c r="F6548" s="62" t="s">
        <v>115</v>
      </c>
      <c r="G6548" s="64" t="s">
        <v>59</v>
      </c>
      <c r="H6548" s="3" t="s">
        <v>68</v>
      </c>
      <c r="I6548" s="65" t="str">
        <f>IFERROR(VLOOKUP(A6548,'3. Call duration'!$A:$C,3,0),"--")</f>
        <v>--</v>
      </c>
      <c r="J6548" s="65" t="str">
        <f t="array" ref="J6548">XLOOKUP(H6548,'2. Matching'!$A$2:$A$39,'2. Matching'!$B$2:$B$39,"--")</f>
        <v>Acquisition</v>
      </c>
      <c r="K6548" s="65" t="str">
        <f t="shared" si="1"/>
        <v>In</v>
      </c>
    </row>
    <row r="6549">
      <c r="A6549" s="62" t="s">
        <v>6687</v>
      </c>
      <c r="B6549" s="63">
        <v>44356.0</v>
      </c>
      <c r="C6549" s="62" t="s">
        <v>119</v>
      </c>
      <c r="D6549" s="64">
        <v>95.0</v>
      </c>
      <c r="E6549" s="62" t="s">
        <v>114</v>
      </c>
      <c r="F6549" s="62" t="s">
        <v>110</v>
      </c>
      <c r="G6549" s="64" t="s">
        <v>64</v>
      </c>
      <c r="H6549" s="3" t="s">
        <v>297</v>
      </c>
      <c r="I6549" s="65">
        <f>IFERROR(VLOOKUP(A6549,'3. Call duration'!$A:$C,3,0),"--")</f>
        <v>21.04330853</v>
      </c>
      <c r="J6549" s="65" t="str">
        <f t="array" ref="J6549">XLOOKUP(H6549,'2. Matching'!$A$2:$A$39,'2. Matching'!$B$2:$B$39,"--")</f>
        <v>Farming</v>
      </c>
      <c r="K6549" s="65" t="str">
        <f t="shared" si="1"/>
        <v>In</v>
      </c>
    </row>
    <row r="6550">
      <c r="A6550" s="62" t="s">
        <v>6688</v>
      </c>
      <c r="B6550" s="63">
        <v>44343.0</v>
      </c>
      <c r="C6550" s="62" t="s">
        <v>119</v>
      </c>
      <c r="D6550" s="64">
        <v>47.5</v>
      </c>
      <c r="E6550" s="62" t="s">
        <v>109</v>
      </c>
      <c r="F6550" s="62" t="s">
        <v>115</v>
      </c>
      <c r="G6550" s="64" t="s">
        <v>59</v>
      </c>
      <c r="H6550" s="3" t="s">
        <v>68</v>
      </c>
      <c r="I6550" s="65" t="str">
        <f>IFERROR(VLOOKUP(A6550,'3. Call duration'!$A:$C,3,0),"--")</f>
        <v>--</v>
      </c>
      <c r="J6550" s="65" t="str">
        <f t="array" ref="J6550">XLOOKUP(H6550,'2. Matching'!$A$2:$A$39,'2. Matching'!$B$2:$B$39,"--")</f>
        <v>Acquisition</v>
      </c>
      <c r="K6550" s="65" t="str">
        <f t="shared" si="1"/>
        <v>In</v>
      </c>
    </row>
    <row r="6551">
      <c r="A6551" s="62" t="s">
        <v>6689</v>
      </c>
      <c r="B6551" s="63">
        <v>44366.0</v>
      </c>
      <c r="C6551" s="62" t="s">
        <v>119</v>
      </c>
      <c r="D6551" s="64">
        <v>95.0</v>
      </c>
      <c r="E6551" s="62" t="s">
        <v>114</v>
      </c>
      <c r="F6551" s="62" t="s">
        <v>110</v>
      </c>
      <c r="G6551" s="64" t="s">
        <v>60</v>
      </c>
      <c r="H6551" s="3" t="s">
        <v>67</v>
      </c>
      <c r="I6551" s="65">
        <f>IFERROR(VLOOKUP(A6551,'3. Call duration'!$A:$C,3,0),"--")</f>
        <v>23.65980542</v>
      </c>
      <c r="J6551" s="65" t="str">
        <f t="array" ref="J6551">XLOOKUP(H6551,'2. Matching'!$A$2:$A$39,'2. Matching'!$B$2:$B$39,"--")</f>
        <v>Acquisition</v>
      </c>
      <c r="K6551" s="65" t="str">
        <f t="shared" si="1"/>
        <v>In</v>
      </c>
    </row>
    <row r="6552">
      <c r="A6552" s="62" t="s">
        <v>6690</v>
      </c>
      <c r="B6552" s="63">
        <v>44347.0</v>
      </c>
      <c r="C6552" s="62" t="s">
        <v>119</v>
      </c>
      <c r="D6552" s="64">
        <v>47.5</v>
      </c>
      <c r="E6552" s="62" t="s">
        <v>109</v>
      </c>
      <c r="F6552" s="62" t="s">
        <v>115</v>
      </c>
      <c r="G6552" s="64" t="s">
        <v>59</v>
      </c>
      <c r="H6552" s="3" t="s">
        <v>68</v>
      </c>
      <c r="I6552" s="65" t="str">
        <f>IFERROR(VLOOKUP(A6552,'3. Call duration'!$A:$C,3,0),"--")</f>
        <v>--</v>
      </c>
      <c r="J6552" s="65" t="str">
        <f t="array" ref="J6552">XLOOKUP(H6552,'2. Matching'!$A$2:$A$39,'2. Matching'!$B$2:$B$39,"--")</f>
        <v>Acquisition</v>
      </c>
      <c r="K6552" s="65" t="str">
        <f t="shared" si="1"/>
        <v>In</v>
      </c>
    </row>
    <row r="6553">
      <c r="A6553" s="62" t="s">
        <v>6691</v>
      </c>
      <c r="B6553" s="63">
        <v>44362.0</v>
      </c>
      <c r="C6553" s="62" t="s">
        <v>119</v>
      </c>
      <c r="D6553" s="64">
        <v>95.0</v>
      </c>
      <c r="E6553" s="62" t="s">
        <v>114</v>
      </c>
      <c r="F6553" s="62" t="s">
        <v>115</v>
      </c>
      <c r="G6553" s="64" t="s">
        <v>63</v>
      </c>
      <c r="H6553" s="3" t="s">
        <v>228</v>
      </c>
      <c r="I6553" s="65">
        <f>IFERROR(VLOOKUP(A6553,'3. Call duration'!$A:$C,3,0),"--")</f>
        <v>32.98242096</v>
      </c>
      <c r="J6553" s="65" t="str">
        <f t="array" ref="J6553">XLOOKUP(H6553,'2. Matching'!$A$2:$A$39,'2. Matching'!$B$2:$B$39,"--")</f>
        <v>Farming</v>
      </c>
      <c r="K6553" s="65" t="str">
        <f t="shared" si="1"/>
        <v>In</v>
      </c>
    </row>
    <row r="6554">
      <c r="A6554" s="62" t="s">
        <v>6692</v>
      </c>
      <c r="B6554" s="63">
        <v>44320.0</v>
      </c>
      <c r="C6554" s="62" t="s">
        <v>119</v>
      </c>
      <c r="D6554" s="64">
        <v>47.5</v>
      </c>
      <c r="E6554" s="62" t="s">
        <v>109</v>
      </c>
      <c r="F6554" s="62" t="s">
        <v>115</v>
      </c>
      <c r="G6554" s="64" t="s">
        <v>64</v>
      </c>
      <c r="H6554" s="3" t="s">
        <v>185</v>
      </c>
      <c r="I6554" s="65" t="str">
        <f>IFERROR(VLOOKUP(A6554,'3. Call duration'!$A:$C,3,0),"--")</f>
        <v>--</v>
      </c>
      <c r="J6554" s="65" t="str">
        <f t="array" ref="J6554">XLOOKUP(H6554,'2. Matching'!$A$2:$A$39,'2. Matching'!$B$2:$B$39,"--")</f>
        <v>SEO</v>
      </c>
      <c r="K6554" s="65" t="str">
        <f t="shared" si="1"/>
        <v>In</v>
      </c>
    </row>
    <row r="6555">
      <c r="A6555" s="62" t="s">
        <v>6693</v>
      </c>
      <c r="B6555" s="63">
        <v>44377.0</v>
      </c>
      <c r="C6555" s="62" t="s">
        <v>119</v>
      </c>
      <c r="D6555" s="64">
        <v>95.0</v>
      </c>
      <c r="E6555" s="62" t="s">
        <v>114</v>
      </c>
      <c r="F6555" s="62" t="s">
        <v>110</v>
      </c>
      <c r="G6555" s="64" t="s">
        <v>61</v>
      </c>
      <c r="H6555" s="3" t="s">
        <v>67</v>
      </c>
      <c r="I6555" s="65">
        <f>IFERROR(VLOOKUP(A6555,'3. Call duration'!$A:$C,3,0),"--")</f>
        <v>21.07008975</v>
      </c>
      <c r="J6555" s="65" t="str">
        <f t="array" ref="J6555">XLOOKUP(H6555,'2. Matching'!$A$2:$A$39,'2. Matching'!$B$2:$B$39,"--")</f>
        <v>Acquisition</v>
      </c>
      <c r="K6555" s="65" t="str">
        <f t="shared" si="1"/>
        <v>In</v>
      </c>
    </row>
    <row r="6556">
      <c r="A6556" s="62" t="s">
        <v>6694</v>
      </c>
      <c r="B6556" s="63">
        <v>44347.0</v>
      </c>
      <c r="C6556" s="62" t="s">
        <v>119</v>
      </c>
      <c r="D6556" s="64">
        <v>47.5</v>
      </c>
      <c r="E6556" s="62" t="s">
        <v>109</v>
      </c>
      <c r="F6556" s="62" t="s">
        <v>110</v>
      </c>
      <c r="G6556" s="64" t="s">
        <v>63</v>
      </c>
      <c r="H6556" s="3" t="s">
        <v>183</v>
      </c>
      <c r="I6556" s="65" t="str">
        <f>IFERROR(VLOOKUP(A6556,'3. Call duration'!$A:$C,3,0),"--")</f>
        <v>--</v>
      </c>
      <c r="J6556" s="65" t="str">
        <f t="array" ref="J6556">XLOOKUP(H6556,'2. Matching'!$A$2:$A$39,'2. Matching'!$B$2:$B$39,"--")</f>
        <v>SEO</v>
      </c>
      <c r="K6556" s="65" t="str">
        <f t="shared" si="1"/>
        <v>In</v>
      </c>
    </row>
    <row r="6557">
      <c r="A6557" s="62" t="s">
        <v>6695</v>
      </c>
      <c r="B6557" s="63">
        <v>44334.0</v>
      </c>
      <c r="C6557" s="62" t="s">
        <v>119</v>
      </c>
      <c r="D6557" s="64">
        <v>47.5</v>
      </c>
      <c r="E6557" s="62" t="s">
        <v>109</v>
      </c>
      <c r="F6557" s="62" t="s">
        <v>110</v>
      </c>
      <c r="G6557" s="64" t="s">
        <v>64</v>
      </c>
      <c r="H6557" s="3" t="s">
        <v>116</v>
      </c>
      <c r="I6557" s="65" t="str">
        <f>IFERROR(VLOOKUP(A6557,'3. Call duration'!$A:$C,3,0),"--")</f>
        <v>--</v>
      </c>
      <c r="J6557" s="65" t="str">
        <f t="array" ref="J6557">XLOOKUP(H6557,'2. Matching'!$A$2:$A$39,'2. Matching'!$B$2:$B$39,"--")</f>
        <v>Acquisition</v>
      </c>
      <c r="K6557" s="65" t="str">
        <f t="shared" si="1"/>
        <v>In</v>
      </c>
    </row>
    <row r="6558">
      <c r="A6558" s="62" t="s">
        <v>6696</v>
      </c>
      <c r="B6558" s="63">
        <v>44375.0</v>
      </c>
      <c r="C6558" s="62" t="s">
        <v>119</v>
      </c>
      <c r="D6558" s="64">
        <v>95.0</v>
      </c>
      <c r="E6558" s="62" t="s">
        <v>114</v>
      </c>
      <c r="F6558" s="62" t="s">
        <v>115</v>
      </c>
      <c r="G6558" s="64" t="s">
        <v>60</v>
      </c>
      <c r="H6558" s="3" t="s">
        <v>67</v>
      </c>
      <c r="I6558" s="65">
        <f>IFERROR(VLOOKUP(A6558,'3. Call duration'!$A:$C,3,0),"--")</f>
        <v>16.16128692</v>
      </c>
      <c r="J6558" s="65" t="str">
        <f t="array" ref="J6558">XLOOKUP(H6558,'2. Matching'!$A$2:$A$39,'2. Matching'!$B$2:$B$39,"--")</f>
        <v>Acquisition</v>
      </c>
      <c r="K6558" s="65" t="str">
        <f t="shared" si="1"/>
        <v>In</v>
      </c>
    </row>
    <row r="6559">
      <c r="A6559" s="62" t="s">
        <v>6697</v>
      </c>
      <c r="B6559" s="63">
        <v>44327.0</v>
      </c>
      <c r="C6559" s="62" t="s">
        <v>119</v>
      </c>
      <c r="D6559" s="64">
        <v>47.5</v>
      </c>
      <c r="E6559" s="62" t="s">
        <v>109</v>
      </c>
      <c r="F6559" s="62" t="s">
        <v>115</v>
      </c>
      <c r="G6559" s="64" t="s">
        <v>64</v>
      </c>
      <c r="H6559" s="3" t="s">
        <v>141</v>
      </c>
      <c r="I6559" s="65" t="str">
        <f>IFERROR(VLOOKUP(A6559,'3. Call duration'!$A:$C,3,0),"--")</f>
        <v>--</v>
      </c>
      <c r="J6559" s="65" t="str">
        <f t="array" ref="J6559">XLOOKUP(H6559,'2. Matching'!$A$2:$A$39,'2. Matching'!$B$2:$B$39,"--")</f>
        <v>Acquisition</v>
      </c>
      <c r="K6559" s="65" t="str">
        <f t="shared" si="1"/>
        <v>In</v>
      </c>
    </row>
    <row r="6560">
      <c r="A6560" s="62" t="s">
        <v>6698</v>
      </c>
      <c r="B6560" s="63">
        <v>44333.0</v>
      </c>
      <c r="C6560" s="62" t="s">
        <v>119</v>
      </c>
      <c r="D6560" s="64">
        <v>47.5</v>
      </c>
      <c r="E6560" s="62" t="s">
        <v>109</v>
      </c>
      <c r="F6560" s="62" t="s">
        <v>115</v>
      </c>
      <c r="G6560" s="64" t="s">
        <v>64</v>
      </c>
      <c r="H6560" s="3" t="s">
        <v>52</v>
      </c>
      <c r="I6560" s="65" t="str">
        <f>IFERROR(VLOOKUP(A6560,'3. Call duration'!$A:$C,3,0),"--")</f>
        <v>--</v>
      </c>
      <c r="J6560" s="65" t="str">
        <f t="array" ref="J6560">XLOOKUP(H6560,'2. Matching'!$A$2:$A$39,'2. Matching'!$B$2:$B$39,"--")</f>
        <v>Partnerships</v>
      </c>
      <c r="K6560" s="65" t="str">
        <f t="shared" si="1"/>
        <v>In</v>
      </c>
    </row>
    <row r="6561">
      <c r="A6561" s="62" t="s">
        <v>6699</v>
      </c>
      <c r="B6561" s="63">
        <v>44363.0</v>
      </c>
      <c r="C6561" s="62" t="s">
        <v>119</v>
      </c>
      <c r="D6561" s="64">
        <v>95.0</v>
      </c>
      <c r="E6561" s="62" t="s">
        <v>114</v>
      </c>
      <c r="F6561" s="62" t="s">
        <v>115</v>
      </c>
      <c r="G6561" s="64" t="s">
        <v>64</v>
      </c>
      <c r="H6561" s="3" t="s">
        <v>139</v>
      </c>
      <c r="I6561" s="65">
        <f>IFERROR(VLOOKUP(A6561,'3. Call duration'!$A:$C,3,0),"--")</f>
        <v>25.39568287</v>
      </c>
      <c r="J6561" s="65" t="str">
        <f t="array" ref="J6561">XLOOKUP(H6561,'2. Matching'!$A$2:$A$39,'2. Matching'!$B$2:$B$39,"--")</f>
        <v>Acquisition</v>
      </c>
      <c r="K6561" s="65" t="str">
        <f t="shared" si="1"/>
        <v>In</v>
      </c>
    </row>
    <row r="6562">
      <c r="A6562" s="62" t="s">
        <v>6700</v>
      </c>
      <c r="B6562" s="63">
        <v>44341.0</v>
      </c>
      <c r="C6562" s="62" t="s">
        <v>119</v>
      </c>
      <c r="D6562" s="64">
        <v>47.5</v>
      </c>
      <c r="E6562" s="62" t="s">
        <v>109</v>
      </c>
      <c r="F6562" s="62" t="s">
        <v>115</v>
      </c>
      <c r="G6562" s="64" t="s">
        <v>64</v>
      </c>
      <c r="H6562" s="3" t="s">
        <v>139</v>
      </c>
      <c r="I6562" s="65" t="str">
        <f>IFERROR(VLOOKUP(A6562,'3. Call duration'!$A:$C,3,0),"--")</f>
        <v>--</v>
      </c>
      <c r="J6562" s="65" t="str">
        <f t="array" ref="J6562">XLOOKUP(H6562,'2. Matching'!$A$2:$A$39,'2. Matching'!$B$2:$B$39,"--")</f>
        <v>Acquisition</v>
      </c>
      <c r="K6562" s="65" t="str">
        <f t="shared" si="1"/>
        <v>In</v>
      </c>
    </row>
    <row r="6563">
      <c r="A6563" s="62" t="s">
        <v>6701</v>
      </c>
      <c r="B6563" s="63">
        <v>44327.0</v>
      </c>
      <c r="C6563" s="62" t="s">
        <v>119</v>
      </c>
      <c r="D6563" s="64">
        <v>47.5</v>
      </c>
      <c r="E6563" s="62" t="s">
        <v>109</v>
      </c>
      <c r="F6563" s="62" t="s">
        <v>115</v>
      </c>
      <c r="G6563" s="64" t="s">
        <v>59</v>
      </c>
      <c r="H6563" s="3" t="s">
        <v>68</v>
      </c>
      <c r="I6563" s="65" t="str">
        <f>IFERROR(VLOOKUP(A6563,'3. Call duration'!$A:$C,3,0),"--")</f>
        <v>--</v>
      </c>
      <c r="J6563" s="65" t="str">
        <f t="array" ref="J6563">XLOOKUP(H6563,'2. Matching'!$A$2:$A$39,'2. Matching'!$B$2:$B$39,"--")</f>
        <v>Acquisition</v>
      </c>
      <c r="K6563" s="65" t="str">
        <f t="shared" si="1"/>
        <v>In</v>
      </c>
    </row>
    <row r="6564">
      <c r="A6564" s="62" t="s">
        <v>6702</v>
      </c>
      <c r="B6564" s="63">
        <v>44363.0</v>
      </c>
      <c r="C6564" s="62" t="s">
        <v>119</v>
      </c>
      <c r="D6564" s="64">
        <v>95.0</v>
      </c>
      <c r="E6564" s="62" t="s">
        <v>114</v>
      </c>
      <c r="F6564" s="62" t="s">
        <v>110</v>
      </c>
      <c r="G6564" s="64" t="s">
        <v>64</v>
      </c>
      <c r="H6564" s="3" t="s">
        <v>297</v>
      </c>
      <c r="I6564" s="65">
        <f>IFERROR(VLOOKUP(A6564,'3. Call duration'!$A:$C,3,0),"--")</f>
        <v>27.82386212</v>
      </c>
      <c r="J6564" s="65" t="str">
        <f t="array" ref="J6564">XLOOKUP(H6564,'2. Matching'!$A$2:$A$39,'2. Matching'!$B$2:$B$39,"--")</f>
        <v>Farming</v>
      </c>
      <c r="K6564" s="65" t="str">
        <f t="shared" si="1"/>
        <v>In</v>
      </c>
    </row>
    <row r="6565">
      <c r="A6565" s="62" t="s">
        <v>6703</v>
      </c>
      <c r="B6565" s="63">
        <v>44320.0</v>
      </c>
      <c r="C6565" s="62" t="s">
        <v>119</v>
      </c>
      <c r="D6565" s="64">
        <v>47.5</v>
      </c>
      <c r="E6565" s="62" t="s">
        <v>109</v>
      </c>
      <c r="F6565" s="62" t="s">
        <v>110</v>
      </c>
      <c r="G6565" s="64" t="s">
        <v>63</v>
      </c>
      <c r="H6565" s="3" t="s">
        <v>128</v>
      </c>
      <c r="I6565" s="65" t="str">
        <f>IFERROR(VLOOKUP(A6565,'3. Call duration'!$A:$C,3,0),"--")</f>
        <v>--</v>
      </c>
      <c r="J6565" s="65" t="str">
        <f t="array" ref="J6565">XLOOKUP(H6565,'2. Matching'!$A$2:$A$39,'2. Matching'!$B$2:$B$39,"--")</f>
        <v>Acquisition</v>
      </c>
      <c r="K6565" s="65" t="str">
        <f t="shared" si="1"/>
        <v>In</v>
      </c>
    </row>
    <row r="6566">
      <c r="A6566" s="62" t="s">
        <v>6704</v>
      </c>
      <c r="B6566" s="63">
        <v>44359.0</v>
      </c>
      <c r="C6566" s="62" t="s">
        <v>119</v>
      </c>
      <c r="D6566" s="64">
        <v>95.0</v>
      </c>
      <c r="E6566" s="62" t="s">
        <v>114</v>
      </c>
      <c r="F6566" s="62" t="s">
        <v>115</v>
      </c>
      <c r="G6566" s="64" t="s">
        <v>59</v>
      </c>
      <c r="H6566" s="3" t="s">
        <v>68</v>
      </c>
      <c r="I6566" s="65">
        <f>IFERROR(VLOOKUP(A6566,'3. Call duration'!$A:$C,3,0),"--")</f>
        <v>28.86175681</v>
      </c>
      <c r="J6566" s="65" t="str">
        <f t="array" ref="J6566">XLOOKUP(H6566,'2. Matching'!$A$2:$A$39,'2. Matching'!$B$2:$B$39,"--")</f>
        <v>Acquisition</v>
      </c>
      <c r="K6566" s="65" t="str">
        <f t="shared" si="1"/>
        <v>In</v>
      </c>
    </row>
    <row r="6567">
      <c r="A6567" s="62" t="s">
        <v>6705</v>
      </c>
      <c r="B6567" s="63">
        <v>44376.0</v>
      </c>
      <c r="C6567" s="62" t="s">
        <v>119</v>
      </c>
      <c r="D6567" s="64">
        <v>95.0</v>
      </c>
      <c r="E6567" s="62" t="s">
        <v>114</v>
      </c>
      <c r="F6567" s="62" t="s">
        <v>115</v>
      </c>
      <c r="G6567" s="64" t="s">
        <v>63</v>
      </c>
      <c r="H6567" s="3" t="s">
        <v>189</v>
      </c>
      <c r="I6567" s="65">
        <f>IFERROR(VLOOKUP(A6567,'3. Call duration'!$A:$C,3,0),"--")</f>
        <v>29.44059703</v>
      </c>
      <c r="J6567" s="65" t="str">
        <f t="array" ref="J6567">XLOOKUP(H6567,'2. Matching'!$A$2:$A$39,'2. Matching'!$B$2:$B$39,"--")</f>
        <v>SEO</v>
      </c>
      <c r="K6567" s="65" t="str">
        <f t="shared" si="1"/>
        <v>Out</v>
      </c>
    </row>
    <row r="6568">
      <c r="A6568" s="62" t="s">
        <v>6706</v>
      </c>
      <c r="B6568" s="63">
        <v>44341.0</v>
      </c>
      <c r="C6568" s="62" t="s">
        <v>119</v>
      </c>
      <c r="D6568" s="64">
        <v>47.5</v>
      </c>
      <c r="E6568" s="62" t="s">
        <v>109</v>
      </c>
      <c r="F6568" s="62" t="s">
        <v>115</v>
      </c>
      <c r="G6568" s="64" t="s">
        <v>63</v>
      </c>
      <c r="H6568" s="3" t="s">
        <v>183</v>
      </c>
      <c r="I6568" s="65" t="str">
        <f>IFERROR(VLOOKUP(A6568,'3. Call duration'!$A:$C,3,0),"--")</f>
        <v>--</v>
      </c>
      <c r="J6568" s="65" t="str">
        <f t="array" ref="J6568">XLOOKUP(H6568,'2. Matching'!$A$2:$A$39,'2. Matching'!$B$2:$B$39,"--")</f>
        <v>SEO</v>
      </c>
      <c r="K6568" s="65" t="str">
        <f t="shared" si="1"/>
        <v>In</v>
      </c>
    </row>
    <row r="6569">
      <c r="A6569" s="62" t="s">
        <v>6707</v>
      </c>
      <c r="B6569" s="63">
        <v>44370.0</v>
      </c>
      <c r="C6569" s="62" t="s">
        <v>119</v>
      </c>
      <c r="D6569" s="64">
        <v>95.0</v>
      </c>
      <c r="E6569" s="62" t="s">
        <v>114</v>
      </c>
      <c r="F6569" s="62" t="s">
        <v>110</v>
      </c>
      <c r="G6569" s="64" t="s">
        <v>60</v>
      </c>
      <c r="H6569" s="3" t="s">
        <v>67</v>
      </c>
      <c r="I6569" s="65">
        <f>IFERROR(VLOOKUP(A6569,'3. Call duration'!$A:$C,3,0),"--")</f>
        <v>12.64716365</v>
      </c>
      <c r="J6569" s="65" t="str">
        <f t="array" ref="J6569">XLOOKUP(H6569,'2. Matching'!$A$2:$A$39,'2. Matching'!$B$2:$B$39,"--")</f>
        <v>Acquisition</v>
      </c>
      <c r="K6569" s="65" t="str">
        <f t="shared" si="1"/>
        <v>In</v>
      </c>
    </row>
    <row r="6570">
      <c r="A6570" s="62" t="s">
        <v>6708</v>
      </c>
      <c r="B6570" s="63">
        <v>44350.0</v>
      </c>
      <c r="C6570" s="62" t="s">
        <v>119</v>
      </c>
      <c r="D6570" s="64">
        <v>95.0</v>
      </c>
      <c r="E6570" s="62" t="s">
        <v>114</v>
      </c>
      <c r="F6570" s="62" t="s">
        <v>115</v>
      </c>
      <c r="G6570" s="64" t="s">
        <v>64</v>
      </c>
      <c r="H6570" s="3" t="s">
        <v>139</v>
      </c>
      <c r="I6570" s="65">
        <f>IFERROR(VLOOKUP(A6570,'3. Call duration'!$A:$C,3,0),"--")</f>
        <v>28.42545522</v>
      </c>
      <c r="J6570" s="65" t="str">
        <f t="array" ref="J6570">XLOOKUP(H6570,'2. Matching'!$A$2:$A$39,'2. Matching'!$B$2:$B$39,"--")</f>
        <v>Acquisition</v>
      </c>
      <c r="K6570" s="65" t="str">
        <f t="shared" si="1"/>
        <v>In</v>
      </c>
    </row>
    <row r="6571">
      <c r="A6571" s="62" t="s">
        <v>6709</v>
      </c>
      <c r="B6571" s="63">
        <v>44375.0</v>
      </c>
      <c r="C6571" s="62" t="s">
        <v>119</v>
      </c>
      <c r="D6571" s="64">
        <v>95.0</v>
      </c>
      <c r="E6571" s="62" t="s">
        <v>114</v>
      </c>
      <c r="F6571" s="62" t="s">
        <v>115</v>
      </c>
      <c r="G6571" s="64" t="s">
        <v>64</v>
      </c>
      <c r="H6571" s="3" t="s">
        <v>116</v>
      </c>
      <c r="I6571" s="65">
        <f>IFERROR(VLOOKUP(A6571,'3. Call duration'!$A:$C,3,0),"--")</f>
        <v>26.82286936</v>
      </c>
      <c r="J6571" s="65" t="str">
        <f t="array" ref="J6571">XLOOKUP(H6571,'2. Matching'!$A$2:$A$39,'2. Matching'!$B$2:$B$39,"--")</f>
        <v>Acquisition</v>
      </c>
      <c r="K6571" s="65" t="str">
        <f t="shared" si="1"/>
        <v>In</v>
      </c>
    </row>
    <row r="6572">
      <c r="A6572" s="62" t="s">
        <v>6710</v>
      </c>
      <c r="B6572" s="63">
        <v>44336.0</v>
      </c>
      <c r="C6572" s="62" t="s">
        <v>119</v>
      </c>
      <c r="D6572" s="64">
        <v>47.5</v>
      </c>
      <c r="E6572" s="62" t="s">
        <v>109</v>
      </c>
      <c r="F6572" s="62" t="s">
        <v>115</v>
      </c>
      <c r="G6572" s="64" t="s">
        <v>64</v>
      </c>
      <c r="H6572" s="3" t="s">
        <v>185</v>
      </c>
      <c r="I6572" s="65" t="str">
        <f>IFERROR(VLOOKUP(A6572,'3. Call duration'!$A:$C,3,0),"--")</f>
        <v>--</v>
      </c>
      <c r="J6572" s="65" t="str">
        <f t="array" ref="J6572">XLOOKUP(H6572,'2. Matching'!$A$2:$A$39,'2. Matching'!$B$2:$B$39,"--")</f>
        <v>SEO</v>
      </c>
      <c r="K6572" s="65" t="str">
        <f t="shared" si="1"/>
        <v>In</v>
      </c>
    </row>
    <row r="6573">
      <c r="A6573" s="62" t="s">
        <v>6711</v>
      </c>
      <c r="B6573" s="63">
        <v>44348.0</v>
      </c>
      <c r="C6573" s="62" t="s">
        <v>119</v>
      </c>
      <c r="D6573" s="64">
        <v>95.0</v>
      </c>
      <c r="E6573" s="62" t="s">
        <v>114</v>
      </c>
      <c r="F6573" s="62" t="s">
        <v>115</v>
      </c>
      <c r="G6573" s="64" t="s">
        <v>63</v>
      </c>
      <c r="H6573" s="3" t="s">
        <v>128</v>
      </c>
      <c r="I6573" s="65">
        <f>IFERROR(VLOOKUP(A6573,'3. Call duration'!$A:$C,3,0),"--")</f>
        <v>30.69227025</v>
      </c>
      <c r="J6573" s="65" t="str">
        <f t="array" ref="J6573">XLOOKUP(H6573,'2. Matching'!$A$2:$A$39,'2. Matching'!$B$2:$B$39,"--")</f>
        <v>Acquisition</v>
      </c>
      <c r="K6573" s="65" t="str">
        <f t="shared" si="1"/>
        <v>In</v>
      </c>
    </row>
    <row r="6574">
      <c r="A6574" s="62" t="s">
        <v>6712</v>
      </c>
      <c r="B6574" s="63">
        <v>44375.0</v>
      </c>
      <c r="C6574" s="62" t="s">
        <v>119</v>
      </c>
      <c r="D6574" s="64">
        <v>95.0</v>
      </c>
      <c r="E6574" s="62" t="s">
        <v>114</v>
      </c>
      <c r="F6574" s="62" t="s">
        <v>115</v>
      </c>
      <c r="G6574" s="64" t="s">
        <v>64</v>
      </c>
      <c r="H6574" s="3" t="s">
        <v>139</v>
      </c>
      <c r="I6574" s="65" t="str">
        <f>IFERROR(VLOOKUP(A6574,'3. Call duration'!$A:$C,3,0),"--")</f>
        <v>--</v>
      </c>
      <c r="J6574" s="65" t="str">
        <f t="array" ref="J6574">XLOOKUP(H6574,'2. Matching'!$A$2:$A$39,'2. Matching'!$B$2:$B$39,"--")</f>
        <v>Acquisition</v>
      </c>
      <c r="K6574" s="65" t="str">
        <f t="shared" si="1"/>
        <v>In</v>
      </c>
    </row>
    <row r="6575">
      <c r="A6575" s="62" t="s">
        <v>6713</v>
      </c>
      <c r="B6575" s="63">
        <v>44377.0</v>
      </c>
      <c r="C6575" s="62" t="s">
        <v>119</v>
      </c>
      <c r="D6575" s="64">
        <v>95.0</v>
      </c>
      <c r="E6575" s="62" t="s">
        <v>114</v>
      </c>
      <c r="F6575" s="62" t="s">
        <v>110</v>
      </c>
      <c r="G6575" s="64" t="s">
        <v>60</v>
      </c>
      <c r="H6575" s="3" t="s">
        <v>67</v>
      </c>
      <c r="I6575" s="65">
        <f>IFERROR(VLOOKUP(A6575,'3. Call duration'!$A:$C,3,0),"--")</f>
        <v>31.45266901</v>
      </c>
      <c r="J6575" s="65" t="str">
        <f t="array" ref="J6575">XLOOKUP(H6575,'2. Matching'!$A$2:$A$39,'2. Matching'!$B$2:$B$39,"--")</f>
        <v>Acquisition</v>
      </c>
      <c r="K6575" s="65" t="str">
        <f t="shared" si="1"/>
        <v>In</v>
      </c>
    </row>
    <row r="6576">
      <c r="A6576" s="62" t="s">
        <v>6714</v>
      </c>
      <c r="B6576" s="63">
        <v>44337.0</v>
      </c>
      <c r="C6576" s="62" t="s">
        <v>119</v>
      </c>
      <c r="D6576" s="64">
        <v>47.5</v>
      </c>
      <c r="E6576" s="62" t="s">
        <v>109</v>
      </c>
      <c r="F6576" s="62" t="s">
        <v>110</v>
      </c>
      <c r="G6576" s="64" t="s">
        <v>64</v>
      </c>
      <c r="H6576" s="3" t="s">
        <v>55</v>
      </c>
      <c r="I6576" s="65" t="str">
        <f>IFERROR(VLOOKUP(A6576,'3. Call duration'!$A:$C,3,0),"--")</f>
        <v>--</v>
      </c>
      <c r="J6576" s="65" t="str">
        <f t="array" ref="J6576">XLOOKUP(H6576,'2. Matching'!$A$2:$A$39,'2. Matching'!$B$2:$B$39,"--")</f>
        <v>Partnerships</v>
      </c>
      <c r="K6576" s="65" t="str">
        <f t="shared" si="1"/>
        <v>In</v>
      </c>
    </row>
    <row r="6577">
      <c r="A6577" s="62" t="s">
        <v>6715</v>
      </c>
      <c r="B6577" s="63">
        <v>44341.0</v>
      </c>
      <c r="C6577" s="62" t="s">
        <v>119</v>
      </c>
      <c r="D6577" s="64">
        <v>47.5</v>
      </c>
      <c r="E6577" s="62" t="s">
        <v>109</v>
      </c>
      <c r="F6577" s="62" t="s">
        <v>110</v>
      </c>
      <c r="G6577" s="64" t="s">
        <v>63</v>
      </c>
      <c r="H6577" s="3" t="s">
        <v>183</v>
      </c>
      <c r="I6577" s="65" t="str">
        <f>IFERROR(VLOOKUP(A6577,'3. Call duration'!$A:$C,3,0),"--")</f>
        <v>--</v>
      </c>
      <c r="J6577" s="65" t="str">
        <f t="array" ref="J6577">XLOOKUP(H6577,'2. Matching'!$A$2:$A$39,'2. Matching'!$B$2:$B$39,"--")</f>
        <v>SEO</v>
      </c>
      <c r="K6577" s="65" t="str">
        <f t="shared" si="1"/>
        <v>In</v>
      </c>
    </row>
    <row r="6578">
      <c r="A6578" s="62" t="s">
        <v>6716</v>
      </c>
      <c r="B6578" s="63">
        <v>44368.0</v>
      </c>
      <c r="C6578" s="62" t="s">
        <v>119</v>
      </c>
      <c r="D6578" s="64">
        <v>95.0</v>
      </c>
      <c r="E6578" s="62" t="s">
        <v>114</v>
      </c>
      <c r="F6578" s="62" t="s">
        <v>110</v>
      </c>
      <c r="G6578" s="64" t="s">
        <v>60</v>
      </c>
      <c r="H6578" s="3" t="s">
        <v>67</v>
      </c>
      <c r="I6578" s="65">
        <f>IFERROR(VLOOKUP(A6578,'3. Call duration'!$A:$C,3,0),"--")</f>
        <v>13.08743243</v>
      </c>
      <c r="J6578" s="65" t="str">
        <f t="array" ref="J6578">XLOOKUP(H6578,'2. Matching'!$A$2:$A$39,'2. Matching'!$B$2:$B$39,"--")</f>
        <v>Acquisition</v>
      </c>
      <c r="K6578" s="65" t="str">
        <f t="shared" si="1"/>
        <v>In</v>
      </c>
    </row>
    <row r="6579">
      <c r="A6579" s="62" t="s">
        <v>6717</v>
      </c>
      <c r="B6579" s="63">
        <v>44357.0</v>
      </c>
      <c r="C6579" s="62" t="s">
        <v>119</v>
      </c>
      <c r="D6579" s="64">
        <v>95.0</v>
      </c>
      <c r="E6579" s="62" t="s">
        <v>114</v>
      </c>
      <c r="F6579" s="62" t="s">
        <v>110</v>
      </c>
      <c r="G6579" s="64" t="s">
        <v>60</v>
      </c>
      <c r="H6579" s="3" t="s">
        <v>68</v>
      </c>
      <c r="I6579" s="65" t="str">
        <f>IFERROR(VLOOKUP(A6579,'3. Call duration'!$A:$C,3,0),"--")</f>
        <v>--</v>
      </c>
      <c r="J6579" s="65" t="str">
        <f t="array" ref="J6579">XLOOKUP(H6579,'2. Matching'!$A$2:$A$39,'2. Matching'!$B$2:$B$39,"--")</f>
        <v>Acquisition</v>
      </c>
      <c r="K6579" s="65" t="str">
        <f t="shared" si="1"/>
        <v>In</v>
      </c>
    </row>
    <row r="6580">
      <c r="A6580" s="62" t="s">
        <v>6718</v>
      </c>
      <c r="B6580" s="63">
        <v>44343.0</v>
      </c>
      <c r="C6580" s="62" t="s">
        <v>119</v>
      </c>
      <c r="D6580" s="64">
        <v>47.5</v>
      </c>
      <c r="E6580" s="62" t="s">
        <v>109</v>
      </c>
      <c r="F6580" s="62" t="s">
        <v>115</v>
      </c>
      <c r="G6580" s="64" t="s">
        <v>64</v>
      </c>
      <c r="H6580" s="3" t="s">
        <v>135</v>
      </c>
      <c r="I6580" s="65" t="str">
        <f>IFERROR(VLOOKUP(A6580,'3. Call duration'!$A:$C,3,0),"--")</f>
        <v>--</v>
      </c>
      <c r="J6580" s="65" t="str">
        <f t="array" ref="J6580">XLOOKUP(H6580,'2. Matching'!$A$2:$A$39,'2. Matching'!$B$2:$B$39,"--")</f>
        <v>Acquisition</v>
      </c>
      <c r="K6580" s="65" t="str">
        <f t="shared" si="1"/>
        <v>In</v>
      </c>
    </row>
    <row r="6581">
      <c r="A6581" s="62" t="s">
        <v>6719</v>
      </c>
      <c r="B6581" s="63">
        <v>44372.0</v>
      </c>
      <c r="C6581" s="62" t="s">
        <v>119</v>
      </c>
      <c r="D6581" s="64">
        <v>95.0</v>
      </c>
      <c r="E6581" s="62" t="s">
        <v>114</v>
      </c>
      <c r="F6581" s="62" t="s">
        <v>115</v>
      </c>
      <c r="G6581" s="64" t="s">
        <v>64</v>
      </c>
      <c r="H6581" s="3" t="s">
        <v>141</v>
      </c>
      <c r="I6581" s="65">
        <f>IFERROR(VLOOKUP(A6581,'3. Call duration'!$A:$C,3,0),"--")</f>
        <v>26.1440668</v>
      </c>
      <c r="J6581" s="65" t="str">
        <f t="array" ref="J6581">XLOOKUP(H6581,'2. Matching'!$A$2:$A$39,'2. Matching'!$B$2:$B$39,"--")</f>
        <v>Acquisition</v>
      </c>
      <c r="K6581" s="65" t="str">
        <f t="shared" si="1"/>
        <v>In</v>
      </c>
    </row>
    <row r="6582">
      <c r="A6582" s="62" t="s">
        <v>6720</v>
      </c>
      <c r="B6582" s="63">
        <v>44364.0</v>
      </c>
      <c r="C6582" s="62" t="s">
        <v>119</v>
      </c>
      <c r="D6582" s="64">
        <v>95.0</v>
      </c>
      <c r="E6582" s="62" t="s">
        <v>114</v>
      </c>
      <c r="F6582" s="62" t="s">
        <v>115</v>
      </c>
      <c r="G6582" s="64" t="s">
        <v>64</v>
      </c>
      <c r="H6582" s="3" t="s">
        <v>139</v>
      </c>
      <c r="I6582" s="65">
        <f>IFERROR(VLOOKUP(A6582,'3. Call duration'!$A:$C,3,0),"--")</f>
        <v>10.65829622</v>
      </c>
      <c r="J6582" s="65" t="str">
        <f t="array" ref="J6582">XLOOKUP(H6582,'2. Matching'!$A$2:$A$39,'2. Matching'!$B$2:$B$39,"--")</f>
        <v>Acquisition</v>
      </c>
      <c r="K6582" s="65" t="str">
        <f t="shared" si="1"/>
        <v>In</v>
      </c>
    </row>
    <row r="6583">
      <c r="A6583" s="62" t="s">
        <v>6721</v>
      </c>
      <c r="B6583" s="63">
        <v>44373.0</v>
      </c>
      <c r="C6583" s="62" t="s">
        <v>119</v>
      </c>
      <c r="D6583" s="64">
        <v>95.0</v>
      </c>
      <c r="E6583" s="62" t="s">
        <v>114</v>
      </c>
      <c r="F6583" s="62" t="s">
        <v>110</v>
      </c>
      <c r="G6583" s="64" t="s">
        <v>60</v>
      </c>
      <c r="H6583" s="3" t="s">
        <v>67</v>
      </c>
      <c r="I6583" s="65">
        <f>IFERROR(VLOOKUP(A6583,'3. Call duration'!$A:$C,3,0),"--")</f>
        <v>24.33183706</v>
      </c>
      <c r="J6583" s="65" t="str">
        <f t="array" ref="J6583">XLOOKUP(H6583,'2. Matching'!$A$2:$A$39,'2. Matching'!$B$2:$B$39,"--")</f>
        <v>Acquisition</v>
      </c>
      <c r="K6583" s="65" t="str">
        <f t="shared" si="1"/>
        <v>In</v>
      </c>
    </row>
    <row r="6584">
      <c r="A6584" s="62" t="s">
        <v>6722</v>
      </c>
      <c r="B6584" s="63">
        <v>44343.0</v>
      </c>
      <c r="C6584" s="62" t="s">
        <v>119</v>
      </c>
      <c r="D6584" s="64">
        <v>47.5</v>
      </c>
      <c r="E6584" s="62" t="s">
        <v>109</v>
      </c>
      <c r="F6584" s="62" t="s">
        <v>115</v>
      </c>
      <c r="G6584" s="64" t="s">
        <v>64</v>
      </c>
      <c r="H6584" s="3" t="s">
        <v>139</v>
      </c>
      <c r="I6584" s="65" t="str">
        <f>IFERROR(VLOOKUP(A6584,'3. Call duration'!$A:$C,3,0),"--")</f>
        <v>--</v>
      </c>
      <c r="J6584" s="65" t="str">
        <f t="array" ref="J6584">XLOOKUP(H6584,'2. Matching'!$A$2:$A$39,'2. Matching'!$B$2:$B$39,"--")</f>
        <v>Acquisition</v>
      </c>
      <c r="K6584" s="65" t="str">
        <f t="shared" si="1"/>
        <v>In</v>
      </c>
    </row>
    <row r="6585">
      <c r="A6585" s="62" t="s">
        <v>6723</v>
      </c>
      <c r="B6585" s="63">
        <v>44348.0</v>
      </c>
      <c r="C6585" s="62" t="s">
        <v>119</v>
      </c>
      <c r="D6585" s="64">
        <v>95.0</v>
      </c>
      <c r="E6585" s="62" t="s">
        <v>114</v>
      </c>
      <c r="F6585" s="62" t="s">
        <v>110</v>
      </c>
      <c r="G6585" s="64" t="s">
        <v>63</v>
      </c>
      <c r="H6585" s="3" t="s">
        <v>128</v>
      </c>
      <c r="I6585" s="65">
        <f>IFERROR(VLOOKUP(A6585,'3. Call duration'!$A:$C,3,0),"--")</f>
        <v>30.75693976</v>
      </c>
      <c r="J6585" s="65" t="str">
        <f t="array" ref="J6585">XLOOKUP(H6585,'2. Matching'!$A$2:$A$39,'2. Matching'!$B$2:$B$39,"--")</f>
        <v>Acquisition</v>
      </c>
      <c r="K6585" s="65" t="str">
        <f t="shared" si="1"/>
        <v>In</v>
      </c>
    </row>
    <row r="6586">
      <c r="A6586" s="62" t="s">
        <v>6724</v>
      </c>
      <c r="B6586" s="63">
        <v>44323.0</v>
      </c>
      <c r="C6586" s="62" t="s">
        <v>119</v>
      </c>
      <c r="D6586" s="64">
        <v>47.5</v>
      </c>
      <c r="E6586" s="62" t="s">
        <v>109</v>
      </c>
      <c r="F6586" s="62" t="s">
        <v>115</v>
      </c>
      <c r="G6586" s="64" t="s">
        <v>64</v>
      </c>
      <c r="H6586" s="3" t="s">
        <v>49</v>
      </c>
      <c r="I6586" s="65" t="str">
        <f>IFERROR(VLOOKUP(A6586,'3. Call duration'!$A:$C,3,0),"--")</f>
        <v>--</v>
      </c>
      <c r="J6586" s="65" t="str">
        <f t="array" ref="J6586">XLOOKUP(H6586,'2. Matching'!$A$2:$A$39,'2. Matching'!$B$2:$B$39,"--")</f>
        <v>Partnerships</v>
      </c>
      <c r="K6586" s="65" t="str">
        <f t="shared" si="1"/>
        <v>In</v>
      </c>
    </row>
    <row r="6587">
      <c r="A6587" s="62" t="s">
        <v>6725</v>
      </c>
      <c r="B6587" s="63">
        <v>44322.0</v>
      </c>
      <c r="C6587" s="62" t="s">
        <v>119</v>
      </c>
      <c r="D6587" s="64">
        <v>47.5</v>
      </c>
      <c r="E6587" s="62" t="s">
        <v>109</v>
      </c>
      <c r="F6587" s="62" t="s">
        <v>115</v>
      </c>
      <c r="G6587" s="64" t="s">
        <v>64</v>
      </c>
      <c r="H6587" s="3" t="s">
        <v>164</v>
      </c>
      <c r="I6587" s="65" t="str">
        <f>IFERROR(VLOOKUP(A6587,'3. Call duration'!$A:$C,3,0),"--")</f>
        <v>--</v>
      </c>
      <c r="J6587" s="65" t="str">
        <f t="array" ref="J6587">XLOOKUP(H6587,'2. Matching'!$A$2:$A$39,'2. Matching'!$B$2:$B$39,"--")</f>
        <v>SEO</v>
      </c>
      <c r="K6587" s="65" t="str">
        <f t="shared" si="1"/>
        <v>In</v>
      </c>
    </row>
    <row r="6588">
      <c r="A6588" s="62" t="s">
        <v>6726</v>
      </c>
      <c r="B6588" s="63">
        <v>44349.0</v>
      </c>
      <c r="C6588" s="62" t="s">
        <v>119</v>
      </c>
      <c r="D6588" s="64">
        <v>95.0</v>
      </c>
      <c r="E6588" s="62" t="s">
        <v>114</v>
      </c>
      <c r="F6588" s="62" t="s">
        <v>110</v>
      </c>
      <c r="G6588" s="64" t="s">
        <v>63</v>
      </c>
      <c r="H6588" s="3" t="s">
        <v>183</v>
      </c>
      <c r="I6588" s="65">
        <f>IFERROR(VLOOKUP(A6588,'3. Call duration'!$A:$C,3,0),"--")</f>
        <v>10.16994305</v>
      </c>
      <c r="J6588" s="65" t="str">
        <f t="array" ref="J6588">XLOOKUP(H6588,'2. Matching'!$A$2:$A$39,'2. Matching'!$B$2:$B$39,"--")</f>
        <v>SEO</v>
      </c>
      <c r="K6588" s="65" t="str">
        <f t="shared" si="1"/>
        <v>In</v>
      </c>
    </row>
    <row r="6589">
      <c r="A6589" s="62" t="s">
        <v>6727</v>
      </c>
      <c r="B6589" s="63">
        <v>44337.0</v>
      </c>
      <c r="C6589" s="62" t="s">
        <v>119</v>
      </c>
      <c r="D6589" s="64">
        <v>47.5</v>
      </c>
      <c r="E6589" s="62" t="s">
        <v>109</v>
      </c>
      <c r="F6589" s="62" t="s">
        <v>115</v>
      </c>
      <c r="G6589" s="64" t="s">
        <v>59</v>
      </c>
      <c r="H6589" s="3" t="s">
        <v>68</v>
      </c>
      <c r="I6589" s="65" t="str">
        <f>IFERROR(VLOOKUP(A6589,'3. Call duration'!$A:$C,3,0),"--")</f>
        <v>--</v>
      </c>
      <c r="J6589" s="65" t="str">
        <f t="array" ref="J6589">XLOOKUP(H6589,'2. Matching'!$A$2:$A$39,'2. Matching'!$B$2:$B$39,"--")</f>
        <v>Acquisition</v>
      </c>
      <c r="K6589" s="65" t="str">
        <f t="shared" si="1"/>
        <v>In</v>
      </c>
    </row>
    <row r="6590">
      <c r="A6590" s="62" t="s">
        <v>6728</v>
      </c>
      <c r="B6590" s="63">
        <v>44349.0</v>
      </c>
      <c r="C6590" s="62" t="s">
        <v>119</v>
      </c>
      <c r="D6590" s="64">
        <v>95.0</v>
      </c>
      <c r="E6590" s="62" t="s">
        <v>114</v>
      </c>
      <c r="F6590" s="62" t="s">
        <v>115</v>
      </c>
      <c r="G6590" s="64" t="s">
        <v>63</v>
      </c>
      <c r="H6590" s="3" t="s">
        <v>189</v>
      </c>
      <c r="I6590" s="65">
        <f>IFERROR(VLOOKUP(A6590,'3. Call duration'!$A:$C,3,0),"--")</f>
        <v>20.02090898</v>
      </c>
      <c r="J6590" s="65" t="str">
        <f t="array" ref="J6590">XLOOKUP(H6590,'2. Matching'!$A$2:$A$39,'2. Matching'!$B$2:$B$39,"--")</f>
        <v>SEO</v>
      </c>
      <c r="K6590" s="65" t="str">
        <f t="shared" si="1"/>
        <v>Out</v>
      </c>
    </row>
    <row r="6591">
      <c r="A6591" s="62" t="s">
        <v>6729</v>
      </c>
      <c r="B6591" s="63">
        <v>44365.0</v>
      </c>
      <c r="C6591" s="62" t="s">
        <v>119</v>
      </c>
      <c r="D6591" s="64">
        <v>95.0</v>
      </c>
      <c r="E6591" s="62" t="s">
        <v>114</v>
      </c>
      <c r="F6591" s="62" t="s">
        <v>110</v>
      </c>
      <c r="G6591" s="64" t="s">
        <v>63</v>
      </c>
      <c r="H6591" s="3" t="s">
        <v>183</v>
      </c>
      <c r="I6591" s="65">
        <f>IFERROR(VLOOKUP(A6591,'3. Call duration'!$A:$C,3,0),"--")</f>
        <v>34.16100109</v>
      </c>
      <c r="J6591" s="65" t="str">
        <f t="array" ref="J6591">XLOOKUP(H6591,'2. Matching'!$A$2:$A$39,'2. Matching'!$B$2:$B$39,"--")</f>
        <v>SEO</v>
      </c>
      <c r="K6591" s="65" t="str">
        <f t="shared" si="1"/>
        <v>In</v>
      </c>
    </row>
    <row r="6592">
      <c r="A6592" s="62" t="s">
        <v>6730</v>
      </c>
      <c r="B6592" s="63">
        <v>44319.0</v>
      </c>
      <c r="C6592" s="62" t="s">
        <v>119</v>
      </c>
      <c r="D6592" s="64">
        <v>47.5</v>
      </c>
      <c r="E6592" s="62" t="s">
        <v>109</v>
      </c>
      <c r="F6592" s="62" t="s">
        <v>110</v>
      </c>
      <c r="G6592" s="64" t="s">
        <v>63</v>
      </c>
      <c r="H6592" s="3" t="s">
        <v>128</v>
      </c>
      <c r="I6592" s="65" t="str">
        <f>IFERROR(VLOOKUP(A6592,'3. Call duration'!$A:$C,3,0),"--")</f>
        <v>--</v>
      </c>
      <c r="J6592" s="65" t="str">
        <f t="array" ref="J6592">XLOOKUP(H6592,'2. Matching'!$A$2:$A$39,'2. Matching'!$B$2:$B$39,"--")</f>
        <v>Acquisition</v>
      </c>
      <c r="K6592" s="65" t="str">
        <f t="shared" si="1"/>
        <v>In</v>
      </c>
    </row>
    <row r="6593">
      <c r="A6593" s="62" t="s">
        <v>6731</v>
      </c>
      <c r="B6593" s="63">
        <v>44322.0</v>
      </c>
      <c r="C6593" s="62" t="s">
        <v>119</v>
      </c>
      <c r="D6593" s="64">
        <v>47.5</v>
      </c>
      <c r="E6593" s="62" t="s">
        <v>109</v>
      </c>
      <c r="F6593" s="62" t="s">
        <v>110</v>
      </c>
      <c r="G6593" s="64" t="s">
        <v>64</v>
      </c>
      <c r="H6593" s="3" t="s">
        <v>52</v>
      </c>
      <c r="I6593" s="65" t="str">
        <f>IFERROR(VLOOKUP(A6593,'3. Call duration'!$A:$C,3,0),"--")</f>
        <v>--</v>
      </c>
      <c r="J6593" s="65" t="str">
        <f t="array" ref="J6593">XLOOKUP(H6593,'2. Matching'!$A$2:$A$39,'2. Matching'!$B$2:$B$39,"--")</f>
        <v>Partnerships</v>
      </c>
      <c r="K6593" s="65" t="str">
        <f t="shared" si="1"/>
        <v>In</v>
      </c>
    </row>
    <row r="6594">
      <c r="A6594" s="62" t="s">
        <v>6732</v>
      </c>
      <c r="B6594" s="63">
        <v>44337.0</v>
      </c>
      <c r="C6594" s="62" t="s">
        <v>119</v>
      </c>
      <c r="D6594" s="64">
        <v>47.5</v>
      </c>
      <c r="E6594" s="62" t="s">
        <v>109</v>
      </c>
      <c r="F6594" s="62" t="s">
        <v>115</v>
      </c>
      <c r="G6594" s="64" t="s">
        <v>64</v>
      </c>
      <c r="H6594" s="3" t="s">
        <v>185</v>
      </c>
      <c r="I6594" s="65" t="str">
        <f>IFERROR(VLOOKUP(A6594,'3. Call duration'!$A:$C,3,0),"--")</f>
        <v>--</v>
      </c>
      <c r="J6594" s="65" t="str">
        <f t="array" ref="J6594">XLOOKUP(H6594,'2. Matching'!$A$2:$A$39,'2. Matching'!$B$2:$B$39,"--")</f>
        <v>SEO</v>
      </c>
      <c r="K6594" s="65" t="str">
        <f t="shared" si="1"/>
        <v>In</v>
      </c>
    </row>
    <row r="6595">
      <c r="A6595" s="62" t="s">
        <v>6733</v>
      </c>
      <c r="B6595" s="63">
        <v>44333.0</v>
      </c>
      <c r="C6595" s="62" t="s">
        <v>119</v>
      </c>
      <c r="D6595" s="64">
        <v>47.5</v>
      </c>
      <c r="E6595" s="62" t="s">
        <v>109</v>
      </c>
      <c r="F6595" s="62" t="s">
        <v>115</v>
      </c>
      <c r="G6595" s="64" t="s">
        <v>64</v>
      </c>
      <c r="H6595" s="3" t="s">
        <v>169</v>
      </c>
      <c r="I6595" s="65" t="str">
        <f>IFERROR(VLOOKUP(A6595,'3. Call duration'!$A:$C,3,0),"--")</f>
        <v>--</v>
      </c>
      <c r="J6595" s="65" t="str">
        <f t="array" ref="J6595">XLOOKUP(H6595,'2. Matching'!$A$2:$A$39,'2. Matching'!$B$2:$B$39,"--")</f>
        <v>SEO</v>
      </c>
      <c r="K6595" s="65" t="str">
        <f t="shared" si="1"/>
        <v>In</v>
      </c>
    </row>
    <row r="6596">
      <c r="A6596" s="62" t="s">
        <v>6734</v>
      </c>
      <c r="B6596" s="63">
        <v>44354.0</v>
      </c>
      <c r="C6596" s="62" t="s">
        <v>119</v>
      </c>
      <c r="D6596" s="64">
        <v>95.0</v>
      </c>
      <c r="E6596" s="62" t="s">
        <v>114</v>
      </c>
      <c r="F6596" s="62" t="s">
        <v>110</v>
      </c>
      <c r="G6596" s="64" t="s">
        <v>60</v>
      </c>
      <c r="H6596" s="3" t="s">
        <v>67</v>
      </c>
      <c r="I6596" s="65">
        <f>IFERROR(VLOOKUP(A6596,'3. Call duration'!$A:$C,3,0),"--")</f>
        <v>20.96172112</v>
      </c>
      <c r="J6596" s="65" t="str">
        <f t="array" ref="J6596">XLOOKUP(H6596,'2. Matching'!$A$2:$A$39,'2. Matching'!$B$2:$B$39,"--")</f>
        <v>Acquisition</v>
      </c>
      <c r="K6596" s="65" t="str">
        <f t="shared" si="1"/>
        <v>In</v>
      </c>
    </row>
    <row r="6597">
      <c r="A6597" s="62" t="s">
        <v>6735</v>
      </c>
      <c r="B6597" s="63">
        <v>44342.0</v>
      </c>
      <c r="C6597" s="62" t="s">
        <v>119</v>
      </c>
      <c r="D6597" s="64">
        <v>47.5</v>
      </c>
      <c r="E6597" s="62" t="s">
        <v>109</v>
      </c>
      <c r="F6597" s="62" t="s">
        <v>110</v>
      </c>
      <c r="G6597" s="64" t="s">
        <v>64</v>
      </c>
      <c r="H6597" s="3" t="s">
        <v>171</v>
      </c>
      <c r="I6597" s="65" t="str">
        <f>IFERROR(VLOOKUP(A6597,'3. Call duration'!$A:$C,3,0),"--")</f>
        <v>--</v>
      </c>
      <c r="J6597" s="65" t="str">
        <f t="array" ref="J6597">XLOOKUP(H6597,'2. Matching'!$A$2:$A$39,'2. Matching'!$B$2:$B$39,"--")</f>
        <v>SEO</v>
      </c>
      <c r="K6597" s="65" t="str">
        <f t="shared" si="1"/>
        <v>In</v>
      </c>
    </row>
    <row r="6598">
      <c r="A6598" s="62" t="s">
        <v>6736</v>
      </c>
      <c r="B6598" s="63">
        <v>44341.0</v>
      </c>
      <c r="C6598" s="62" t="s">
        <v>119</v>
      </c>
      <c r="D6598" s="64">
        <v>47.5</v>
      </c>
      <c r="E6598" s="62" t="s">
        <v>109</v>
      </c>
      <c r="F6598" s="62" t="s">
        <v>115</v>
      </c>
      <c r="G6598" s="64" t="s">
        <v>64</v>
      </c>
      <c r="H6598" s="3" t="s">
        <v>175</v>
      </c>
      <c r="I6598" s="65" t="str">
        <f>IFERROR(VLOOKUP(A6598,'3. Call duration'!$A:$C,3,0),"--")</f>
        <v>--</v>
      </c>
      <c r="J6598" s="65" t="str">
        <f t="array" ref="J6598">XLOOKUP(H6598,'2. Matching'!$A$2:$A$39,'2. Matching'!$B$2:$B$39,"--")</f>
        <v>SEO</v>
      </c>
      <c r="K6598" s="65" t="str">
        <f t="shared" si="1"/>
        <v>In</v>
      </c>
    </row>
    <row r="6599">
      <c r="A6599" s="62" t="s">
        <v>6737</v>
      </c>
      <c r="B6599" s="63">
        <v>44343.0</v>
      </c>
      <c r="C6599" s="62" t="s">
        <v>119</v>
      </c>
      <c r="D6599" s="64">
        <v>47.5</v>
      </c>
      <c r="E6599" s="62" t="s">
        <v>109</v>
      </c>
      <c r="F6599" s="62" t="s">
        <v>110</v>
      </c>
      <c r="G6599" s="64" t="s">
        <v>63</v>
      </c>
      <c r="H6599" s="3" t="s">
        <v>128</v>
      </c>
      <c r="I6599" s="65" t="str">
        <f>IFERROR(VLOOKUP(A6599,'3. Call duration'!$A:$C,3,0),"--")</f>
        <v>--</v>
      </c>
      <c r="J6599" s="65" t="str">
        <f t="array" ref="J6599">XLOOKUP(H6599,'2. Matching'!$A$2:$A$39,'2. Matching'!$B$2:$B$39,"--")</f>
        <v>Acquisition</v>
      </c>
      <c r="K6599" s="65" t="str">
        <f t="shared" si="1"/>
        <v>In</v>
      </c>
    </row>
    <row r="6600">
      <c r="A6600" s="62" t="s">
        <v>6738</v>
      </c>
      <c r="B6600" s="63">
        <v>44336.0</v>
      </c>
      <c r="C6600" s="62" t="s">
        <v>119</v>
      </c>
      <c r="D6600" s="64">
        <v>47.5</v>
      </c>
      <c r="E6600" s="62" t="s">
        <v>109</v>
      </c>
      <c r="F6600" s="62" t="s">
        <v>110</v>
      </c>
      <c r="G6600" s="64" t="s">
        <v>63</v>
      </c>
      <c r="H6600" s="3" t="s">
        <v>189</v>
      </c>
      <c r="I6600" s="65" t="str">
        <f>IFERROR(VLOOKUP(A6600,'3. Call duration'!$A:$C,3,0),"--")</f>
        <v>--</v>
      </c>
      <c r="J6600" s="65" t="str">
        <f t="array" ref="J6600">XLOOKUP(H6600,'2. Matching'!$A$2:$A$39,'2. Matching'!$B$2:$B$39,"--")</f>
        <v>SEO</v>
      </c>
      <c r="K6600" s="65" t="str">
        <f t="shared" si="1"/>
        <v>Out</v>
      </c>
    </row>
    <row r="6601">
      <c r="A6601" s="62" t="s">
        <v>6739</v>
      </c>
      <c r="B6601" s="63">
        <v>44365.0</v>
      </c>
      <c r="C6601" s="62" t="s">
        <v>119</v>
      </c>
      <c r="D6601" s="64">
        <v>95.0</v>
      </c>
      <c r="E6601" s="62" t="s">
        <v>114</v>
      </c>
      <c r="F6601" s="62" t="s">
        <v>115</v>
      </c>
      <c r="G6601" s="64" t="s">
        <v>64</v>
      </c>
      <c r="H6601" s="3" t="s">
        <v>297</v>
      </c>
      <c r="I6601" s="65">
        <f>IFERROR(VLOOKUP(A6601,'3. Call duration'!$A:$C,3,0),"--")</f>
        <v>32.10343754</v>
      </c>
      <c r="J6601" s="65" t="str">
        <f t="array" ref="J6601">XLOOKUP(H6601,'2. Matching'!$A$2:$A$39,'2. Matching'!$B$2:$B$39,"--")</f>
        <v>Farming</v>
      </c>
      <c r="K6601" s="65" t="str">
        <f t="shared" si="1"/>
        <v>In</v>
      </c>
    </row>
    <row r="6602">
      <c r="A6602" s="62" t="s">
        <v>6740</v>
      </c>
      <c r="B6602" s="63">
        <v>44364.0</v>
      </c>
      <c r="C6602" s="62" t="s">
        <v>119</v>
      </c>
      <c r="D6602" s="64">
        <v>95.0</v>
      </c>
      <c r="E6602" s="62" t="s">
        <v>114</v>
      </c>
      <c r="F6602" s="62" t="s">
        <v>110</v>
      </c>
      <c r="G6602" s="64" t="s">
        <v>63</v>
      </c>
      <c r="H6602" s="3" t="s">
        <v>183</v>
      </c>
      <c r="I6602" s="65">
        <f>IFERROR(VLOOKUP(A6602,'3. Call duration'!$A:$C,3,0),"--")</f>
        <v>24.29655253</v>
      </c>
      <c r="J6602" s="65" t="str">
        <f t="array" ref="J6602">XLOOKUP(H6602,'2. Matching'!$A$2:$A$39,'2. Matching'!$B$2:$B$39,"--")</f>
        <v>SEO</v>
      </c>
      <c r="K6602" s="65" t="str">
        <f t="shared" si="1"/>
        <v>In</v>
      </c>
    </row>
    <row r="6603">
      <c r="A6603" s="62" t="s">
        <v>6741</v>
      </c>
      <c r="B6603" s="63">
        <v>44334.0</v>
      </c>
      <c r="C6603" s="62" t="s">
        <v>119</v>
      </c>
      <c r="D6603" s="64">
        <v>47.5</v>
      </c>
      <c r="E6603" s="62" t="s">
        <v>109</v>
      </c>
      <c r="F6603" s="62" t="s">
        <v>115</v>
      </c>
      <c r="G6603" s="64" t="s">
        <v>64</v>
      </c>
      <c r="H6603" s="3" t="s">
        <v>221</v>
      </c>
      <c r="I6603" s="65" t="str">
        <f>IFERROR(VLOOKUP(A6603,'3. Call duration'!$A:$C,3,0),"--")</f>
        <v>--</v>
      </c>
      <c r="J6603" s="65" t="str">
        <f t="array" ref="J6603">XLOOKUP(H6603,'2. Matching'!$A$2:$A$39,'2. Matching'!$B$2:$B$39,"--")</f>
        <v>Farming</v>
      </c>
      <c r="K6603" s="65" t="str">
        <f t="shared" si="1"/>
        <v>In</v>
      </c>
    </row>
    <row r="6604">
      <c r="A6604" s="62" t="s">
        <v>6742</v>
      </c>
      <c r="B6604" s="63">
        <v>44375.0</v>
      </c>
      <c r="C6604" s="62" t="s">
        <v>119</v>
      </c>
      <c r="D6604" s="64">
        <v>95.0</v>
      </c>
      <c r="E6604" s="62" t="s">
        <v>114</v>
      </c>
      <c r="F6604" s="62" t="s">
        <v>115</v>
      </c>
      <c r="G6604" s="64" t="s">
        <v>64</v>
      </c>
      <c r="H6604" s="3" t="s">
        <v>171</v>
      </c>
      <c r="I6604" s="65">
        <f>IFERROR(VLOOKUP(A6604,'3. Call duration'!$A:$C,3,0),"--")</f>
        <v>33.06464691</v>
      </c>
      <c r="J6604" s="65" t="str">
        <f t="array" ref="J6604">XLOOKUP(H6604,'2. Matching'!$A$2:$A$39,'2. Matching'!$B$2:$B$39,"--")</f>
        <v>SEO</v>
      </c>
      <c r="K6604" s="65" t="str">
        <f t="shared" si="1"/>
        <v>In</v>
      </c>
    </row>
    <row r="6605">
      <c r="A6605" s="62" t="s">
        <v>6743</v>
      </c>
      <c r="B6605" s="63">
        <v>44327.0</v>
      </c>
      <c r="C6605" s="62" t="s">
        <v>119</v>
      </c>
      <c r="D6605" s="64">
        <v>47.5</v>
      </c>
      <c r="E6605" s="62" t="s">
        <v>109</v>
      </c>
      <c r="F6605" s="62" t="s">
        <v>115</v>
      </c>
      <c r="G6605" s="64" t="s">
        <v>64</v>
      </c>
      <c r="H6605" s="3" t="s">
        <v>139</v>
      </c>
      <c r="I6605" s="65" t="str">
        <f>IFERROR(VLOOKUP(A6605,'3. Call duration'!$A:$C,3,0),"--")</f>
        <v>--</v>
      </c>
      <c r="J6605" s="65" t="str">
        <f t="array" ref="J6605">XLOOKUP(H6605,'2. Matching'!$A$2:$A$39,'2. Matching'!$B$2:$B$39,"--")</f>
        <v>Acquisition</v>
      </c>
      <c r="K6605" s="65" t="str">
        <f t="shared" si="1"/>
        <v>In</v>
      </c>
    </row>
    <row r="6606">
      <c r="A6606" s="62" t="s">
        <v>6744</v>
      </c>
      <c r="B6606" s="63">
        <v>44362.0</v>
      </c>
      <c r="C6606" s="62" t="s">
        <v>119</v>
      </c>
      <c r="D6606" s="64">
        <v>95.0</v>
      </c>
      <c r="E6606" s="62" t="s">
        <v>114</v>
      </c>
      <c r="F6606" s="62" t="s">
        <v>115</v>
      </c>
      <c r="G6606" s="64" t="s">
        <v>64</v>
      </c>
      <c r="H6606" s="3" t="s">
        <v>141</v>
      </c>
      <c r="I6606" s="65">
        <f>IFERROR(VLOOKUP(A6606,'3. Call duration'!$A:$C,3,0),"--")</f>
        <v>23.29006303</v>
      </c>
      <c r="J6606" s="65" t="str">
        <f t="array" ref="J6606">XLOOKUP(H6606,'2. Matching'!$A$2:$A$39,'2. Matching'!$B$2:$B$39,"--")</f>
        <v>Acquisition</v>
      </c>
      <c r="K6606" s="65" t="str">
        <f t="shared" si="1"/>
        <v>In</v>
      </c>
    </row>
    <row r="6607">
      <c r="A6607" s="62" t="s">
        <v>6745</v>
      </c>
      <c r="B6607" s="63">
        <v>44377.0</v>
      </c>
      <c r="C6607" s="62" t="s">
        <v>119</v>
      </c>
      <c r="D6607" s="64">
        <v>95.0</v>
      </c>
      <c r="E6607" s="62" t="s">
        <v>114</v>
      </c>
      <c r="F6607" s="62" t="s">
        <v>110</v>
      </c>
      <c r="G6607" s="64" t="s">
        <v>60</v>
      </c>
      <c r="H6607" s="3" t="s">
        <v>67</v>
      </c>
      <c r="I6607" s="65">
        <f>IFERROR(VLOOKUP(A6607,'3. Call duration'!$A:$C,3,0),"--")</f>
        <v>30.19798592</v>
      </c>
      <c r="J6607" s="65" t="str">
        <f t="array" ref="J6607">XLOOKUP(H6607,'2. Matching'!$A$2:$A$39,'2. Matching'!$B$2:$B$39,"--")</f>
        <v>Acquisition</v>
      </c>
      <c r="K6607" s="65" t="str">
        <f t="shared" si="1"/>
        <v>In</v>
      </c>
    </row>
    <row r="6608">
      <c r="A6608" s="62" t="s">
        <v>6746</v>
      </c>
      <c r="B6608" s="63">
        <v>44348.0</v>
      </c>
      <c r="C6608" s="62" t="s">
        <v>119</v>
      </c>
      <c r="D6608" s="64">
        <v>95.0</v>
      </c>
      <c r="E6608" s="62" t="s">
        <v>114</v>
      </c>
      <c r="F6608" s="62" t="s">
        <v>110</v>
      </c>
      <c r="G6608" s="64" t="s">
        <v>60</v>
      </c>
      <c r="H6608" s="3" t="s">
        <v>67</v>
      </c>
      <c r="I6608" s="65">
        <f>IFERROR(VLOOKUP(A6608,'3. Call duration'!$A:$C,3,0),"--")</f>
        <v>15.58642306</v>
      </c>
      <c r="J6608" s="65" t="str">
        <f t="array" ref="J6608">XLOOKUP(H6608,'2. Matching'!$A$2:$A$39,'2. Matching'!$B$2:$B$39,"--")</f>
        <v>Acquisition</v>
      </c>
      <c r="K6608" s="65" t="str">
        <f t="shared" si="1"/>
        <v>In</v>
      </c>
    </row>
    <row r="6609">
      <c r="A6609" s="62" t="s">
        <v>6747</v>
      </c>
      <c r="B6609" s="63">
        <v>44376.0</v>
      </c>
      <c r="C6609" s="62" t="s">
        <v>119</v>
      </c>
      <c r="D6609" s="64">
        <v>95.0</v>
      </c>
      <c r="E6609" s="62" t="s">
        <v>114</v>
      </c>
      <c r="F6609" s="62" t="s">
        <v>115</v>
      </c>
      <c r="G6609" s="64" t="s">
        <v>59</v>
      </c>
      <c r="H6609" s="3" t="s">
        <v>68</v>
      </c>
      <c r="I6609" s="65">
        <f>IFERROR(VLOOKUP(A6609,'3. Call duration'!$A:$C,3,0),"--")</f>
        <v>25.14257238</v>
      </c>
      <c r="J6609" s="65" t="str">
        <f t="array" ref="J6609">XLOOKUP(H6609,'2. Matching'!$A$2:$A$39,'2. Matching'!$B$2:$B$39,"--")</f>
        <v>Acquisition</v>
      </c>
      <c r="K6609" s="65" t="str">
        <f t="shared" si="1"/>
        <v>In</v>
      </c>
    </row>
    <row r="6610">
      <c r="A6610" s="62" t="s">
        <v>6748</v>
      </c>
      <c r="B6610" s="63">
        <v>44368.0</v>
      </c>
      <c r="C6610" s="62" t="s">
        <v>119</v>
      </c>
      <c r="D6610" s="64">
        <v>95.0</v>
      </c>
      <c r="E6610" s="62" t="s">
        <v>114</v>
      </c>
      <c r="F6610" s="62" t="s">
        <v>110</v>
      </c>
      <c r="G6610" s="64" t="s">
        <v>60</v>
      </c>
      <c r="H6610" s="3" t="s">
        <v>67</v>
      </c>
      <c r="I6610" s="65">
        <f>IFERROR(VLOOKUP(A6610,'3. Call duration'!$A:$C,3,0),"--")</f>
        <v>29.44837537</v>
      </c>
      <c r="J6610" s="65" t="str">
        <f t="array" ref="J6610">XLOOKUP(H6610,'2. Matching'!$A$2:$A$39,'2. Matching'!$B$2:$B$39,"--")</f>
        <v>Acquisition</v>
      </c>
      <c r="K6610" s="65" t="str">
        <f t="shared" si="1"/>
        <v>In</v>
      </c>
    </row>
    <row r="6611">
      <c r="A6611" s="62" t="s">
        <v>6749</v>
      </c>
      <c r="B6611" s="63">
        <v>44341.0</v>
      </c>
      <c r="C6611" s="62" t="s">
        <v>119</v>
      </c>
      <c r="D6611" s="64">
        <v>95.0</v>
      </c>
      <c r="E6611" s="62" t="s">
        <v>114</v>
      </c>
      <c r="F6611" s="62" t="s">
        <v>110</v>
      </c>
      <c r="G6611" s="64" t="s">
        <v>64</v>
      </c>
      <c r="H6611" s="3" t="s">
        <v>131</v>
      </c>
      <c r="I6611" s="65" t="str">
        <f>IFERROR(VLOOKUP(A6611,'3. Call duration'!$A:$C,3,0),"--")</f>
        <v>--</v>
      </c>
      <c r="J6611" s="65" t="str">
        <f t="array" ref="J6611">XLOOKUP(H6611,'2. Matching'!$A$2:$A$39,'2. Matching'!$B$2:$B$39,"--")</f>
        <v>Acquisition</v>
      </c>
      <c r="K6611" s="65" t="str">
        <f t="shared" si="1"/>
        <v>In</v>
      </c>
    </row>
    <row r="6612">
      <c r="A6612" s="62" t="s">
        <v>6750</v>
      </c>
      <c r="B6612" s="63">
        <v>44368.0</v>
      </c>
      <c r="C6612" s="62" t="s">
        <v>119</v>
      </c>
      <c r="D6612" s="64">
        <v>95.0</v>
      </c>
      <c r="E6612" s="62" t="s">
        <v>114</v>
      </c>
      <c r="F6612" s="62" t="s">
        <v>115</v>
      </c>
      <c r="G6612" s="64" t="s">
        <v>59</v>
      </c>
      <c r="H6612" s="3" t="s">
        <v>68</v>
      </c>
      <c r="I6612" s="65">
        <f>IFERROR(VLOOKUP(A6612,'3. Call duration'!$A:$C,3,0),"--")</f>
        <v>36.62354028</v>
      </c>
      <c r="J6612" s="65" t="str">
        <f t="array" ref="J6612">XLOOKUP(H6612,'2. Matching'!$A$2:$A$39,'2. Matching'!$B$2:$B$39,"--")</f>
        <v>Acquisition</v>
      </c>
      <c r="K6612" s="65" t="str">
        <f t="shared" si="1"/>
        <v>In</v>
      </c>
    </row>
    <row r="6613">
      <c r="A6613" s="62" t="s">
        <v>6751</v>
      </c>
      <c r="B6613" s="63">
        <v>44333.0</v>
      </c>
      <c r="C6613" s="62" t="s">
        <v>119</v>
      </c>
      <c r="D6613" s="64">
        <v>95.0</v>
      </c>
      <c r="E6613" s="62" t="s">
        <v>114</v>
      </c>
      <c r="F6613" s="62" t="s">
        <v>115</v>
      </c>
      <c r="G6613" s="64" t="s">
        <v>64</v>
      </c>
      <c r="H6613" s="3" t="s">
        <v>155</v>
      </c>
      <c r="I6613" s="65" t="str">
        <f>IFERROR(VLOOKUP(A6613,'3. Call duration'!$A:$C,3,0),"--")</f>
        <v>--</v>
      </c>
      <c r="J6613" s="65" t="str">
        <f t="array" ref="J6613">XLOOKUP(H6613,'2. Matching'!$A$2:$A$39,'2. Matching'!$B$2:$B$39,"--")</f>
        <v>SEO</v>
      </c>
      <c r="K6613" s="65" t="str">
        <f t="shared" si="1"/>
        <v>In</v>
      </c>
    </row>
    <row r="6614">
      <c r="A6614" s="62" t="s">
        <v>6752</v>
      </c>
      <c r="B6614" s="63">
        <v>44361.0</v>
      </c>
      <c r="C6614" s="62" t="s">
        <v>119</v>
      </c>
      <c r="D6614" s="64">
        <v>95.0</v>
      </c>
      <c r="E6614" s="62" t="s">
        <v>114</v>
      </c>
      <c r="F6614" s="62" t="s">
        <v>110</v>
      </c>
      <c r="G6614" s="64" t="s">
        <v>64</v>
      </c>
      <c r="H6614" s="3" t="s">
        <v>139</v>
      </c>
      <c r="I6614" s="65" t="str">
        <f>IFERROR(VLOOKUP(A6614,'3. Call duration'!$A:$C,3,0),"--")</f>
        <v>--</v>
      </c>
      <c r="J6614" s="65" t="str">
        <f t="array" ref="J6614">XLOOKUP(H6614,'2. Matching'!$A$2:$A$39,'2. Matching'!$B$2:$B$39,"--")</f>
        <v>Acquisition</v>
      </c>
      <c r="K6614" s="65" t="str">
        <f t="shared" si="1"/>
        <v>In</v>
      </c>
    </row>
    <row r="6615">
      <c r="A6615" s="62" t="s">
        <v>6753</v>
      </c>
      <c r="B6615" s="63">
        <v>44375.0</v>
      </c>
      <c r="C6615" s="62" t="s">
        <v>119</v>
      </c>
      <c r="D6615" s="64">
        <v>95.0</v>
      </c>
      <c r="E6615" s="62" t="s">
        <v>114</v>
      </c>
      <c r="F6615" s="62" t="s">
        <v>110</v>
      </c>
      <c r="G6615" s="64" t="s">
        <v>60</v>
      </c>
      <c r="H6615" s="3" t="s">
        <v>67</v>
      </c>
      <c r="I6615" s="65">
        <f>IFERROR(VLOOKUP(A6615,'3. Call duration'!$A:$C,3,0),"--")</f>
        <v>31.31415297</v>
      </c>
      <c r="J6615" s="65" t="str">
        <f t="array" ref="J6615">XLOOKUP(H6615,'2. Matching'!$A$2:$A$39,'2. Matching'!$B$2:$B$39,"--")</f>
        <v>Acquisition</v>
      </c>
      <c r="K6615" s="65" t="str">
        <f t="shared" si="1"/>
        <v>In</v>
      </c>
    </row>
    <row r="6616">
      <c r="A6616" s="62" t="s">
        <v>6754</v>
      </c>
      <c r="B6616" s="63">
        <v>44326.0</v>
      </c>
      <c r="C6616" s="62" t="s">
        <v>119</v>
      </c>
      <c r="D6616" s="64">
        <v>95.0</v>
      </c>
      <c r="E6616" s="62" t="s">
        <v>114</v>
      </c>
      <c r="F6616" s="62" t="s">
        <v>110</v>
      </c>
      <c r="G6616" s="64" t="s">
        <v>64</v>
      </c>
      <c r="H6616" s="3" t="s">
        <v>175</v>
      </c>
      <c r="I6616" s="65" t="str">
        <f>IFERROR(VLOOKUP(A6616,'3. Call duration'!$A:$C,3,0),"--")</f>
        <v>--</v>
      </c>
      <c r="J6616" s="65" t="str">
        <f t="array" ref="J6616">XLOOKUP(H6616,'2. Matching'!$A$2:$A$39,'2. Matching'!$B$2:$B$39,"--")</f>
        <v>SEO</v>
      </c>
      <c r="K6616" s="65" t="str">
        <f t="shared" si="1"/>
        <v>In</v>
      </c>
    </row>
    <row r="6617">
      <c r="A6617" s="62" t="s">
        <v>6755</v>
      </c>
      <c r="B6617" s="63">
        <v>44362.0</v>
      </c>
      <c r="C6617" s="62" t="s">
        <v>119</v>
      </c>
      <c r="D6617" s="64">
        <v>95.0</v>
      </c>
      <c r="E6617" s="62" t="s">
        <v>114</v>
      </c>
      <c r="F6617" s="62" t="s">
        <v>110</v>
      </c>
      <c r="G6617" s="64" t="s">
        <v>64</v>
      </c>
      <c r="H6617" s="3" t="s">
        <v>141</v>
      </c>
      <c r="I6617" s="65">
        <f>IFERROR(VLOOKUP(A6617,'3. Call duration'!$A:$C,3,0),"--")</f>
        <v>22.24567622</v>
      </c>
      <c r="J6617" s="65" t="str">
        <f t="array" ref="J6617">XLOOKUP(H6617,'2. Matching'!$A$2:$A$39,'2. Matching'!$B$2:$B$39,"--")</f>
        <v>Acquisition</v>
      </c>
      <c r="K6617" s="65" t="str">
        <f t="shared" si="1"/>
        <v>In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A3FF4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38"/>
  </cols>
  <sheetData>
    <row r="1">
      <c r="A1" s="5" t="s">
        <v>6756</v>
      </c>
      <c r="B1" s="5" t="s">
        <v>78</v>
      </c>
      <c r="C1" s="5" t="s">
        <v>6757</v>
      </c>
    </row>
    <row r="2">
      <c r="A2" s="66" t="s">
        <v>69</v>
      </c>
      <c r="B2" s="13" t="s">
        <v>6758</v>
      </c>
      <c r="C2" s="67" t="s">
        <v>6759</v>
      </c>
    </row>
    <row r="3">
      <c r="A3" s="66" t="s">
        <v>67</v>
      </c>
      <c r="B3" s="13" t="s">
        <v>6758</v>
      </c>
      <c r="C3" s="67" t="s">
        <v>6760</v>
      </c>
    </row>
    <row r="4">
      <c r="A4" s="66" t="s">
        <v>116</v>
      </c>
      <c r="B4" s="13" t="s">
        <v>6758</v>
      </c>
      <c r="C4" s="67" t="s">
        <v>6761</v>
      </c>
    </row>
    <row r="5">
      <c r="A5" s="66" t="s">
        <v>68</v>
      </c>
      <c r="B5" s="13" t="s">
        <v>6758</v>
      </c>
      <c r="C5" s="67" t="s">
        <v>6762</v>
      </c>
    </row>
    <row r="6">
      <c r="A6" s="66" t="s">
        <v>124</v>
      </c>
      <c r="B6" s="13" t="s">
        <v>6758</v>
      </c>
      <c r="C6" s="67" t="s">
        <v>6762</v>
      </c>
    </row>
    <row r="7">
      <c r="A7" s="66" t="s">
        <v>128</v>
      </c>
      <c r="B7" s="13" t="s">
        <v>6758</v>
      </c>
      <c r="C7" s="67" t="s">
        <v>6762</v>
      </c>
    </row>
    <row r="8">
      <c r="A8" s="66" t="s">
        <v>131</v>
      </c>
      <c r="B8" s="13" t="s">
        <v>6758</v>
      </c>
      <c r="C8" s="67" t="s">
        <v>6761</v>
      </c>
    </row>
    <row r="9">
      <c r="A9" s="66" t="s">
        <v>135</v>
      </c>
      <c r="B9" s="13" t="s">
        <v>6758</v>
      </c>
      <c r="C9" s="67" t="s">
        <v>6761</v>
      </c>
    </row>
    <row r="10">
      <c r="A10" s="66" t="s">
        <v>139</v>
      </c>
      <c r="B10" s="13" t="s">
        <v>6758</v>
      </c>
      <c r="C10" s="67" t="s">
        <v>6761</v>
      </c>
    </row>
    <row r="11">
      <c r="A11" s="66" t="s">
        <v>141</v>
      </c>
      <c r="B11" s="13" t="s">
        <v>6758</v>
      </c>
      <c r="C11" s="67" t="s">
        <v>6762</v>
      </c>
    </row>
    <row r="12">
      <c r="A12" s="66" t="s">
        <v>145</v>
      </c>
      <c r="B12" s="13" t="s">
        <v>6763</v>
      </c>
      <c r="C12" s="67" t="s">
        <v>6760</v>
      </c>
    </row>
    <row r="13">
      <c r="A13" s="66" t="s">
        <v>150</v>
      </c>
      <c r="B13" s="13" t="s">
        <v>6763</v>
      </c>
      <c r="C13" s="67" t="s">
        <v>6760</v>
      </c>
    </row>
    <row r="14">
      <c r="A14" s="66" t="s">
        <v>155</v>
      </c>
      <c r="B14" s="13" t="s">
        <v>6763</v>
      </c>
      <c r="C14" s="67" t="s">
        <v>6760</v>
      </c>
    </row>
    <row r="15">
      <c r="A15" s="66" t="s">
        <v>164</v>
      </c>
      <c r="B15" s="13" t="s">
        <v>6763</v>
      </c>
      <c r="C15" s="67" t="s">
        <v>6762</v>
      </c>
    </row>
    <row r="16">
      <c r="A16" s="66" t="s">
        <v>169</v>
      </c>
      <c r="B16" s="13" t="s">
        <v>6763</v>
      </c>
      <c r="C16" s="67" t="s">
        <v>6759</v>
      </c>
    </row>
    <row r="17">
      <c r="A17" s="66" t="s">
        <v>171</v>
      </c>
      <c r="B17" s="13" t="s">
        <v>6763</v>
      </c>
      <c r="C17" s="67" t="s">
        <v>6759</v>
      </c>
    </row>
    <row r="18">
      <c r="A18" s="66" t="s">
        <v>175</v>
      </c>
      <c r="B18" s="13" t="s">
        <v>6763</v>
      </c>
      <c r="C18" s="67" t="s">
        <v>6762</v>
      </c>
    </row>
    <row r="19">
      <c r="A19" s="66" t="s">
        <v>183</v>
      </c>
      <c r="B19" s="13" t="s">
        <v>6763</v>
      </c>
      <c r="C19" s="67" t="s">
        <v>6762</v>
      </c>
    </row>
    <row r="20">
      <c r="A20" s="66" t="s">
        <v>185</v>
      </c>
      <c r="B20" s="13" t="s">
        <v>6763</v>
      </c>
      <c r="C20" s="67" t="s">
        <v>6761</v>
      </c>
    </row>
    <row r="21">
      <c r="A21" s="66" t="s">
        <v>189</v>
      </c>
      <c r="B21" s="13" t="s">
        <v>6763</v>
      </c>
      <c r="C21" s="67" t="s">
        <v>6760</v>
      </c>
    </row>
    <row r="22">
      <c r="A22" s="66" t="s">
        <v>192</v>
      </c>
      <c r="B22" s="13" t="s">
        <v>72</v>
      </c>
      <c r="C22" s="67" t="s">
        <v>6759</v>
      </c>
    </row>
    <row r="23">
      <c r="A23" s="66" t="s">
        <v>203</v>
      </c>
      <c r="B23" s="13" t="s">
        <v>72</v>
      </c>
      <c r="C23" s="67" t="s">
        <v>6760</v>
      </c>
    </row>
    <row r="24">
      <c r="A24" s="66" t="s">
        <v>221</v>
      </c>
      <c r="B24" s="13" t="s">
        <v>72</v>
      </c>
      <c r="C24" s="67" t="s">
        <v>6762</v>
      </c>
    </row>
    <row r="25">
      <c r="A25" s="66" t="s">
        <v>70</v>
      </c>
      <c r="B25" s="13" t="s">
        <v>72</v>
      </c>
      <c r="C25" s="67" t="s">
        <v>6761</v>
      </c>
    </row>
    <row r="26">
      <c r="A26" s="66" t="s">
        <v>228</v>
      </c>
      <c r="B26" s="13" t="s">
        <v>72</v>
      </c>
      <c r="C26" s="67" t="s">
        <v>6760</v>
      </c>
    </row>
    <row r="27">
      <c r="A27" s="66" t="s">
        <v>235</v>
      </c>
      <c r="B27" s="13" t="s">
        <v>72</v>
      </c>
      <c r="C27" s="67" t="s">
        <v>6761</v>
      </c>
    </row>
    <row r="28">
      <c r="A28" s="66" t="s">
        <v>286</v>
      </c>
      <c r="B28" s="13" t="s">
        <v>72</v>
      </c>
      <c r="C28" s="67" t="s">
        <v>6761</v>
      </c>
    </row>
    <row r="29">
      <c r="A29" s="66" t="s">
        <v>294</v>
      </c>
      <c r="B29" s="13" t="s">
        <v>72</v>
      </c>
      <c r="C29" s="67" t="s">
        <v>6762</v>
      </c>
    </row>
    <row r="30">
      <c r="A30" s="66" t="s">
        <v>297</v>
      </c>
      <c r="B30" s="13" t="s">
        <v>72</v>
      </c>
      <c r="C30" s="67" t="s">
        <v>6761</v>
      </c>
    </row>
    <row r="31">
      <c r="A31" s="66" t="s">
        <v>52</v>
      </c>
      <c r="B31" s="13" t="s">
        <v>90</v>
      </c>
      <c r="C31" s="67" t="s">
        <v>6761</v>
      </c>
    </row>
    <row r="32">
      <c r="A32" s="66" t="s">
        <v>54</v>
      </c>
      <c r="B32" s="13" t="s">
        <v>90</v>
      </c>
      <c r="C32" s="67" t="s">
        <v>6759</v>
      </c>
    </row>
    <row r="33">
      <c r="A33" s="66" t="s">
        <v>55</v>
      </c>
      <c r="B33" s="13" t="s">
        <v>90</v>
      </c>
      <c r="C33" s="67" t="s">
        <v>6762</v>
      </c>
    </row>
    <row r="34">
      <c r="A34" s="66" t="s">
        <v>57</v>
      </c>
      <c r="B34" s="13" t="s">
        <v>90</v>
      </c>
      <c r="C34" s="67" t="s">
        <v>6762</v>
      </c>
    </row>
    <row r="35">
      <c r="A35" s="66" t="s">
        <v>53</v>
      </c>
      <c r="B35" s="13" t="s">
        <v>90</v>
      </c>
      <c r="C35" s="67" t="s">
        <v>6760</v>
      </c>
    </row>
    <row r="36">
      <c r="A36" s="66" t="s">
        <v>49</v>
      </c>
      <c r="B36" s="13" t="s">
        <v>90</v>
      </c>
      <c r="C36" s="67" t="s">
        <v>6761</v>
      </c>
    </row>
    <row r="37">
      <c r="A37" s="66" t="s">
        <v>50</v>
      </c>
      <c r="B37" s="13" t="s">
        <v>90</v>
      </c>
      <c r="C37" s="67" t="s">
        <v>6761</v>
      </c>
    </row>
    <row r="38">
      <c r="A38" s="66" t="s">
        <v>51</v>
      </c>
      <c r="B38" s="13" t="s">
        <v>90</v>
      </c>
      <c r="C38" s="67" t="s">
        <v>6760</v>
      </c>
    </row>
    <row r="39">
      <c r="A39" s="66" t="s">
        <v>56</v>
      </c>
      <c r="B39" s="13" t="s">
        <v>90</v>
      </c>
      <c r="C39" s="67" t="s">
        <v>6759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A3FF4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1.5"/>
    <col customWidth="1" min="3" max="3" width="13.63"/>
  </cols>
  <sheetData>
    <row r="1">
      <c r="A1" s="60" t="s">
        <v>97</v>
      </c>
      <c r="B1" s="60" t="s">
        <v>98</v>
      </c>
      <c r="C1" s="60" t="s">
        <v>104</v>
      </c>
    </row>
    <row r="2">
      <c r="A2" s="62" t="s">
        <v>4616</v>
      </c>
      <c r="B2" s="63">
        <v>44287.0</v>
      </c>
      <c r="C2" s="64">
        <v>827066.1</v>
      </c>
    </row>
    <row r="3">
      <c r="A3" s="62" t="s">
        <v>2485</v>
      </c>
      <c r="B3" s="63">
        <v>44384.0</v>
      </c>
      <c r="C3" s="68">
        <v>498307.0</v>
      </c>
    </row>
    <row r="4">
      <c r="A4" s="62" t="s">
        <v>4125</v>
      </c>
      <c r="B4" s="63">
        <v>44217.0</v>
      </c>
      <c r="C4" s="64">
        <v>1040.9</v>
      </c>
    </row>
    <row r="5">
      <c r="A5" s="62" t="s">
        <v>4666</v>
      </c>
      <c r="B5" s="63">
        <v>44259.0</v>
      </c>
      <c r="C5" s="69">
        <v>50.416218782084286</v>
      </c>
    </row>
    <row r="6">
      <c r="A6" s="62" t="s">
        <v>4453</v>
      </c>
      <c r="B6" s="63">
        <v>44280.0</v>
      </c>
      <c r="C6" s="69">
        <v>50.41133086216432</v>
      </c>
    </row>
    <row r="7">
      <c r="A7" s="62" t="s">
        <v>2301</v>
      </c>
      <c r="B7" s="63">
        <v>44392.0</v>
      </c>
      <c r="C7" s="69">
        <v>50.379617808302854</v>
      </c>
    </row>
    <row r="8">
      <c r="A8" s="62" t="s">
        <v>5520</v>
      </c>
      <c r="B8" s="63">
        <v>44349.0</v>
      </c>
      <c r="C8" s="69">
        <v>50.31567353089813</v>
      </c>
    </row>
    <row r="9">
      <c r="A9" s="62" t="s">
        <v>6017</v>
      </c>
      <c r="B9" s="63">
        <v>44354.0</v>
      </c>
      <c r="C9" s="69">
        <v>50.25559843629079</v>
      </c>
    </row>
    <row r="10">
      <c r="A10" s="62" t="s">
        <v>4984</v>
      </c>
      <c r="B10" s="63">
        <v>44278.0</v>
      </c>
      <c r="C10" s="69">
        <v>50.20473016206206</v>
      </c>
    </row>
    <row r="11">
      <c r="A11" s="62" t="s">
        <v>3627</v>
      </c>
      <c r="B11" s="63">
        <v>44235.0</v>
      </c>
      <c r="C11" s="69">
        <v>50.12932055862112</v>
      </c>
    </row>
    <row r="12">
      <c r="A12" s="62" t="s">
        <v>4284</v>
      </c>
      <c r="B12" s="63">
        <v>44166.0</v>
      </c>
      <c r="C12" s="69">
        <v>50.06460242092852</v>
      </c>
    </row>
    <row r="13">
      <c r="A13" s="62" t="s">
        <v>3695</v>
      </c>
      <c r="B13" s="63">
        <v>44100.0</v>
      </c>
      <c r="C13" s="69">
        <v>50.02804563445122</v>
      </c>
    </row>
    <row r="14">
      <c r="A14" s="62" t="s">
        <v>6175</v>
      </c>
      <c r="B14" s="63">
        <v>44326.0</v>
      </c>
      <c r="C14" s="69">
        <v>50.00361050140013</v>
      </c>
    </row>
    <row r="15">
      <c r="A15" s="62" t="s">
        <v>4775</v>
      </c>
      <c r="B15" s="63">
        <v>44278.0</v>
      </c>
      <c r="C15" s="69">
        <v>49.90297762771327</v>
      </c>
    </row>
    <row r="16">
      <c r="A16" s="62" t="s">
        <v>2881</v>
      </c>
      <c r="B16" s="63">
        <v>44145.0</v>
      </c>
      <c r="C16" s="69">
        <v>49.90218113405173</v>
      </c>
    </row>
    <row r="17">
      <c r="A17" s="62" t="s">
        <v>2084</v>
      </c>
      <c r="B17" s="63">
        <v>44259.0</v>
      </c>
      <c r="C17" s="69">
        <v>49.82030628342702</v>
      </c>
    </row>
    <row r="18">
      <c r="A18" s="62" t="s">
        <v>6174</v>
      </c>
      <c r="B18" s="63">
        <v>44342.0</v>
      </c>
      <c r="C18" s="69">
        <v>49.78037167260964</v>
      </c>
    </row>
    <row r="19">
      <c r="A19" s="62" t="s">
        <v>6218</v>
      </c>
      <c r="B19" s="63">
        <v>44375.0</v>
      </c>
      <c r="C19" s="69">
        <v>49.68723347518174</v>
      </c>
    </row>
    <row r="20">
      <c r="A20" s="62" t="s">
        <v>3173</v>
      </c>
      <c r="B20" s="63">
        <v>44218.0</v>
      </c>
      <c r="C20" s="69">
        <v>49.60037835375101</v>
      </c>
    </row>
    <row r="21">
      <c r="A21" s="62" t="s">
        <v>1035</v>
      </c>
      <c r="B21" s="63">
        <v>44179.0</v>
      </c>
      <c r="C21" s="69">
        <v>49.540347881022925</v>
      </c>
    </row>
    <row r="22">
      <c r="A22" s="62" t="s">
        <v>2834</v>
      </c>
      <c r="B22" s="63">
        <v>44188.0</v>
      </c>
      <c r="C22" s="69">
        <v>49.52687649473594</v>
      </c>
    </row>
    <row r="23">
      <c r="A23" s="62" t="s">
        <v>4336</v>
      </c>
      <c r="B23" s="63">
        <v>44104.0</v>
      </c>
      <c r="C23" s="69">
        <v>49.49314501258434</v>
      </c>
    </row>
    <row r="24">
      <c r="A24" s="62" t="s">
        <v>2660</v>
      </c>
      <c r="B24" s="63">
        <v>44236.0</v>
      </c>
      <c r="C24" s="69">
        <v>49.47919145213852</v>
      </c>
    </row>
    <row r="25">
      <c r="A25" s="62" t="s">
        <v>5182</v>
      </c>
      <c r="B25" s="63">
        <v>44299.0</v>
      </c>
      <c r="C25" s="69">
        <v>49.47517871004061</v>
      </c>
    </row>
    <row r="26">
      <c r="A26" s="62" t="s">
        <v>5494</v>
      </c>
      <c r="B26" s="63">
        <v>44377.0</v>
      </c>
      <c r="C26" s="69">
        <v>49.46228018954778</v>
      </c>
    </row>
    <row r="27">
      <c r="A27" s="62" t="s">
        <v>4518</v>
      </c>
      <c r="B27" s="63">
        <v>44307.0</v>
      </c>
      <c r="C27" s="69">
        <v>49.45238488935636</v>
      </c>
    </row>
    <row r="28">
      <c r="A28" s="62" t="s">
        <v>5166</v>
      </c>
      <c r="B28" s="63">
        <v>44286.0</v>
      </c>
      <c r="C28" s="69">
        <v>49.438878595407246</v>
      </c>
    </row>
    <row r="29">
      <c r="A29" s="62" t="s">
        <v>4718</v>
      </c>
      <c r="B29" s="63">
        <v>44260.0</v>
      </c>
      <c r="C29" s="69">
        <v>49.42436781734506</v>
      </c>
    </row>
    <row r="30">
      <c r="A30" s="62" t="s">
        <v>3685</v>
      </c>
      <c r="B30" s="63">
        <v>44235.0</v>
      </c>
      <c r="C30" s="69">
        <v>49.42102763780611</v>
      </c>
    </row>
    <row r="31">
      <c r="A31" s="62" t="s">
        <v>2627</v>
      </c>
      <c r="B31" s="63">
        <v>44207.0</v>
      </c>
      <c r="C31" s="69">
        <v>49.26637572927946</v>
      </c>
    </row>
    <row r="32">
      <c r="A32" s="62" t="s">
        <v>967</v>
      </c>
      <c r="B32" s="63">
        <v>44376.0</v>
      </c>
      <c r="C32" s="69">
        <v>49.26396282449124</v>
      </c>
    </row>
    <row r="33">
      <c r="A33" s="62" t="s">
        <v>3980</v>
      </c>
      <c r="B33" s="63">
        <v>44151.0</v>
      </c>
      <c r="C33" s="69">
        <v>49.26225547869787</v>
      </c>
    </row>
    <row r="34">
      <c r="A34" s="62" t="s">
        <v>2534</v>
      </c>
      <c r="B34" s="63">
        <v>44378.0</v>
      </c>
      <c r="C34" s="69">
        <v>49.24100473372067</v>
      </c>
    </row>
    <row r="35">
      <c r="A35" s="62" t="s">
        <v>3852</v>
      </c>
      <c r="B35" s="63">
        <v>44141.0</v>
      </c>
      <c r="C35" s="69">
        <v>49.163587459193934</v>
      </c>
    </row>
    <row r="36">
      <c r="A36" s="62" t="s">
        <v>5300</v>
      </c>
      <c r="B36" s="63">
        <v>44356.0</v>
      </c>
      <c r="C36" s="69">
        <v>49.07173392554824</v>
      </c>
    </row>
    <row r="37">
      <c r="A37" s="62" t="s">
        <v>6235</v>
      </c>
      <c r="B37" s="63">
        <v>44348.0</v>
      </c>
      <c r="C37" s="69">
        <v>49.066954312328555</v>
      </c>
    </row>
    <row r="38">
      <c r="A38" s="62" t="s">
        <v>6173</v>
      </c>
      <c r="B38" s="63">
        <v>44321.0</v>
      </c>
      <c r="C38" s="69">
        <v>49.0412875668097</v>
      </c>
    </row>
    <row r="39">
      <c r="A39" s="62" t="s">
        <v>4293</v>
      </c>
      <c r="B39" s="63">
        <v>44076.0</v>
      </c>
      <c r="C39" s="69">
        <v>49.02285463538536</v>
      </c>
    </row>
    <row r="40">
      <c r="A40" s="62" t="s">
        <v>4675</v>
      </c>
      <c r="B40" s="63">
        <v>44271.0</v>
      </c>
      <c r="C40" s="69">
        <v>48.98386522975147</v>
      </c>
    </row>
    <row r="41">
      <c r="A41" s="62" t="s">
        <v>6169</v>
      </c>
      <c r="B41" s="63">
        <v>44342.0</v>
      </c>
      <c r="C41" s="69">
        <v>48.96883395816759</v>
      </c>
    </row>
    <row r="42">
      <c r="A42" s="62" t="s">
        <v>4926</v>
      </c>
      <c r="B42" s="63">
        <v>44272.0</v>
      </c>
      <c r="C42" s="69">
        <v>48.82278352467584</v>
      </c>
    </row>
    <row r="43">
      <c r="A43" s="62" t="s">
        <v>5351</v>
      </c>
      <c r="B43" s="63">
        <v>44353.0</v>
      </c>
      <c r="C43" s="69">
        <v>48.725236660028</v>
      </c>
    </row>
    <row r="44">
      <c r="A44" s="62" t="s">
        <v>5556</v>
      </c>
      <c r="B44" s="63">
        <v>44358.0</v>
      </c>
      <c r="C44" s="69">
        <v>48.67907311376757</v>
      </c>
    </row>
    <row r="45">
      <c r="A45" s="62" t="s">
        <v>6277</v>
      </c>
      <c r="B45" s="63">
        <v>44364.0</v>
      </c>
      <c r="C45" s="69">
        <v>48.62422149267561</v>
      </c>
    </row>
    <row r="46">
      <c r="A46" s="62" t="s">
        <v>3369</v>
      </c>
      <c r="B46" s="63">
        <v>44245.0</v>
      </c>
      <c r="C46" s="69">
        <v>48.615685681130515</v>
      </c>
    </row>
    <row r="47">
      <c r="A47" s="62" t="s">
        <v>6279</v>
      </c>
      <c r="B47" s="63">
        <v>44376.0</v>
      </c>
      <c r="C47" s="69">
        <v>48.59929657280695</v>
      </c>
    </row>
    <row r="48">
      <c r="A48" s="62" t="s">
        <v>3054</v>
      </c>
      <c r="B48" s="63">
        <v>44230.0</v>
      </c>
      <c r="C48" s="69">
        <v>48.58209526825205</v>
      </c>
    </row>
    <row r="49">
      <c r="A49" s="62" t="s">
        <v>5281</v>
      </c>
      <c r="B49" s="63">
        <v>44374.0</v>
      </c>
      <c r="C49" s="69">
        <v>48.57154029202557</v>
      </c>
    </row>
    <row r="50">
      <c r="A50" s="62" t="s">
        <v>4697</v>
      </c>
      <c r="B50" s="63">
        <v>44271.0</v>
      </c>
      <c r="C50" s="69">
        <v>48.56687524958759</v>
      </c>
    </row>
    <row r="51">
      <c r="A51" s="62" t="s">
        <v>5521</v>
      </c>
      <c r="B51" s="63">
        <v>44349.0</v>
      </c>
      <c r="C51" s="69">
        <v>48.43625356337762</v>
      </c>
    </row>
    <row r="52">
      <c r="A52" s="62" t="s">
        <v>2613</v>
      </c>
      <c r="B52" s="63">
        <v>44386.0</v>
      </c>
      <c r="C52" s="69">
        <v>48.37495223036985</v>
      </c>
    </row>
    <row r="53">
      <c r="A53" s="62" t="s">
        <v>5396</v>
      </c>
      <c r="B53" s="63">
        <v>44349.0</v>
      </c>
      <c r="C53" s="69">
        <v>48.36873664342479</v>
      </c>
    </row>
    <row r="54">
      <c r="A54" s="62" t="s">
        <v>3200</v>
      </c>
      <c r="B54" s="63">
        <v>44214.0</v>
      </c>
      <c r="C54" s="69">
        <v>48.35993849903791</v>
      </c>
    </row>
    <row r="55">
      <c r="A55" s="62" t="s">
        <v>2692</v>
      </c>
      <c r="B55" s="63">
        <v>44144.0</v>
      </c>
      <c r="C55" s="69">
        <v>48.26006550012739</v>
      </c>
    </row>
    <row r="56">
      <c r="A56" s="62" t="s">
        <v>3248</v>
      </c>
      <c r="B56" s="63">
        <v>44237.0</v>
      </c>
      <c r="C56" s="69">
        <v>48.256953584297094</v>
      </c>
    </row>
    <row r="57">
      <c r="A57" s="62" t="s">
        <v>211</v>
      </c>
      <c r="B57" s="63">
        <v>44397.0</v>
      </c>
      <c r="C57" s="69">
        <v>48.19927025201247</v>
      </c>
    </row>
    <row r="58">
      <c r="A58" s="62" t="s">
        <v>4507</v>
      </c>
      <c r="B58" s="63">
        <v>44312.0</v>
      </c>
      <c r="C58" s="69">
        <v>48.15715388427931</v>
      </c>
    </row>
    <row r="59">
      <c r="A59" s="62" t="s">
        <v>247</v>
      </c>
      <c r="B59" s="63">
        <v>44393.0</v>
      </c>
      <c r="C59" s="69">
        <v>48.13146828752298</v>
      </c>
    </row>
    <row r="60">
      <c r="A60" s="62" t="s">
        <v>6194</v>
      </c>
      <c r="B60" s="63">
        <v>44376.0</v>
      </c>
      <c r="C60" s="69">
        <v>47.96767631690206</v>
      </c>
    </row>
    <row r="61">
      <c r="A61" s="62" t="s">
        <v>2678</v>
      </c>
      <c r="B61" s="63">
        <v>44125.0</v>
      </c>
      <c r="C61" s="69">
        <v>47.93356058461225</v>
      </c>
    </row>
    <row r="62">
      <c r="A62" s="62" t="s">
        <v>6166</v>
      </c>
      <c r="B62" s="63">
        <v>44341.0</v>
      </c>
      <c r="C62" s="69">
        <v>47.91755860542487</v>
      </c>
    </row>
    <row r="63">
      <c r="A63" s="62" t="s">
        <v>2218</v>
      </c>
      <c r="B63" s="63">
        <v>44062.0</v>
      </c>
      <c r="C63" s="69">
        <v>47.87373017043157</v>
      </c>
    </row>
    <row r="64">
      <c r="A64" s="62" t="s">
        <v>5657</v>
      </c>
      <c r="B64" s="63">
        <v>44375.0</v>
      </c>
      <c r="C64" s="69">
        <v>47.87333630566623</v>
      </c>
    </row>
    <row r="65">
      <c r="A65" s="62" t="s">
        <v>1286</v>
      </c>
      <c r="B65" s="63">
        <v>44267.0</v>
      </c>
      <c r="C65" s="69">
        <v>47.83981183411042</v>
      </c>
    </row>
    <row r="66">
      <c r="A66" s="62" t="s">
        <v>4526</v>
      </c>
      <c r="B66" s="63">
        <v>44274.0</v>
      </c>
      <c r="C66" s="69">
        <v>47.78776495562123</v>
      </c>
    </row>
    <row r="67">
      <c r="A67" s="62" t="s">
        <v>6302</v>
      </c>
      <c r="B67" s="63">
        <v>44350.0</v>
      </c>
      <c r="C67" s="69">
        <v>47.71937452506042</v>
      </c>
    </row>
    <row r="68">
      <c r="A68" s="62" t="s">
        <v>6165</v>
      </c>
      <c r="B68" s="63">
        <v>44324.0</v>
      </c>
      <c r="C68" s="69">
        <v>47.68677598343222</v>
      </c>
    </row>
    <row r="69">
      <c r="A69" s="62" t="s">
        <v>6503</v>
      </c>
      <c r="B69" s="63">
        <v>44354.0</v>
      </c>
      <c r="C69" s="69">
        <v>47.639343307301885</v>
      </c>
    </row>
    <row r="70">
      <c r="A70" s="62" t="s">
        <v>5031</v>
      </c>
      <c r="B70" s="63">
        <v>44312.0</v>
      </c>
      <c r="C70" s="69">
        <v>47.62968662773871</v>
      </c>
    </row>
    <row r="71">
      <c r="A71" s="62" t="s">
        <v>2514</v>
      </c>
      <c r="B71" s="63">
        <v>44382.0</v>
      </c>
      <c r="C71" s="69">
        <v>47.5791984333505</v>
      </c>
    </row>
    <row r="72">
      <c r="A72" s="62" t="s">
        <v>6162</v>
      </c>
      <c r="B72" s="63">
        <v>44326.0</v>
      </c>
      <c r="C72" s="69">
        <v>47.49385729498495</v>
      </c>
    </row>
    <row r="73">
      <c r="A73" s="62" t="s">
        <v>5168</v>
      </c>
      <c r="B73" s="63">
        <v>44294.0</v>
      </c>
      <c r="C73" s="69">
        <v>47.486434404641514</v>
      </c>
    </row>
    <row r="74">
      <c r="A74" s="62" t="s">
        <v>3253</v>
      </c>
      <c r="B74" s="63">
        <v>44229.0</v>
      </c>
      <c r="C74" s="69">
        <v>47.473644721157896</v>
      </c>
    </row>
    <row r="75">
      <c r="A75" s="62" t="s">
        <v>2952</v>
      </c>
      <c r="B75" s="63">
        <v>44183.0</v>
      </c>
      <c r="C75" s="69">
        <v>47.416835096348954</v>
      </c>
    </row>
    <row r="76">
      <c r="A76" s="62" t="s">
        <v>6664</v>
      </c>
      <c r="B76" s="63">
        <v>44357.0</v>
      </c>
      <c r="C76" s="69">
        <v>47.39308978633868</v>
      </c>
    </row>
    <row r="77">
      <c r="A77" s="62" t="s">
        <v>4855</v>
      </c>
      <c r="B77" s="63">
        <v>44260.0</v>
      </c>
      <c r="C77" s="69">
        <v>47.334401769185064</v>
      </c>
    </row>
    <row r="78">
      <c r="A78" s="62" t="s">
        <v>3911</v>
      </c>
      <c r="B78" s="63">
        <v>44170.0</v>
      </c>
      <c r="C78" s="69">
        <v>47.3088151466872</v>
      </c>
    </row>
    <row r="79">
      <c r="A79" s="62" t="s">
        <v>547</v>
      </c>
      <c r="B79" s="63">
        <v>44237.0</v>
      </c>
      <c r="C79" s="69">
        <v>47.26913990387592</v>
      </c>
    </row>
    <row r="80">
      <c r="A80" s="62" t="s">
        <v>6494</v>
      </c>
      <c r="B80" s="63">
        <v>44362.0</v>
      </c>
      <c r="C80" s="69">
        <v>47.2443341070325</v>
      </c>
    </row>
    <row r="81">
      <c r="A81" s="62" t="s">
        <v>3218</v>
      </c>
      <c r="B81" s="63">
        <v>44096.0</v>
      </c>
      <c r="C81" s="69">
        <v>47.16369437937456</v>
      </c>
    </row>
    <row r="82">
      <c r="A82" s="62" t="s">
        <v>6161</v>
      </c>
      <c r="B82" s="63">
        <v>44337.0</v>
      </c>
      <c r="C82" s="69">
        <v>47.13312214889554</v>
      </c>
    </row>
    <row r="83">
      <c r="A83" s="62" t="s">
        <v>6072</v>
      </c>
      <c r="B83" s="63">
        <v>44371.0</v>
      </c>
      <c r="C83" s="69">
        <v>46.99687401546157</v>
      </c>
    </row>
    <row r="84">
      <c r="A84" s="62" t="s">
        <v>6154</v>
      </c>
      <c r="B84" s="63">
        <v>44331.0</v>
      </c>
      <c r="C84" s="69">
        <v>46.99037067043107</v>
      </c>
    </row>
    <row r="85">
      <c r="A85" s="62" t="s">
        <v>5566</v>
      </c>
      <c r="B85" s="63">
        <v>44358.0</v>
      </c>
      <c r="C85" s="69">
        <v>46.964280471804514</v>
      </c>
    </row>
    <row r="86">
      <c r="A86" s="62" t="s">
        <v>2769</v>
      </c>
      <c r="B86" s="63">
        <v>44209.0</v>
      </c>
      <c r="C86" s="69">
        <v>46.939388239943916</v>
      </c>
    </row>
    <row r="87">
      <c r="A87" s="62" t="s">
        <v>4897</v>
      </c>
      <c r="B87" s="63">
        <v>44316.0</v>
      </c>
      <c r="C87" s="69">
        <v>46.932714336444626</v>
      </c>
    </row>
    <row r="88">
      <c r="A88" s="62" t="s">
        <v>6153</v>
      </c>
      <c r="B88" s="63">
        <v>44347.0</v>
      </c>
      <c r="C88" s="69">
        <v>46.92204775732948</v>
      </c>
    </row>
    <row r="89">
      <c r="A89" s="62" t="s">
        <v>4248</v>
      </c>
      <c r="B89" s="63">
        <v>44079.0</v>
      </c>
      <c r="C89" s="69">
        <v>46.86471716378391</v>
      </c>
    </row>
    <row r="90">
      <c r="A90" s="62" t="s">
        <v>3517</v>
      </c>
      <c r="B90" s="63">
        <v>44210.0</v>
      </c>
      <c r="C90" s="69">
        <v>46.81120383897926</v>
      </c>
    </row>
    <row r="91">
      <c r="A91" s="62" t="s">
        <v>2216</v>
      </c>
      <c r="B91" s="63">
        <v>44063.0</v>
      </c>
      <c r="C91" s="69">
        <v>46.765512430455104</v>
      </c>
    </row>
    <row r="92">
      <c r="A92" s="62" t="s">
        <v>2354</v>
      </c>
      <c r="B92" s="63">
        <v>44379.0</v>
      </c>
      <c r="C92" s="69">
        <v>46.7464825690705</v>
      </c>
    </row>
    <row r="93">
      <c r="A93" s="62" t="s">
        <v>3466</v>
      </c>
      <c r="B93" s="63">
        <v>44237.0</v>
      </c>
      <c r="C93" s="69">
        <v>46.74586049148842</v>
      </c>
    </row>
    <row r="94">
      <c r="A94" s="62" t="s">
        <v>3641</v>
      </c>
      <c r="B94" s="63">
        <v>44252.0</v>
      </c>
      <c r="C94" s="69">
        <v>46.68414380850325</v>
      </c>
    </row>
    <row r="95">
      <c r="A95" s="62" t="s">
        <v>3488</v>
      </c>
      <c r="B95" s="63">
        <v>44214.0</v>
      </c>
      <c r="C95" s="69">
        <v>46.59232754396314</v>
      </c>
    </row>
    <row r="96">
      <c r="A96" s="62" t="s">
        <v>4708</v>
      </c>
      <c r="B96" s="63">
        <v>44294.0</v>
      </c>
      <c r="C96" s="69">
        <v>46.56330025945363</v>
      </c>
    </row>
    <row r="97">
      <c r="A97" s="62" t="s">
        <v>3227</v>
      </c>
      <c r="B97" s="63">
        <v>44158.0</v>
      </c>
      <c r="C97" s="69">
        <v>46.52785827027558</v>
      </c>
    </row>
    <row r="98">
      <c r="A98" s="62" t="s">
        <v>4574</v>
      </c>
      <c r="B98" s="63">
        <v>44267.0</v>
      </c>
      <c r="C98" s="69">
        <v>46.4584202634189</v>
      </c>
    </row>
    <row r="99">
      <c r="A99" s="62" t="s">
        <v>1742</v>
      </c>
      <c r="B99" s="63">
        <v>44389.0</v>
      </c>
      <c r="C99" s="69">
        <v>46.43302133377223</v>
      </c>
    </row>
    <row r="100">
      <c r="A100" s="62" t="s">
        <v>3746</v>
      </c>
      <c r="B100" s="63">
        <v>44174.0</v>
      </c>
      <c r="C100" s="69">
        <v>46.40222706319227</v>
      </c>
    </row>
    <row r="101">
      <c r="A101" s="62" t="s">
        <v>6124</v>
      </c>
      <c r="B101" s="63">
        <v>44349.0</v>
      </c>
      <c r="C101" s="69">
        <v>46.38134555680385</v>
      </c>
    </row>
    <row r="102">
      <c r="A102" s="62" t="s">
        <v>6006</v>
      </c>
      <c r="B102" s="63">
        <v>44359.0</v>
      </c>
      <c r="C102" s="69">
        <v>46.347187271320166</v>
      </c>
    </row>
    <row r="103">
      <c r="A103" s="62" t="s">
        <v>3343</v>
      </c>
      <c r="B103" s="63">
        <v>44229.0</v>
      </c>
      <c r="C103" s="69">
        <v>46.32494518460953</v>
      </c>
    </row>
    <row r="104">
      <c r="A104" s="62" t="s">
        <v>6239</v>
      </c>
      <c r="B104" s="63">
        <v>44348.0</v>
      </c>
      <c r="C104" s="69">
        <v>46.323290564636274</v>
      </c>
    </row>
    <row r="105">
      <c r="A105" s="62" t="s">
        <v>6152</v>
      </c>
      <c r="B105" s="63">
        <v>44334.0</v>
      </c>
      <c r="C105" s="69">
        <v>46.316210928684534</v>
      </c>
    </row>
    <row r="106">
      <c r="A106" s="62" t="s">
        <v>4021</v>
      </c>
      <c r="B106" s="63">
        <v>44156.0</v>
      </c>
      <c r="C106" s="69">
        <v>46.304344185345784</v>
      </c>
    </row>
    <row r="107">
      <c r="A107" s="62" t="s">
        <v>5583</v>
      </c>
      <c r="B107" s="63">
        <v>44355.0</v>
      </c>
      <c r="C107" s="69">
        <v>46.29156463706521</v>
      </c>
    </row>
    <row r="108">
      <c r="A108" s="62" t="s">
        <v>4565</v>
      </c>
      <c r="B108" s="63">
        <v>44280.0</v>
      </c>
      <c r="C108" s="69">
        <v>46.29037373590669</v>
      </c>
    </row>
    <row r="109">
      <c r="A109" s="62" t="s">
        <v>1592</v>
      </c>
      <c r="B109" s="63">
        <v>44353.0</v>
      </c>
      <c r="C109" s="69">
        <v>46.23495820921403</v>
      </c>
    </row>
    <row r="110">
      <c r="A110" s="62" t="s">
        <v>3276</v>
      </c>
      <c r="B110" s="63">
        <v>44158.0</v>
      </c>
      <c r="C110" s="69">
        <v>46.21401726240429</v>
      </c>
    </row>
    <row r="111">
      <c r="A111" s="62" t="s">
        <v>2747</v>
      </c>
      <c r="B111" s="63">
        <v>44152.0</v>
      </c>
      <c r="C111" s="69">
        <v>46.154622065913514</v>
      </c>
    </row>
    <row r="112">
      <c r="A112" s="62" t="s">
        <v>3722</v>
      </c>
      <c r="B112" s="63">
        <v>44078.0</v>
      </c>
      <c r="C112" s="69">
        <v>46.12572844469081</v>
      </c>
    </row>
    <row r="113">
      <c r="A113" s="62" t="s">
        <v>2793</v>
      </c>
      <c r="B113" s="63">
        <v>44232.0</v>
      </c>
      <c r="C113" s="69">
        <v>46.05528084020343</v>
      </c>
    </row>
    <row r="114">
      <c r="A114" s="62" t="s">
        <v>6149</v>
      </c>
      <c r="B114" s="63">
        <v>44326.0</v>
      </c>
      <c r="C114" s="69">
        <v>46.04033962616978</v>
      </c>
    </row>
    <row r="115">
      <c r="A115" s="62" t="s">
        <v>2213</v>
      </c>
      <c r="B115" s="63">
        <v>44064.0</v>
      </c>
      <c r="C115" s="69">
        <v>46.00721188732856</v>
      </c>
    </row>
    <row r="116">
      <c r="A116" s="62" t="s">
        <v>3000</v>
      </c>
      <c r="B116" s="63">
        <v>44224.0</v>
      </c>
      <c r="C116" s="69">
        <v>45.99847457106516</v>
      </c>
    </row>
    <row r="117">
      <c r="A117" s="62" t="s">
        <v>6147</v>
      </c>
      <c r="B117" s="63">
        <v>44321.0</v>
      </c>
      <c r="C117" s="69">
        <v>45.90407254450113</v>
      </c>
    </row>
    <row r="118">
      <c r="A118" s="62" t="s">
        <v>6146</v>
      </c>
      <c r="B118" s="63">
        <v>44331.0</v>
      </c>
      <c r="C118" s="69">
        <v>45.88121168001613</v>
      </c>
    </row>
    <row r="119">
      <c r="A119" s="62" t="s">
        <v>231</v>
      </c>
      <c r="B119" s="63">
        <v>43808.0</v>
      </c>
      <c r="C119" s="69">
        <v>45.72136738208589</v>
      </c>
    </row>
    <row r="120">
      <c r="A120" s="62" t="s">
        <v>305</v>
      </c>
      <c r="B120" s="63">
        <v>44292.0</v>
      </c>
      <c r="C120" s="69">
        <v>45.686973364070404</v>
      </c>
    </row>
    <row r="121">
      <c r="A121" s="62" t="s">
        <v>2337</v>
      </c>
      <c r="B121" s="63">
        <v>44379.0</v>
      </c>
      <c r="C121" s="69">
        <v>45.536452032516756</v>
      </c>
    </row>
    <row r="122">
      <c r="A122" s="62" t="s">
        <v>5069</v>
      </c>
      <c r="B122" s="63">
        <v>44281.0</v>
      </c>
      <c r="C122" s="69">
        <v>45.51944327631245</v>
      </c>
    </row>
    <row r="123">
      <c r="A123" s="62" t="s">
        <v>2533</v>
      </c>
      <c r="B123" s="63">
        <v>44383.0</v>
      </c>
      <c r="C123" s="69">
        <v>45.509844839646426</v>
      </c>
    </row>
    <row r="124">
      <c r="A124" s="62" t="s">
        <v>2294</v>
      </c>
      <c r="B124" s="63">
        <v>44387.0</v>
      </c>
      <c r="C124" s="69">
        <v>45.396057072331935</v>
      </c>
    </row>
    <row r="125">
      <c r="A125" s="62" t="s">
        <v>309</v>
      </c>
      <c r="B125" s="63">
        <v>44229.0</v>
      </c>
      <c r="C125" s="69">
        <v>45.357077249701696</v>
      </c>
    </row>
    <row r="126">
      <c r="A126" s="62" t="s">
        <v>2418</v>
      </c>
      <c r="B126" s="63">
        <v>44385.0</v>
      </c>
      <c r="C126" s="69">
        <v>45.347705201630994</v>
      </c>
    </row>
    <row r="127">
      <c r="A127" s="62" t="s">
        <v>3931</v>
      </c>
      <c r="B127" s="63">
        <v>44149.0</v>
      </c>
      <c r="C127" s="69">
        <v>45.346761433418365</v>
      </c>
    </row>
    <row r="128">
      <c r="A128" s="62" t="s">
        <v>5670</v>
      </c>
      <c r="B128" s="63">
        <v>44376.0</v>
      </c>
      <c r="C128" s="69">
        <v>45.31759209869009</v>
      </c>
    </row>
    <row r="129">
      <c r="A129" s="62" t="s">
        <v>5353</v>
      </c>
      <c r="B129" s="63">
        <v>44370.0</v>
      </c>
      <c r="C129" s="69">
        <v>45.200942736172834</v>
      </c>
    </row>
    <row r="130">
      <c r="A130" s="62" t="s">
        <v>3707</v>
      </c>
      <c r="B130" s="63">
        <v>44212.0</v>
      </c>
      <c r="C130" s="69">
        <v>45.17369956112685</v>
      </c>
    </row>
    <row r="131">
      <c r="A131" s="62" t="s">
        <v>3480</v>
      </c>
      <c r="B131" s="63">
        <v>44175.0</v>
      </c>
      <c r="C131" s="69">
        <v>45.13174101744946</v>
      </c>
    </row>
    <row r="132">
      <c r="A132" s="62" t="s">
        <v>4808</v>
      </c>
      <c r="B132" s="63">
        <v>44280.0</v>
      </c>
      <c r="C132" s="69">
        <v>45.12764239894715</v>
      </c>
    </row>
    <row r="133">
      <c r="A133" s="62" t="s">
        <v>3358</v>
      </c>
      <c r="B133" s="63">
        <v>44215.0</v>
      </c>
      <c r="C133" s="69">
        <v>45.102036218949415</v>
      </c>
    </row>
    <row r="134">
      <c r="A134" s="62" t="s">
        <v>3895</v>
      </c>
      <c r="B134" s="63">
        <v>44232.0</v>
      </c>
      <c r="C134" s="69">
        <v>45.06827248695585</v>
      </c>
    </row>
    <row r="135">
      <c r="A135" s="62" t="s">
        <v>4961</v>
      </c>
      <c r="B135" s="63">
        <v>44293.0</v>
      </c>
      <c r="C135" s="69">
        <v>45.04309551971656</v>
      </c>
    </row>
    <row r="136">
      <c r="A136" s="62" t="s">
        <v>6443</v>
      </c>
      <c r="B136" s="63">
        <v>44376.0</v>
      </c>
      <c r="C136" s="69">
        <v>45.027442426891405</v>
      </c>
    </row>
    <row r="137">
      <c r="A137" s="62" t="s">
        <v>3601</v>
      </c>
      <c r="B137" s="63">
        <v>44223.0</v>
      </c>
      <c r="C137" s="69">
        <v>45.020170757165644</v>
      </c>
    </row>
    <row r="138">
      <c r="A138" s="62" t="s">
        <v>3662</v>
      </c>
      <c r="B138" s="63">
        <v>44133.0</v>
      </c>
      <c r="C138" s="69">
        <v>45.00141975256031</v>
      </c>
    </row>
    <row r="139">
      <c r="A139" s="62" t="s">
        <v>134</v>
      </c>
      <c r="B139" s="63">
        <v>44061.0</v>
      </c>
      <c r="C139" s="69">
        <v>44.97214503300135</v>
      </c>
    </row>
    <row r="140">
      <c r="A140" s="62" t="s">
        <v>3565</v>
      </c>
      <c r="B140" s="63">
        <v>44236.0</v>
      </c>
      <c r="C140" s="69">
        <v>44.97112556757224</v>
      </c>
    </row>
    <row r="141">
      <c r="A141" s="62" t="s">
        <v>6144</v>
      </c>
      <c r="B141" s="63">
        <v>44333.0</v>
      </c>
      <c r="C141" s="69">
        <v>44.969421559989456</v>
      </c>
    </row>
    <row r="142">
      <c r="A142" s="62" t="s">
        <v>5953</v>
      </c>
      <c r="B142" s="63">
        <v>44365.0</v>
      </c>
      <c r="C142" s="69">
        <v>44.92891861469578</v>
      </c>
    </row>
    <row r="143">
      <c r="A143" s="62" t="s">
        <v>3950</v>
      </c>
      <c r="B143" s="63">
        <v>44242.0</v>
      </c>
      <c r="C143" s="69">
        <v>44.91975671488764</v>
      </c>
    </row>
    <row r="144">
      <c r="A144" s="62" t="s">
        <v>3345</v>
      </c>
      <c r="B144" s="63">
        <v>44238.0</v>
      </c>
      <c r="C144" s="69">
        <v>44.8828934323905</v>
      </c>
    </row>
    <row r="145">
      <c r="A145" s="62" t="s">
        <v>575</v>
      </c>
      <c r="B145" s="63">
        <v>44375.0</v>
      </c>
      <c r="C145" s="69">
        <v>44.80590711979929</v>
      </c>
    </row>
    <row r="146">
      <c r="A146" s="62" t="s">
        <v>2355</v>
      </c>
      <c r="B146" s="63">
        <v>44382.0</v>
      </c>
      <c r="C146" s="69">
        <v>44.80157962853829</v>
      </c>
    </row>
    <row r="147">
      <c r="A147" s="62" t="s">
        <v>4836</v>
      </c>
      <c r="B147" s="63">
        <v>44274.0</v>
      </c>
      <c r="C147" s="69">
        <v>44.672079024232985</v>
      </c>
    </row>
    <row r="148">
      <c r="A148" s="62" t="s">
        <v>3704</v>
      </c>
      <c r="B148" s="63">
        <v>44144.0</v>
      </c>
      <c r="C148" s="69">
        <v>44.642948290320994</v>
      </c>
    </row>
    <row r="149">
      <c r="A149" s="62" t="s">
        <v>5316</v>
      </c>
      <c r="B149" s="63">
        <v>44358.0</v>
      </c>
      <c r="C149" s="69">
        <v>44.63157318024754</v>
      </c>
    </row>
    <row r="150">
      <c r="A150" s="62" t="s">
        <v>4425</v>
      </c>
      <c r="B150" s="63">
        <v>44172.0</v>
      </c>
      <c r="C150" s="69">
        <v>44.59486694879505</v>
      </c>
    </row>
    <row r="151">
      <c r="A151" s="62" t="s">
        <v>3516</v>
      </c>
      <c r="B151" s="63">
        <v>44216.0</v>
      </c>
      <c r="C151" s="69">
        <v>44.5568860622221</v>
      </c>
    </row>
    <row r="152">
      <c r="A152" s="62" t="s">
        <v>3348</v>
      </c>
      <c r="B152" s="63">
        <v>44224.0</v>
      </c>
      <c r="C152" s="69">
        <v>44.40085168467667</v>
      </c>
    </row>
    <row r="153">
      <c r="A153" s="62" t="s">
        <v>4865</v>
      </c>
      <c r="B153" s="63">
        <v>44278.0</v>
      </c>
      <c r="C153" s="69">
        <v>44.385559686172016</v>
      </c>
    </row>
    <row r="154">
      <c r="A154" s="62" t="s">
        <v>6142</v>
      </c>
      <c r="B154" s="63">
        <v>44342.0</v>
      </c>
      <c r="C154" s="69">
        <v>44.37878049350963</v>
      </c>
    </row>
    <row r="155">
      <c r="A155" s="62" t="s">
        <v>4231</v>
      </c>
      <c r="B155" s="63">
        <v>44133.0</v>
      </c>
      <c r="C155" s="69">
        <v>44.319166556684635</v>
      </c>
    </row>
    <row r="156">
      <c r="A156" s="62" t="s">
        <v>5631</v>
      </c>
      <c r="B156" s="63">
        <v>44377.0</v>
      </c>
      <c r="C156" s="69">
        <v>44.30526068180796</v>
      </c>
    </row>
    <row r="157">
      <c r="A157" s="62" t="s">
        <v>4004</v>
      </c>
      <c r="B157" s="63">
        <v>44111.0</v>
      </c>
      <c r="C157" s="69">
        <v>44.30077886375946</v>
      </c>
    </row>
    <row r="158">
      <c r="A158" s="62" t="s">
        <v>2186</v>
      </c>
      <c r="B158" s="63">
        <v>44069.0</v>
      </c>
      <c r="C158" s="69">
        <v>44.28061834109701</v>
      </c>
    </row>
    <row r="159">
      <c r="A159" s="62" t="s">
        <v>4848</v>
      </c>
      <c r="B159" s="63">
        <v>44267.0</v>
      </c>
      <c r="C159" s="69">
        <v>44.21621674515204</v>
      </c>
    </row>
    <row r="160">
      <c r="A160" s="62" t="s">
        <v>5335</v>
      </c>
      <c r="B160" s="63">
        <v>44356.0</v>
      </c>
      <c r="C160" s="69">
        <v>44.205450495359344</v>
      </c>
    </row>
    <row r="161">
      <c r="A161" s="62" t="s">
        <v>6141</v>
      </c>
      <c r="B161" s="63">
        <v>44328.0</v>
      </c>
      <c r="C161" s="69">
        <v>44.165964921028205</v>
      </c>
    </row>
    <row r="162">
      <c r="A162" s="62" t="s">
        <v>4786</v>
      </c>
      <c r="B162" s="63">
        <v>44299.0</v>
      </c>
      <c r="C162" s="69">
        <v>44.134183679017575</v>
      </c>
    </row>
    <row r="163">
      <c r="A163" s="62" t="s">
        <v>2618</v>
      </c>
      <c r="B163" s="63">
        <v>44393.0</v>
      </c>
      <c r="C163" s="69">
        <v>44.13311451185443</v>
      </c>
    </row>
    <row r="164">
      <c r="A164" s="62" t="s">
        <v>4529</v>
      </c>
      <c r="B164" s="63">
        <v>44315.0</v>
      </c>
      <c r="C164" s="69">
        <v>44.0755945069848</v>
      </c>
    </row>
    <row r="165">
      <c r="A165" s="62" t="s">
        <v>6139</v>
      </c>
      <c r="B165" s="63">
        <v>44330.0</v>
      </c>
      <c r="C165" s="69">
        <v>44.01892435798936</v>
      </c>
    </row>
    <row r="166">
      <c r="A166" s="62" t="s">
        <v>4232</v>
      </c>
      <c r="B166" s="63">
        <v>44214.0</v>
      </c>
      <c r="C166" s="69">
        <v>44.018621018692784</v>
      </c>
    </row>
    <row r="167">
      <c r="A167" s="62" t="s">
        <v>4553</v>
      </c>
      <c r="B167" s="63">
        <v>44259.0</v>
      </c>
      <c r="C167" s="69">
        <v>44.012465237615864</v>
      </c>
    </row>
    <row r="168">
      <c r="A168" s="62" t="s">
        <v>5067</v>
      </c>
      <c r="B168" s="63">
        <v>44286.0</v>
      </c>
      <c r="C168" s="69">
        <v>43.9835191742053</v>
      </c>
    </row>
    <row r="169">
      <c r="A169" s="62" t="s">
        <v>3425</v>
      </c>
      <c r="B169" s="63">
        <v>44110.0</v>
      </c>
      <c r="C169" s="69">
        <v>43.9832506911268</v>
      </c>
    </row>
    <row r="170">
      <c r="A170" s="62" t="s">
        <v>2946</v>
      </c>
      <c r="B170" s="63">
        <v>44187.0</v>
      </c>
      <c r="C170" s="69">
        <v>43.811247465009714</v>
      </c>
    </row>
    <row r="171">
      <c r="A171" s="62" t="s">
        <v>2846</v>
      </c>
      <c r="B171" s="63">
        <v>44126.0</v>
      </c>
      <c r="C171" s="69">
        <v>43.80962830601638</v>
      </c>
    </row>
    <row r="172">
      <c r="A172" s="62" t="s">
        <v>6138</v>
      </c>
      <c r="B172" s="63">
        <v>44343.0</v>
      </c>
      <c r="C172" s="69">
        <v>43.792271839200154</v>
      </c>
    </row>
    <row r="173">
      <c r="A173" s="62" t="s">
        <v>6561</v>
      </c>
      <c r="B173" s="63">
        <v>44355.0</v>
      </c>
      <c r="C173" s="69">
        <v>43.7558802646383</v>
      </c>
    </row>
    <row r="174">
      <c r="A174" s="62" t="s">
        <v>3312</v>
      </c>
      <c r="B174" s="63">
        <v>44249.0</v>
      </c>
      <c r="C174" s="69">
        <v>43.65619391234132</v>
      </c>
    </row>
    <row r="175">
      <c r="A175" s="62" t="s">
        <v>6137</v>
      </c>
      <c r="B175" s="63">
        <v>44322.0</v>
      </c>
      <c r="C175" s="69">
        <v>43.53318231812373</v>
      </c>
    </row>
    <row r="176">
      <c r="A176" s="62" t="s">
        <v>1704</v>
      </c>
      <c r="B176" s="63">
        <v>44286.0</v>
      </c>
      <c r="C176" s="69">
        <v>43.501438170594085</v>
      </c>
    </row>
    <row r="177">
      <c r="A177" s="62" t="s">
        <v>6136</v>
      </c>
      <c r="B177" s="63">
        <v>44343.0</v>
      </c>
      <c r="C177" s="69">
        <v>43.486906711755125</v>
      </c>
    </row>
    <row r="178">
      <c r="A178" s="62" t="s">
        <v>6132</v>
      </c>
      <c r="B178" s="63">
        <v>44327.0</v>
      </c>
      <c r="C178" s="69">
        <v>43.48690350842639</v>
      </c>
    </row>
    <row r="179">
      <c r="A179" s="62" t="s">
        <v>1265</v>
      </c>
      <c r="B179" s="63">
        <v>44376.0</v>
      </c>
      <c r="C179" s="69">
        <v>43.458226723920355</v>
      </c>
    </row>
    <row r="180">
      <c r="A180" s="62" t="s">
        <v>6130</v>
      </c>
      <c r="B180" s="63">
        <v>44343.0</v>
      </c>
      <c r="C180" s="69">
        <v>43.44808309061261</v>
      </c>
    </row>
    <row r="181">
      <c r="A181" s="62" t="s">
        <v>6122</v>
      </c>
      <c r="B181" s="63">
        <v>44334.0</v>
      </c>
      <c r="C181" s="69">
        <v>43.41644068653046</v>
      </c>
    </row>
    <row r="182">
      <c r="A182" s="62" t="s">
        <v>2493</v>
      </c>
      <c r="B182" s="63">
        <v>44379.0</v>
      </c>
      <c r="C182" s="69">
        <v>43.41193738291469</v>
      </c>
    </row>
    <row r="183">
      <c r="A183" s="62" t="s">
        <v>1347</v>
      </c>
      <c r="B183" s="63">
        <v>44375.0</v>
      </c>
      <c r="C183" s="69">
        <v>43.400004789699594</v>
      </c>
    </row>
    <row r="184">
      <c r="A184" s="62" t="s">
        <v>6120</v>
      </c>
      <c r="B184" s="63">
        <v>44358.0</v>
      </c>
      <c r="C184" s="69">
        <v>43.35728705134155</v>
      </c>
    </row>
    <row r="185">
      <c r="A185" s="62" t="s">
        <v>2742</v>
      </c>
      <c r="B185" s="63">
        <v>44077.0</v>
      </c>
      <c r="C185" s="69">
        <v>43.27029387632774</v>
      </c>
    </row>
    <row r="186">
      <c r="A186" s="62" t="s">
        <v>6033</v>
      </c>
      <c r="B186" s="63">
        <v>44362.0</v>
      </c>
      <c r="C186" s="69">
        <v>43.240292770909136</v>
      </c>
    </row>
    <row r="187">
      <c r="A187" s="62" t="s">
        <v>2496</v>
      </c>
      <c r="B187" s="63">
        <v>44382.0</v>
      </c>
      <c r="C187" s="69">
        <v>43.19002648945403</v>
      </c>
    </row>
    <row r="188">
      <c r="A188" s="62" t="s">
        <v>6121</v>
      </c>
      <c r="B188" s="63">
        <v>44347.0</v>
      </c>
      <c r="C188" s="69">
        <v>43.188523765218136</v>
      </c>
    </row>
    <row r="189">
      <c r="A189" s="62" t="s">
        <v>220</v>
      </c>
      <c r="B189" s="63">
        <v>44387.0</v>
      </c>
      <c r="C189" s="69">
        <v>43.103717590378594</v>
      </c>
    </row>
    <row r="190">
      <c r="A190" s="62" t="s">
        <v>2724</v>
      </c>
      <c r="B190" s="63">
        <v>44155.0</v>
      </c>
      <c r="C190" s="69">
        <v>43.10068323080335</v>
      </c>
    </row>
    <row r="191">
      <c r="A191" s="62" t="s">
        <v>5819</v>
      </c>
      <c r="B191" s="63">
        <v>44375.0</v>
      </c>
      <c r="C191" s="69">
        <v>43.09472308247254</v>
      </c>
    </row>
    <row r="192">
      <c r="A192" s="62" t="s">
        <v>4286</v>
      </c>
      <c r="B192" s="63">
        <v>44102.0</v>
      </c>
      <c r="C192" s="69">
        <v>42.936144919534314</v>
      </c>
    </row>
    <row r="193">
      <c r="A193" s="62" t="s">
        <v>2217</v>
      </c>
      <c r="B193" s="63">
        <v>44048.0</v>
      </c>
      <c r="C193" s="69">
        <v>42.91197500380413</v>
      </c>
    </row>
    <row r="194">
      <c r="A194" s="62" t="s">
        <v>6119</v>
      </c>
      <c r="B194" s="63">
        <v>44327.0</v>
      </c>
      <c r="C194" s="69">
        <v>42.90720113693459</v>
      </c>
    </row>
    <row r="195">
      <c r="A195" s="62" t="s">
        <v>2509</v>
      </c>
      <c r="B195" s="63">
        <v>44383.0</v>
      </c>
      <c r="C195" s="69">
        <v>42.89160092119421</v>
      </c>
    </row>
    <row r="196">
      <c r="A196" s="62" t="s">
        <v>3067</v>
      </c>
      <c r="B196" s="63">
        <v>44236.0</v>
      </c>
      <c r="C196" s="69">
        <v>42.76834689694827</v>
      </c>
    </row>
    <row r="197">
      <c r="A197" s="62" t="s">
        <v>2665</v>
      </c>
      <c r="B197" s="63">
        <v>44083.0</v>
      </c>
      <c r="C197" s="69">
        <v>42.72594084747658</v>
      </c>
    </row>
    <row r="198">
      <c r="A198" s="62" t="s">
        <v>846</v>
      </c>
      <c r="B198" s="63">
        <v>44348.0</v>
      </c>
      <c r="C198" s="69">
        <v>42.665764540457324</v>
      </c>
    </row>
    <row r="199">
      <c r="A199" s="62" t="s">
        <v>2548</v>
      </c>
      <c r="B199" s="63">
        <v>44383.0</v>
      </c>
      <c r="C199" s="69">
        <v>42.611723566388825</v>
      </c>
    </row>
    <row r="200">
      <c r="A200" s="62" t="s">
        <v>976</v>
      </c>
      <c r="B200" s="63">
        <v>44378.0</v>
      </c>
      <c r="C200" s="69">
        <v>42.60855559929398</v>
      </c>
    </row>
    <row r="201">
      <c r="A201" s="62" t="s">
        <v>6133</v>
      </c>
      <c r="B201" s="63">
        <v>44376.0</v>
      </c>
      <c r="C201" s="69">
        <v>42.60071341923237</v>
      </c>
    </row>
    <row r="202">
      <c r="A202" s="62" t="s">
        <v>5334</v>
      </c>
      <c r="B202" s="63">
        <v>44368.0</v>
      </c>
      <c r="C202" s="69">
        <v>42.58840441158403</v>
      </c>
    </row>
    <row r="203">
      <c r="A203" s="62" t="s">
        <v>3518</v>
      </c>
      <c r="B203" s="63">
        <v>44133.0</v>
      </c>
      <c r="C203" s="69">
        <v>42.56732907125255</v>
      </c>
    </row>
    <row r="204">
      <c r="A204" s="62" t="s">
        <v>3651</v>
      </c>
      <c r="B204" s="63">
        <v>44246.0</v>
      </c>
      <c r="C204" s="69">
        <v>42.56206735222155</v>
      </c>
    </row>
    <row r="205">
      <c r="A205" s="62" t="s">
        <v>6115</v>
      </c>
      <c r="B205" s="63">
        <v>44341.0</v>
      </c>
      <c r="C205" s="69">
        <v>42.5534532846103</v>
      </c>
    </row>
    <row r="206">
      <c r="A206" s="62" t="s">
        <v>3708</v>
      </c>
      <c r="B206" s="63">
        <v>44236.0</v>
      </c>
      <c r="C206" s="69">
        <v>42.479938677167375</v>
      </c>
    </row>
    <row r="207">
      <c r="A207" s="62" t="s">
        <v>1236</v>
      </c>
      <c r="B207" s="63">
        <v>44264.0</v>
      </c>
      <c r="C207" s="69">
        <v>42.45500093505382</v>
      </c>
    </row>
    <row r="208">
      <c r="A208" s="62" t="s">
        <v>176</v>
      </c>
      <c r="B208" s="63">
        <v>44383.0</v>
      </c>
      <c r="C208" s="69">
        <v>42.376985206887106</v>
      </c>
    </row>
    <row r="209">
      <c r="A209" s="62" t="s">
        <v>6114</v>
      </c>
      <c r="B209" s="63">
        <v>44347.0</v>
      </c>
      <c r="C209" s="69">
        <v>42.35634150986779</v>
      </c>
    </row>
    <row r="210">
      <c r="A210" s="62" t="s">
        <v>2758</v>
      </c>
      <c r="B210" s="63">
        <v>44223.0</v>
      </c>
      <c r="C210" s="69">
        <v>42.30232558309976</v>
      </c>
    </row>
    <row r="211">
      <c r="A211" s="62" t="s">
        <v>4502</v>
      </c>
      <c r="B211" s="63">
        <v>44298.0</v>
      </c>
      <c r="C211" s="69">
        <v>42.26331812895476</v>
      </c>
    </row>
    <row r="212">
      <c r="A212" s="62" t="s">
        <v>636</v>
      </c>
      <c r="B212" s="63">
        <v>44144.0</v>
      </c>
      <c r="C212" s="69">
        <v>42.253967914583356</v>
      </c>
    </row>
    <row r="213">
      <c r="A213" s="62" t="s">
        <v>4552</v>
      </c>
      <c r="B213" s="63">
        <v>44273.0</v>
      </c>
      <c r="C213" s="69">
        <v>42.04465699286265</v>
      </c>
    </row>
    <row r="214">
      <c r="A214" s="62" t="s">
        <v>4196</v>
      </c>
      <c r="B214" s="63">
        <v>44231.0</v>
      </c>
      <c r="C214" s="69">
        <v>42.02185185794995</v>
      </c>
    </row>
    <row r="215">
      <c r="A215" s="62" t="s">
        <v>6286</v>
      </c>
      <c r="B215" s="63">
        <v>44356.0</v>
      </c>
      <c r="C215" s="69">
        <v>41.89822334725924</v>
      </c>
    </row>
    <row r="216">
      <c r="A216" s="62" t="s">
        <v>2943</v>
      </c>
      <c r="B216" s="63">
        <v>44110.0</v>
      </c>
      <c r="C216" s="69">
        <v>41.89166803352866</v>
      </c>
    </row>
    <row r="217">
      <c r="A217" s="62" t="s">
        <v>4510</v>
      </c>
      <c r="B217" s="63">
        <v>44292.0</v>
      </c>
      <c r="C217" s="69">
        <v>41.81787708357169</v>
      </c>
    </row>
    <row r="218">
      <c r="A218" s="62" t="s">
        <v>6112</v>
      </c>
      <c r="B218" s="63">
        <v>44337.0</v>
      </c>
      <c r="C218" s="69">
        <v>41.79068686105283</v>
      </c>
    </row>
    <row r="219">
      <c r="A219" s="62" t="s">
        <v>4415</v>
      </c>
      <c r="B219" s="63">
        <v>44177.0</v>
      </c>
      <c r="C219" s="69">
        <v>41.77809135030991</v>
      </c>
    </row>
    <row r="220">
      <c r="A220" s="62" t="s">
        <v>4366</v>
      </c>
      <c r="B220" s="63">
        <v>44236.0</v>
      </c>
      <c r="C220" s="69">
        <v>41.7485173022215</v>
      </c>
    </row>
    <row r="221">
      <c r="A221" s="62" t="s">
        <v>3525</v>
      </c>
      <c r="B221" s="63">
        <v>44206.0</v>
      </c>
      <c r="C221" s="69">
        <v>41.72590049284251</v>
      </c>
    </row>
    <row r="222">
      <c r="A222" s="62" t="s">
        <v>3294</v>
      </c>
      <c r="B222" s="63">
        <v>44110.0</v>
      </c>
      <c r="C222" s="69">
        <v>41.65640464193868</v>
      </c>
    </row>
    <row r="223">
      <c r="A223" s="62" t="s">
        <v>6312</v>
      </c>
      <c r="B223" s="63">
        <v>44352.0</v>
      </c>
      <c r="C223" s="69">
        <v>41.62251686375957</v>
      </c>
    </row>
    <row r="224">
      <c r="A224" s="62" t="s">
        <v>2981</v>
      </c>
      <c r="B224" s="63">
        <v>44102.0</v>
      </c>
      <c r="C224" s="69">
        <v>41.61756918654436</v>
      </c>
    </row>
    <row r="225">
      <c r="A225" s="62" t="s">
        <v>6111</v>
      </c>
      <c r="B225" s="63">
        <v>44337.0</v>
      </c>
      <c r="C225" s="69">
        <v>41.50318012389971</v>
      </c>
    </row>
    <row r="226">
      <c r="A226" s="62" t="s">
        <v>5143</v>
      </c>
      <c r="B226" s="63">
        <v>44278.0</v>
      </c>
      <c r="C226" s="69">
        <v>41.485818197870785</v>
      </c>
    </row>
    <row r="227">
      <c r="A227" s="62" t="s">
        <v>6109</v>
      </c>
      <c r="B227" s="63">
        <v>44341.0</v>
      </c>
      <c r="C227" s="69">
        <v>41.37520402209652</v>
      </c>
    </row>
    <row r="228">
      <c r="A228" s="62" t="s">
        <v>4957</v>
      </c>
      <c r="B228" s="63">
        <v>44309.0</v>
      </c>
      <c r="C228" s="69">
        <v>41.34759287692569</v>
      </c>
    </row>
    <row r="229">
      <c r="A229" s="62" t="s">
        <v>4817</v>
      </c>
      <c r="B229" s="63">
        <v>44279.0</v>
      </c>
      <c r="C229" s="69">
        <v>41.32850787591695</v>
      </c>
    </row>
    <row r="230">
      <c r="A230" s="62" t="s">
        <v>6105</v>
      </c>
      <c r="B230" s="63">
        <v>44327.0</v>
      </c>
      <c r="C230" s="69">
        <v>41.32035096165288</v>
      </c>
    </row>
    <row r="231">
      <c r="A231" s="62" t="s">
        <v>6104</v>
      </c>
      <c r="B231" s="63">
        <v>44333.0</v>
      </c>
      <c r="C231" s="69">
        <v>41.21416945257718</v>
      </c>
    </row>
    <row r="232">
      <c r="A232" s="62" t="s">
        <v>4572</v>
      </c>
      <c r="B232" s="63">
        <v>44260.0</v>
      </c>
      <c r="C232" s="69">
        <v>41.05769562584966</v>
      </c>
    </row>
    <row r="233">
      <c r="A233" s="62" t="s">
        <v>5571</v>
      </c>
      <c r="B233" s="63">
        <v>44350.0</v>
      </c>
      <c r="C233" s="69">
        <v>41.01055768633681</v>
      </c>
    </row>
    <row r="234">
      <c r="A234" s="62" t="s">
        <v>2810</v>
      </c>
      <c r="B234" s="63">
        <v>44174.0</v>
      </c>
      <c r="C234" s="69">
        <v>41.00581742572594</v>
      </c>
    </row>
    <row r="235">
      <c r="A235" s="62" t="s">
        <v>1388</v>
      </c>
      <c r="B235" s="63">
        <v>44226.0</v>
      </c>
      <c r="C235" s="69">
        <v>40.97083047546305</v>
      </c>
    </row>
    <row r="236">
      <c r="A236" s="62" t="s">
        <v>6046</v>
      </c>
      <c r="B236" s="63">
        <v>44355.0</v>
      </c>
      <c r="C236" s="69">
        <v>40.925787452247675</v>
      </c>
    </row>
    <row r="237">
      <c r="A237" s="62" t="s">
        <v>2476</v>
      </c>
      <c r="B237" s="63">
        <v>44379.0</v>
      </c>
      <c r="C237" s="69">
        <v>40.92462346210037</v>
      </c>
    </row>
    <row r="238">
      <c r="A238" s="62" t="s">
        <v>2959</v>
      </c>
      <c r="B238" s="63">
        <v>44105.0</v>
      </c>
      <c r="C238" s="69">
        <v>40.89771334549741</v>
      </c>
    </row>
    <row r="239">
      <c r="A239" s="62" t="s">
        <v>3551</v>
      </c>
      <c r="B239" s="63">
        <v>44125.0</v>
      </c>
      <c r="C239" s="69">
        <v>40.63520879453232</v>
      </c>
    </row>
    <row r="240">
      <c r="A240" s="62" t="s">
        <v>4694</v>
      </c>
      <c r="B240" s="63">
        <v>44294.0</v>
      </c>
      <c r="C240" s="69">
        <v>40.58350027883308</v>
      </c>
    </row>
    <row r="241">
      <c r="A241" s="62" t="s">
        <v>4358</v>
      </c>
      <c r="B241" s="63">
        <v>44121.0</v>
      </c>
      <c r="C241" s="69">
        <v>40.581302700846635</v>
      </c>
    </row>
    <row r="242">
      <c r="A242" s="62" t="s">
        <v>641</v>
      </c>
      <c r="B242" s="63">
        <v>44356.0</v>
      </c>
      <c r="C242" s="69">
        <v>40.523022696610674</v>
      </c>
    </row>
    <row r="243">
      <c r="A243" s="62" t="s">
        <v>1746</v>
      </c>
      <c r="B243" s="63">
        <v>44113.0</v>
      </c>
      <c r="C243" s="69">
        <v>40.4743148659809</v>
      </c>
    </row>
    <row r="244">
      <c r="A244" s="62" t="s">
        <v>4115</v>
      </c>
      <c r="B244" s="63">
        <v>44230.0</v>
      </c>
      <c r="C244" s="69">
        <v>40.40193987376237</v>
      </c>
    </row>
    <row r="245">
      <c r="A245" s="62" t="s">
        <v>3481</v>
      </c>
      <c r="B245" s="63">
        <v>44166.0</v>
      </c>
      <c r="C245" s="69">
        <v>40.398862514508686</v>
      </c>
    </row>
    <row r="246">
      <c r="A246" s="62" t="s">
        <v>4534</v>
      </c>
      <c r="B246" s="63">
        <v>44300.0</v>
      </c>
      <c r="C246" s="69">
        <v>40.389934449231205</v>
      </c>
    </row>
    <row r="247">
      <c r="A247" s="62" t="s">
        <v>5672</v>
      </c>
      <c r="B247" s="63">
        <v>44375.0</v>
      </c>
      <c r="C247" s="69">
        <v>40.358808052983974</v>
      </c>
    </row>
    <row r="248">
      <c r="A248" s="62" t="s">
        <v>560</v>
      </c>
      <c r="B248" s="63">
        <v>44090.0</v>
      </c>
      <c r="C248" s="69">
        <v>40.35385253148987</v>
      </c>
    </row>
    <row r="249">
      <c r="A249" s="62" t="s">
        <v>5130</v>
      </c>
      <c r="B249" s="63">
        <v>44265.0</v>
      </c>
      <c r="C249" s="69">
        <v>40.260943602188085</v>
      </c>
    </row>
    <row r="250">
      <c r="A250" s="62" t="s">
        <v>4886</v>
      </c>
      <c r="B250" s="63">
        <v>44279.0</v>
      </c>
      <c r="C250" s="69">
        <v>40.25078356082682</v>
      </c>
    </row>
    <row r="251">
      <c r="A251" s="62" t="s">
        <v>3437</v>
      </c>
      <c r="B251" s="63">
        <v>44222.0</v>
      </c>
      <c r="C251" s="69">
        <v>40.02245645109127</v>
      </c>
    </row>
    <row r="252">
      <c r="A252" s="62" t="s">
        <v>3546</v>
      </c>
      <c r="B252" s="63">
        <v>44204.0</v>
      </c>
      <c r="C252" s="69">
        <v>40.01289894818645</v>
      </c>
    </row>
    <row r="253">
      <c r="A253" s="62" t="s">
        <v>2587</v>
      </c>
      <c r="B253" s="63">
        <v>44383.0</v>
      </c>
      <c r="C253" s="69">
        <v>39.97918112763682</v>
      </c>
    </row>
    <row r="254">
      <c r="A254" s="62" t="s">
        <v>6100</v>
      </c>
      <c r="B254" s="63">
        <v>44321.0</v>
      </c>
      <c r="C254" s="69">
        <v>39.970167575853544</v>
      </c>
    </row>
    <row r="255">
      <c r="A255" s="62" t="s">
        <v>6117</v>
      </c>
      <c r="B255" s="63">
        <v>44348.0</v>
      </c>
      <c r="C255" s="69">
        <v>39.84498280465083</v>
      </c>
    </row>
    <row r="256">
      <c r="A256" s="62" t="s">
        <v>6099</v>
      </c>
      <c r="B256" s="63">
        <v>44347.0</v>
      </c>
      <c r="C256" s="69">
        <v>39.8440453487396</v>
      </c>
    </row>
    <row r="257">
      <c r="A257" s="62" t="s">
        <v>4766</v>
      </c>
      <c r="B257" s="63">
        <v>44287.0</v>
      </c>
      <c r="C257" s="69">
        <v>39.837897256204265</v>
      </c>
    </row>
    <row r="258">
      <c r="A258" s="62" t="s">
        <v>4075</v>
      </c>
      <c r="B258" s="63">
        <v>44088.0</v>
      </c>
      <c r="C258" s="69">
        <v>39.80447014413548</v>
      </c>
    </row>
    <row r="259">
      <c r="A259" s="62" t="s">
        <v>4306</v>
      </c>
      <c r="B259" s="63">
        <v>44225.0</v>
      </c>
      <c r="C259" s="69">
        <v>39.780175243721686</v>
      </c>
    </row>
    <row r="260">
      <c r="A260" s="62" t="s">
        <v>3776</v>
      </c>
      <c r="B260" s="63">
        <v>44225.0</v>
      </c>
      <c r="C260" s="69">
        <v>39.77827500877025</v>
      </c>
    </row>
    <row r="261">
      <c r="A261" s="62" t="s">
        <v>6098</v>
      </c>
      <c r="B261" s="63">
        <v>44345.0</v>
      </c>
      <c r="C261" s="69">
        <v>39.704817088743084</v>
      </c>
    </row>
    <row r="262">
      <c r="A262" s="62" t="s">
        <v>2779</v>
      </c>
      <c r="B262" s="63">
        <v>44081.0</v>
      </c>
      <c r="C262" s="69">
        <v>39.67255159441878</v>
      </c>
    </row>
    <row r="263">
      <c r="A263" s="62" t="s">
        <v>6096</v>
      </c>
      <c r="B263" s="63">
        <v>44321.0</v>
      </c>
      <c r="C263" s="69">
        <v>39.65232954648102</v>
      </c>
    </row>
    <row r="264">
      <c r="A264" s="62" t="s">
        <v>3962</v>
      </c>
      <c r="B264" s="63">
        <v>44184.0</v>
      </c>
      <c r="C264" s="69">
        <v>39.64835710966229</v>
      </c>
    </row>
    <row r="265">
      <c r="A265" s="62" t="s">
        <v>508</v>
      </c>
      <c r="B265" s="63">
        <v>44379.0</v>
      </c>
      <c r="C265" s="69">
        <v>39.61995692171254</v>
      </c>
    </row>
    <row r="266">
      <c r="A266" s="62" t="s">
        <v>2262</v>
      </c>
      <c r="B266" s="63">
        <v>44386.0</v>
      </c>
      <c r="C266" s="69">
        <v>39.60441018145193</v>
      </c>
    </row>
    <row r="267">
      <c r="A267" s="62" t="s">
        <v>6095</v>
      </c>
      <c r="B267" s="63">
        <v>44333.0</v>
      </c>
      <c r="C267" s="69">
        <v>39.48747353958161</v>
      </c>
    </row>
    <row r="268">
      <c r="A268" s="62" t="s">
        <v>226</v>
      </c>
      <c r="B268" s="63">
        <v>44393.0</v>
      </c>
      <c r="C268" s="69">
        <v>39.4466137582006</v>
      </c>
    </row>
    <row r="269">
      <c r="A269" s="62" t="s">
        <v>3625</v>
      </c>
      <c r="B269" s="63">
        <v>44131.0</v>
      </c>
      <c r="C269" s="69">
        <v>39.44322507926945</v>
      </c>
    </row>
    <row r="270">
      <c r="A270" s="62" t="s">
        <v>1198</v>
      </c>
      <c r="B270" s="63">
        <v>44371.0</v>
      </c>
      <c r="C270" s="69">
        <v>39.39858286625591</v>
      </c>
    </row>
    <row r="271">
      <c r="A271" s="62" t="s">
        <v>5839</v>
      </c>
      <c r="B271" s="63">
        <v>44375.0</v>
      </c>
      <c r="C271" s="69">
        <v>39.36232096847653</v>
      </c>
    </row>
    <row r="272">
      <c r="A272" s="62" t="s">
        <v>1631</v>
      </c>
      <c r="B272" s="63">
        <v>44378.0</v>
      </c>
      <c r="C272" s="69">
        <v>39.340913849150176</v>
      </c>
    </row>
    <row r="273">
      <c r="A273" s="62" t="s">
        <v>4224</v>
      </c>
      <c r="B273" s="63">
        <v>44182.0</v>
      </c>
      <c r="C273" s="69">
        <v>39.316339082488824</v>
      </c>
    </row>
    <row r="274">
      <c r="A274" s="62" t="s">
        <v>6337</v>
      </c>
      <c r="B274" s="63">
        <v>44365.0</v>
      </c>
      <c r="C274" s="69">
        <v>39.293481895004135</v>
      </c>
    </row>
    <row r="275">
      <c r="A275" s="62" t="s">
        <v>5365</v>
      </c>
      <c r="B275" s="63">
        <v>44371.0</v>
      </c>
      <c r="C275" s="69">
        <v>39.27967395997727</v>
      </c>
    </row>
    <row r="276">
      <c r="A276" s="62" t="s">
        <v>1570</v>
      </c>
      <c r="B276" s="63">
        <v>44376.0</v>
      </c>
      <c r="C276" s="69">
        <v>39.27491738102034</v>
      </c>
    </row>
    <row r="277">
      <c r="A277" s="62" t="s">
        <v>5625</v>
      </c>
      <c r="B277" s="63">
        <v>44356.0</v>
      </c>
      <c r="C277" s="69">
        <v>39.219022458280094</v>
      </c>
    </row>
    <row r="278">
      <c r="A278" s="62" t="s">
        <v>161</v>
      </c>
      <c r="B278" s="63">
        <v>44071.0</v>
      </c>
      <c r="C278" s="69">
        <v>39.10976461915831</v>
      </c>
    </row>
    <row r="279">
      <c r="A279" s="62" t="s">
        <v>3396</v>
      </c>
      <c r="B279" s="63">
        <v>44185.0</v>
      </c>
      <c r="C279" s="69">
        <v>39.06205811490263</v>
      </c>
    </row>
    <row r="280">
      <c r="A280" s="62" t="s">
        <v>3642</v>
      </c>
      <c r="B280" s="63">
        <v>44100.0</v>
      </c>
      <c r="C280" s="69">
        <v>39.052624807369426</v>
      </c>
    </row>
    <row r="281">
      <c r="A281" s="62" t="s">
        <v>6333</v>
      </c>
      <c r="B281" s="63">
        <v>44351.0</v>
      </c>
      <c r="C281" s="69">
        <v>39.03435637182643</v>
      </c>
    </row>
    <row r="282">
      <c r="A282" s="62" t="s">
        <v>5163</v>
      </c>
      <c r="B282" s="63">
        <v>44301.0</v>
      </c>
      <c r="C282" s="69">
        <v>39.02759926064641</v>
      </c>
    </row>
    <row r="283">
      <c r="A283" s="62" t="s">
        <v>6094</v>
      </c>
      <c r="B283" s="63">
        <v>44326.0</v>
      </c>
      <c r="C283" s="69">
        <v>39.02673410302297</v>
      </c>
    </row>
    <row r="284">
      <c r="A284" s="62" t="s">
        <v>1042</v>
      </c>
      <c r="B284" s="63">
        <v>44312.0</v>
      </c>
      <c r="C284" s="69">
        <v>39.020222757915725</v>
      </c>
    </row>
    <row r="285">
      <c r="A285" s="62" t="s">
        <v>4259</v>
      </c>
      <c r="B285" s="63">
        <v>44237.0</v>
      </c>
      <c r="C285" s="69">
        <v>38.94358468264369</v>
      </c>
    </row>
    <row r="286">
      <c r="A286" s="62" t="s">
        <v>6091</v>
      </c>
      <c r="B286" s="63">
        <v>44345.0</v>
      </c>
      <c r="C286" s="69">
        <v>38.846093264755766</v>
      </c>
    </row>
    <row r="287">
      <c r="A287" s="62" t="s">
        <v>167</v>
      </c>
      <c r="B287" s="63">
        <v>44400.0</v>
      </c>
      <c r="C287" s="69">
        <v>38.71903308656573</v>
      </c>
    </row>
    <row r="288">
      <c r="A288" s="62" t="s">
        <v>4086</v>
      </c>
      <c r="B288" s="63">
        <v>44078.0</v>
      </c>
      <c r="C288" s="69">
        <v>38.703886794196286</v>
      </c>
    </row>
    <row r="289">
      <c r="A289" s="62" t="s">
        <v>6151</v>
      </c>
      <c r="B289" s="63">
        <v>44375.0</v>
      </c>
      <c r="C289" s="69">
        <v>38.70197622416468</v>
      </c>
    </row>
    <row r="290">
      <c r="A290" s="62" t="s">
        <v>4010</v>
      </c>
      <c r="B290" s="63">
        <v>44204.0</v>
      </c>
      <c r="C290" s="69">
        <v>38.652277810306416</v>
      </c>
    </row>
    <row r="291">
      <c r="A291" s="62" t="s">
        <v>6529</v>
      </c>
      <c r="B291" s="63">
        <v>44355.0</v>
      </c>
      <c r="C291" s="69">
        <v>38.53026480677818</v>
      </c>
    </row>
    <row r="292">
      <c r="A292" s="62" t="s">
        <v>5017</v>
      </c>
      <c r="B292" s="63">
        <v>44313.0</v>
      </c>
      <c r="C292" s="69">
        <v>38.47522277079872</v>
      </c>
    </row>
    <row r="293">
      <c r="A293" s="62" t="s">
        <v>4851</v>
      </c>
      <c r="B293" s="63">
        <v>44278.0</v>
      </c>
      <c r="C293" s="69">
        <v>38.29586885645504</v>
      </c>
    </row>
    <row r="294">
      <c r="A294" s="62" t="s">
        <v>2196</v>
      </c>
      <c r="B294" s="63">
        <v>44068.0</v>
      </c>
      <c r="C294" s="69">
        <v>38.26710419690095</v>
      </c>
    </row>
    <row r="295">
      <c r="A295" s="62" t="s">
        <v>5548</v>
      </c>
      <c r="B295" s="63">
        <v>44349.0</v>
      </c>
      <c r="C295" s="69">
        <v>38.23807458991969</v>
      </c>
    </row>
    <row r="296">
      <c r="A296" s="62" t="s">
        <v>4782</v>
      </c>
      <c r="B296" s="63">
        <v>44306.0</v>
      </c>
      <c r="C296" s="69">
        <v>38.23332834774679</v>
      </c>
    </row>
    <row r="297">
      <c r="A297" s="62" t="s">
        <v>6089</v>
      </c>
      <c r="B297" s="63">
        <v>44347.0</v>
      </c>
      <c r="C297" s="69">
        <v>38.18789030740876</v>
      </c>
    </row>
    <row r="298">
      <c r="A298" s="62" t="s">
        <v>2488</v>
      </c>
      <c r="B298" s="63">
        <v>44383.0</v>
      </c>
      <c r="C298" s="69">
        <v>38.17836495938609</v>
      </c>
    </row>
    <row r="299">
      <c r="A299" s="62" t="s">
        <v>3918</v>
      </c>
      <c r="B299" s="63">
        <v>44122.0</v>
      </c>
      <c r="C299" s="69">
        <v>37.99346005712728</v>
      </c>
    </row>
    <row r="300">
      <c r="A300" s="62" t="s">
        <v>3395</v>
      </c>
      <c r="B300" s="63">
        <v>44223.0</v>
      </c>
      <c r="C300" s="69">
        <v>37.800297804502435</v>
      </c>
    </row>
    <row r="301">
      <c r="A301" s="62" t="s">
        <v>6088</v>
      </c>
      <c r="B301" s="63">
        <v>44326.0</v>
      </c>
      <c r="C301" s="69">
        <v>37.7825235184272</v>
      </c>
    </row>
    <row r="302">
      <c r="A302" s="62" t="s">
        <v>4247</v>
      </c>
      <c r="B302" s="63">
        <v>44152.0</v>
      </c>
      <c r="C302" s="69">
        <v>37.759884149288744</v>
      </c>
    </row>
    <row r="303">
      <c r="A303" s="62" t="s">
        <v>6525</v>
      </c>
      <c r="B303" s="63">
        <v>44348.0</v>
      </c>
      <c r="C303" s="69">
        <v>37.70649905324123</v>
      </c>
    </row>
    <row r="304">
      <c r="A304" s="62" t="s">
        <v>4613</v>
      </c>
      <c r="B304" s="63">
        <v>44273.0</v>
      </c>
      <c r="C304" s="69">
        <v>37.67969861456793</v>
      </c>
    </row>
    <row r="305">
      <c r="A305" s="62" t="s">
        <v>2350</v>
      </c>
      <c r="B305" s="63">
        <v>44385.0</v>
      </c>
      <c r="C305" s="69">
        <v>37.63361993177095</v>
      </c>
    </row>
    <row r="306">
      <c r="A306" s="62" t="s">
        <v>6086</v>
      </c>
      <c r="B306" s="63">
        <v>44333.0</v>
      </c>
      <c r="C306" s="69">
        <v>37.60452308640962</v>
      </c>
    </row>
    <row r="307">
      <c r="A307" s="62" t="s">
        <v>1044</v>
      </c>
      <c r="B307" s="63">
        <v>44123.0</v>
      </c>
      <c r="C307" s="69">
        <v>37.59203706269245</v>
      </c>
    </row>
    <row r="308">
      <c r="A308" s="62" t="s">
        <v>5340</v>
      </c>
      <c r="B308" s="63">
        <v>44363.0</v>
      </c>
      <c r="C308" s="69">
        <v>37.58999636381607</v>
      </c>
    </row>
    <row r="309">
      <c r="A309" s="62" t="s">
        <v>778</v>
      </c>
      <c r="B309" s="63">
        <v>44145.0</v>
      </c>
      <c r="C309" s="69">
        <v>37.56139184277701</v>
      </c>
    </row>
    <row r="310">
      <c r="A310" s="62" t="s">
        <v>4103</v>
      </c>
      <c r="B310" s="63">
        <v>44229.0</v>
      </c>
      <c r="C310" s="69">
        <v>37.471727594987826</v>
      </c>
    </row>
    <row r="311">
      <c r="A311" s="62" t="s">
        <v>1666</v>
      </c>
      <c r="B311" s="63">
        <v>44371.0</v>
      </c>
      <c r="C311" s="69">
        <v>37.30781829990336</v>
      </c>
    </row>
    <row r="312">
      <c r="A312" s="62" t="s">
        <v>4165</v>
      </c>
      <c r="B312" s="63">
        <v>44176.0</v>
      </c>
      <c r="C312" s="69">
        <v>37.29638321459731</v>
      </c>
    </row>
    <row r="313">
      <c r="A313" s="62" t="s">
        <v>2918</v>
      </c>
      <c r="B313" s="63">
        <v>44237.0</v>
      </c>
      <c r="C313" s="69">
        <v>37.276298864063705</v>
      </c>
    </row>
    <row r="314">
      <c r="A314" s="62" t="s">
        <v>5651</v>
      </c>
      <c r="B314" s="63">
        <v>44375.0</v>
      </c>
      <c r="C314" s="69">
        <v>37.271722040818595</v>
      </c>
    </row>
    <row r="315">
      <c r="A315" s="62" t="s">
        <v>5270</v>
      </c>
      <c r="B315" s="63">
        <v>44303.0</v>
      </c>
      <c r="C315" s="69">
        <v>37.260461477214925</v>
      </c>
    </row>
    <row r="316">
      <c r="A316" s="62" t="s">
        <v>5998</v>
      </c>
      <c r="B316" s="63">
        <v>44377.0</v>
      </c>
      <c r="C316" s="69">
        <v>37.25867404563091</v>
      </c>
    </row>
    <row r="317">
      <c r="A317" s="62" t="s">
        <v>3513</v>
      </c>
      <c r="B317" s="63">
        <v>44173.0</v>
      </c>
      <c r="C317" s="69">
        <v>37.1856695341066</v>
      </c>
    </row>
    <row r="318">
      <c r="A318" s="62" t="s">
        <v>2744</v>
      </c>
      <c r="B318" s="63">
        <v>44223.0</v>
      </c>
      <c r="C318" s="69">
        <v>37.142287824934776</v>
      </c>
    </row>
    <row r="319">
      <c r="A319" s="62" t="s">
        <v>526</v>
      </c>
      <c r="B319" s="63">
        <v>44370.0</v>
      </c>
      <c r="C319" s="69">
        <v>37.11442563268891</v>
      </c>
    </row>
    <row r="320">
      <c r="A320" s="62" t="s">
        <v>6085</v>
      </c>
      <c r="B320" s="63">
        <v>44334.0</v>
      </c>
      <c r="C320" s="69">
        <v>37.09490414593884</v>
      </c>
    </row>
    <row r="321">
      <c r="A321" s="62" t="s">
        <v>366</v>
      </c>
      <c r="B321" s="63">
        <v>44358.0</v>
      </c>
      <c r="C321" s="69">
        <v>37.05975978766152</v>
      </c>
    </row>
    <row r="322">
      <c r="A322" s="62" t="s">
        <v>1706</v>
      </c>
      <c r="B322" s="63">
        <v>44225.0</v>
      </c>
      <c r="C322" s="69">
        <v>37.05816143705301</v>
      </c>
    </row>
    <row r="323">
      <c r="A323" s="62" t="s">
        <v>4883</v>
      </c>
      <c r="B323" s="63">
        <v>44263.0</v>
      </c>
      <c r="C323" s="69">
        <v>36.95446812835362</v>
      </c>
    </row>
    <row r="324">
      <c r="A324" s="62" t="s">
        <v>278</v>
      </c>
      <c r="B324" s="63">
        <v>43827.0</v>
      </c>
      <c r="C324" s="69">
        <v>36.940525575470865</v>
      </c>
    </row>
    <row r="325">
      <c r="A325" s="62" t="s">
        <v>4185</v>
      </c>
      <c r="B325" s="63">
        <v>44239.0</v>
      </c>
      <c r="C325" s="69">
        <v>36.83346907508681</v>
      </c>
    </row>
    <row r="326">
      <c r="A326" s="62" t="s">
        <v>2792</v>
      </c>
      <c r="B326" s="63">
        <v>44209.0</v>
      </c>
      <c r="C326" s="69">
        <v>36.80480768555877</v>
      </c>
    </row>
    <row r="327">
      <c r="A327" s="62" t="s">
        <v>4287</v>
      </c>
      <c r="B327" s="63">
        <v>44077.0</v>
      </c>
      <c r="C327" s="69">
        <v>36.65961924342963</v>
      </c>
    </row>
    <row r="328">
      <c r="A328" s="62" t="s">
        <v>6750</v>
      </c>
      <c r="B328" s="63">
        <v>44368.0</v>
      </c>
      <c r="C328" s="69">
        <v>36.62354027991394</v>
      </c>
    </row>
    <row r="329">
      <c r="A329" s="62" t="s">
        <v>6341</v>
      </c>
      <c r="B329" s="63">
        <v>44375.0</v>
      </c>
      <c r="C329" s="69">
        <v>36.57996833555202</v>
      </c>
    </row>
    <row r="330">
      <c r="A330" s="62" t="s">
        <v>4448</v>
      </c>
      <c r="B330" s="63">
        <v>44294.0</v>
      </c>
      <c r="C330" s="69">
        <v>36.54312363512427</v>
      </c>
    </row>
    <row r="331">
      <c r="A331" s="62" t="s">
        <v>4522</v>
      </c>
      <c r="B331" s="63">
        <v>44279.0</v>
      </c>
      <c r="C331" s="69">
        <v>36.5177971031077</v>
      </c>
    </row>
    <row r="332">
      <c r="A332" s="62" t="s">
        <v>2376</v>
      </c>
      <c r="B332" s="63">
        <v>44390.0</v>
      </c>
      <c r="C332" s="69">
        <v>36.51569937337001</v>
      </c>
    </row>
    <row r="333">
      <c r="A333" s="62" t="s">
        <v>3438</v>
      </c>
      <c r="B333" s="63">
        <v>44111.0</v>
      </c>
      <c r="C333" s="69">
        <v>36.45885038435856</v>
      </c>
    </row>
    <row r="334">
      <c r="A334" s="62" t="s">
        <v>833</v>
      </c>
      <c r="B334" s="63">
        <v>44239.0</v>
      </c>
      <c r="C334" s="69">
        <v>36.4173394880911</v>
      </c>
    </row>
    <row r="335">
      <c r="A335" s="62" t="s">
        <v>3009</v>
      </c>
      <c r="B335" s="63">
        <v>44180.0</v>
      </c>
      <c r="C335" s="69">
        <v>36.22749078835191</v>
      </c>
    </row>
    <row r="336">
      <c r="A336" s="62" t="s">
        <v>6083</v>
      </c>
      <c r="B336" s="63">
        <v>44342.0</v>
      </c>
      <c r="C336" s="69">
        <v>36.21253875132129</v>
      </c>
    </row>
    <row r="337">
      <c r="A337" s="62" t="s">
        <v>6082</v>
      </c>
      <c r="B337" s="63">
        <v>44326.0</v>
      </c>
      <c r="C337" s="69">
        <v>36.168393055447766</v>
      </c>
    </row>
    <row r="338">
      <c r="A338" s="62" t="s">
        <v>1971</v>
      </c>
      <c r="B338" s="63">
        <v>44230.0</v>
      </c>
      <c r="C338" s="69">
        <v>36.01239187551308</v>
      </c>
    </row>
    <row r="339">
      <c r="A339" s="62" t="s">
        <v>4159</v>
      </c>
      <c r="B339" s="63">
        <v>44181.0</v>
      </c>
      <c r="C339" s="69">
        <v>35.9611431185121</v>
      </c>
    </row>
    <row r="340">
      <c r="A340" s="62" t="s">
        <v>5644</v>
      </c>
      <c r="B340" s="63">
        <v>44375.0</v>
      </c>
      <c r="C340" s="69">
        <v>35.94422668041555</v>
      </c>
    </row>
    <row r="341">
      <c r="A341" s="62" t="s">
        <v>2945</v>
      </c>
      <c r="B341" s="63">
        <v>44235.0</v>
      </c>
      <c r="C341" s="69">
        <v>35.93957113243136</v>
      </c>
    </row>
    <row r="342">
      <c r="A342" s="62" t="s">
        <v>4034</v>
      </c>
      <c r="B342" s="63">
        <v>44211.0</v>
      </c>
      <c r="C342" s="69">
        <v>35.930923233898454</v>
      </c>
    </row>
    <row r="343">
      <c r="A343" s="62" t="s">
        <v>5934</v>
      </c>
      <c r="B343" s="63">
        <v>44375.0</v>
      </c>
      <c r="C343" s="69">
        <v>35.88562094615292</v>
      </c>
    </row>
    <row r="344">
      <c r="A344" s="62" t="s">
        <v>5061</v>
      </c>
      <c r="B344" s="63">
        <v>44281.0</v>
      </c>
      <c r="C344" s="69">
        <v>35.88414043938495</v>
      </c>
    </row>
    <row r="345">
      <c r="A345" s="62" t="s">
        <v>3649</v>
      </c>
      <c r="B345" s="63">
        <v>44121.0</v>
      </c>
      <c r="C345" s="69">
        <v>35.82207048567233</v>
      </c>
    </row>
    <row r="346">
      <c r="A346" s="62" t="s">
        <v>6505</v>
      </c>
      <c r="B346" s="63">
        <v>44357.0</v>
      </c>
      <c r="C346" s="69">
        <v>35.799648713660304</v>
      </c>
    </row>
    <row r="347">
      <c r="A347" s="62" t="s">
        <v>6081</v>
      </c>
      <c r="B347" s="63">
        <v>44333.0</v>
      </c>
      <c r="C347" s="69">
        <v>35.78833390594684</v>
      </c>
    </row>
    <row r="348">
      <c r="A348" s="62" t="s">
        <v>2231</v>
      </c>
      <c r="B348" s="63">
        <v>44061.0</v>
      </c>
      <c r="C348" s="69">
        <v>35.78166761535648</v>
      </c>
    </row>
    <row r="349">
      <c r="A349" s="62" t="s">
        <v>4472</v>
      </c>
      <c r="B349" s="63">
        <v>44301.0</v>
      </c>
      <c r="C349" s="69">
        <v>35.677951937296505</v>
      </c>
    </row>
    <row r="350">
      <c r="A350" s="62" t="s">
        <v>4759</v>
      </c>
      <c r="B350" s="63">
        <v>44312.0</v>
      </c>
      <c r="C350" s="69">
        <v>35.67110520243874</v>
      </c>
    </row>
    <row r="351">
      <c r="A351" s="62" t="s">
        <v>729</v>
      </c>
      <c r="B351" s="63">
        <v>44223.0</v>
      </c>
      <c r="C351" s="69">
        <v>35.60276496539085</v>
      </c>
    </row>
    <row r="352">
      <c r="A352" s="62" t="s">
        <v>6079</v>
      </c>
      <c r="B352" s="63">
        <v>44341.0</v>
      </c>
      <c r="C352" s="69">
        <v>35.58996311171579</v>
      </c>
    </row>
    <row r="353">
      <c r="A353" s="62" t="s">
        <v>3965</v>
      </c>
      <c r="B353" s="63">
        <v>44106.0</v>
      </c>
      <c r="C353" s="69">
        <v>35.54548716189633</v>
      </c>
    </row>
    <row r="354">
      <c r="A354" s="62" t="s">
        <v>3959</v>
      </c>
      <c r="B354" s="63">
        <v>44179.0</v>
      </c>
      <c r="C354" s="69">
        <v>35.500049918689534</v>
      </c>
    </row>
    <row r="355">
      <c r="A355" s="62" t="s">
        <v>2916</v>
      </c>
      <c r="B355" s="63">
        <v>44239.0</v>
      </c>
      <c r="C355" s="69">
        <v>35.442231502455236</v>
      </c>
    </row>
    <row r="356">
      <c r="A356" s="62" t="s">
        <v>6078</v>
      </c>
      <c r="B356" s="63">
        <v>44342.0</v>
      </c>
      <c r="C356" s="69">
        <v>35.42483723420473</v>
      </c>
    </row>
    <row r="357">
      <c r="A357" s="62" t="s">
        <v>4954</v>
      </c>
      <c r="B357" s="63">
        <v>44313.0</v>
      </c>
      <c r="C357" s="69">
        <v>35.39856368241203</v>
      </c>
    </row>
    <row r="358">
      <c r="A358" s="62" t="s">
        <v>2643</v>
      </c>
      <c r="B358" s="63">
        <v>44236.0</v>
      </c>
      <c r="C358" s="69">
        <v>35.39831610780197</v>
      </c>
    </row>
    <row r="359">
      <c r="A359" s="62" t="s">
        <v>2802</v>
      </c>
      <c r="B359" s="63">
        <v>44214.0</v>
      </c>
      <c r="C359" s="69">
        <v>35.34087604131299</v>
      </c>
    </row>
    <row r="360">
      <c r="A360" s="62" t="s">
        <v>6076</v>
      </c>
      <c r="B360" s="63">
        <v>44334.0</v>
      </c>
      <c r="C360" s="69">
        <v>35.320474783264316</v>
      </c>
    </row>
    <row r="361">
      <c r="A361" s="62" t="s">
        <v>3125</v>
      </c>
      <c r="B361" s="63">
        <v>44222.0</v>
      </c>
      <c r="C361" s="69">
        <v>35.249427405156965</v>
      </c>
    </row>
    <row r="362">
      <c r="A362" s="62" t="s">
        <v>6074</v>
      </c>
      <c r="B362" s="63">
        <v>44340.0</v>
      </c>
      <c r="C362" s="69">
        <v>35.13572496407641</v>
      </c>
    </row>
    <row r="363">
      <c r="A363" s="62" t="s">
        <v>6070</v>
      </c>
      <c r="B363" s="63">
        <v>44342.0</v>
      </c>
      <c r="C363" s="69">
        <v>35.134738975188085</v>
      </c>
    </row>
    <row r="364">
      <c r="A364" s="62" t="s">
        <v>2635</v>
      </c>
      <c r="B364" s="63">
        <v>44187.0</v>
      </c>
      <c r="C364" s="69">
        <v>35.060495224173984</v>
      </c>
    </row>
    <row r="365">
      <c r="A365" s="62" t="s">
        <v>5741</v>
      </c>
      <c r="B365" s="63">
        <v>44363.0</v>
      </c>
      <c r="C365" s="69">
        <v>35.05442526532271</v>
      </c>
    </row>
    <row r="366">
      <c r="A366" s="62" t="s">
        <v>4985</v>
      </c>
      <c r="B366" s="63">
        <v>44284.0</v>
      </c>
      <c r="C366" s="69">
        <v>35.0311017285062</v>
      </c>
    </row>
    <row r="367">
      <c r="A367" s="62" t="s">
        <v>5247</v>
      </c>
      <c r="B367" s="63">
        <v>44309.0</v>
      </c>
      <c r="C367" s="69">
        <v>35.0217093776743</v>
      </c>
    </row>
    <row r="368">
      <c r="A368" s="62" t="s">
        <v>3432</v>
      </c>
      <c r="B368" s="63">
        <v>44203.0</v>
      </c>
      <c r="C368" s="69">
        <v>35.02010361044561</v>
      </c>
    </row>
    <row r="369">
      <c r="A369" s="62" t="s">
        <v>2446</v>
      </c>
      <c r="B369" s="63">
        <v>44378.0</v>
      </c>
      <c r="C369" s="69">
        <v>34.92101083542312</v>
      </c>
    </row>
    <row r="370">
      <c r="A370" s="62" t="s">
        <v>937</v>
      </c>
      <c r="B370" s="63">
        <v>44147.0</v>
      </c>
      <c r="C370" s="69">
        <v>34.88682607517538</v>
      </c>
    </row>
    <row r="371">
      <c r="A371" s="62" t="s">
        <v>6066</v>
      </c>
      <c r="B371" s="63">
        <v>44334.0</v>
      </c>
      <c r="C371" s="69">
        <v>34.83058318216695</v>
      </c>
    </row>
    <row r="372">
      <c r="A372" s="62" t="s">
        <v>4593</v>
      </c>
      <c r="B372" s="63">
        <v>44277.0</v>
      </c>
      <c r="C372" s="69">
        <v>34.814376908828486</v>
      </c>
    </row>
    <row r="373">
      <c r="A373" s="62" t="s">
        <v>4527</v>
      </c>
      <c r="B373" s="63">
        <v>44284.0</v>
      </c>
      <c r="C373" s="69">
        <v>34.79107897333127</v>
      </c>
    </row>
    <row r="374">
      <c r="A374" s="62" t="s">
        <v>3057</v>
      </c>
      <c r="B374" s="63">
        <v>44204.0</v>
      </c>
      <c r="C374" s="69">
        <v>34.79060393818921</v>
      </c>
    </row>
    <row r="375">
      <c r="A375" s="62" t="s">
        <v>4246</v>
      </c>
      <c r="B375" s="63">
        <v>44173.0</v>
      </c>
      <c r="C375" s="69">
        <v>34.769930100465245</v>
      </c>
    </row>
    <row r="376">
      <c r="A376" s="62" t="s">
        <v>4334</v>
      </c>
      <c r="B376" s="63">
        <v>44165.0</v>
      </c>
      <c r="C376" s="69">
        <v>34.75377301361115</v>
      </c>
    </row>
    <row r="377">
      <c r="A377" s="62" t="s">
        <v>2895</v>
      </c>
      <c r="B377" s="63">
        <v>44235.0</v>
      </c>
      <c r="C377" s="69">
        <v>34.66645455407868</v>
      </c>
    </row>
    <row r="378">
      <c r="A378" s="62" t="s">
        <v>6065</v>
      </c>
      <c r="B378" s="63">
        <v>44335.0</v>
      </c>
      <c r="C378" s="69">
        <v>34.648807599041376</v>
      </c>
    </row>
    <row r="379">
      <c r="A379" s="62" t="s">
        <v>6060</v>
      </c>
      <c r="B379" s="63">
        <v>44376.0</v>
      </c>
      <c r="C379" s="69">
        <v>34.63934444596353</v>
      </c>
    </row>
    <row r="380">
      <c r="A380" s="62" t="s">
        <v>3234</v>
      </c>
      <c r="B380" s="63">
        <v>44233.0</v>
      </c>
      <c r="C380" s="69">
        <v>34.610340314252504</v>
      </c>
    </row>
    <row r="381">
      <c r="A381" s="62" t="s">
        <v>6656</v>
      </c>
      <c r="B381" s="63">
        <v>44356.0</v>
      </c>
      <c r="C381" s="69">
        <v>34.55963740437775</v>
      </c>
    </row>
    <row r="382">
      <c r="A382" s="62" t="s">
        <v>3286</v>
      </c>
      <c r="B382" s="63">
        <v>44179.0</v>
      </c>
      <c r="C382" s="69">
        <v>34.50218639220359</v>
      </c>
    </row>
    <row r="383">
      <c r="A383" s="62" t="s">
        <v>2435</v>
      </c>
      <c r="B383" s="63">
        <v>44378.0</v>
      </c>
      <c r="C383" s="69">
        <v>34.37905296129705</v>
      </c>
    </row>
    <row r="384">
      <c r="A384" s="62" t="s">
        <v>3542</v>
      </c>
      <c r="B384" s="63">
        <v>44113.0</v>
      </c>
      <c r="C384" s="69">
        <v>34.334027193289714</v>
      </c>
    </row>
    <row r="385">
      <c r="A385" s="62" t="s">
        <v>6729</v>
      </c>
      <c r="B385" s="63">
        <v>44365.0</v>
      </c>
      <c r="C385" s="69">
        <v>34.16100108727417</v>
      </c>
    </row>
    <row r="386">
      <c r="A386" s="62" t="s">
        <v>5037</v>
      </c>
      <c r="B386" s="63">
        <v>44306.0</v>
      </c>
      <c r="C386" s="69">
        <v>34.14766946078926</v>
      </c>
    </row>
    <row r="387">
      <c r="A387" s="62" t="s">
        <v>6493</v>
      </c>
      <c r="B387" s="63">
        <v>44373.0</v>
      </c>
      <c r="C387" s="69">
        <v>34.11182534740044</v>
      </c>
    </row>
    <row r="388">
      <c r="A388" s="62" t="s">
        <v>4143</v>
      </c>
      <c r="B388" s="63">
        <v>44225.0</v>
      </c>
      <c r="C388" s="69">
        <v>34.02672302549237</v>
      </c>
    </row>
    <row r="389">
      <c r="A389" s="62" t="s">
        <v>4163</v>
      </c>
      <c r="B389" s="63">
        <v>44222.0</v>
      </c>
      <c r="C389" s="69">
        <v>34.01281230783364</v>
      </c>
    </row>
    <row r="390">
      <c r="A390" s="62" t="s">
        <v>3515</v>
      </c>
      <c r="B390" s="63">
        <v>44075.0</v>
      </c>
      <c r="C390" s="69">
        <v>33.9669491072106</v>
      </c>
    </row>
    <row r="391">
      <c r="A391" s="62" t="s">
        <v>230</v>
      </c>
      <c r="B391" s="63">
        <v>44386.0</v>
      </c>
      <c r="C391" s="69">
        <v>33.869879326716784</v>
      </c>
    </row>
    <row r="392">
      <c r="A392" s="62" t="s">
        <v>2249</v>
      </c>
      <c r="B392" s="63">
        <v>44062.0</v>
      </c>
      <c r="C392" s="69">
        <v>33.84443729174234</v>
      </c>
    </row>
    <row r="393">
      <c r="A393" s="62" t="s">
        <v>4683</v>
      </c>
      <c r="B393" s="63">
        <v>44286.0</v>
      </c>
      <c r="C393" s="69">
        <v>33.84221255212494</v>
      </c>
    </row>
    <row r="394">
      <c r="A394" s="62" t="s">
        <v>2158</v>
      </c>
      <c r="B394" s="63">
        <v>44067.0</v>
      </c>
      <c r="C394" s="69">
        <v>33.83863274096314</v>
      </c>
    </row>
    <row r="395">
      <c r="A395" s="62" t="s">
        <v>4947</v>
      </c>
      <c r="B395" s="63">
        <v>44279.0</v>
      </c>
      <c r="C395" s="69">
        <v>33.83840109678271</v>
      </c>
    </row>
    <row r="396">
      <c r="A396" s="62" t="s">
        <v>5339</v>
      </c>
      <c r="B396" s="63">
        <v>44375.0</v>
      </c>
      <c r="C396" s="69">
        <v>33.799112545966786</v>
      </c>
    </row>
    <row r="397">
      <c r="A397" s="62" t="s">
        <v>2384</v>
      </c>
      <c r="B397" s="63">
        <v>44398.0</v>
      </c>
      <c r="C397" s="69">
        <v>33.74724728671831</v>
      </c>
    </row>
    <row r="398">
      <c r="A398" s="62" t="s">
        <v>3027</v>
      </c>
      <c r="B398" s="63">
        <v>44221.0</v>
      </c>
      <c r="C398" s="69">
        <v>33.701680246373755</v>
      </c>
    </row>
    <row r="399">
      <c r="A399" s="62" t="s">
        <v>2725</v>
      </c>
      <c r="B399" s="63">
        <v>44090.0</v>
      </c>
      <c r="C399" s="69">
        <v>33.68702888140228</v>
      </c>
    </row>
    <row r="400">
      <c r="A400" s="62" t="s">
        <v>4958</v>
      </c>
      <c r="B400" s="63">
        <v>44306.0</v>
      </c>
      <c r="C400" s="69">
        <v>33.648643349906294</v>
      </c>
    </row>
    <row r="401">
      <c r="A401" s="62" t="s">
        <v>2044</v>
      </c>
      <c r="B401" s="63">
        <v>44125.0</v>
      </c>
      <c r="C401" s="69">
        <v>33.64803442447184</v>
      </c>
    </row>
    <row r="402">
      <c r="A402" s="62" t="s">
        <v>4362</v>
      </c>
      <c r="B402" s="63">
        <v>44211.0</v>
      </c>
      <c r="C402" s="69">
        <v>33.64522027179526</v>
      </c>
    </row>
    <row r="403">
      <c r="A403" s="62" t="s">
        <v>4894</v>
      </c>
      <c r="B403" s="63">
        <v>44277.0</v>
      </c>
      <c r="C403" s="69">
        <v>33.63816306966165</v>
      </c>
    </row>
    <row r="404">
      <c r="A404" s="62" t="s">
        <v>3112</v>
      </c>
      <c r="B404" s="63">
        <v>44235.0</v>
      </c>
      <c r="C404" s="69">
        <v>33.636221532155695</v>
      </c>
    </row>
    <row r="405">
      <c r="A405" s="62" t="s">
        <v>2263</v>
      </c>
      <c r="B405" s="63">
        <v>44385.0</v>
      </c>
      <c r="C405" s="69">
        <v>33.63512078564787</v>
      </c>
    </row>
    <row r="406">
      <c r="A406" s="62" t="s">
        <v>6571</v>
      </c>
      <c r="B406" s="63">
        <v>44368.0</v>
      </c>
      <c r="C406" s="69">
        <v>33.62721764994269</v>
      </c>
    </row>
    <row r="407">
      <c r="A407" s="62" t="s">
        <v>4096</v>
      </c>
      <c r="B407" s="63">
        <v>44231.0</v>
      </c>
      <c r="C407" s="69">
        <v>33.62475632443747</v>
      </c>
    </row>
    <row r="408">
      <c r="A408" s="62" t="s">
        <v>661</v>
      </c>
      <c r="B408" s="63">
        <v>44370.0</v>
      </c>
      <c r="C408" s="69">
        <v>33.624069369038345</v>
      </c>
    </row>
    <row r="409">
      <c r="A409" s="62" t="s">
        <v>6615</v>
      </c>
      <c r="B409" s="63">
        <v>44351.0</v>
      </c>
      <c r="C409" s="69">
        <v>33.62028808724406</v>
      </c>
    </row>
    <row r="410">
      <c r="A410" s="62" t="s">
        <v>5452</v>
      </c>
      <c r="B410" s="63">
        <v>44355.0</v>
      </c>
      <c r="C410" s="69">
        <v>33.61778191305156</v>
      </c>
    </row>
    <row r="411">
      <c r="A411" s="62" t="s">
        <v>2173</v>
      </c>
      <c r="B411" s="63">
        <v>44063.0</v>
      </c>
      <c r="C411" s="69">
        <v>33.61621538246306</v>
      </c>
    </row>
    <row r="412">
      <c r="A412" s="62" t="s">
        <v>5917</v>
      </c>
      <c r="B412" s="63">
        <v>44351.0</v>
      </c>
      <c r="C412" s="69">
        <v>33.615983776696545</v>
      </c>
    </row>
    <row r="413">
      <c r="A413" s="62" t="s">
        <v>3392</v>
      </c>
      <c r="B413" s="63">
        <v>44249.0</v>
      </c>
      <c r="C413" s="69">
        <v>33.61369019332407</v>
      </c>
    </row>
    <row r="414">
      <c r="A414" s="62" t="s">
        <v>3045</v>
      </c>
      <c r="B414" s="63">
        <v>44164.0</v>
      </c>
      <c r="C414" s="69">
        <v>33.61084673533585</v>
      </c>
    </row>
    <row r="415">
      <c r="A415" s="62" t="s">
        <v>6170</v>
      </c>
      <c r="B415" s="63">
        <v>44375.0</v>
      </c>
      <c r="C415" s="69">
        <v>33.61080942624004</v>
      </c>
    </row>
    <row r="416">
      <c r="A416" s="62" t="s">
        <v>3429</v>
      </c>
      <c r="B416" s="63">
        <v>44217.0</v>
      </c>
      <c r="C416" s="69">
        <v>33.6098437459578</v>
      </c>
    </row>
    <row r="417">
      <c r="A417" s="62" t="s">
        <v>3019</v>
      </c>
      <c r="B417" s="63">
        <v>44181.0</v>
      </c>
      <c r="C417" s="69">
        <v>33.606686216690065</v>
      </c>
    </row>
    <row r="418">
      <c r="A418" s="62" t="s">
        <v>4949</v>
      </c>
      <c r="B418" s="63">
        <v>44263.0</v>
      </c>
      <c r="C418" s="69">
        <v>33.60526541490007</v>
      </c>
    </row>
    <row r="419">
      <c r="A419" s="62" t="s">
        <v>4823</v>
      </c>
      <c r="B419" s="63">
        <v>44278.0</v>
      </c>
      <c r="C419" s="69">
        <v>33.5997849921372</v>
      </c>
    </row>
    <row r="420">
      <c r="A420" s="62" t="s">
        <v>348</v>
      </c>
      <c r="B420" s="63">
        <v>44259.0</v>
      </c>
      <c r="C420" s="69">
        <v>33.59851131054474</v>
      </c>
    </row>
    <row r="421">
      <c r="A421" s="62" t="s">
        <v>2436</v>
      </c>
      <c r="B421" s="63">
        <v>44385.0</v>
      </c>
      <c r="C421" s="69">
        <v>33.596582893458</v>
      </c>
    </row>
    <row r="422">
      <c r="A422" s="62" t="s">
        <v>2580</v>
      </c>
      <c r="B422" s="63">
        <v>44399.0</v>
      </c>
      <c r="C422" s="69">
        <v>33.594163750443045</v>
      </c>
    </row>
    <row r="423">
      <c r="A423" s="62" t="s">
        <v>3556</v>
      </c>
      <c r="B423" s="63">
        <v>44222.0</v>
      </c>
      <c r="C423" s="69">
        <v>33.59415380789019</v>
      </c>
    </row>
    <row r="424">
      <c r="A424" s="62" t="s">
        <v>4767</v>
      </c>
      <c r="B424" s="63">
        <v>44281.0</v>
      </c>
      <c r="C424" s="69">
        <v>33.58963273494098</v>
      </c>
    </row>
    <row r="425">
      <c r="A425" s="62" t="s">
        <v>4091</v>
      </c>
      <c r="B425" s="63">
        <v>44133.0</v>
      </c>
      <c r="C425" s="69">
        <v>33.58734544953718</v>
      </c>
    </row>
    <row r="426">
      <c r="A426" s="62" t="s">
        <v>2322</v>
      </c>
      <c r="B426" s="63">
        <v>44378.0</v>
      </c>
      <c r="C426" s="69">
        <v>33.58607869679651</v>
      </c>
    </row>
    <row r="427">
      <c r="A427" s="62" t="s">
        <v>2871</v>
      </c>
      <c r="B427" s="63">
        <v>44099.0</v>
      </c>
      <c r="C427" s="69">
        <v>33.585665023581235</v>
      </c>
    </row>
    <row r="428">
      <c r="A428" s="62" t="s">
        <v>6319</v>
      </c>
      <c r="B428" s="63">
        <v>44366.0</v>
      </c>
      <c r="C428" s="69">
        <v>33.58510791719849</v>
      </c>
    </row>
    <row r="429">
      <c r="A429" s="62" t="s">
        <v>3183</v>
      </c>
      <c r="B429" s="63">
        <v>44105.0</v>
      </c>
      <c r="C429" s="69">
        <v>33.581471468319535</v>
      </c>
    </row>
    <row r="430">
      <c r="A430" s="62" t="s">
        <v>5096</v>
      </c>
      <c r="B430" s="63">
        <v>44270.0</v>
      </c>
      <c r="C430" s="69">
        <v>33.57793895571079</v>
      </c>
    </row>
    <row r="431">
      <c r="A431" s="62" t="s">
        <v>6062</v>
      </c>
      <c r="B431" s="63">
        <v>44322.0</v>
      </c>
      <c r="C431" s="69">
        <v>33.575953992498924</v>
      </c>
    </row>
    <row r="432">
      <c r="A432" s="62" t="s">
        <v>2204</v>
      </c>
      <c r="B432" s="63">
        <v>44060.0</v>
      </c>
      <c r="C432" s="69">
        <v>33.57560913406439</v>
      </c>
    </row>
    <row r="433">
      <c r="A433" s="62" t="s">
        <v>2843</v>
      </c>
      <c r="B433" s="63">
        <v>44247.0</v>
      </c>
      <c r="C433" s="69">
        <v>33.57372631883098</v>
      </c>
    </row>
    <row r="434">
      <c r="A434" s="62" t="s">
        <v>2740</v>
      </c>
      <c r="B434" s="63">
        <v>44208.0</v>
      </c>
      <c r="C434" s="69">
        <v>33.573232448896114</v>
      </c>
    </row>
    <row r="435">
      <c r="A435" s="62" t="s">
        <v>5034</v>
      </c>
      <c r="B435" s="63">
        <v>44257.0</v>
      </c>
      <c r="C435" s="69">
        <v>33.568787130110074</v>
      </c>
    </row>
    <row r="436">
      <c r="A436" s="62" t="s">
        <v>4586</v>
      </c>
      <c r="B436" s="63">
        <v>44263.0</v>
      </c>
      <c r="C436" s="69">
        <v>33.56490160140102</v>
      </c>
    </row>
    <row r="437">
      <c r="A437" s="62" t="s">
        <v>6257</v>
      </c>
      <c r="B437" s="63">
        <v>44363.0</v>
      </c>
      <c r="C437" s="69">
        <v>33.56220496232476</v>
      </c>
    </row>
    <row r="438">
      <c r="A438" s="62" t="s">
        <v>2331</v>
      </c>
      <c r="B438" s="63">
        <v>44384.0</v>
      </c>
      <c r="C438" s="69">
        <v>33.56214417628535</v>
      </c>
    </row>
    <row r="439">
      <c r="A439" s="62" t="s">
        <v>158</v>
      </c>
      <c r="B439" s="63">
        <v>44382.0</v>
      </c>
      <c r="C439" s="69">
        <v>33.56134166718399</v>
      </c>
    </row>
    <row r="440">
      <c r="A440" s="62" t="s">
        <v>3621</v>
      </c>
      <c r="B440" s="63">
        <v>44216.0</v>
      </c>
      <c r="C440" s="69">
        <v>33.559457072300816</v>
      </c>
    </row>
    <row r="441">
      <c r="A441" s="62" t="s">
        <v>4272</v>
      </c>
      <c r="B441" s="63">
        <v>44124.0</v>
      </c>
      <c r="C441" s="69">
        <v>33.55917792021695</v>
      </c>
    </row>
    <row r="442">
      <c r="A442" s="62" t="s">
        <v>6059</v>
      </c>
      <c r="B442" s="63">
        <v>44321.0</v>
      </c>
      <c r="C442" s="69">
        <v>33.55585887857122</v>
      </c>
    </row>
    <row r="443">
      <c r="A443" s="62" t="s">
        <v>3933</v>
      </c>
      <c r="B443" s="63">
        <v>44222.0</v>
      </c>
      <c r="C443" s="69">
        <v>33.55557715627711</v>
      </c>
    </row>
    <row r="444">
      <c r="A444" s="62" t="s">
        <v>5398</v>
      </c>
      <c r="B444" s="63">
        <v>44354.0</v>
      </c>
      <c r="C444" s="69">
        <v>33.55412788842604</v>
      </c>
    </row>
    <row r="445">
      <c r="A445" s="62" t="s">
        <v>2431</v>
      </c>
      <c r="B445" s="63">
        <v>44380.0</v>
      </c>
      <c r="C445" s="69">
        <v>33.55340391041854</v>
      </c>
    </row>
    <row r="446">
      <c r="A446" s="62" t="s">
        <v>3353</v>
      </c>
      <c r="B446" s="63">
        <v>44134.0</v>
      </c>
      <c r="C446" s="69">
        <v>33.55252055865907</v>
      </c>
    </row>
    <row r="447">
      <c r="A447" s="62" t="s">
        <v>6058</v>
      </c>
      <c r="B447" s="63">
        <v>44335.0</v>
      </c>
      <c r="C447" s="69">
        <v>33.54513915330521</v>
      </c>
    </row>
    <row r="448">
      <c r="A448" s="62" t="s">
        <v>990</v>
      </c>
      <c r="B448" s="63">
        <v>44064.0</v>
      </c>
      <c r="C448" s="69">
        <v>33.535570579402865</v>
      </c>
    </row>
    <row r="449">
      <c r="A449" s="62" t="s">
        <v>4215</v>
      </c>
      <c r="B449" s="63">
        <v>44166.0</v>
      </c>
      <c r="C449" s="69">
        <v>33.531481726645055</v>
      </c>
    </row>
    <row r="450">
      <c r="A450" s="62" t="s">
        <v>6056</v>
      </c>
      <c r="B450" s="63">
        <v>44326.0</v>
      </c>
      <c r="C450" s="69">
        <v>33.52761323905128</v>
      </c>
    </row>
    <row r="451">
      <c r="A451" s="62" t="s">
        <v>3037</v>
      </c>
      <c r="B451" s="63">
        <v>44075.0</v>
      </c>
      <c r="C451" s="69">
        <v>33.52623181975219</v>
      </c>
    </row>
    <row r="452">
      <c r="A452" s="62" t="s">
        <v>254</v>
      </c>
      <c r="B452" s="63">
        <v>44040.0</v>
      </c>
      <c r="C452" s="69">
        <v>33.52351309560149</v>
      </c>
    </row>
    <row r="453">
      <c r="A453" s="62" t="s">
        <v>5851</v>
      </c>
      <c r="B453" s="63">
        <v>44376.0</v>
      </c>
      <c r="C453" s="69">
        <v>33.51996444362578</v>
      </c>
    </row>
    <row r="454">
      <c r="A454" s="62" t="s">
        <v>3231</v>
      </c>
      <c r="B454" s="63">
        <v>44237.0</v>
      </c>
      <c r="C454" s="69">
        <v>33.51896708558145</v>
      </c>
    </row>
    <row r="455">
      <c r="A455" s="62" t="s">
        <v>3607</v>
      </c>
      <c r="B455" s="63">
        <v>44208.0</v>
      </c>
      <c r="C455" s="69">
        <v>33.51161702514592</v>
      </c>
    </row>
    <row r="456">
      <c r="A456" s="62" t="s">
        <v>3871</v>
      </c>
      <c r="B456" s="63">
        <v>44110.0</v>
      </c>
      <c r="C456" s="69">
        <v>33.50888366914396</v>
      </c>
    </row>
    <row r="457">
      <c r="A457" s="62" t="s">
        <v>1205</v>
      </c>
      <c r="B457" s="63">
        <v>44225.0</v>
      </c>
      <c r="C457" s="69">
        <v>33.50327403177591</v>
      </c>
    </row>
    <row r="458">
      <c r="A458" s="62" t="s">
        <v>6054</v>
      </c>
      <c r="B458" s="63">
        <v>44328.0</v>
      </c>
      <c r="C458" s="69">
        <v>33.50094520525584</v>
      </c>
    </row>
    <row r="459">
      <c r="A459" s="62" t="s">
        <v>4689</v>
      </c>
      <c r="B459" s="63">
        <v>44264.0</v>
      </c>
      <c r="C459" s="69">
        <v>33.49987509580736</v>
      </c>
    </row>
    <row r="460">
      <c r="A460" s="62" t="s">
        <v>3409</v>
      </c>
      <c r="B460" s="63">
        <v>44161.0</v>
      </c>
      <c r="C460" s="69">
        <v>33.49986507206027</v>
      </c>
    </row>
    <row r="461">
      <c r="A461" s="62" t="s">
        <v>6053</v>
      </c>
      <c r="B461" s="63">
        <v>44335.0</v>
      </c>
      <c r="C461" s="69">
        <v>33.49870033890282</v>
      </c>
    </row>
    <row r="462">
      <c r="A462" s="62" t="s">
        <v>3884</v>
      </c>
      <c r="B462" s="63">
        <v>44203.0</v>
      </c>
      <c r="C462" s="69">
        <v>33.495529507411746</v>
      </c>
    </row>
    <row r="463">
      <c r="A463" s="62" t="s">
        <v>6419</v>
      </c>
      <c r="B463" s="63">
        <v>44363.0</v>
      </c>
      <c r="C463" s="69">
        <v>33.494647186779986</v>
      </c>
    </row>
    <row r="464">
      <c r="A464" s="62" t="s">
        <v>3826</v>
      </c>
      <c r="B464" s="63">
        <v>44175.0</v>
      </c>
      <c r="C464" s="69">
        <v>33.49449788535444</v>
      </c>
    </row>
    <row r="465">
      <c r="A465" s="62" t="s">
        <v>3999</v>
      </c>
      <c r="B465" s="63">
        <v>44229.0</v>
      </c>
      <c r="C465" s="69">
        <v>33.492979895518395</v>
      </c>
    </row>
    <row r="466">
      <c r="A466" s="62" t="s">
        <v>2885</v>
      </c>
      <c r="B466" s="63">
        <v>44206.0</v>
      </c>
      <c r="C466" s="69">
        <v>33.49218727122259</v>
      </c>
    </row>
    <row r="467">
      <c r="A467" s="62" t="s">
        <v>4499</v>
      </c>
      <c r="B467" s="63">
        <v>44274.0</v>
      </c>
      <c r="C467" s="69">
        <v>33.489707574335405</v>
      </c>
    </row>
    <row r="468">
      <c r="A468" s="62" t="s">
        <v>2111</v>
      </c>
      <c r="B468" s="63">
        <v>44068.0</v>
      </c>
      <c r="C468" s="69">
        <v>33.48926952825321</v>
      </c>
    </row>
    <row r="469">
      <c r="A469" s="62" t="s">
        <v>2120</v>
      </c>
      <c r="B469" s="63">
        <v>44377.0</v>
      </c>
      <c r="C469" s="69">
        <v>33.483030173763815</v>
      </c>
    </row>
    <row r="470">
      <c r="A470" s="62" t="s">
        <v>2640</v>
      </c>
      <c r="B470" s="63">
        <v>44222.0</v>
      </c>
      <c r="C470" s="69">
        <v>33.480978396929004</v>
      </c>
    </row>
    <row r="471">
      <c r="A471" s="62" t="s">
        <v>6052</v>
      </c>
      <c r="B471" s="63">
        <v>44326.0</v>
      </c>
      <c r="C471" s="69">
        <v>33.48089678440391</v>
      </c>
    </row>
    <row r="472">
      <c r="A472" s="62" t="s">
        <v>5824</v>
      </c>
      <c r="B472" s="63">
        <v>44366.0</v>
      </c>
      <c r="C472" s="69">
        <v>33.47792878549876</v>
      </c>
    </row>
    <row r="473">
      <c r="A473" s="62" t="s">
        <v>3047</v>
      </c>
      <c r="B473" s="63">
        <v>44214.0</v>
      </c>
      <c r="C473" s="69">
        <v>33.47205835732288</v>
      </c>
    </row>
    <row r="474">
      <c r="A474" s="62" t="s">
        <v>2569</v>
      </c>
      <c r="B474" s="63">
        <v>44389.0</v>
      </c>
      <c r="C474" s="69">
        <v>33.47184841076616</v>
      </c>
    </row>
    <row r="475">
      <c r="A475" s="62" t="s">
        <v>3179</v>
      </c>
      <c r="B475" s="63">
        <v>44123.0</v>
      </c>
      <c r="C475" s="69">
        <v>33.47136347104224</v>
      </c>
    </row>
    <row r="476">
      <c r="A476" s="62" t="s">
        <v>2838</v>
      </c>
      <c r="B476" s="63">
        <v>44249.0</v>
      </c>
      <c r="C476" s="69">
        <v>33.47037945412042</v>
      </c>
    </row>
    <row r="477">
      <c r="A477" s="62" t="s">
        <v>6051</v>
      </c>
      <c r="B477" s="63">
        <v>44335.0</v>
      </c>
      <c r="C477" s="69">
        <v>33.46531551034915</v>
      </c>
    </row>
    <row r="478">
      <c r="A478" s="62" t="s">
        <v>4761</v>
      </c>
      <c r="B478" s="63">
        <v>44312.0</v>
      </c>
      <c r="C478" s="69">
        <v>33.465056294709036</v>
      </c>
    </row>
    <row r="479">
      <c r="A479" s="62" t="s">
        <v>2575</v>
      </c>
      <c r="B479" s="63">
        <v>44390.0</v>
      </c>
      <c r="C479" s="69">
        <v>33.46489127235407</v>
      </c>
    </row>
    <row r="480">
      <c r="A480" s="62" t="s">
        <v>5227</v>
      </c>
      <c r="B480" s="63">
        <v>44289.0</v>
      </c>
      <c r="C480" s="69">
        <v>33.46364047031928</v>
      </c>
    </row>
    <row r="481">
      <c r="A481" s="62" t="s">
        <v>147</v>
      </c>
      <c r="B481" s="63">
        <v>44385.0</v>
      </c>
      <c r="C481" s="69">
        <v>33.463382116884816</v>
      </c>
    </row>
    <row r="482">
      <c r="A482" s="62" t="s">
        <v>2487</v>
      </c>
      <c r="B482" s="63">
        <v>44379.0</v>
      </c>
      <c r="C482" s="69">
        <v>33.461650027059655</v>
      </c>
    </row>
    <row r="483">
      <c r="A483" s="62" t="s">
        <v>6049</v>
      </c>
      <c r="B483" s="63">
        <v>44323.0</v>
      </c>
      <c r="C483" s="69">
        <v>33.46081586119582</v>
      </c>
    </row>
    <row r="484">
      <c r="A484" s="62" t="s">
        <v>5063</v>
      </c>
      <c r="B484" s="63">
        <v>44256.0</v>
      </c>
      <c r="C484" s="69">
        <v>33.460025368591516</v>
      </c>
    </row>
    <row r="485">
      <c r="A485" s="62" t="s">
        <v>6048</v>
      </c>
      <c r="B485" s="63">
        <v>44336.0</v>
      </c>
      <c r="C485" s="69">
        <v>33.45482655057495</v>
      </c>
    </row>
    <row r="486">
      <c r="A486" s="62" t="s">
        <v>3146</v>
      </c>
      <c r="B486" s="63">
        <v>44147.0</v>
      </c>
      <c r="C486" s="69">
        <v>33.452979483834675</v>
      </c>
    </row>
    <row r="487">
      <c r="A487" s="62" t="s">
        <v>3169</v>
      </c>
      <c r="B487" s="63">
        <v>44200.0</v>
      </c>
      <c r="C487" s="69">
        <v>33.45280532362012</v>
      </c>
    </row>
    <row r="488">
      <c r="A488" s="62" t="s">
        <v>2190</v>
      </c>
      <c r="B488" s="63">
        <v>44062.0</v>
      </c>
      <c r="C488" s="69">
        <v>33.451987590679494</v>
      </c>
    </row>
    <row r="489">
      <c r="A489" s="62" t="s">
        <v>6045</v>
      </c>
      <c r="B489" s="63">
        <v>44331.0</v>
      </c>
      <c r="C489" s="69">
        <v>33.45148909426926</v>
      </c>
    </row>
    <row r="490">
      <c r="A490" s="62" t="s">
        <v>3824</v>
      </c>
      <c r="B490" s="63">
        <v>44211.0</v>
      </c>
      <c r="C490" s="69">
        <v>33.445153316066</v>
      </c>
    </row>
    <row r="491">
      <c r="A491" s="62" t="s">
        <v>3597</v>
      </c>
      <c r="B491" s="63">
        <v>44209.0</v>
      </c>
      <c r="C491" s="69">
        <v>33.44229986974981</v>
      </c>
    </row>
    <row r="492">
      <c r="A492" s="62" t="s">
        <v>2783</v>
      </c>
      <c r="B492" s="63">
        <v>44235.0</v>
      </c>
      <c r="C492" s="69">
        <v>33.437164322295104</v>
      </c>
    </row>
    <row r="493">
      <c r="A493" s="62" t="s">
        <v>5129</v>
      </c>
      <c r="B493" s="63">
        <v>44302.0</v>
      </c>
      <c r="C493" s="69">
        <v>33.4357422606842</v>
      </c>
    </row>
    <row r="494">
      <c r="A494" s="62" t="s">
        <v>5955</v>
      </c>
      <c r="B494" s="63">
        <v>44375.0</v>
      </c>
      <c r="C494" s="69">
        <v>33.43545142012204</v>
      </c>
    </row>
    <row r="495">
      <c r="A495" s="62" t="s">
        <v>4475</v>
      </c>
      <c r="B495" s="63">
        <v>44268.0</v>
      </c>
      <c r="C495" s="69">
        <v>33.43178057080045</v>
      </c>
    </row>
    <row r="496">
      <c r="A496" s="62" t="s">
        <v>6043</v>
      </c>
      <c r="B496" s="63">
        <v>44341.0</v>
      </c>
      <c r="C496" s="69">
        <v>33.43103851301223</v>
      </c>
    </row>
    <row r="497">
      <c r="A497" s="62" t="s">
        <v>5497</v>
      </c>
      <c r="B497" s="63">
        <v>44372.0</v>
      </c>
      <c r="C497" s="69">
        <v>33.429626698177096</v>
      </c>
    </row>
    <row r="498">
      <c r="A498" s="62" t="s">
        <v>4210</v>
      </c>
      <c r="B498" s="63">
        <v>44077.0</v>
      </c>
      <c r="C498" s="69">
        <v>33.42553283904501</v>
      </c>
    </row>
    <row r="499">
      <c r="A499" s="62" t="s">
        <v>3492</v>
      </c>
      <c r="B499" s="63">
        <v>44170.0</v>
      </c>
      <c r="C499" s="69">
        <v>33.424612789383794</v>
      </c>
    </row>
    <row r="500">
      <c r="A500" s="62" t="s">
        <v>5169</v>
      </c>
      <c r="B500" s="63">
        <v>44284.0</v>
      </c>
      <c r="C500" s="69">
        <v>33.41418273401921</v>
      </c>
    </row>
    <row r="501">
      <c r="A501" s="62" t="s">
        <v>3888</v>
      </c>
      <c r="B501" s="63">
        <v>44124.0</v>
      </c>
      <c r="C501" s="69">
        <v>33.40977424160228</v>
      </c>
    </row>
    <row r="502">
      <c r="A502" s="62" t="s">
        <v>775</v>
      </c>
      <c r="B502" s="63">
        <v>44368.0</v>
      </c>
      <c r="C502" s="69">
        <v>33.40735313180587</v>
      </c>
    </row>
    <row r="503">
      <c r="A503" s="62" t="s">
        <v>6041</v>
      </c>
      <c r="B503" s="63">
        <v>44327.0</v>
      </c>
      <c r="C503" s="69">
        <v>33.4059624915946</v>
      </c>
    </row>
    <row r="504">
      <c r="A504" s="62" t="s">
        <v>6603</v>
      </c>
      <c r="B504" s="63">
        <v>44372.0</v>
      </c>
      <c r="C504" s="69">
        <v>33.405732933227156</v>
      </c>
    </row>
    <row r="505">
      <c r="A505" s="62" t="s">
        <v>4356</v>
      </c>
      <c r="B505" s="63">
        <v>44211.0</v>
      </c>
      <c r="C505" s="69">
        <v>33.40359646990882</v>
      </c>
    </row>
    <row r="506">
      <c r="A506" s="62" t="s">
        <v>6040</v>
      </c>
      <c r="B506" s="63">
        <v>44326.0</v>
      </c>
      <c r="C506" s="69">
        <v>33.40130851493531</v>
      </c>
    </row>
    <row r="507">
      <c r="A507" s="62" t="s">
        <v>3494</v>
      </c>
      <c r="B507" s="63">
        <v>44086.0</v>
      </c>
      <c r="C507" s="69">
        <v>33.40056290279484</v>
      </c>
    </row>
    <row r="508">
      <c r="A508" s="62" t="s">
        <v>6039</v>
      </c>
      <c r="B508" s="63">
        <v>44326.0</v>
      </c>
      <c r="C508" s="69">
        <v>33.39755221661076</v>
      </c>
    </row>
    <row r="509">
      <c r="A509" s="62" t="s">
        <v>3249</v>
      </c>
      <c r="B509" s="63">
        <v>44123.0</v>
      </c>
      <c r="C509" s="69">
        <v>33.396229402104964</v>
      </c>
    </row>
    <row r="510">
      <c r="A510" s="62" t="s">
        <v>6038</v>
      </c>
      <c r="B510" s="63">
        <v>44328.0</v>
      </c>
      <c r="C510" s="69">
        <v>33.39545080862799</v>
      </c>
    </row>
    <row r="511">
      <c r="A511" s="62" t="s">
        <v>6037</v>
      </c>
      <c r="B511" s="63">
        <v>44330.0</v>
      </c>
      <c r="C511" s="69">
        <v>33.39063839308077</v>
      </c>
    </row>
    <row r="512">
      <c r="A512" s="62" t="s">
        <v>4878</v>
      </c>
      <c r="B512" s="63">
        <v>44295.0</v>
      </c>
      <c r="C512" s="69">
        <v>33.383026276796876</v>
      </c>
    </row>
    <row r="513">
      <c r="A513" s="62" t="s">
        <v>6036</v>
      </c>
      <c r="B513" s="63">
        <v>44326.0</v>
      </c>
      <c r="C513" s="69">
        <v>33.38208717542508</v>
      </c>
    </row>
    <row r="514">
      <c r="A514" s="62" t="s">
        <v>5431</v>
      </c>
      <c r="B514" s="63">
        <v>44351.0</v>
      </c>
      <c r="C514" s="69">
        <v>33.38086392309407</v>
      </c>
    </row>
    <row r="515">
      <c r="A515" s="62" t="s">
        <v>6035</v>
      </c>
      <c r="B515" s="63">
        <v>44341.0</v>
      </c>
      <c r="C515" s="69">
        <v>33.37987060763701</v>
      </c>
    </row>
    <row r="516">
      <c r="A516" s="62" t="s">
        <v>2454</v>
      </c>
      <c r="B516" s="63">
        <v>44382.0</v>
      </c>
      <c r="C516" s="69">
        <v>33.377087609741096</v>
      </c>
    </row>
    <row r="517">
      <c r="A517" s="62" t="s">
        <v>2782</v>
      </c>
      <c r="B517" s="63">
        <v>44170.0</v>
      </c>
      <c r="C517" s="69">
        <v>33.3769702270441</v>
      </c>
    </row>
    <row r="518">
      <c r="A518" s="62" t="s">
        <v>6030</v>
      </c>
      <c r="B518" s="63">
        <v>44331.0</v>
      </c>
      <c r="C518" s="69">
        <v>33.371782785837006</v>
      </c>
    </row>
    <row r="519">
      <c r="A519" s="62" t="s">
        <v>3552</v>
      </c>
      <c r="B519" s="63">
        <v>44230.0</v>
      </c>
      <c r="C519" s="69">
        <v>33.364473526599724</v>
      </c>
    </row>
    <row r="520">
      <c r="A520" s="62" t="s">
        <v>3477</v>
      </c>
      <c r="B520" s="63">
        <v>44246.0</v>
      </c>
      <c r="C520" s="69">
        <v>33.36393884658843</v>
      </c>
    </row>
    <row r="521">
      <c r="A521" s="62" t="s">
        <v>3265</v>
      </c>
      <c r="B521" s="63">
        <v>44237.0</v>
      </c>
      <c r="C521" s="69">
        <v>33.35764705315797</v>
      </c>
    </row>
    <row r="522">
      <c r="A522" s="62" t="s">
        <v>5252</v>
      </c>
      <c r="B522" s="63">
        <v>44273.0</v>
      </c>
      <c r="C522" s="69">
        <v>33.356756387339516</v>
      </c>
    </row>
    <row r="523">
      <c r="A523" s="62" t="s">
        <v>2277</v>
      </c>
      <c r="B523" s="63">
        <v>44387.0</v>
      </c>
      <c r="C523" s="69">
        <v>33.35464126077462</v>
      </c>
    </row>
    <row r="524">
      <c r="A524" s="62" t="s">
        <v>2731</v>
      </c>
      <c r="B524" s="63">
        <v>44202.0</v>
      </c>
      <c r="C524" s="69">
        <v>33.353982309764746</v>
      </c>
    </row>
    <row r="525">
      <c r="A525" s="62" t="s">
        <v>6029</v>
      </c>
      <c r="B525" s="63">
        <v>44328.0</v>
      </c>
      <c r="C525" s="69">
        <v>33.353549303002694</v>
      </c>
    </row>
    <row r="526">
      <c r="A526" s="62" t="s">
        <v>3994</v>
      </c>
      <c r="B526" s="63">
        <v>44177.0</v>
      </c>
      <c r="C526" s="69">
        <v>33.35076668842191</v>
      </c>
    </row>
    <row r="527">
      <c r="A527" s="62" t="s">
        <v>376</v>
      </c>
      <c r="B527" s="63">
        <v>44362.0</v>
      </c>
      <c r="C527" s="69">
        <v>33.35075061126077</v>
      </c>
    </row>
    <row r="528">
      <c r="A528" s="62" t="s">
        <v>3883</v>
      </c>
      <c r="B528" s="63">
        <v>44237.0</v>
      </c>
      <c r="C528" s="69">
        <v>33.344064495906636</v>
      </c>
    </row>
    <row r="529">
      <c r="A529" s="62" t="s">
        <v>675</v>
      </c>
      <c r="B529" s="63">
        <v>44365.0</v>
      </c>
      <c r="C529" s="69">
        <v>33.342910611537924</v>
      </c>
    </row>
    <row r="530">
      <c r="A530" s="62" t="s">
        <v>1967</v>
      </c>
      <c r="B530" s="63">
        <v>44222.0</v>
      </c>
      <c r="C530" s="69">
        <v>33.34268386498903</v>
      </c>
    </row>
    <row r="531">
      <c r="A531" s="62" t="s">
        <v>6026</v>
      </c>
      <c r="B531" s="63">
        <v>44347.0</v>
      </c>
      <c r="C531" s="69">
        <v>33.34075999177685</v>
      </c>
    </row>
    <row r="532">
      <c r="A532" s="62" t="s">
        <v>5563</v>
      </c>
      <c r="B532" s="63">
        <v>44368.0</v>
      </c>
      <c r="C532" s="69">
        <v>33.33946403800088</v>
      </c>
    </row>
    <row r="533">
      <c r="A533" s="62" t="s">
        <v>4365</v>
      </c>
      <c r="B533" s="63">
        <v>44169.0</v>
      </c>
      <c r="C533" s="69">
        <v>33.33663509798367</v>
      </c>
    </row>
    <row r="534">
      <c r="A534" s="62" t="s">
        <v>3890</v>
      </c>
      <c r="B534" s="63">
        <v>44137.0</v>
      </c>
      <c r="C534" s="69">
        <v>33.33645856485434</v>
      </c>
    </row>
    <row r="535">
      <c r="A535" s="62" t="s">
        <v>6025</v>
      </c>
      <c r="B535" s="63">
        <v>44336.0</v>
      </c>
      <c r="C535" s="69">
        <v>33.33469055339738</v>
      </c>
    </row>
    <row r="536">
      <c r="A536" s="62" t="s">
        <v>2258</v>
      </c>
      <c r="B536" s="63">
        <v>44074.0</v>
      </c>
      <c r="C536" s="69">
        <v>33.33286989530351</v>
      </c>
    </row>
    <row r="537">
      <c r="A537" s="62" t="s">
        <v>4907</v>
      </c>
      <c r="B537" s="63">
        <v>44275.0</v>
      </c>
      <c r="C537" s="69">
        <v>33.33274482653806</v>
      </c>
    </row>
    <row r="538">
      <c r="A538" s="62" t="s">
        <v>5894</v>
      </c>
      <c r="B538" s="63">
        <v>44351.0</v>
      </c>
      <c r="C538" s="69">
        <v>33.32921391294635</v>
      </c>
    </row>
    <row r="539">
      <c r="A539" s="62" t="s">
        <v>6466</v>
      </c>
      <c r="B539" s="63">
        <v>44355.0</v>
      </c>
      <c r="C539" s="69">
        <v>33.32648757230266</v>
      </c>
    </row>
    <row r="540">
      <c r="A540" s="62" t="s">
        <v>3115</v>
      </c>
      <c r="B540" s="63">
        <v>44112.0</v>
      </c>
      <c r="C540" s="69">
        <v>33.326403316047674</v>
      </c>
    </row>
    <row r="541">
      <c r="A541" s="62" t="s">
        <v>6023</v>
      </c>
      <c r="B541" s="63">
        <v>44337.0</v>
      </c>
      <c r="C541" s="69">
        <v>33.31877671360718</v>
      </c>
    </row>
    <row r="542">
      <c r="A542" s="62" t="s">
        <v>6167</v>
      </c>
      <c r="B542" s="63">
        <v>44373.0</v>
      </c>
      <c r="C542" s="69">
        <v>33.31573124661843</v>
      </c>
    </row>
    <row r="543">
      <c r="A543" s="62" t="s">
        <v>4860</v>
      </c>
      <c r="B543" s="63">
        <v>44282.0</v>
      </c>
      <c r="C543" s="69">
        <v>33.315631412969466</v>
      </c>
    </row>
    <row r="544">
      <c r="A544" s="62" t="s">
        <v>3821</v>
      </c>
      <c r="B544" s="63">
        <v>44221.0</v>
      </c>
      <c r="C544" s="69">
        <v>33.311509493942914</v>
      </c>
    </row>
    <row r="545">
      <c r="A545" s="62" t="s">
        <v>5147</v>
      </c>
      <c r="B545" s="63">
        <v>44274.0</v>
      </c>
      <c r="C545" s="69">
        <v>33.31136943456562</v>
      </c>
    </row>
    <row r="546">
      <c r="A546" s="62" t="s">
        <v>6022</v>
      </c>
      <c r="B546" s="63">
        <v>44332.0</v>
      </c>
      <c r="C546" s="69">
        <v>33.311176860672646</v>
      </c>
    </row>
    <row r="547">
      <c r="A547" s="62" t="s">
        <v>4797</v>
      </c>
      <c r="B547" s="63">
        <v>44264.0</v>
      </c>
      <c r="C547" s="69">
        <v>33.308244503870306</v>
      </c>
    </row>
    <row r="548">
      <c r="A548" s="62" t="s">
        <v>2856</v>
      </c>
      <c r="B548" s="63">
        <v>44200.0</v>
      </c>
      <c r="C548" s="69">
        <v>33.30749424934726</v>
      </c>
    </row>
    <row r="549">
      <c r="A549" s="62" t="s">
        <v>5699</v>
      </c>
      <c r="B549" s="63">
        <v>44358.0</v>
      </c>
      <c r="C549" s="69">
        <v>33.30678291867774</v>
      </c>
    </row>
    <row r="550">
      <c r="A550" s="62" t="s">
        <v>3136</v>
      </c>
      <c r="B550" s="63">
        <v>44137.0</v>
      </c>
      <c r="C550" s="69">
        <v>33.2973477773852</v>
      </c>
    </row>
    <row r="551">
      <c r="A551" s="62" t="s">
        <v>5107</v>
      </c>
      <c r="B551" s="63">
        <v>44309.0</v>
      </c>
      <c r="C551" s="69">
        <v>33.296512163059674</v>
      </c>
    </row>
    <row r="552">
      <c r="A552" s="62" t="s">
        <v>237</v>
      </c>
      <c r="B552" s="63">
        <v>44386.0</v>
      </c>
      <c r="C552" s="69">
        <v>33.29247568855234</v>
      </c>
    </row>
    <row r="553">
      <c r="A553" s="62" t="s">
        <v>3339</v>
      </c>
      <c r="B553" s="63">
        <v>44166.0</v>
      </c>
      <c r="C553" s="69">
        <v>33.291474492289005</v>
      </c>
    </row>
    <row r="554">
      <c r="A554" s="62" t="s">
        <v>4719</v>
      </c>
      <c r="B554" s="63">
        <v>44259.0</v>
      </c>
      <c r="C554" s="69">
        <v>33.28695249163811</v>
      </c>
    </row>
    <row r="555">
      <c r="A555" s="62" t="s">
        <v>4584</v>
      </c>
      <c r="B555" s="63">
        <v>44263.0</v>
      </c>
      <c r="C555" s="69">
        <v>33.28491867461911</v>
      </c>
    </row>
    <row r="556">
      <c r="A556" s="62" t="s">
        <v>3673</v>
      </c>
      <c r="B556" s="63">
        <v>44142.0</v>
      </c>
      <c r="C556" s="69">
        <v>33.28403630832911</v>
      </c>
    </row>
    <row r="557">
      <c r="A557" s="62" t="s">
        <v>2325</v>
      </c>
      <c r="B557" s="63">
        <v>44378.0</v>
      </c>
      <c r="C557" s="69">
        <v>33.2834428122009</v>
      </c>
    </row>
    <row r="558">
      <c r="A558" s="62" t="s">
        <v>6020</v>
      </c>
      <c r="B558" s="63">
        <v>44342.0</v>
      </c>
      <c r="C558" s="69">
        <v>33.279665418952284</v>
      </c>
    </row>
    <row r="559">
      <c r="A559" s="62" t="s">
        <v>4211</v>
      </c>
      <c r="B559" s="63">
        <v>44145.0</v>
      </c>
      <c r="C559" s="69">
        <v>33.278238266137734</v>
      </c>
    </row>
    <row r="560">
      <c r="A560" s="62" t="s">
        <v>5769</v>
      </c>
      <c r="B560" s="63">
        <v>44362.0</v>
      </c>
      <c r="C560" s="69">
        <v>33.27453993789972</v>
      </c>
    </row>
    <row r="561">
      <c r="A561" s="62" t="s">
        <v>6015</v>
      </c>
      <c r="B561" s="63">
        <v>44322.0</v>
      </c>
      <c r="C561" s="69">
        <v>33.273864780803024</v>
      </c>
    </row>
    <row r="562">
      <c r="A562" s="62" t="s">
        <v>3487</v>
      </c>
      <c r="B562" s="63">
        <v>44200.0</v>
      </c>
      <c r="C562" s="69">
        <v>33.272173659528185</v>
      </c>
    </row>
    <row r="563">
      <c r="A563" s="62" t="s">
        <v>6012</v>
      </c>
      <c r="B563" s="63">
        <v>44347.0</v>
      </c>
      <c r="C563" s="69">
        <v>33.27094028204271</v>
      </c>
    </row>
    <row r="564">
      <c r="A564" s="62" t="s">
        <v>6034</v>
      </c>
      <c r="B564" s="63">
        <v>44377.0</v>
      </c>
      <c r="C564" s="69">
        <v>33.26972218180339</v>
      </c>
    </row>
    <row r="565">
      <c r="A565" s="62" t="s">
        <v>6008</v>
      </c>
      <c r="B565" s="63">
        <v>44341.0</v>
      </c>
      <c r="C565" s="69">
        <v>33.26633216960647</v>
      </c>
    </row>
    <row r="566">
      <c r="A566" s="62" t="s">
        <v>3719</v>
      </c>
      <c r="B566" s="63">
        <v>44224.0</v>
      </c>
      <c r="C566" s="69">
        <v>33.26231349483788</v>
      </c>
    </row>
    <row r="567">
      <c r="A567" s="62" t="s">
        <v>4463</v>
      </c>
      <c r="B567" s="63">
        <v>44274.0</v>
      </c>
      <c r="C567" s="69">
        <v>33.26125511139799</v>
      </c>
    </row>
    <row r="568">
      <c r="A568" s="62" t="s">
        <v>6005</v>
      </c>
      <c r="B568" s="63">
        <v>44327.0</v>
      </c>
      <c r="C568" s="69">
        <v>33.260977215031595</v>
      </c>
    </row>
    <row r="569">
      <c r="A569" s="62" t="s">
        <v>3155</v>
      </c>
      <c r="B569" s="63">
        <v>44084.0</v>
      </c>
      <c r="C569" s="69">
        <v>33.25836957935337</v>
      </c>
    </row>
    <row r="570">
      <c r="A570" s="62" t="s">
        <v>5840</v>
      </c>
      <c r="B570" s="63">
        <v>44364.0</v>
      </c>
      <c r="C570" s="69">
        <v>33.25731633973404</v>
      </c>
    </row>
    <row r="571">
      <c r="A571" s="62" t="s">
        <v>461</v>
      </c>
      <c r="B571" s="63">
        <v>44355.0</v>
      </c>
      <c r="C571" s="69">
        <v>33.25714989823939</v>
      </c>
    </row>
    <row r="572">
      <c r="A572" s="62" t="s">
        <v>1587</v>
      </c>
      <c r="B572" s="63">
        <v>44126.0</v>
      </c>
      <c r="C572" s="69">
        <v>33.25700461221605</v>
      </c>
    </row>
    <row r="573">
      <c r="A573" s="62" t="s">
        <v>1480</v>
      </c>
      <c r="B573" s="63">
        <v>44061.0</v>
      </c>
      <c r="C573" s="69">
        <v>33.25593780181259</v>
      </c>
    </row>
    <row r="574">
      <c r="A574" s="62" t="s">
        <v>4110</v>
      </c>
      <c r="B574" s="63">
        <v>44120.0</v>
      </c>
      <c r="C574" s="69">
        <v>33.25421647436328</v>
      </c>
    </row>
    <row r="575">
      <c r="A575" s="62" t="s">
        <v>6002</v>
      </c>
      <c r="B575" s="63">
        <v>44336.0</v>
      </c>
      <c r="C575" s="69">
        <v>33.252412118469266</v>
      </c>
    </row>
    <row r="576">
      <c r="A576" s="62" t="s">
        <v>5158</v>
      </c>
      <c r="B576" s="63">
        <v>44308.0</v>
      </c>
      <c r="C576" s="69">
        <v>33.24962700416062</v>
      </c>
    </row>
    <row r="577">
      <c r="A577" s="62" t="s">
        <v>5702</v>
      </c>
      <c r="B577" s="63">
        <v>44364.0</v>
      </c>
      <c r="C577" s="69">
        <v>33.24824214185988</v>
      </c>
    </row>
    <row r="578">
      <c r="A578" s="62" t="s">
        <v>6000</v>
      </c>
      <c r="B578" s="63">
        <v>44347.0</v>
      </c>
      <c r="C578" s="69">
        <v>33.24564642194454</v>
      </c>
    </row>
    <row r="579">
      <c r="A579" s="62" t="s">
        <v>4804</v>
      </c>
      <c r="B579" s="63">
        <v>44267.0</v>
      </c>
      <c r="C579" s="69">
        <v>33.245539186157</v>
      </c>
    </row>
    <row r="580">
      <c r="A580" s="62" t="s">
        <v>1096</v>
      </c>
      <c r="B580" s="63">
        <v>44369.0</v>
      </c>
      <c r="C580" s="69">
        <v>33.243846604927</v>
      </c>
    </row>
    <row r="581">
      <c r="A581" s="62" t="s">
        <v>5999</v>
      </c>
      <c r="B581" s="63">
        <v>44343.0</v>
      </c>
      <c r="C581" s="69">
        <v>33.240563271332924</v>
      </c>
    </row>
    <row r="582">
      <c r="A582" s="62" t="s">
        <v>4903</v>
      </c>
      <c r="B582" s="63">
        <v>44266.0</v>
      </c>
      <c r="C582" s="69">
        <v>33.23542214663049</v>
      </c>
    </row>
    <row r="583">
      <c r="A583" s="62" t="s">
        <v>6217</v>
      </c>
      <c r="B583" s="63">
        <v>44376.0</v>
      </c>
      <c r="C583" s="69">
        <v>33.23267766475244</v>
      </c>
    </row>
    <row r="584">
      <c r="A584" s="62" t="s">
        <v>3461</v>
      </c>
      <c r="B584" s="63">
        <v>44141.0</v>
      </c>
      <c r="C584" s="69">
        <v>33.22378612138342</v>
      </c>
    </row>
    <row r="585">
      <c r="A585" s="62" t="s">
        <v>2316</v>
      </c>
      <c r="B585" s="63">
        <v>44384.0</v>
      </c>
      <c r="C585" s="69">
        <v>33.22252333220864</v>
      </c>
    </row>
    <row r="586">
      <c r="A586" s="62" t="s">
        <v>2648</v>
      </c>
      <c r="B586" s="63">
        <v>44237.0</v>
      </c>
      <c r="C586" s="69">
        <v>33.220343659906824</v>
      </c>
    </row>
    <row r="587">
      <c r="A587" s="62" t="s">
        <v>1872</v>
      </c>
      <c r="B587" s="63">
        <v>44358.0</v>
      </c>
      <c r="C587" s="69">
        <v>33.216129750506305</v>
      </c>
    </row>
    <row r="588">
      <c r="A588" s="62" t="s">
        <v>5997</v>
      </c>
      <c r="B588" s="63">
        <v>44336.0</v>
      </c>
      <c r="C588" s="69">
        <v>33.21486590278794</v>
      </c>
    </row>
    <row r="589">
      <c r="A589" s="62" t="s">
        <v>3657</v>
      </c>
      <c r="B589" s="63">
        <v>44221.0</v>
      </c>
      <c r="C589" s="69">
        <v>33.21125985677034</v>
      </c>
    </row>
    <row r="590">
      <c r="A590" s="62" t="s">
        <v>3593</v>
      </c>
      <c r="B590" s="63">
        <v>44127.0</v>
      </c>
      <c r="C590" s="69">
        <v>33.20746726554233</v>
      </c>
    </row>
    <row r="591">
      <c r="A591" s="62" t="s">
        <v>1105</v>
      </c>
      <c r="B591" s="63">
        <v>44260.0</v>
      </c>
      <c r="C591" s="69">
        <v>33.203481927828534</v>
      </c>
    </row>
    <row r="592">
      <c r="A592" s="62" t="s">
        <v>3728</v>
      </c>
      <c r="B592" s="63">
        <v>44237.0</v>
      </c>
      <c r="C592" s="69">
        <v>33.202844833534925</v>
      </c>
    </row>
    <row r="593">
      <c r="A593" s="62" t="s">
        <v>1169</v>
      </c>
      <c r="B593" s="63">
        <v>44092.0</v>
      </c>
      <c r="C593" s="69">
        <v>33.20052465573552</v>
      </c>
    </row>
    <row r="594">
      <c r="A594" s="62" t="s">
        <v>2686</v>
      </c>
      <c r="B594" s="63">
        <v>44103.0</v>
      </c>
      <c r="C594" s="69">
        <v>33.19758677620703</v>
      </c>
    </row>
    <row r="595">
      <c r="A595" s="62" t="s">
        <v>5990</v>
      </c>
      <c r="B595" s="63">
        <v>44336.0</v>
      </c>
      <c r="C595" s="69">
        <v>33.19732227093717</v>
      </c>
    </row>
    <row r="596">
      <c r="A596" s="62" t="s">
        <v>3646</v>
      </c>
      <c r="B596" s="63">
        <v>44156.0</v>
      </c>
      <c r="C596" s="69">
        <v>33.19651721920259</v>
      </c>
    </row>
    <row r="597">
      <c r="A597" s="62" t="s">
        <v>2281</v>
      </c>
      <c r="B597" s="63">
        <v>44396.0</v>
      </c>
      <c r="C597" s="69">
        <v>33.19163159163688</v>
      </c>
    </row>
    <row r="598">
      <c r="A598" s="62" t="s">
        <v>5539</v>
      </c>
      <c r="B598" s="63">
        <v>44365.0</v>
      </c>
      <c r="C598" s="69">
        <v>33.190953396945396</v>
      </c>
    </row>
    <row r="599">
      <c r="A599" s="62" t="s">
        <v>6391</v>
      </c>
      <c r="B599" s="63">
        <v>44358.0</v>
      </c>
      <c r="C599" s="69">
        <v>33.190807908121585</v>
      </c>
    </row>
    <row r="600">
      <c r="A600" s="62" t="s">
        <v>6386</v>
      </c>
      <c r="B600" s="63">
        <v>44350.0</v>
      </c>
      <c r="C600" s="69">
        <v>33.18932285854228</v>
      </c>
    </row>
    <row r="601">
      <c r="A601" s="62" t="s">
        <v>4727</v>
      </c>
      <c r="B601" s="63">
        <v>44281.0</v>
      </c>
      <c r="C601" s="69">
        <v>33.189069598399435</v>
      </c>
    </row>
    <row r="602">
      <c r="A602" s="62" t="s">
        <v>4251</v>
      </c>
      <c r="B602" s="63">
        <v>44105.0</v>
      </c>
      <c r="C602" s="69">
        <v>33.18892952081714</v>
      </c>
    </row>
    <row r="603">
      <c r="A603" s="62" t="s">
        <v>5988</v>
      </c>
      <c r="B603" s="63">
        <v>44321.0</v>
      </c>
      <c r="C603" s="69">
        <v>33.18770015564589</v>
      </c>
    </row>
    <row r="604">
      <c r="A604" s="62" t="s">
        <v>2319</v>
      </c>
      <c r="B604" s="63">
        <v>44383.0</v>
      </c>
      <c r="C604" s="69">
        <v>33.18703762525494</v>
      </c>
    </row>
    <row r="605">
      <c r="A605" s="62" t="s">
        <v>2260</v>
      </c>
      <c r="B605" s="63">
        <v>44390.0</v>
      </c>
      <c r="C605" s="69">
        <v>33.186018361490795</v>
      </c>
    </row>
    <row r="606">
      <c r="A606" s="62" t="s">
        <v>4505</v>
      </c>
      <c r="B606" s="63">
        <v>44267.0</v>
      </c>
      <c r="C606" s="69">
        <v>33.184219196071005</v>
      </c>
    </row>
    <row r="607">
      <c r="A607" s="62" t="s">
        <v>4310</v>
      </c>
      <c r="B607" s="63">
        <v>44131.0</v>
      </c>
      <c r="C607" s="69">
        <v>33.18378327011486</v>
      </c>
    </row>
    <row r="608">
      <c r="A608" s="62" t="s">
        <v>5987</v>
      </c>
      <c r="B608" s="63">
        <v>44343.0</v>
      </c>
      <c r="C608" s="69">
        <v>33.18129592222073</v>
      </c>
    </row>
    <row r="609">
      <c r="A609" s="62" t="s">
        <v>2808</v>
      </c>
      <c r="B609" s="63">
        <v>44244.0</v>
      </c>
      <c r="C609" s="69">
        <v>33.180833352244605</v>
      </c>
    </row>
    <row r="610">
      <c r="A610" s="62" t="s">
        <v>3869</v>
      </c>
      <c r="B610" s="63">
        <v>44224.0</v>
      </c>
      <c r="C610" s="69">
        <v>33.177708433647894</v>
      </c>
    </row>
    <row r="611">
      <c r="A611" s="62" t="s">
        <v>2978</v>
      </c>
      <c r="B611" s="63">
        <v>44202.0</v>
      </c>
      <c r="C611" s="69">
        <v>33.175427172665394</v>
      </c>
    </row>
    <row r="612">
      <c r="A612" s="62" t="s">
        <v>5986</v>
      </c>
      <c r="B612" s="63">
        <v>44326.0</v>
      </c>
      <c r="C612" s="69">
        <v>33.17505369647354</v>
      </c>
    </row>
    <row r="613">
      <c r="A613" s="62" t="s">
        <v>5985</v>
      </c>
      <c r="B613" s="63">
        <v>44326.0</v>
      </c>
      <c r="C613" s="69">
        <v>33.1694270179237</v>
      </c>
    </row>
    <row r="614">
      <c r="A614" s="62" t="s">
        <v>249</v>
      </c>
      <c r="B614" s="63">
        <v>44383.0</v>
      </c>
      <c r="C614" s="69">
        <v>33.166660792159185</v>
      </c>
    </row>
    <row r="615">
      <c r="A615" s="62" t="s">
        <v>4740</v>
      </c>
      <c r="B615" s="63">
        <v>44260.0</v>
      </c>
      <c r="C615" s="69">
        <v>33.16412763534879</v>
      </c>
    </row>
    <row r="616">
      <c r="A616" s="62" t="s">
        <v>3102</v>
      </c>
      <c r="B616" s="63">
        <v>44170.0</v>
      </c>
      <c r="C616" s="69">
        <v>33.1598215096006</v>
      </c>
    </row>
    <row r="617">
      <c r="A617" s="62" t="s">
        <v>4223</v>
      </c>
      <c r="B617" s="63">
        <v>44218.0</v>
      </c>
      <c r="C617" s="69">
        <v>33.15483036080289</v>
      </c>
    </row>
    <row r="618">
      <c r="A618" s="62" t="s">
        <v>4624</v>
      </c>
      <c r="B618" s="63">
        <v>44273.0</v>
      </c>
      <c r="C618" s="69">
        <v>33.152694238909184</v>
      </c>
    </row>
    <row r="619">
      <c r="A619" s="62" t="s">
        <v>6510</v>
      </c>
      <c r="B619" s="63">
        <v>44355.0</v>
      </c>
      <c r="C619" s="69">
        <v>33.15208367809377</v>
      </c>
    </row>
    <row r="620">
      <c r="A620" s="62" t="s">
        <v>5983</v>
      </c>
      <c r="B620" s="63">
        <v>44341.0</v>
      </c>
      <c r="C620" s="69">
        <v>33.14782396703448</v>
      </c>
    </row>
    <row r="621">
      <c r="A621" s="62" t="s">
        <v>2358</v>
      </c>
      <c r="B621" s="63">
        <v>44384.0</v>
      </c>
      <c r="C621" s="69">
        <v>33.14185132800019</v>
      </c>
    </row>
    <row r="622">
      <c r="A622" s="62" t="s">
        <v>4706</v>
      </c>
      <c r="B622" s="63">
        <v>44267.0</v>
      </c>
      <c r="C622" s="69">
        <v>33.13986550232961</v>
      </c>
    </row>
    <row r="623">
      <c r="A623" s="62" t="s">
        <v>3290</v>
      </c>
      <c r="B623" s="63">
        <v>44080.0</v>
      </c>
      <c r="C623" s="69">
        <v>33.1381376355368</v>
      </c>
    </row>
    <row r="624">
      <c r="A624" s="62" t="s">
        <v>6508</v>
      </c>
      <c r="B624" s="63">
        <v>44361.0</v>
      </c>
      <c r="C624" s="69">
        <v>33.13789856082733</v>
      </c>
    </row>
    <row r="625">
      <c r="A625" s="62" t="s">
        <v>3613</v>
      </c>
      <c r="B625" s="63">
        <v>44208.0</v>
      </c>
      <c r="C625" s="69">
        <v>33.13482752956451</v>
      </c>
    </row>
    <row r="626">
      <c r="A626" s="62" t="s">
        <v>4109</v>
      </c>
      <c r="B626" s="63">
        <v>44107.0</v>
      </c>
      <c r="C626" s="69">
        <v>33.13435471956755</v>
      </c>
    </row>
    <row r="627">
      <c r="A627" s="62" t="s">
        <v>3141</v>
      </c>
      <c r="B627" s="63">
        <v>44226.0</v>
      </c>
      <c r="C627" s="69">
        <v>33.13304693650085</v>
      </c>
    </row>
    <row r="628">
      <c r="A628" s="62" t="s">
        <v>5513</v>
      </c>
      <c r="B628" s="63">
        <v>44370.0</v>
      </c>
      <c r="C628" s="69">
        <v>33.128515314813555</v>
      </c>
    </row>
    <row r="629">
      <c r="A629" s="62" t="s">
        <v>4892</v>
      </c>
      <c r="B629" s="63">
        <v>44259.0</v>
      </c>
      <c r="C629" s="69">
        <v>33.12762620185367</v>
      </c>
    </row>
    <row r="630">
      <c r="A630" s="62" t="s">
        <v>2728</v>
      </c>
      <c r="B630" s="63">
        <v>44201.0</v>
      </c>
      <c r="C630" s="69">
        <v>33.12512035352042</v>
      </c>
    </row>
    <row r="631">
      <c r="A631" s="62" t="s">
        <v>1213</v>
      </c>
      <c r="B631" s="63">
        <v>44200.0</v>
      </c>
      <c r="C631" s="69">
        <v>33.12426283436673</v>
      </c>
    </row>
    <row r="632">
      <c r="A632" s="62" t="s">
        <v>665</v>
      </c>
      <c r="B632" s="63">
        <v>44209.0</v>
      </c>
      <c r="C632" s="69">
        <v>33.12102377198903</v>
      </c>
    </row>
    <row r="633">
      <c r="A633" s="62" t="s">
        <v>2733</v>
      </c>
      <c r="B633" s="63">
        <v>44204.0</v>
      </c>
      <c r="C633" s="69">
        <v>33.11834023449407</v>
      </c>
    </row>
    <row r="634">
      <c r="A634" s="62" t="s">
        <v>3025</v>
      </c>
      <c r="B634" s="63">
        <v>44254.0</v>
      </c>
      <c r="C634" s="69">
        <v>33.11631215645077</v>
      </c>
    </row>
    <row r="635">
      <c r="A635" s="62" t="s">
        <v>6368</v>
      </c>
      <c r="B635" s="63">
        <v>44353.0</v>
      </c>
      <c r="C635" s="69">
        <v>33.1139631843371</v>
      </c>
    </row>
    <row r="636">
      <c r="A636" s="62" t="s">
        <v>3035</v>
      </c>
      <c r="B636" s="63">
        <v>44235.0</v>
      </c>
      <c r="C636" s="69">
        <v>33.11264815512297</v>
      </c>
    </row>
    <row r="637">
      <c r="A637" s="62" t="s">
        <v>4347</v>
      </c>
      <c r="B637" s="63">
        <v>44245.0</v>
      </c>
      <c r="C637" s="69">
        <v>33.11240621552124</v>
      </c>
    </row>
    <row r="638">
      <c r="A638" s="62" t="s">
        <v>2879</v>
      </c>
      <c r="B638" s="63">
        <v>44134.0</v>
      </c>
      <c r="C638" s="69">
        <v>33.10982541135327</v>
      </c>
    </row>
    <row r="639">
      <c r="A639" s="62" t="s">
        <v>1511</v>
      </c>
      <c r="B639" s="63">
        <v>44232.0</v>
      </c>
      <c r="C639" s="69">
        <v>33.10660443110885</v>
      </c>
    </row>
    <row r="640">
      <c r="A640" s="62" t="s">
        <v>4413</v>
      </c>
      <c r="B640" s="63">
        <v>44221.0</v>
      </c>
      <c r="C640" s="69">
        <v>33.10658516913146</v>
      </c>
    </row>
    <row r="641">
      <c r="A641" s="62" t="s">
        <v>2508</v>
      </c>
      <c r="B641" s="63">
        <v>44383.0</v>
      </c>
      <c r="C641" s="69">
        <v>33.10615975510232</v>
      </c>
    </row>
    <row r="642">
      <c r="A642" s="62" t="s">
        <v>3314</v>
      </c>
      <c r="B642" s="63">
        <v>44113.0</v>
      </c>
      <c r="C642" s="69">
        <v>33.1041945949043</v>
      </c>
    </row>
    <row r="643">
      <c r="A643" s="62" t="s">
        <v>4220</v>
      </c>
      <c r="B643" s="63">
        <v>44223.0</v>
      </c>
      <c r="C643" s="69">
        <v>33.096805111705464</v>
      </c>
    </row>
    <row r="644">
      <c r="A644" s="62" t="s">
        <v>4705</v>
      </c>
      <c r="B644" s="63">
        <v>44272.0</v>
      </c>
      <c r="C644" s="69">
        <v>33.095951880498106</v>
      </c>
    </row>
    <row r="645">
      <c r="A645" s="62" t="s">
        <v>3741</v>
      </c>
      <c r="B645" s="63">
        <v>44248.0</v>
      </c>
      <c r="C645" s="69">
        <v>33.09537318975643</v>
      </c>
    </row>
    <row r="646">
      <c r="A646" s="62" t="s">
        <v>2206</v>
      </c>
      <c r="B646" s="63">
        <v>44066.0</v>
      </c>
      <c r="C646" s="69">
        <v>33.08992157427582</v>
      </c>
    </row>
    <row r="647">
      <c r="A647" s="62" t="s">
        <v>3252</v>
      </c>
      <c r="B647" s="63">
        <v>44117.0</v>
      </c>
      <c r="C647" s="69">
        <v>33.08982972215632</v>
      </c>
    </row>
    <row r="648">
      <c r="A648" s="62" t="s">
        <v>5830</v>
      </c>
      <c r="B648" s="63">
        <v>44352.0</v>
      </c>
      <c r="C648" s="69">
        <v>33.08813144350803</v>
      </c>
    </row>
    <row r="649">
      <c r="A649" s="62" t="s">
        <v>2621</v>
      </c>
      <c r="B649" s="63">
        <v>44382.0</v>
      </c>
      <c r="C649" s="69">
        <v>33.08748271825053</v>
      </c>
    </row>
    <row r="650">
      <c r="A650" s="62" t="s">
        <v>5980</v>
      </c>
      <c r="B650" s="63">
        <v>44341.0</v>
      </c>
      <c r="C650" s="69">
        <v>33.08705758620744</v>
      </c>
    </row>
    <row r="651">
      <c r="A651" s="62" t="s">
        <v>2313</v>
      </c>
      <c r="B651" s="63">
        <v>44382.0</v>
      </c>
      <c r="C651" s="69">
        <v>33.07981196282236</v>
      </c>
    </row>
    <row r="652">
      <c r="A652" s="62" t="s">
        <v>5995</v>
      </c>
      <c r="B652" s="63">
        <v>44369.0</v>
      </c>
      <c r="C652" s="69">
        <v>33.07953309990805</v>
      </c>
    </row>
    <row r="653">
      <c r="A653" s="62" t="s">
        <v>5156</v>
      </c>
      <c r="B653" s="63">
        <v>44270.0</v>
      </c>
      <c r="C653" s="69">
        <v>33.078969085878974</v>
      </c>
    </row>
    <row r="654">
      <c r="A654" s="62" t="s">
        <v>1810</v>
      </c>
      <c r="B654" s="63">
        <v>44375.0</v>
      </c>
      <c r="C654" s="69">
        <v>33.07673414166086</v>
      </c>
    </row>
    <row r="655">
      <c r="A655" s="62" t="s">
        <v>4107</v>
      </c>
      <c r="B655" s="63">
        <v>44076.0</v>
      </c>
      <c r="C655" s="69">
        <v>33.07566979628973</v>
      </c>
    </row>
    <row r="656">
      <c r="A656" s="62" t="s">
        <v>421</v>
      </c>
      <c r="B656" s="63">
        <v>44376.0</v>
      </c>
      <c r="C656" s="69">
        <v>33.07359788066734</v>
      </c>
    </row>
    <row r="657">
      <c r="A657" s="62" t="s">
        <v>4136</v>
      </c>
      <c r="B657" s="63">
        <v>44126.0</v>
      </c>
      <c r="C657" s="69">
        <v>33.07090061696431</v>
      </c>
    </row>
    <row r="658">
      <c r="A658" s="62" t="s">
        <v>1369</v>
      </c>
      <c r="B658" s="63">
        <v>44237.0</v>
      </c>
      <c r="C658" s="69">
        <v>33.07048964831847</v>
      </c>
    </row>
    <row r="659">
      <c r="A659" s="62" t="s">
        <v>5978</v>
      </c>
      <c r="B659" s="63">
        <v>44347.0</v>
      </c>
      <c r="C659" s="69">
        <v>33.06966654497192</v>
      </c>
    </row>
    <row r="660">
      <c r="A660" s="62" t="s">
        <v>4132</v>
      </c>
      <c r="B660" s="63">
        <v>44076.0</v>
      </c>
      <c r="C660" s="69">
        <v>33.069655108950215</v>
      </c>
    </row>
    <row r="661">
      <c r="A661" s="62" t="s">
        <v>3692</v>
      </c>
      <c r="B661" s="63">
        <v>44208.0</v>
      </c>
      <c r="C661" s="69">
        <v>33.0669578696279</v>
      </c>
    </row>
    <row r="662">
      <c r="A662" s="62" t="s">
        <v>3507</v>
      </c>
      <c r="B662" s="63">
        <v>44225.0</v>
      </c>
      <c r="C662" s="69">
        <v>33.06519690097292</v>
      </c>
    </row>
    <row r="663">
      <c r="A663" s="62" t="s">
        <v>6742</v>
      </c>
      <c r="B663" s="63">
        <v>44375.0</v>
      </c>
      <c r="C663" s="69">
        <v>33.064646905803265</v>
      </c>
    </row>
    <row r="664">
      <c r="A664" s="62" t="s">
        <v>4925</v>
      </c>
      <c r="B664" s="63">
        <v>44268.0</v>
      </c>
      <c r="C664" s="69">
        <v>33.06148207274542</v>
      </c>
    </row>
    <row r="665">
      <c r="A665" s="62" t="s">
        <v>6032</v>
      </c>
      <c r="B665" s="63">
        <v>44355.0</v>
      </c>
      <c r="C665" s="69">
        <v>33.05955663138823</v>
      </c>
    </row>
    <row r="666">
      <c r="A666" s="62" t="s">
        <v>3809</v>
      </c>
      <c r="B666" s="63">
        <v>44104.0</v>
      </c>
      <c r="C666" s="69">
        <v>33.05936852455836</v>
      </c>
    </row>
    <row r="667">
      <c r="A667" s="62" t="s">
        <v>2304</v>
      </c>
      <c r="B667" s="63">
        <v>44386.0</v>
      </c>
      <c r="C667" s="69">
        <v>33.05511794374248</v>
      </c>
    </row>
    <row r="668">
      <c r="A668" s="62" t="s">
        <v>6605</v>
      </c>
      <c r="B668" s="63">
        <v>44349.0</v>
      </c>
      <c r="C668" s="69">
        <v>33.05320800749176</v>
      </c>
    </row>
    <row r="669">
      <c r="A669" s="62" t="s">
        <v>6546</v>
      </c>
      <c r="B669" s="63">
        <v>44358.0</v>
      </c>
      <c r="C669" s="69">
        <v>33.05313674928698</v>
      </c>
    </row>
    <row r="670">
      <c r="A670" s="62" t="s">
        <v>3952</v>
      </c>
      <c r="B670" s="63">
        <v>44084.0</v>
      </c>
      <c r="C670" s="69">
        <v>33.05254517712105</v>
      </c>
    </row>
    <row r="671">
      <c r="A671" s="62" t="s">
        <v>6024</v>
      </c>
      <c r="B671" s="63">
        <v>44377.0</v>
      </c>
      <c r="C671" s="69">
        <v>33.04826370390795</v>
      </c>
    </row>
    <row r="672">
      <c r="A672" s="62" t="s">
        <v>2399</v>
      </c>
      <c r="B672" s="63">
        <v>44384.0</v>
      </c>
      <c r="C672" s="69">
        <v>33.04621082338179</v>
      </c>
    </row>
    <row r="673">
      <c r="A673" s="62" t="s">
        <v>2178</v>
      </c>
      <c r="B673" s="63">
        <v>44073.0</v>
      </c>
      <c r="C673" s="69">
        <v>33.04247081867132</v>
      </c>
    </row>
    <row r="674">
      <c r="A674" s="62" t="s">
        <v>1364</v>
      </c>
      <c r="B674" s="63">
        <v>44369.0</v>
      </c>
      <c r="C674" s="69">
        <v>33.039899157029886</v>
      </c>
    </row>
    <row r="675">
      <c r="A675" s="62" t="s">
        <v>3723</v>
      </c>
      <c r="B675" s="63">
        <v>44142.0</v>
      </c>
      <c r="C675" s="69">
        <v>33.03728205265185</v>
      </c>
    </row>
    <row r="676">
      <c r="A676" s="62" t="s">
        <v>3618</v>
      </c>
      <c r="B676" s="63">
        <v>44208.0</v>
      </c>
      <c r="C676" s="69">
        <v>33.03592478087667</v>
      </c>
    </row>
    <row r="677">
      <c r="A677" s="62" t="s">
        <v>471</v>
      </c>
      <c r="B677" s="63">
        <v>44245.0</v>
      </c>
      <c r="C677" s="69">
        <v>33.03505213302296</v>
      </c>
    </row>
    <row r="678">
      <c r="A678" s="62" t="s">
        <v>5977</v>
      </c>
      <c r="B678" s="63">
        <v>44327.0</v>
      </c>
      <c r="C678" s="69">
        <v>33.034474178238696</v>
      </c>
    </row>
    <row r="679">
      <c r="A679" s="62" t="s">
        <v>2589</v>
      </c>
      <c r="B679" s="63">
        <v>44394.0</v>
      </c>
      <c r="C679" s="69">
        <v>33.032534157957016</v>
      </c>
    </row>
    <row r="680">
      <c r="A680" s="62" t="s">
        <v>1700</v>
      </c>
      <c r="B680" s="63">
        <v>44062.0</v>
      </c>
      <c r="C680" s="69">
        <v>33.02677540214726</v>
      </c>
    </row>
    <row r="681">
      <c r="A681" s="62" t="s">
        <v>6305</v>
      </c>
      <c r="B681" s="63">
        <v>44370.0</v>
      </c>
      <c r="C681" s="69">
        <v>33.023953385924116</v>
      </c>
    </row>
    <row r="682">
      <c r="A682" s="62" t="s">
        <v>4827</v>
      </c>
      <c r="B682" s="63">
        <v>44280.0</v>
      </c>
      <c r="C682" s="69">
        <v>33.02047445219581</v>
      </c>
    </row>
    <row r="683">
      <c r="A683" s="62" t="s">
        <v>4837</v>
      </c>
      <c r="B683" s="63">
        <v>44300.0</v>
      </c>
      <c r="C683" s="69">
        <v>33.019756309199664</v>
      </c>
    </row>
    <row r="684">
      <c r="A684" s="62" t="s">
        <v>4913</v>
      </c>
      <c r="B684" s="63">
        <v>44263.0</v>
      </c>
      <c r="C684" s="69">
        <v>33.018548194541005</v>
      </c>
    </row>
    <row r="685">
      <c r="A685" s="62" t="s">
        <v>3006</v>
      </c>
      <c r="B685" s="63">
        <v>44236.0</v>
      </c>
      <c r="C685" s="69">
        <v>33.01848093641852</v>
      </c>
    </row>
    <row r="686">
      <c r="A686" s="62" t="s">
        <v>4467</v>
      </c>
      <c r="B686" s="63">
        <v>44298.0</v>
      </c>
      <c r="C686" s="69">
        <v>33.01470400000384</v>
      </c>
    </row>
    <row r="687">
      <c r="A687" s="62" t="s">
        <v>3164</v>
      </c>
      <c r="B687" s="63">
        <v>44193.0</v>
      </c>
      <c r="C687" s="69">
        <v>33.01313473375476</v>
      </c>
    </row>
    <row r="688">
      <c r="A688" s="62" t="s">
        <v>1848</v>
      </c>
      <c r="B688" s="63">
        <v>44371.0</v>
      </c>
      <c r="C688" s="69">
        <v>33.01175845408494</v>
      </c>
    </row>
    <row r="689">
      <c r="A689" s="62" t="s">
        <v>3652</v>
      </c>
      <c r="B689" s="63">
        <v>44250.0</v>
      </c>
      <c r="C689" s="69">
        <v>33.00231411231865</v>
      </c>
    </row>
    <row r="690">
      <c r="A690" s="62" t="s">
        <v>3576</v>
      </c>
      <c r="B690" s="63">
        <v>44175.0</v>
      </c>
      <c r="C690" s="69">
        <v>32.99335106531189</v>
      </c>
    </row>
    <row r="691">
      <c r="A691" s="62" t="s">
        <v>5975</v>
      </c>
      <c r="B691" s="63">
        <v>44327.0</v>
      </c>
      <c r="C691" s="69">
        <v>32.98726099535375</v>
      </c>
    </row>
    <row r="692">
      <c r="A692" s="62" t="s">
        <v>5867</v>
      </c>
      <c r="B692" s="63">
        <v>44363.0</v>
      </c>
      <c r="C692" s="69">
        <v>32.98514022933088</v>
      </c>
    </row>
    <row r="693">
      <c r="A693" s="62" t="s">
        <v>6691</v>
      </c>
      <c r="B693" s="63">
        <v>44362.0</v>
      </c>
      <c r="C693" s="69">
        <v>32.982420961326866</v>
      </c>
    </row>
    <row r="694">
      <c r="A694" s="62" t="s">
        <v>5974</v>
      </c>
      <c r="B694" s="63">
        <v>44329.0</v>
      </c>
      <c r="C694" s="69">
        <v>32.982410927178876</v>
      </c>
    </row>
    <row r="695">
      <c r="A695" s="62" t="s">
        <v>1584</v>
      </c>
      <c r="B695" s="63">
        <v>44118.0</v>
      </c>
      <c r="C695" s="69">
        <v>32.98137663407057</v>
      </c>
    </row>
    <row r="696">
      <c r="A696" s="62" t="s">
        <v>5051</v>
      </c>
      <c r="B696" s="63">
        <v>44273.0</v>
      </c>
      <c r="C696" s="69">
        <v>32.980096610013476</v>
      </c>
    </row>
    <row r="697">
      <c r="A697" s="62" t="s">
        <v>3633</v>
      </c>
      <c r="B697" s="63">
        <v>44223.0</v>
      </c>
      <c r="C697" s="69">
        <v>32.979737577558865</v>
      </c>
    </row>
    <row r="698">
      <c r="A698" s="62" t="s">
        <v>6600</v>
      </c>
      <c r="B698" s="63">
        <v>44365.0</v>
      </c>
      <c r="C698" s="69">
        <v>32.973421243739935</v>
      </c>
    </row>
    <row r="699">
      <c r="A699" s="62" t="s">
        <v>4644</v>
      </c>
      <c r="B699" s="63">
        <v>44257.0</v>
      </c>
      <c r="C699" s="69">
        <v>32.97120951610741</v>
      </c>
    </row>
    <row r="700">
      <c r="A700" s="62" t="s">
        <v>5117</v>
      </c>
      <c r="B700" s="63">
        <v>44292.0</v>
      </c>
      <c r="C700" s="69">
        <v>32.96897215096171</v>
      </c>
    </row>
    <row r="701">
      <c r="A701" s="62" t="s">
        <v>1120</v>
      </c>
      <c r="B701" s="63">
        <v>44354.0</v>
      </c>
      <c r="C701" s="69">
        <v>32.96836173467716</v>
      </c>
    </row>
    <row r="702">
      <c r="A702" s="62" t="s">
        <v>4273</v>
      </c>
      <c r="B702" s="63">
        <v>44110.0</v>
      </c>
      <c r="C702" s="69">
        <v>32.961850871536846</v>
      </c>
    </row>
    <row r="703">
      <c r="A703" s="62" t="s">
        <v>2321</v>
      </c>
      <c r="B703" s="63">
        <v>44389.0</v>
      </c>
      <c r="C703" s="69">
        <v>32.95821143763938</v>
      </c>
    </row>
    <row r="704">
      <c r="A704" s="62" t="s">
        <v>3338</v>
      </c>
      <c r="B704" s="63">
        <v>44090.0</v>
      </c>
      <c r="C704" s="69">
        <v>32.949315295488404</v>
      </c>
    </row>
    <row r="705">
      <c r="A705" s="62" t="s">
        <v>677</v>
      </c>
      <c r="B705" s="63">
        <v>44155.0</v>
      </c>
      <c r="C705" s="69">
        <v>32.94885686663417</v>
      </c>
    </row>
    <row r="706">
      <c r="A706" s="62" t="s">
        <v>2200</v>
      </c>
      <c r="B706" s="63">
        <v>44058.0</v>
      </c>
      <c r="C706" s="69">
        <v>32.948366953320615</v>
      </c>
    </row>
    <row r="707">
      <c r="A707" s="62" t="s">
        <v>2284</v>
      </c>
      <c r="B707" s="63">
        <v>44381.0</v>
      </c>
      <c r="C707" s="69">
        <v>32.94721394543647</v>
      </c>
    </row>
    <row r="708">
      <c r="A708" s="62" t="s">
        <v>2542</v>
      </c>
      <c r="B708" s="63">
        <v>44384.0</v>
      </c>
      <c r="C708" s="69">
        <v>32.94568676426859</v>
      </c>
    </row>
    <row r="709">
      <c r="A709" s="62" t="s">
        <v>5352</v>
      </c>
      <c r="B709" s="63">
        <v>44376.0</v>
      </c>
      <c r="C709" s="69">
        <v>32.93767688603596</v>
      </c>
    </row>
    <row r="710">
      <c r="A710" s="62" t="s">
        <v>168</v>
      </c>
      <c r="B710" s="63">
        <v>44383.0</v>
      </c>
      <c r="C710" s="69">
        <v>32.93111496712339</v>
      </c>
    </row>
    <row r="711">
      <c r="A711" s="62" t="s">
        <v>4393</v>
      </c>
      <c r="B711" s="63">
        <v>44237.0</v>
      </c>
      <c r="C711" s="69">
        <v>32.92525444160839</v>
      </c>
    </row>
    <row r="712">
      <c r="A712" s="62" t="s">
        <v>4364</v>
      </c>
      <c r="B712" s="63">
        <v>44235.0</v>
      </c>
      <c r="C712" s="69">
        <v>32.923455580974874</v>
      </c>
    </row>
    <row r="713">
      <c r="A713" s="62" t="s">
        <v>4160</v>
      </c>
      <c r="B713" s="63">
        <v>44236.0</v>
      </c>
      <c r="C713" s="69">
        <v>32.92115012018386</v>
      </c>
    </row>
    <row r="714">
      <c r="A714" s="62" t="s">
        <v>4395</v>
      </c>
      <c r="B714" s="63">
        <v>44182.0</v>
      </c>
      <c r="C714" s="69">
        <v>32.920445473656585</v>
      </c>
    </row>
    <row r="715">
      <c r="A715" s="62" t="s">
        <v>2985</v>
      </c>
      <c r="B715" s="63">
        <v>44216.0</v>
      </c>
      <c r="C715" s="69">
        <v>32.92022182443975</v>
      </c>
    </row>
    <row r="716">
      <c r="A716" s="62" t="s">
        <v>5967</v>
      </c>
      <c r="B716" s="63">
        <v>44323.0</v>
      </c>
      <c r="C716" s="69">
        <v>32.919920739051406</v>
      </c>
    </row>
    <row r="717">
      <c r="A717" s="62" t="s">
        <v>5963</v>
      </c>
      <c r="B717" s="63">
        <v>44330.0</v>
      </c>
      <c r="C717" s="69">
        <v>32.91048497846744</v>
      </c>
    </row>
    <row r="718">
      <c r="A718" s="62" t="s">
        <v>5960</v>
      </c>
      <c r="B718" s="63">
        <v>44342.0</v>
      </c>
      <c r="C718" s="69">
        <v>32.90812879235736</v>
      </c>
    </row>
    <row r="719">
      <c r="A719" s="62" t="s">
        <v>6610</v>
      </c>
      <c r="B719" s="63">
        <v>44349.0</v>
      </c>
      <c r="C719" s="69">
        <v>32.906976205737905</v>
      </c>
    </row>
    <row r="720">
      <c r="A720" s="62" t="s">
        <v>4599</v>
      </c>
      <c r="B720" s="63">
        <v>44313.0</v>
      </c>
      <c r="C720" s="69">
        <v>32.90663987101779</v>
      </c>
    </row>
    <row r="721">
      <c r="A721" s="62" t="s">
        <v>4561</v>
      </c>
      <c r="B721" s="63">
        <v>44309.0</v>
      </c>
      <c r="C721" s="69">
        <v>32.90618275662206</v>
      </c>
    </row>
    <row r="722">
      <c r="A722" s="62" t="s">
        <v>3142</v>
      </c>
      <c r="B722" s="63">
        <v>44158.0</v>
      </c>
      <c r="C722" s="69">
        <v>32.90329309190278</v>
      </c>
    </row>
    <row r="723">
      <c r="A723" s="62" t="s">
        <v>1251</v>
      </c>
      <c r="B723" s="63">
        <v>44382.0</v>
      </c>
      <c r="C723" s="69">
        <v>32.9025095723993</v>
      </c>
    </row>
    <row r="724">
      <c r="A724" s="62" t="s">
        <v>3804</v>
      </c>
      <c r="B724" s="63">
        <v>44230.0</v>
      </c>
      <c r="C724" s="69">
        <v>32.902220641153264</v>
      </c>
    </row>
    <row r="725">
      <c r="A725" s="62" t="s">
        <v>6356</v>
      </c>
      <c r="B725" s="63">
        <v>44377.0</v>
      </c>
      <c r="C725" s="69">
        <v>32.8986942893588</v>
      </c>
    </row>
    <row r="726">
      <c r="A726" s="62" t="s">
        <v>5304</v>
      </c>
      <c r="B726" s="63">
        <v>44375.0</v>
      </c>
      <c r="C726" s="69">
        <v>32.89822450132783</v>
      </c>
    </row>
    <row r="727">
      <c r="A727" s="62" t="s">
        <v>4951</v>
      </c>
      <c r="B727" s="63">
        <v>44313.0</v>
      </c>
      <c r="C727" s="69">
        <v>32.886066288708776</v>
      </c>
    </row>
    <row r="728">
      <c r="A728" s="62" t="s">
        <v>5238</v>
      </c>
      <c r="B728" s="63">
        <v>44285.0</v>
      </c>
      <c r="C728" s="69">
        <v>32.88126879520109</v>
      </c>
    </row>
    <row r="729">
      <c r="A729" s="62" t="s">
        <v>5751</v>
      </c>
      <c r="B729" s="63">
        <v>44357.0</v>
      </c>
      <c r="C729" s="69">
        <v>32.88099091746905</v>
      </c>
    </row>
    <row r="730">
      <c r="A730" s="62" t="s">
        <v>4270</v>
      </c>
      <c r="B730" s="63">
        <v>44163.0</v>
      </c>
      <c r="C730" s="69">
        <v>32.87903531258031</v>
      </c>
    </row>
    <row r="731">
      <c r="A731" s="62" t="s">
        <v>5959</v>
      </c>
      <c r="B731" s="63">
        <v>44333.0</v>
      </c>
      <c r="C731" s="69">
        <v>32.874993433439556</v>
      </c>
    </row>
    <row r="732">
      <c r="A732" s="62" t="s">
        <v>383</v>
      </c>
      <c r="B732" s="63">
        <v>44377.0</v>
      </c>
      <c r="C732" s="69">
        <v>32.87435101057403</v>
      </c>
    </row>
    <row r="733">
      <c r="A733" s="62" t="s">
        <v>945</v>
      </c>
      <c r="B733" s="63">
        <v>44364.0</v>
      </c>
      <c r="C733" s="69">
        <v>32.87388226017651</v>
      </c>
    </row>
    <row r="734">
      <c r="A734" s="62" t="s">
        <v>3268</v>
      </c>
      <c r="B734" s="63">
        <v>44179.0</v>
      </c>
      <c r="C734" s="69">
        <v>32.87300236853497</v>
      </c>
    </row>
    <row r="735">
      <c r="A735" s="62" t="s">
        <v>5062</v>
      </c>
      <c r="B735" s="63">
        <v>44265.0</v>
      </c>
      <c r="C735" s="69">
        <v>32.87054773876424</v>
      </c>
    </row>
    <row r="736">
      <c r="A736" s="62" t="s">
        <v>261</v>
      </c>
      <c r="B736" s="63">
        <v>44389.0</v>
      </c>
      <c r="C736" s="69">
        <v>32.866621680278215</v>
      </c>
    </row>
    <row r="737">
      <c r="A737" s="62" t="s">
        <v>3341</v>
      </c>
      <c r="B737" s="63">
        <v>44245.0</v>
      </c>
      <c r="C737" s="69">
        <v>32.86546084290411</v>
      </c>
    </row>
    <row r="738">
      <c r="A738" s="62" t="s">
        <v>6157</v>
      </c>
      <c r="B738" s="63">
        <v>44375.0</v>
      </c>
      <c r="C738" s="69">
        <v>32.85684750176682</v>
      </c>
    </row>
    <row r="739">
      <c r="A739" s="62" t="s">
        <v>148</v>
      </c>
      <c r="B739" s="63">
        <v>44391.0</v>
      </c>
      <c r="C739" s="69">
        <v>32.85615858770146</v>
      </c>
    </row>
    <row r="740">
      <c r="A740" s="62" t="s">
        <v>5274</v>
      </c>
      <c r="B740" s="63">
        <v>44299.0</v>
      </c>
      <c r="C740" s="69">
        <v>32.85385682930102</v>
      </c>
    </row>
    <row r="741">
      <c r="A741" s="62" t="s">
        <v>3705</v>
      </c>
      <c r="B741" s="63">
        <v>44194.0</v>
      </c>
      <c r="C741" s="69">
        <v>32.853790660891924</v>
      </c>
    </row>
    <row r="742">
      <c r="A742" s="62" t="s">
        <v>4271</v>
      </c>
      <c r="B742" s="63">
        <v>44217.0</v>
      </c>
      <c r="C742" s="69">
        <v>32.84949754549273</v>
      </c>
    </row>
    <row r="743">
      <c r="A743" s="62" t="s">
        <v>1071</v>
      </c>
      <c r="B743" s="63">
        <v>44376.0</v>
      </c>
      <c r="C743" s="69">
        <v>32.841252899410506</v>
      </c>
    </row>
    <row r="744">
      <c r="A744" s="62" t="s">
        <v>3528</v>
      </c>
      <c r="B744" s="63">
        <v>44162.0</v>
      </c>
      <c r="C744" s="69">
        <v>32.83768981299669</v>
      </c>
    </row>
    <row r="745">
      <c r="A745" s="62" t="s">
        <v>4175</v>
      </c>
      <c r="B745" s="63">
        <v>44237.0</v>
      </c>
      <c r="C745" s="69">
        <v>32.83584086486962</v>
      </c>
    </row>
    <row r="746">
      <c r="A746" s="62" t="s">
        <v>4964</v>
      </c>
      <c r="B746" s="63">
        <v>44260.0</v>
      </c>
      <c r="C746" s="69">
        <v>32.82751841992379</v>
      </c>
    </row>
    <row r="747">
      <c r="A747" s="62" t="s">
        <v>3272</v>
      </c>
      <c r="B747" s="63">
        <v>44105.0</v>
      </c>
      <c r="C747" s="69">
        <v>32.81882430066675</v>
      </c>
    </row>
    <row r="748">
      <c r="A748" s="62" t="s">
        <v>2379</v>
      </c>
      <c r="B748" s="63">
        <v>44378.0</v>
      </c>
      <c r="C748" s="69">
        <v>32.81329624792188</v>
      </c>
    </row>
    <row r="749">
      <c r="A749" s="62" t="s">
        <v>4312</v>
      </c>
      <c r="B749" s="63">
        <v>44080.0</v>
      </c>
      <c r="C749" s="69">
        <v>32.80956132310965</v>
      </c>
    </row>
    <row r="750">
      <c r="A750" s="62" t="s">
        <v>6641</v>
      </c>
      <c r="B750" s="63">
        <v>44349.0</v>
      </c>
      <c r="C750" s="69">
        <v>32.8079558776103</v>
      </c>
    </row>
    <row r="751">
      <c r="A751" s="62" t="s">
        <v>6448</v>
      </c>
      <c r="B751" s="63">
        <v>44376.0</v>
      </c>
      <c r="C751" s="69">
        <v>32.80091162980539</v>
      </c>
    </row>
    <row r="752">
      <c r="A752" s="62" t="s">
        <v>5957</v>
      </c>
      <c r="B752" s="63">
        <v>44334.0</v>
      </c>
      <c r="C752" s="69">
        <v>32.79071503300266</v>
      </c>
    </row>
    <row r="753">
      <c r="A753" s="62" t="s">
        <v>4639</v>
      </c>
      <c r="B753" s="63">
        <v>44271.0</v>
      </c>
      <c r="C753" s="69">
        <v>32.79069681428211</v>
      </c>
    </row>
    <row r="754">
      <c r="A754" s="62" t="s">
        <v>4909</v>
      </c>
      <c r="B754" s="63">
        <v>44293.0</v>
      </c>
      <c r="C754" s="69">
        <v>32.7901706030043</v>
      </c>
    </row>
    <row r="755">
      <c r="A755" s="62" t="s">
        <v>5310</v>
      </c>
      <c r="B755" s="63">
        <v>44368.0</v>
      </c>
      <c r="C755" s="69">
        <v>32.78578564756386</v>
      </c>
    </row>
    <row r="756">
      <c r="A756" s="62" t="s">
        <v>4064</v>
      </c>
      <c r="B756" s="63">
        <v>44230.0</v>
      </c>
      <c r="C756" s="69">
        <v>32.777354380265564</v>
      </c>
    </row>
    <row r="757">
      <c r="A757" s="62" t="s">
        <v>5534</v>
      </c>
      <c r="B757" s="63">
        <v>44366.0</v>
      </c>
      <c r="C757" s="69">
        <v>32.77656445435753</v>
      </c>
    </row>
    <row r="758">
      <c r="A758" s="62" t="s">
        <v>2576</v>
      </c>
      <c r="B758" s="63">
        <v>44393.0</v>
      </c>
      <c r="C758" s="69">
        <v>32.77649711463888</v>
      </c>
    </row>
    <row r="759">
      <c r="A759" s="62" t="s">
        <v>5954</v>
      </c>
      <c r="B759" s="63">
        <v>44323.0</v>
      </c>
      <c r="C759" s="69">
        <v>32.77580090776132</v>
      </c>
    </row>
    <row r="760">
      <c r="A760" s="62" t="s">
        <v>2356</v>
      </c>
      <c r="B760" s="63">
        <v>44383.0</v>
      </c>
      <c r="C760" s="69">
        <v>32.76862895736361</v>
      </c>
    </row>
    <row r="761">
      <c r="A761" s="62" t="s">
        <v>3219</v>
      </c>
      <c r="B761" s="63">
        <v>44210.0</v>
      </c>
      <c r="C761" s="69">
        <v>32.76741322522193</v>
      </c>
    </row>
    <row r="762">
      <c r="A762" s="62" t="s">
        <v>2910</v>
      </c>
      <c r="B762" s="63">
        <v>44212.0</v>
      </c>
      <c r="C762" s="69">
        <v>32.7673543848963</v>
      </c>
    </row>
    <row r="763">
      <c r="A763" s="62" t="s">
        <v>3870</v>
      </c>
      <c r="B763" s="63">
        <v>44224.0</v>
      </c>
      <c r="C763" s="69">
        <v>32.759581387810954</v>
      </c>
    </row>
    <row r="764">
      <c r="A764" s="62" t="s">
        <v>3703</v>
      </c>
      <c r="B764" s="63">
        <v>44225.0</v>
      </c>
      <c r="C764" s="69">
        <v>32.75776782097787</v>
      </c>
    </row>
    <row r="765">
      <c r="A765" s="62" t="s">
        <v>1163</v>
      </c>
      <c r="B765" s="63">
        <v>44368.0</v>
      </c>
      <c r="C765" s="69">
        <v>32.75185718531543</v>
      </c>
    </row>
    <row r="766">
      <c r="A766" s="62" t="s">
        <v>2791</v>
      </c>
      <c r="B766" s="63">
        <v>44223.0</v>
      </c>
      <c r="C766" s="69">
        <v>32.751392552943756</v>
      </c>
    </row>
    <row r="767">
      <c r="A767" s="62" t="s">
        <v>3399</v>
      </c>
      <c r="B767" s="63">
        <v>44107.0</v>
      </c>
      <c r="C767" s="69">
        <v>32.75084527479219</v>
      </c>
    </row>
    <row r="768">
      <c r="A768" s="62" t="s">
        <v>4054</v>
      </c>
      <c r="B768" s="63">
        <v>44088.0</v>
      </c>
      <c r="C768" s="69">
        <v>32.74178609364014</v>
      </c>
    </row>
    <row r="769">
      <c r="A769" s="62" t="s">
        <v>5271</v>
      </c>
      <c r="B769" s="63">
        <v>44312.0</v>
      </c>
      <c r="C769" s="69">
        <v>32.741461120183466</v>
      </c>
    </row>
    <row r="770">
      <c r="A770" s="62" t="s">
        <v>2925</v>
      </c>
      <c r="B770" s="63">
        <v>44160.0</v>
      </c>
      <c r="C770" s="69">
        <v>32.74100015718274</v>
      </c>
    </row>
    <row r="771">
      <c r="A771" s="62" t="s">
        <v>6609</v>
      </c>
      <c r="B771" s="63">
        <v>44370.0</v>
      </c>
      <c r="C771" s="69">
        <v>32.74063583887895</v>
      </c>
    </row>
    <row r="772">
      <c r="A772" s="62" t="s">
        <v>3953</v>
      </c>
      <c r="B772" s="63">
        <v>44200.0</v>
      </c>
      <c r="C772" s="69">
        <v>32.74009071589133</v>
      </c>
    </row>
    <row r="773">
      <c r="A773" s="62" t="s">
        <v>4140</v>
      </c>
      <c r="B773" s="63">
        <v>44218.0</v>
      </c>
      <c r="C773" s="69">
        <v>32.73740572047271</v>
      </c>
    </row>
    <row r="774">
      <c r="A774" s="62" t="s">
        <v>4329</v>
      </c>
      <c r="B774" s="63">
        <v>44251.0</v>
      </c>
      <c r="C774" s="69">
        <v>32.73576512474712</v>
      </c>
    </row>
    <row r="775">
      <c r="A775" s="62" t="s">
        <v>5951</v>
      </c>
      <c r="B775" s="63">
        <v>44323.0</v>
      </c>
      <c r="C775" s="69">
        <v>32.73216541600213</v>
      </c>
    </row>
    <row r="776">
      <c r="A776" s="62" t="s">
        <v>132</v>
      </c>
      <c r="B776" s="63">
        <v>44398.0</v>
      </c>
      <c r="C776" s="69">
        <v>32.729453793482215</v>
      </c>
    </row>
    <row r="777">
      <c r="A777" s="62" t="s">
        <v>5948</v>
      </c>
      <c r="B777" s="63">
        <v>44340.0</v>
      </c>
      <c r="C777" s="69">
        <v>32.72943799111803</v>
      </c>
    </row>
    <row r="778">
      <c r="A778" s="62" t="s">
        <v>4869</v>
      </c>
      <c r="B778" s="63">
        <v>44267.0</v>
      </c>
      <c r="C778" s="69">
        <v>32.72822524528805</v>
      </c>
    </row>
    <row r="779">
      <c r="A779" s="62" t="s">
        <v>2750</v>
      </c>
      <c r="B779" s="63">
        <v>44095.0</v>
      </c>
      <c r="C779" s="69">
        <v>32.721481153651084</v>
      </c>
    </row>
    <row r="780">
      <c r="A780" s="62" t="s">
        <v>5947</v>
      </c>
      <c r="B780" s="63">
        <v>44372.0</v>
      </c>
      <c r="C780" s="69">
        <v>32.720868382239516</v>
      </c>
    </row>
    <row r="781">
      <c r="A781" s="62" t="s">
        <v>3380</v>
      </c>
      <c r="B781" s="63">
        <v>44138.0</v>
      </c>
      <c r="C781" s="69">
        <v>32.7157936156688</v>
      </c>
    </row>
    <row r="782">
      <c r="A782" s="62" t="s">
        <v>4456</v>
      </c>
      <c r="B782" s="63">
        <v>44270.0</v>
      </c>
      <c r="C782" s="69">
        <v>32.714926150168154</v>
      </c>
    </row>
    <row r="783">
      <c r="A783" s="62" t="s">
        <v>1809</v>
      </c>
      <c r="B783" s="63">
        <v>44088.0</v>
      </c>
      <c r="C783" s="69">
        <v>32.71491645511062</v>
      </c>
    </row>
    <row r="784">
      <c r="A784" s="62" t="s">
        <v>1177</v>
      </c>
      <c r="B784" s="63">
        <v>44356.0</v>
      </c>
      <c r="C784" s="69">
        <v>32.71313123380036</v>
      </c>
    </row>
    <row r="785">
      <c r="A785" s="62" t="s">
        <v>6345</v>
      </c>
      <c r="B785" s="63">
        <v>44356.0</v>
      </c>
      <c r="C785" s="69">
        <v>32.71086708009484</v>
      </c>
    </row>
    <row r="786">
      <c r="A786" s="62" t="s">
        <v>1381</v>
      </c>
      <c r="B786" s="63">
        <v>44265.0</v>
      </c>
      <c r="C786" s="69">
        <v>32.70603533314726</v>
      </c>
    </row>
    <row r="787">
      <c r="A787" s="62" t="s">
        <v>4521</v>
      </c>
      <c r="B787" s="63">
        <v>44293.0</v>
      </c>
      <c r="C787" s="69">
        <v>32.69904442297954</v>
      </c>
    </row>
    <row r="788">
      <c r="A788" s="62" t="s">
        <v>3118</v>
      </c>
      <c r="B788" s="63">
        <v>44149.0</v>
      </c>
      <c r="C788" s="69">
        <v>32.69485426792791</v>
      </c>
    </row>
    <row r="789">
      <c r="A789" s="62" t="s">
        <v>4533</v>
      </c>
      <c r="B789" s="63">
        <v>44271.0</v>
      </c>
      <c r="C789" s="69">
        <v>32.691743581099935</v>
      </c>
    </row>
    <row r="790">
      <c r="A790" s="62" t="s">
        <v>2969</v>
      </c>
      <c r="B790" s="63">
        <v>44199.0</v>
      </c>
      <c r="C790" s="69">
        <v>32.690009527843806</v>
      </c>
    </row>
    <row r="791">
      <c r="A791" s="62" t="s">
        <v>5246</v>
      </c>
      <c r="B791" s="63">
        <v>44281.0</v>
      </c>
      <c r="C791" s="69">
        <v>32.68916280007269</v>
      </c>
    </row>
    <row r="792">
      <c r="A792" s="62" t="s">
        <v>4594</v>
      </c>
      <c r="B792" s="63">
        <v>44277.0</v>
      </c>
      <c r="C792" s="69">
        <v>32.67394782524464</v>
      </c>
    </row>
    <row r="793">
      <c r="A793" s="62" t="s">
        <v>3422</v>
      </c>
      <c r="B793" s="63">
        <v>44152.0</v>
      </c>
      <c r="C793" s="69">
        <v>32.6717822417495</v>
      </c>
    </row>
    <row r="794">
      <c r="A794" s="62" t="s">
        <v>2800</v>
      </c>
      <c r="B794" s="63">
        <v>44200.0</v>
      </c>
      <c r="C794" s="69">
        <v>32.66891111214221</v>
      </c>
    </row>
    <row r="795">
      <c r="A795" s="62" t="s">
        <v>3456</v>
      </c>
      <c r="B795" s="63">
        <v>44093.0</v>
      </c>
      <c r="C795" s="69">
        <v>32.66888904515171</v>
      </c>
    </row>
    <row r="796">
      <c r="A796" s="62" t="s">
        <v>3971</v>
      </c>
      <c r="B796" s="63">
        <v>44088.0</v>
      </c>
      <c r="C796" s="69">
        <v>32.6633365808565</v>
      </c>
    </row>
    <row r="797">
      <c r="A797" s="62" t="s">
        <v>5167</v>
      </c>
      <c r="B797" s="63">
        <v>44259.0</v>
      </c>
      <c r="C797" s="69">
        <v>32.660472448558274</v>
      </c>
    </row>
    <row r="798">
      <c r="A798" s="62" t="s">
        <v>3769</v>
      </c>
      <c r="B798" s="63">
        <v>44222.0</v>
      </c>
      <c r="C798" s="69">
        <v>32.65999552731259</v>
      </c>
    </row>
    <row r="799">
      <c r="A799" s="62" t="s">
        <v>2820</v>
      </c>
      <c r="B799" s="63">
        <v>44225.0</v>
      </c>
      <c r="C799" s="69">
        <v>32.65592913246739</v>
      </c>
    </row>
    <row r="800">
      <c r="A800" s="62" t="s">
        <v>2851</v>
      </c>
      <c r="B800" s="63">
        <v>44202.0</v>
      </c>
      <c r="C800" s="69">
        <v>32.65405573705082</v>
      </c>
    </row>
    <row r="801">
      <c r="A801" s="62" t="s">
        <v>2401</v>
      </c>
      <c r="B801" s="63">
        <v>44392.0</v>
      </c>
      <c r="C801" s="69">
        <v>32.651253216800164</v>
      </c>
    </row>
    <row r="802">
      <c r="A802" s="62" t="s">
        <v>4611</v>
      </c>
      <c r="B802" s="63">
        <v>44264.0</v>
      </c>
      <c r="C802" s="69">
        <v>32.65062620182732</v>
      </c>
    </row>
    <row r="803">
      <c r="A803" s="62" t="s">
        <v>5027</v>
      </c>
      <c r="B803" s="63">
        <v>44307.0</v>
      </c>
      <c r="C803" s="69">
        <v>32.65008352850876</v>
      </c>
    </row>
    <row r="804">
      <c r="A804" s="62" t="s">
        <v>3831</v>
      </c>
      <c r="B804" s="63">
        <v>44218.0</v>
      </c>
      <c r="C804" s="69">
        <v>32.64825474332933</v>
      </c>
    </row>
    <row r="805">
      <c r="A805" s="62" t="s">
        <v>5681</v>
      </c>
      <c r="B805" s="63">
        <v>44376.0</v>
      </c>
      <c r="C805" s="69">
        <v>32.64567594421871</v>
      </c>
    </row>
    <row r="806">
      <c r="A806" s="62" t="s">
        <v>3205</v>
      </c>
      <c r="B806" s="63">
        <v>44143.0</v>
      </c>
      <c r="C806" s="69">
        <v>32.645139223080896</v>
      </c>
    </row>
    <row r="807">
      <c r="A807" s="62" t="s">
        <v>4538</v>
      </c>
      <c r="B807" s="63">
        <v>44303.0</v>
      </c>
      <c r="C807" s="69">
        <v>32.645110432178114</v>
      </c>
    </row>
    <row r="808">
      <c r="A808" s="62" t="s">
        <v>5946</v>
      </c>
      <c r="B808" s="63">
        <v>44322.0</v>
      </c>
      <c r="C808" s="69">
        <v>32.64267576569204</v>
      </c>
    </row>
    <row r="809">
      <c r="A809" s="62" t="s">
        <v>3735</v>
      </c>
      <c r="B809" s="63">
        <v>44232.0</v>
      </c>
      <c r="C809" s="69">
        <v>32.637258987577965</v>
      </c>
    </row>
    <row r="810">
      <c r="A810" s="62" t="s">
        <v>2523</v>
      </c>
      <c r="B810" s="63">
        <v>44382.0</v>
      </c>
      <c r="C810" s="69">
        <v>32.63158632049543</v>
      </c>
    </row>
    <row r="811">
      <c r="A811" s="62" t="s">
        <v>5942</v>
      </c>
      <c r="B811" s="63">
        <v>44329.0</v>
      </c>
      <c r="C811" s="69">
        <v>32.63147396004693</v>
      </c>
    </row>
    <row r="812">
      <c r="A812" s="62" t="s">
        <v>2562</v>
      </c>
      <c r="B812" s="63">
        <v>44386.0</v>
      </c>
      <c r="C812" s="69">
        <v>32.628705173778954</v>
      </c>
    </row>
    <row r="813">
      <c r="A813" s="62" t="s">
        <v>2661</v>
      </c>
      <c r="B813" s="63">
        <v>44178.0</v>
      </c>
      <c r="C813" s="69">
        <v>32.62592594103768</v>
      </c>
    </row>
    <row r="814">
      <c r="A814" s="62" t="s">
        <v>5939</v>
      </c>
      <c r="B814" s="63">
        <v>44343.0</v>
      </c>
      <c r="C814" s="69">
        <v>32.62428220621963</v>
      </c>
    </row>
    <row r="815">
      <c r="A815" s="62" t="s">
        <v>5937</v>
      </c>
      <c r="B815" s="63">
        <v>44323.0</v>
      </c>
      <c r="C815" s="69">
        <v>32.62301637285749</v>
      </c>
    </row>
    <row r="816">
      <c r="A816" s="62" t="s">
        <v>5456</v>
      </c>
      <c r="B816" s="63">
        <v>44356.0</v>
      </c>
      <c r="C816" s="69">
        <v>32.62254279997069</v>
      </c>
    </row>
    <row r="817">
      <c r="A817" s="62" t="s">
        <v>2877</v>
      </c>
      <c r="B817" s="63">
        <v>44125.0</v>
      </c>
      <c r="C817" s="69">
        <v>32.62046273642803</v>
      </c>
    </row>
    <row r="818">
      <c r="A818" s="62" t="s">
        <v>3733</v>
      </c>
      <c r="B818" s="63">
        <v>44253.0</v>
      </c>
      <c r="C818" s="69">
        <v>32.62008248812248</v>
      </c>
    </row>
    <row r="819">
      <c r="A819" s="62" t="s">
        <v>2094</v>
      </c>
      <c r="B819" s="63">
        <v>44375.0</v>
      </c>
      <c r="C819" s="69">
        <v>32.618081969838606</v>
      </c>
    </row>
    <row r="820">
      <c r="A820" s="62" t="s">
        <v>2668</v>
      </c>
      <c r="B820" s="63">
        <v>44229.0</v>
      </c>
      <c r="C820" s="69">
        <v>32.613204574998996</v>
      </c>
    </row>
    <row r="821">
      <c r="A821" s="62" t="s">
        <v>2272</v>
      </c>
      <c r="B821" s="63">
        <v>44384.0</v>
      </c>
      <c r="C821" s="69">
        <v>32.60344588332778</v>
      </c>
    </row>
    <row r="822">
      <c r="A822" s="62" t="s">
        <v>2208</v>
      </c>
      <c r="B822" s="63">
        <v>44061.0</v>
      </c>
      <c r="C822" s="69">
        <v>32.60111884567273</v>
      </c>
    </row>
    <row r="823">
      <c r="A823" s="62" t="s">
        <v>3882</v>
      </c>
      <c r="B823" s="63">
        <v>44230.0</v>
      </c>
      <c r="C823" s="69">
        <v>32.59678752820493</v>
      </c>
    </row>
    <row r="824">
      <c r="A824" s="62" t="s">
        <v>4692</v>
      </c>
      <c r="B824" s="63">
        <v>44280.0</v>
      </c>
      <c r="C824" s="69">
        <v>32.59566935878992</v>
      </c>
    </row>
    <row r="825">
      <c r="A825" s="62" t="s">
        <v>5580</v>
      </c>
      <c r="B825" s="63">
        <v>44355.0</v>
      </c>
      <c r="C825" s="69">
        <v>32.59563267421075</v>
      </c>
    </row>
    <row r="826">
      <c r="A826" s="62" t="s">
        <v>5935</v>
      </c>
      <c r="B826" s="63">
        <v>44341.0</v>
      </c>
      <c r="C826" s="69">
        <v>32.59187248854725</v>
      </c>
    </row>
    <row r="827">
      <c r="A827" s="62" t="s">
        <v>4138</v>
      </c>
      <c r="B827" s="63">
        <v>44168.0</v>
      </c>
      <c r="C827" s="69">
        <v>32.59112305443021</v>
      </c>
    </row>
    <row r="828">
      <c r="A828" s="62" t="s">
        <v>301</v>
      </c>
      <c r="B828" s="63">
        <v>44396.0</v>
      </c>
      <c r="C828" s="69">
        <v>32.58872752479838</v>
      </c>
    </row>
    <row r="829">
      <c r="A829" s="62" t="s">
        <v>3832</v>
      </c>
      <c r="B829" s="63">
        <v>44118.0</v>
      </c>
      <c r="C829" s="69">
        <v>32.58692134494173</v>
      </c>
    </row>
    <row r="830">
      <c r="A830" s="62" t="s">
        <v>4201</v>
      </c>
      <c r="B830" s="63">
        <v>44141.0</v>
      </c>
      <c r="C830" s="69">
        <v>32.58344567859573</v>
      </c>
    </row>
    <row r="831">
      <c r="A831" s="62" t="s">
        <v>5765</v>
      </c>
      <c r="B831" s="63">
        <v>44362.0</v>
      </c>
      <c r="C831" s="69">
        <v>32.57819175590811</v>
      </c>
    </row>
    <row r="832">
      <c r="A832" s="62" t="s">
        <v>432</v>
      </c>
      <c r="B832" s="63">
        <v>44104.0</v>
      </c>
      <c r="C832" s="69">
        <v>32.57633563640497</v>
      </c>
    </row>
    <row r="833">
      <c r="A833" s="62" t="s">
        <v>4331</v>
      </c>
      <c r="B833" s="63">
        <v>44246.0</v>
      </c>
      <c r="C833" s="69">
        <v>32.57629312459488</v>
      </c>
    </row>
    <row r="834">
      <c r="A834" s="62" t="s">
        <v>5802</v>
      </c>
      <c r="B834" s="63">
        <v>44364.0</v>
      </c>
      <c r="C834" s="69">
        <v>32.57569658537024</v>
      </c>
    </row>
    <row r="835">
      <c r="A835" s="62" t="s">
        <v>3463</v>
      </c>
      <c r="B835" s="63">
        <v>44111.0</v>
      </c>
      <c r="C835" s="69">
        <v>32.57195216909858</v>
      </c>
    </row>
    <row r="836">
      <c r="A836" s="62" t="s">
        <v>4070</v>
      </c>
      <c r="B836" s="63">
        <v>44232.0</v>
      </c>
      <c r="C836" s="69">
        <v>32.57192148705862</v>
      </c>
    </row>
    <row r="837">
      <c r="A837" s="62" t="s">
        <v>3501</v>
      </c>
      <c r="B837" s="63">
        <v>44208.0</v>
      </c>
      <c r="C837" s="69">
        <v>32.56785297598229</v>
      </c>
    </row>
    <row r="838">
      <c r="A838" s="62" t="s">
        <v>2349</v>
      </c>
      <c r="B838" s="63">
        <v>44378.0</v>
      </c>
      <c r="C838" s="69">
        <v>32.565543995846376</v>
      </c>
    </row>
    <row r="839">
      <c r="A839" s="62" t="s">
        <v>4406</v>
      </c>
      <c r="B839" s="63">
        <v>44183.0</v>
      </c>
      <c r="C839" s="69">
        <v>32.53528967716176</v>
      </c>
    </row>
    <row r="840">
      <c r="A840" s="62" t="s">
        <v>2414</v>
      </c>
      <c r="B840" s="63">
        <v>44379.0</v>
      </c>
      <c r="C840" s="69">
        <v>32.528838045983065</v>
      </c>
    </row>
    <row r="841">
      <c r="A841" s="62" t="s">
        <v>6001</v>
      </c>
      <c r="B841" s="63">
        <v>44363.0</v>
      </c>
      <c r="C841" s="69">
        <v>32.527444547473756</v>
      </c>
    </row>
    <row r="842">
      <c r="A842" s="62" t="s">
        <v>5932</v>
      </c>
      <c r="B842" s="63">
        <v>44320.0</v>
      </c>
      <c r="C842" s="69">
        <v>32.52736382687963</v>
      </c>
    </row>
    <row r="843">
      <c r="A843" s="62" t="s">
        <v>2506</v>
      </c>
      <c r="B843" s="63">
        <v>44379.0</v>
      </c>
      <c r="C843" s="69">
        <v>32.52228526042393</v>
      </c>
    </row>
    <row r="844">
      <c r="A844" s="62" t="s">
        <v>5075</v>
      </c>
      <c r="B844" s="63">
        <v>44271.0</v>
      </c>
      <c r="C844" s="69">
        <v>32.5211629524979</v>
      </c>
    </row>
    <row r="845">
      <c r="A845" s="62" t="s">
        <v>2872</v>
      </c>
      <c r="B845" s="63">
        <v>44236.0</v>
      </c>
      <c r="C845" s="69">
        <v>32.51335415807179</v>
      </c>
    </row>
    <row r="846">
      <c r="A846" s="62" t="s">
        <v>3008</v>
      </c>
      <c r="B846" s="63">
        <v>44224.0</v>
      </c>
      <c r="C846" s="69">
        <v>32.51271853917153</v>
      </c>
    </row>
    <row r="847">
      <c r="A847" s="62" t="s">
        <v>146</v>
      </c>
      <c r="B847" s="63">
        <v>44062.0</v>
      </c>
      <c r="C847" s="69">
        <v>32.509756098496496</v>
      </c>
    </row>
    <row r="848">
      <c r="A848" s="62" t="s">
        <v>4396</v>
      </c>
      <c r="B848" s="63">
        <v>44166.0</v>
      </c>
      <c r="C848" s="69">
        <v>32.5095109557251</v>
      </c>
    </row>
    <row r="849">
      <c r="A849" s="62" t="s">
        <v>3841</v>
      </c>
      <c r="B849" s="63">
        <v>44231.0</v>
      </c>
      <c r="C849" s="69">
        <v>32.48952383725884</v>
      </c>
    </row>
    <row r="850">
      <c r="A850" s="62" t="s">
        <v>5853</v>
      </c>
      <c r="B850" s="63">
        <v>44349.0</v>
      </c>
      <c r="C850" s="69">
        <v>32.46643585558983</v>
      </c>
    </row>
    <row r="851">
      <c r="A851" s="62" t="s">
        <v>1396</v>
      </c>
      <c r="B851" s="63">
        <v>44070.0</v>
      </c>
      <c r="C851" s="69">
        <v>32.46499892662944</v>
      </c>
    </row>
    <row r="852">
      <c r="A852" s="62" t="s">
        <v>2348</v>
      </c>
      <c r="B852" s="63">
        <v>44382.0</v>
      </c>
      <c r="C852" s="69">
        <v>32.46137815861506</v>
      </c>
    </row>
    <row r="853">
      <c r="A853" s="62" t="s">
        <v>4726</v>
      </c>
      <c r="B853" s="63">
        <v>44294.0</v>
      </c>
      <c r="C853" s="69">
        <v>32.46061708694284</v>
      </c>
    </row>
    <row r="854">
      <c r="A854" s="62" t="s">
        <v>4195</v>
      </c>
      <c r="B854" s="63">
        <v>44229.0</v>
      </c>
      <c r="C854" s="69">
        <v>32.4592132213871</v>
      </c>
    </row>
    <row r="855">
      <c r="A855" s="62" t="s">
        <v>2673</v>
      </c>
      <c r="B855" s="63">
        <v>44133.0</v>
      </c>
      <c r="C855" s="69">
        <v>32.45910365534197</v>
      </c>
    </row>
    <row r="856">
      <c r="A856" s="62" t="s">
        <v>244</v>
      </c>
      <c r="B856" s="63">
        <v>43840.0</v>
      </c>
      <c r="C856" s="69">
        <v>32.458692946373034</v>
      </c>
    </row>
    <row r="857">
      <c r="A857" s="62" t="s">
        <v>4669</v>
      </c>
      <c r="B857" s="63">
        <v>44312.0</v>
      </c>
      <c r="C857" s="69">
        <v>32.45723546758147</v>
      </c>
    </row>
    <row r="858">
      <c r="A858" s="62" t="s">
        <v>5930</v>
      </c>
      <c r="B858" s="63">
        <v>44327.0</v>
      </c>
      <c r="C858" s="69">
        <v>32.454701913308426</v>
      </c>
    </row>
    <row r="859">
      <c r="A859" s="62" t="s">
        <v>5926</v>
      </c>
      <c r="B859" s="63">
        <v>44322.0</v>
      </c>
      <c r="C859" s="69">
        <v>32.447528995288366</v>
      </c>
    </row>
    <row r="860">
      <c r="A860" s="62" t="s">
        <v>4547</v>
      </c>
      <c r="B860" s="63">
        <v>44314.0</v>
      </c>
      <c r="C860" s="69">
        <v>32.4467227497886</v>
      </c>
    </row>
    <row r="861">
      <c r="A861" s="62" t="s">
        <v>5923</v>
      </c>
      <c r="B861" s="63">
        <v>44343.0</v>
      </c>
      <c r="C861" s="69">
        <v>32.446277496132296</v>
      </c>
    </row>
    <row r="862">
      <c r="A862" s="62" t="s">
        <v>774</v>
      </c>
      <c r="B862" s="63">
        <v>44358.0</v>
      </c>
      <c r="C862" s="69">
        <v>32.44276603951263</v>
      </c>
    </row>
    <row r="863">
      <c r="A863" s="62" t="s">
        <v>5921</v>
      </c>
      <c r="B863" s="63">
        <v>44343.0</v>
      </c>
      <c r="C863" s="69">
        <v>32.43704797696856</v>
      </c>
    </row>
    <row r="864">
      <c r="A864" s="62" t="s">
        <v>2984</v>
      </c>
      <c r="B864" s="63">
        <v>44159.0</v>
      </c>
      <c r="C864" s="69">
        <v>32.43682361519338</v>
      </c>
    </row>
    <row r="865">
      <c r="A865" s="62" t="s">
        <v>3215</v>
      </c>
      <c r="B865" s="63">
        <v>44233.0</v>
      </c>
      <c r="C865" s="69">
        <v>32.43652266645781</v>
      </c>
    </row>
    <row r="866">
      <c r="A866" s="62" t="s">
        <v>4569</v>
      </c>
      <c r="B866" s="63">
        <v>44259.0</v>
      </c>
      <c r="C866" s="69">
        <v>32.43299360452348</v>
      </c>
    </row>
    <row r="867">
      <c r="A867" s="62" t="s">
        <v>5918</v>
      </c>
      <c r="B867" s="63">
        <v>44336.0</v>
      </c>
      <c r="C867" s="69">
        <v>32.43276284543802</v>
      </c>
    </row>
    <row r="868">
      <c r="A868" s="62" t="s">
        <v>5916</v>
      </c>
      <c r="B868" s="63">
        <v>44347.0</v>
      </c>
      <c r="C868" s="69">
        <v>32.432336990286046</v>
      </c>
    </row>
    <row r="869">
      <c r="A869" s="62" t="s">
        <v>3946</v>
      </c>
      <c r="B869" s="63">
        <v>44082.0</v>
      </c>
      <c r="C869" s="69">
        <v>32.43033090501041</v>
      </c>
    </row>
    <row r="870">
      <c r="A870" s="62" t="s">
        <v>3514</v>
      </c>
      <c r="B870" s="63">
        <v>44228.0</v>
      </c>
      <c r="C870" s="69">
        <v>32.428098702443975</v>
      </c>
    </row>
    <row r="871">
      <c r="A871" s="62" t="s">
        <v>4852</v>
      </c>
      <c r="B871" s="63">
        <v>44298.0</v>
      </c>
      <c r="C871" s="69">
        <v>32.416826476319535</v>
      </c>
    </row>
    <row r="872">
      <c r="A872" s="62" t="s">
        <v>5914</v>
      </c>
      <c r="B872" s="63">
        <v>44347.0</v>
      </c>
      <c r="C872" s="69">
        <v>32.415140892649404</v>
      </c>
    </row>
    <row r="873">
      <c r="A873" s="62" t="s">
        <v>6530</v>
      </c>
      <c r="B873" s="63">
        <v>44364.0</v>
      </c>
      <c r="C873" s="69">
        <v>32.414988233525705</v>
      </c>
    </row>
    <row r="874">
      <c r="A874" s="62" t="s">
        <v>4557</v>
      </c>
      <c r="B874" s="63">
        <v>44263.0</v>
      </c>
      <c r="C874" s="69">
        <v>32.41096608287408</v>
      </c>
    </row>
    <row r="875">
      <c r="A875" s="62" t="s">
        <v>1080</v>
      </c>
      <c r="B875" s="63">
        <v>44358.0</v>
      </c>
      <c r="C875" s="69">
        <v>32.40742764430012</v>
      </c>
    </row>
    <row r="876">
      <c r="A876" s="62" t="s">
        <v>3482</v>
      </c>
      <c r="B876" s="63">
        <v>44174.0</v>
      </c>
      <c r="C876" s="69">
        <v>32.4068286685563</v>
      </c>
    </row>
    <row r="877">
      <c r="A877" s="62" t="s">
        <v>2602</v>
      </c>
      <c r="B877" s="63">
        <v>44390.0</v>
      </c>
      <c r="C877" s="69">
        <v>32.403757331774266</v>
      </c>
    </row>
    <row r="878">
      <c r="A878" s="62" t="s">
        <v>2578</v>
      </c>
      <c r="B878" s="63">
        <v>44382.0</v>
      </c>
      <c r="C878" s="69">
        <v>32.39814546518716</v>
      </c>
    </row>
    <row r="879">
      <c r="A879" s="62" t="s">
        <v>487</v>
      </c>
      <c r="B879" s="63">
        <v>44230.0</v>
      </c>
      <c r="C879" s="69">
        <v>32.39389709202602</v>
      </c>
    </row>
    <row r="880">
      <c r="A880" s="62" t="s">
        <v>4219</v>
      </c>
      <c r="B880" s="63">
        <v>44108.0</v>
      </c>
      <c r="C880" s="69">
        <v>32.390168847639686</v>
      </c>
    </row>
    <row r="881">
      <c r="A881" s="62" t="s">
        <v>5912</v>
      </c>
      <c r="B881" s="63">
        <v>44342.0</v>
      </c>
      <c r="C881" s="69">
        <v>32.389515043821845</v>
      </c>
    </row>
    <row r="882">
      <c r="A882" s="62" t="s">
        <v>3508</v>
      </c>
      <c r="B882" s="63">
        <v>44232.0</v>
      </c>
      <c r="C882" s="69">
        <v>32.389079869793356</v>
      </c>
    </row>
    <row r="883">
      <c r="A883" s="62" t="s">
        <v>2564</v>
      </c>
      <c r="B883" s="63">
        <v>44391.0</v>
      </c>
      <c r="C883" s="69">
        <v>32.38731214369452</v>
      </c>
    </row>
    <row r="884">
      <c r="A884" s="62" t="s">
        <v>4928</v>
      </c>
      <c r="B884" s="63">
        <v>44312.0</v>
      </c>
      <c r="C884" s="69">
        <v>32.384102953535454</v>
      </c>
    </row>
    <row r="885">
      <c r="A885" s="62" t="s">
        <v>5910</v>
      </c>
      <c r="B885" s="63">
        <v>44328.0</v>
      </c>
      <c r="C885" s="69">
        <v>32.37655793101403</v>
      </c>
    </row>
    <row r="886">
      <c r="A886" s="62" t="s">
        <v>5030</v>
      </c>
      <c r="B886" s="63">
        <v>44274.0</v>
      </c>
      <c r="C886" s="69">
        <v>32.37639916466433</v>
      </c>
    </row>
    <row r="887">
      <c r="A887" s="62" t="s">
        <v>5165</v>
      </c>
      <c r="B887" s="63">
        <v>44301.0</v>
      </c>
      <c r="C887" s="69">
        <v>32.37246900911919</v>
      </c>
    </row>
    <row r="888">
      <c r="A888" s="62" t="s">
        <v>2884</v>
      </c>
      <c r="B888" s="63">
        <v>44110.0</v>
      </c>
      <c r="C888" s="69">
        <v>32.366353714734934</v>
      </c>
    </row>
    <row r="889">
      <c r="A889" s="62" t="s">
        <v>5783</v>
      </c>
      <c r="B889" s="63">
        <v>44377.0</v>
      </c>
      <c r="C889" s="69">
        <v>32.3627505656121</v>
      </c>
    </row>
    <row r="890">
      <c r="A890" s="62" t="s">
        <v>2956</v>
      </c>
      <c r="B890" s="63">
        <v>44216.0</v>
      </c>
      <c r="C890" s="69">
        <v>32.362151094462625</v>
      </c>
    </row>
    <row r="891">
      <c r="A891" s="62" t="s">
        <v>3058</v>
      </c>
      <c r="B891" s="63">
        <v>44210.0</v>
      </c>
      <c r="C891" s="69">
        <v>32.360356060669105</v>
      </c>
    </row>
    <row r="892">
      <c r="A892" s="62" t="s">
        <v>2546</v>
      </c>
      <c r="B892" s="63">
        <v>44384.0</v>
      </c>
      <c r="C892" s="69">
        <v>32.353664841866234</v>
      </c>
    </row>
    <row r="893">
      <c r="A893" s="62" t="s">
        <v>5908</v>
      </c>
      <c r="B893" s="63">
        <v>44331.0</v>
      </c>
      <c r="C893" s="69">
        <v>32.35242872336396</v>
      </c>
    </row>
    <row r="894">
      <c r="A894" s="62" t="s">
        <v>2159</v>
      </c>
      <c r="B894" s="63">
        <v>44061.0</v>
      </c>
      <c r="C894" s="69">
        <v>32.35188940095925</v>
      </c>
    </row>
    <row r="895">
      <c r="A895" s="62" t="s">
        <v>4747</v>
      </c>
      <c r="B895" s="63">
        <v>44313.0</v>
      </c>
      <c r="C895" s="69">
        <v>32.351185927726355</v>
      </c>
    </row>
    <row r="896">
      <c r="A896" s="62" t="s">
        <v>4920</v>
      </c>
      <c r="B896" s="63">
        <v>44302.0</v>
      </c>
      <c r="C896" s="69">
        <v>32.349533938333046</v>
      </c>
    </row>
    <row r="897">
      <c r="A897" s="62" t="s">
        <v>1053</v>
      </c>
      <c r="B897" s="63">
        <v>44375.0</v>
      </c>
      <c r="C897" s="69">
        <v>32.34759150668915</v>
      </c>
    </row>
    <row r="898">
      <c r="A898" s="62" t="s">
        <v>5907</v>
      </c>
      <c r="B898" s="63">
        <v>44341.0</v>
      </c>
      <c r="C898" s="69">
        <v>32.34545778088713</v>
      </c>
    </row>
    <row r="899">
      <c r="A899" s="62" t="s">
        <v>2614</v>
      </c>
      <c r="B899" s="63">
        <v>44379.0</v>
      </c>
      <c r="C899" s="69">
        <v>32.34507027152319</v>
      </c>
    </row>
    <row r="900">
      <c r="A900" s="62" t="s">
        <v>5177</v>
      </c>
      <c r="B900" s="63">
        <v>44259.0</v>
      </c>
      <c r="C900" s="69">
        <v>32.3445218004197</v>
      </c>
    </row>
    <row r="901">
      <c r="A901" s="62" t="s">
        <v>2380</v>
      </c>
      <c r="B901" s="63">
        <v>44384.0</v>
      </c>
      <c r="C901" s="69">
        <v>32.34123007609133</v>
      </c>
    </row>
    <row r="902">
      <c r="A902" s="62" t="s">
        <v>5906</v>
      </c>
      <c r="B902" s="63">
        <v>44343.0</v>
      </c>
      <c r="C902" s="69">
        <v>32.34081938047077</v>
      </c>
    </row>
    <row r="903">
      <c r="A903" s="62" t="s">
        <v>2375</v>
      </c>
      <c r="B903" s="63">
        <v>44384.0</v>
      </c>
      <c r="C903" s="69">
        <v>32.34040754729583</v>
      </c>
    </row>
    <row r="904">
      <c r="A904" s="62" t="s">
        <v>5833</v>
      </c>
      <c r="B904" s="63">
        <v>44362.0</v>
      </c>
      <c r="C904" s="69">
        <v>32.338886447533966</v>
      </c>
    </row>
    <row r="905">
      <c r="A905" s="62" t="s">
        <v>5898</v>
      </c>
      <c r="B905" s="63">
        <v>44350.0</v>
      </c>
      <c r="C905" s="69">
        <v>32.33747235267377</v>
      </c>
    </row>
    <row r="906">
      <c r="A906" s="62" t="s">
        <v>2676</v>
      </c>
      <c r="B906" s="63">
        <v>44246.0</v>
      </c>
      <c r="C906" s="69">
        <v>32.33539221451702</v>
      </c>
    </row>
    <row r="907">
      <c r="A907" s="62" t="s">
        <v>2832</v>
      </c>
      <c r="B907" s="63">
        <v>44182.0</v>
      </c>
      <c r="C907" s="69">
        <v>32.333552819536635</v>
      </c>
    </row>
    <row r="908">
      <c r="A908" s="62" t="s">
        <v>4734</v>
      </c>
      <c r="B908" s="63">
        <v>44307.0</v>
      </c>
      <c r="C908" s="69">
        <v>32.32934690071522</v>
      </c>
    </row>
    <row r="909">
      <c r="A909" s="62" t="s">
        <v>6214</v>
      </c>
      <c r="B909" s="63">
        <v>44372.0</v>
      </c>
      <c r="C909" s="69">
        <v>32.3272741909209</v>
      </c>
    </row>
    <row r="910">
      <c r="A910" s="62" t="s">
        <v>1450</v>
      </c>
      <c r="B910" s="63">
        <v>44105.0</v>
      </c>
      <c r="C910" s="69">
        <v>32.3262528185481</v>
      </c>
    </row>
    <row r="911">
      <c r="A911" s="62" t="s">
        <v>4891</v>
      </c>
      <c r="B911" s="63">
        <v>44259.0</v>
      </c>
      <c r="C911" s="69">
        <v>32.32208560566579</v>
      </c>
    </row>
    <row r="912">
      <c r="A912" s="62" t="s">
        <v>4962</v>
      </c>
      <c r="B912" s="63">
        <v>44281.0</v>
      </c>
      <c r="C912" s="69">
        <v>32.31718889133826</v>
      </c>
    </row>
    <row r="913">
      <c r="A913" s="62" t="s">
        <v>328</v>
      </c>
      <c r="B913" s="63">
        <v>44363.0</v>
      </c>
      <c r="C913" s="69">
        <v>32.31589763684095</v>
      </c>
    </row>
    <row r="914">
      <c r="A914" s="62" t="s">
        <v>3316</v>
      </c>
      <c r="B914" s="63">
        <v>44100.0</v>
      </c>
      <c r="C914" s="69">
        <v>32.31520269320317</v>
      </c>
    </row>
    <row r="915">
      <c r="A915" s="62" t="s">
        <v>6427</v>
      </c>
      <c r="B915" s="63">
        <v>44371.0</v>
      </c>
      <c r="C915" s="69">
        <v>32.311226291548316</v>
      </c>
    </row>
    <row r="916">
      <c r="A916" s="62" t="s">
        <v>2180</v>
      </c>
      <c r="B916" s="63">
        <v>44070.0</v>
      </c>
      <c r="C916" s="69">
        <v>32.30977007445435</v>
      </c>
    </row>
    <row r="917">
      <c r="A917" s="62" t="s">
        <v>3574</v>
      </c>
      <c r="B917" s="63">
        <v>44235.0</v>
      </c>
      <c r="C917" s="69">
        <v>32.30943074638326</v>
      </c>
    </row>
    <row r="918">
      <c r="A918" s="62" t="s">
        <v>5905</v>
      </c>
      <c r="B918" s="63">
        <v>44335.0</v>
      </c>
      <c r="C918" s="69">
        <v>32.294566939874166</v>
      </c>
    </row>
    <row r="919">
      <c r="A919" s="62" t="s">
        <v>5058</v>
      </c>
      <c r="B919" s="63">
        <v>44280.0</v>
      </c>
      <c r="C919" s="69">
        <v>32.293934033438845</v>
      </c>
    </row>
    <row r="920">
      <c r="A920" s="62" t="s">
        <v>3460</v>
      </c>
      <c r="B920" s="63">
        <v>44224.0</v>
      </c>
      <c r="C920" s="69">
        <v>32.293688478474785</v>
      </c>
    </row>
    <row r="921">
      <c r="A921" s="62" t="s">
        <v>3468</v>
      </c>
      <c r="B921" s="63">
        <v>44221.0</v>
      </c>
      <c r="C921" s="69">
        <v>32.29288199855493</v>
      </c>
    </row>
    <row r="922">
      <c r="A922" s="62" t="s">
        <v>5903</v>
      </c>
      <c r="B922" s="63">
        <v>44319.0</v>
      </c>
      <c r="C922" s="69">
        <v>32.29066668835819</v>
      </c>
    </row>
    <row r="923">
      <c r="A923" s="62" t="s">
        <v>4134</v>
      </c>
      <c r="B923" s="63">
        <v>44203.0</v>
      </c>
      <c r="C923" s="69">
        <v>32.28952759729921</v>
      </c>
    </row>
    <row r="924">
      <c r="A924" s="62" t="s">
        <v>4556</v>
      </c>
      <c r="B924" s="63">
        <v>44262.0</v>
      </c>
      <c r="C924" s="69">
        <v>32.284055671585804</v>
      </c>
    </row>
    <row r="925">
      <c r="A925" s="62" t="s">
        <v>5900</v>
      </c>
      <c r="B925" s="63">
        <v>44336.0</v>
      </c>
      <c r="C925" s="69">
        <v>32.28257389739103</v>
      </c>
    </row>
    <row r="926">
      <c r="A926" s="62" t="s">
        <v>4633</v>
      </c>
      <c r="B926" s="63">
        <v>44284.0</v>
      </c>
      <c r="C926" s="69">
        <v>32.28140741818603</v>
      </c>
    </row>
    <row r="927">
      <c r="A927" s="62" t="s">
        <v>4750</v>
      </c>
      <c r="B927" s="63">
        <v>44273.0</v>
      </c>
      <c r="C927" s="69">
        <v>32.2808582887488</v>
      </c>
    </row>
    <row r="928">
      <c r="A928" s="62" t="s">
        <v>2402</v>
      </c>
      <c r="B928" s="63">
        <v>44378.0</v>
      </c>
      <c r="C928" s="69">
        <v>32.279139075783206</v>
      </c>
    </row>
    <row r="929">
      <c r="A929" s="62" t="s">
        <v>2907</v>
      </c>
      <c r="B929" s="63">
        <v>44235.0</v>
      </c>
      <c r="C929" s="69">
        <v>32.277230751036754</v>
      </c>
    </row>
    <row r="930">
      <c r="A930" s="62" t="s">
        <v>4799</v>
      </c>
      <c r="B930" s="63">
        <v>44279.0</v>
      </c>
      <c r="C930" s="69">
        <v>32.27465942047349</v>
      </c>
    </row>
    <row r="931">
      <c r="A931" s="62" t="s">
        <v>2482</v>
      </c>
      <c r="B931" s="63">
        <v>44382.0</v>
      </c>
      <c r="C931" s="69">
        <v>32.26977101678103</v>
      </c>
    </row>
    <row r="932">
      <c r="A932" s="62" t="s">
        <v>5892</v>
      </c>
      <c r="B932" s="63">
        <v>44335.0</v>
      </c>
      <c r="C932" s="69">
        <v>32.26958017934512</v>
      </c>
    </row>
    <row r="933">
      <c r="A933" s="62" t="s">
        <v>4536</v>
      </c>
      <c r="B933" s="63">
        <v>44281.0</v>
      </c>
      <c r="C933" s="69">
        <v>32.267269149429765</v>
      </c>
    </row>
    <row r="934">
      <c r="A934" s="62" t="s">
        <v>1719</v>
      </c>
      <c r="B934" s="63">
        <v>44169.0</v>
      </c>
      <c r="C934" s="69">
        <v>32.26643226860205</v>
      </c>
    </row>
    <row r="935">
      <c r="A935" s="62" t="s">
        <v>3454</v>
      </c>
      <c r="B935" s="63">
        <v>44153.0</v>
      </c>
      <c r="C935" s="69">
        <v>32.265834235532665</v>
      </c>
    </row>
    <row r="936">
      <c r="A936" s="62" t="s">
        <v>6335</v>
      </c>
      <c r="B936" s="63">
        <v>44355.0</v>
      </c>
      <c r="C936" s="69">
        <v>32.26547921505361</v>
      </c>
    </row>
    <row r="937">
      <c r="A937" s="62" t="s">
        <v>502</v>
      </c>
      <c r="B937" s="63">
        <v>44361.0</v>
      </c>
      <c r="C937" s="69">
        <v>32.25777945026019</v>
      </c>
    </row>
    <row r="938">
      <c r="A938" s="62" t="s">
        <v>3998</v>
      </c>
      <c r="B938" s="63">
        <v>44251.0</v>
      </c>
      <c r="C938" s="69">
        <v>32.254763969642596</v>
      </c>
    </row>
    <row r="939">
      <c r="A939" s="62" t="s">
        <v>5891</v>
      </c>
      <c r="B939" s="63">
        <v>44319.0</v>
      </c>
      <c r="C939" s="69">
        <v>32.25362816359214</v>
      </c>
    </row>
    <row r="940">
      <c r="A940" s="62" t="s">
        <v>5889</v>
      </c>
      <c r="B940" s="63">
        <v>44334.0</v>
      </c>
      <c r="C940" s="69">
        <v>32.25319397051735</v>
      </c>
    </row>
    <row r="941">
      <c r="A941" s="62" t="s">
        <v>1405</v>
      </c>
      <c r="B941" s="63">
        <v>44368.0</v>
      </c>
      <c r="C941" s="69">
        <v>32.250819036324216</v>
      </c>
    </row>
    <row r="942">
      <c r="A942" s="62" t="s">
        <v>4559</v>
      </c>
      <c r="B942" s="63">
        <v>44312.0</v>
      </c>
      <c r="C942" s="69">
        <v>32.243596009159404</v>
      </c>
    </row>
    <row r="943">
      <c r="A943" s="62" t="s">
        <v>2560</v>
      </c>
      <c r="B943" s="63">
        <v>44383.0</v>
      </c>
      <c r="C943" s="69">
        <v>32.23950855692589</v>
      </c>
    </row>
    <row r="944">
      <c r="A944" s="62" t="s">
        <v>4811</v>
      </c>
      <c r="B944" s="63">
        <v>44281.0</v>
      </c>
      <c r="C944" s="69">
        <v>32.23878838357943</v>
      </c>
    </row>
    <row r="945">
      <c r="A945" s="62" t="s">
        <v>3742</v>
      </c>
      <c r="B945" s="63">
        <v>44250.0</v>
      </c>
      <c r="C945" s="69">
        <v>32.23840267483068</v>
      </c>
    </row>
    <row r="946">
      <c r="A946" s="62" t="s">
        <v>5888</v>
      </c>
      <c r="B946" s="63">
        <v>44341.0</v>
      </c>
      <c r="C946" s="69">
        <v>32.23655441997956</v>
      </c>
    </row>
    <row r="947">
      <c r="A947" s="62" t="s">
        <v>1467</v>
      </c>
      <c r="B947" s="63">
        <v>44386.0</v>
      </c>
      <c r="C947" s="69">
        <v>32.23632261024985</v>
      </c>
    </row>
    <row r="948">
      <c r="A948" s="62" t="s">
        <v>4042</v>
      </c>
      <c r="B948" s="63">
        <v>44160.0</v>
      </c>
      <c r="C948" s="69">
        <v>32.23366257161367</v>
      </c>
    </row>
    <row r="949">
      <c r="A949" s="62" t="s">
        <v>3106</v>
      </c>
      <c r="B949" s="63">
        <v>44109.0</v>
      </c>
      <c r="C949" s="69">
        <v>32.23192242731268</v>
      </c>
    </row>
    <row r="950">
      <c r="A950" s="62" t="s">
        <v>2823</v>
      </c>
      <c r="B950" s="63">
        <v>44112.0</v>
      </c>
      <c r="C950" s="69">
        <v>32.23151797697117</v>
      </c>
    </row>
    <row r="951">
      <c r="A951" s="62" t="s">
        <v>2853</v>
      </c>
      <c r="B951" s="63">
        <v>44226.0</v>
      </c>
      <c r="C951" s="69">
        <v>32.22570040805022</v>
      </c>
    </row>
    <row r="952">
      <c r="A952" s="62" t="s">
        <v>4939</v>
      </c>
      <c r="B952" s="63">
        <v>44279.0</v>
      </c>
      <c r="C952" s="69">
        <v>32.2195118982271</v>
      </c>
    </row>
    <row r="953">
      <c r="A953" s="62" t="s">
        <v>3013</v>
      </c>
      <c r="B953" s="63">
        <v>44223.0</v>
      </c>
      <c r="C953" s="69">
        <v>32.217051314193476</v>
      </c>
    </row>
    <row r="954">
      <c r="A954" s="62" t="s">
        <v>4277</v>
      </c>
      <c r="B954" s="63">
        <v>44243.0</v>
      </c>
      <c r="C954" s="69">
        <v>32.2145209082651</v>
      </c>
    </row>
    <row r="955">
      <c r="A955" s="62" t="s">
        <v>3664</v>
      </c>
      <c r="B955" s="63">
        <v>44228.0</v>
      </c>
      <c r="C955" s="69">
        <v>32.21167213102162</v>
      </c>
    </row>
    <row r="956">
      <c r="A956" s="62" t="s">
        <v>2326</v>
      </c>
      <c r="B956" s="63">
        <v>44390.0</v>
      </c>
      <c r="C956" s="69">
        <v>32.21146173573492</v>
      </c>
    </row>
    <row r="957">
      <c r="A957" s="62" t="s">
        <v>4001</v>
      </c>
      <c r="B957" s="63">
        <v>44224.0</v>
      </c>
      <c r="C957" s="69">
        <v>32.21143184112313</v>
      </c>
    </row>
    <row r="958">
      <c r="A958" s="62" t="s">
        <v>5162</v>
      </c>
      <c r="B958" s="63">
        <v>44307.0</v>
      </c>
      <c r="C958" s="69">
        <v>32.196978317538324</v>
      </c>
    </row>
    <row r="959">
      <c r="A959" s="62" t="s">
        <v>6013</v>
      </c>
      <c r="B959" s="63">
        <v>44373.0</v>
      </c>
      <c r="C959" s="69">
        <v>32.19630870776137</v>
      </c>
    </row>
    <row r="960">
      <c r="A960" s="62" t="s">
        <v>5595</v>
      </c>
      <c r="B960" s="63">
        <v>44349.0</v>
      </c>
      <c r="C960" s="69">
        <v>32.191888160164616</v>
      </c>
    </row>
    <row r="961">
      <c r="A961" s="62" t="s">
        <v>5886</v>
      </c>
      <c r="B961" s="63">
        <v>44341.0</v>
      </c>
      <c r="C961" s="69">
        <v>32.189548976839674</v>
      </c>
    </row>
    <row r="962">
      <c r="A962" s="62" t="s">
        <v>4680</v>
      </c>
      <c r="B962" s="63">
        <v>44263.0</v>
      </c>
      <c r="C962" s="69">
        <v>32.189298537564724</v>
      </c>
    </row>
    <row r="963">
      <c r="A963" s="62" t="s">
        <v>4427</v>
      </c>
      <c r="B963" s="63">
        <v>44207.0</v>
      </c>
      <c r="C963" s="69">
        <v>32.18807474784631</v>
      </c>
    </row>
    <row r="964">
      <c r="A964" s="62" t="s">
        <v>6612</v>
      </c>
      <c r="B964" s="63">
        <v>44377.0</v>
      </c>
      <c r="C964" s="69">
        <v>32.186899884244724</v>
      </c>
    </row>
    <row r="965">
      <c r="A965" s="62" t="s">
        <v>3936</v>
      </c>
      <c r="B965" s="63">
        <v>44235.0</v>
      </c>
      <c r="C965" s="69">
        <v>32.18616518265766</v>
      </c>
    </row>
    <row r="966">
      <c r="A966" s="62" t="s">
        <v>6548</v>
      </c>
      <c r="B966" s="63">
        <v>44351.0</v>
      </c>
      <c r="C966" s="69">
        <v>32.17887012069441</v>
      </c>
    </row>
    <row r="967">
      <c r="A967" s="62" t="s">
        <v>6467</v>
      </c>
      <c r="B967" s="63">
        <v>44368.0</v>
      </c>
      <c r="C967" s="69">
        <v>32.17660023543062</v>
      </c>
    </row>
    <row r="968">
      <c r="A968" s="62" t="s">
        <v>3750</v>
      </c>
      <c r="B968" s="63">
        <v>44244.0</v>
      </c>
      <c r="C968" s="69">
        <v>32.17530452415229</v>
      </c>
    </row>
    <row r="969">
      <c r="A969" s="62" t="s">
        <v>2507</v>
      </c>
      <c r="B969" s="63">
        <v>44384.0</v>
      </c>
      <c r="C969" s="69">
        <v>32.174349382520774</v>
      </c>
    </row>
    <row r="970">
      <c r="A970" s="62" t="s">
        <v>6594</v>
      </c>
      <c r="B970" s="63">
        <v>44375.0</v>
      </c>
      <c r="C970" s="69">
        <v>32.17278176233818</v>
      </c>
    </row>
    <row r="971">
      <c r="A971" s="62" t="s">
        <v>5756</v>
      </c>
      <c r="B971" s="63">
        <v>44349.0</v>
      </c>
      <c r="C971" s="69">
        <v>32.171791305665174</v>
      </c>
    </row>
    <row r="972">
      <c r="A972" s="62" t="s">
        <v>2285</v>
      </c>
      <c r="B972" s="63">
        <v>44383.0</v>
      </c>
      <c r="C972" s="69">
        <v>32.17128315532455</v>
      </c>
    </row>
    <row r="973">
      <c r="A973" s="62" t="s">
        <v>5467</v>
      </c>
      <c r="B973" s="63">
        <v>44372.0</v>
      </c>
      <c r="C973" s="69">
        <v>32.1706234663331</v>
      </c>
    </row>
    <row r="974">
      <c r="A974" s="62" t="s">
        <v>6362</v>
      </c>
      <c r="B974" s="63">
        <v>44348.0</v>
      </c>
      <c r="C974" s="69">
        <v>32.16916075219451</v>
      </c>
    </row>
    <row r="975">
      <c r="A975" s="62" t="s">
        <v>123</v>
      </c>
      <c r="B975" s="63">
        <v>44397.0</v>
      </c>
      <c r="C975" s="69">
        <v>32.168886927505326</v>
      </c>
    </row>
    <row r="976">
      <c r="A976" s="62" t="s">
        <v>4095</v>
      </c>
      <c r="B976" s="63">
        <v>44124.0</v>
      </c>
      <c r="C976" s="69">
        <v>32.168363557320454</v>
      </c>
    </row>
    <row r="977">
      <c r="A977" s="62" t="s">
        <v>6206</v>
      </c>
      <c r="B977" s="63">
        <v>44376.0</v>
      </c>
      <c r="C977" s="69">
        <v>32.163236378314366</v>
      </c>
    </row>
    <row r="978">
      <c r="A978" s="62" t="s">
        <v>2157</v>
      </c>
      <c r="B978" s="63">
        <v>44064.0</v>
      </c>
      <c r="C978" s="69">
        <v>32.15997724069732</v>
      </c>
    </row>
    <row r="979">
      <c r="A979" s="62" t="s">
        <v>2989</v>
      </c>
      <c r="B979" s="63">
        <v>44091.0</v>
      </c>
      <c r="C979" s="69">
        <v>32.156074303290595</v>
      </c>
    </row>
    <row r="980">
      <c r="A980" s="62" t="s">
        <v>2739</v>
      </c>
      <c r="B980" s="63">
        <v>44255.0</v>
      </c>
      <c r="C980" s="69">
        <v>32.1558193030738</v>
      </c>
    </row>
    <row r="981">
      <c r="A981" s="62" t="s">
        <v>5884</v>
      </c>
      <c r="B981" s="63">
        <v>44336.0</v>
      </c>
      <c r="C981" s="69">
        <v>32.15493733083834</v>
      </c>
    </row>
    <row r="982">
      <c r="A982" s="62" t="s">
        <v>4551</v>
      </c>
      <c r="B982" s="63">
        <v>44278.0</v>
      </c>
      <c r="C982" s="69">
        <v>32.15378927793503</v>
      </c>
    </row>
    <row r="983">
      <c r="A983" s="62" t="s">
        <v>4172</v>
      </c>
      <c r="B983" s="63">
        <v>44118.0</v>
      </c>
      <c r="C983" s="69">
        <v>32.151409810032916</v>
      </c>
    </row>
    <row r="984">
      <c r="A984" s="62" t="s">
        <v>3975</v>
      </c>
      <c r="B984" s="63">
        <v>44078.0</v>
      </c>
      <c r="C984" s="69">
        <v>32.14780730378606</v>
      </c>
    </row>
    <row r="985">
      <c r="A985" s="62" t="s">
        <v>3483</v>
      </c>
      <c r="B985" s="63">
        <v>44176.0</v>
      </c>
      <c r="C985" s="69">
        <v>32.147567782341596</v>
      </c>
    </row>
    <row r="986">
      <c r="A986" s="62" t="s">
        <v>2972</v>
      </c>
      <c r="B986" s="63">
        <v>44225.0</v>
      </c>
      <c r="C986" s="69">
        <v>32.145371070695894</v>
      </c>
    </row>
    <row r="987">
      <c r="A987" s="62" t="s">
        <v>1550</v>
      </c>
      <c r="B987" s="63">
        <v>44357.0</v>
      </c>
      <c r="C987" s="69">
        <v>32.144136574572464</v>
      </c>
    </row>
    <row r="988">
      <c r="A988" s="62" t="s">
        <v>2522</v>
      </c>
      <c r="B988" s="63">
        <v>44393.0</v>
      </c>
      <c r="C988" s="69">
        <v>32.1429506070804</v>
      </c>
    </row>
    <row r="989">
      <c r="A989" s="62" t="s">
        <v>788</v>
      </c>
      <c r="B989" s="63">
        <v>44250.0</v>
      </c>
      <c r="C989" s="69">
        <v>32.14233895584918</v>
      </c>
    </row>
    <row r="990">
      <c r="A990" s="62" t="s">
        <v>2736</v>
      </c>
      <c r="B990" s="63">
        <v>44154.0</v>
      </c>
      <c r="C990" s="69">
        <v>32.13252194003114</v>
      </c>
    </row>
    <row r="991">
      <c r="A991" s="62" t="s">
        <v>3222</v>
      </c>
      <c r="B991" s="63">
        <v>44145.0</v>
      </c>
      <c r="C991" s="69">
        <v>32.13157074918012</v>
      </c>
    </row>
    <row r="992">
      <c r="A992" s="62" t="s">
        <v>1063</v>
      </c>
      <c r="B992" s="63">
        <v>44362.0</v>
      </c>
      <c r="C992" s="69">
        <v>32.128914832101074</v>
      </c>
    </row>
    <row r="993">
      <c r="A993" s="62" t="s">
        <v>5645</v>
      </c>
      <c r="B993" s="63">
        <v>44371.0</v>
      </c>
      <c r="C993" s="69">
        <v>32.12860660097476</v>
      </c>
    </row>
    <row r="994">
      <c r="A994" s="62" t="s">
        <v>609</v>
      </c>
      <c r="B994" s="63">
        <v>44358.0</v>
      </c>
      <c r="C994" s="69">
        <v>32.12390587909028</v>
      </c>
    </row>
    <row r="995">
      <c r="A995" s="62" t="s">
        <v>1523</v>
      </c>
      <c r="B995" s="63">
        <v>44144.0</v>
      </c>
      <c r="C995" s="69">
        <v>32.12104658534079</v>
      </c>
    </row>
    <row r="996">
      <c r="A996" s="62" t="s">
        <v>4037</v>
      </c>
      <c r="B996" s="63">
        <v>44118.0</v>
      </c>
      <c r="C996" s="69">
        <v>32.118423672345806</v>
      </c>
    </row>
    <row r="997">
      <c r="A997" s="62" t="s">
        <v>5882</v>
      </c>
      <c r="B997" s="63">
        <v>44330.0</v>
      </c>
      <c r="C997" s="69">
        <v>32.11828968679018</v>
      </c>
    </row>
    <row r="998">
      <c r="A998" s="62" t="s">
        <v>5055</v>
      </c>
      <c r="B998" s="63">
        <v>44308.0</v>
      </c>
      <c r="C998" s="69">
        <v>32.11656456047904</v>
      </c>
    </row>
    <row r="999">
      <c r="A999" s="62" t="s">
        <v>6543</v>
      </c>
      <c r="B999" s="63">
        <v>44375.0</v>
      </c>
      <c r="C999" s="69">
        <v>32.114582856054355</v>
      </c>
    </row>
    <row r="1000">
      <c r="A1000" s="62" t="s">
        <v>5881</v>
      </c>
      <c r="B1000" s="63">
        <v>44343.0</v>
      </c>
      <c r="C1000" s="69">
        <v>32.11423168840982</v>
      </c>
    </row>
    <row r="1001">
      <c r="A1001" s="62" t="s">
        <v>3434</v>
      </c>
      <c r="B1001" s="63">
        <v>44117.0</v>
      </c>
      <c r="C1001" s="69">
        <v>32.113493542200054</v>
      </c>
    </row>
    <row r="1002">
      <c r="A1002" s="62" t="s">
        <v>2840</v>
      </c>
      <c r="B1002" s="63">
        <v>44175.0</v>
      </c>
      <c r="C1002" s="69">
        <v>32.11284956797071</v>
      </c>
    </row>
    <row r="1003">
      <c r="A1003" s="62" t="s">
        <v>3304</v>
      </c>
      <c r="B1003" s="63">
        <v>44091.0</v>
      </c>
      <c r="C1003" s="69">
        <v>32.10687750040246</v>
      </c>
    </row>
    <row r="1004">
      <c r="A1004" s="62" t="s">
        <v>6739</v>
      </c>
      <c r="B1004" s="63">
        <v>44365.0</v>
      </c>
      <c r="C1004" s="69">
        <v>32.10343753782739</v>
      </c>
    </row>
    <row r="1005">
      <c r="A1005" s="62" t="s">
        <v>4746</v>
      </c>
      <c r="B1005" s="63">
        <v>44309.0</v>
      </c>
      <c r="C1005" s="69">
        <v>32.10308416692742</v>
      </c>
    </row>
    <row r="1006">
      <c r="A1006" s="62" t="s">
        <v>1881</v>
      </c>
      <c r="B1006" s="63">
        <v>44281.0</v>
      </c>
      <c r="C1006" s="69">
        <v>32.09456150532853</v>
      </c>
    </row>
    <row r="1007">
      <c r="A1007" s="62" t="s">
        <v>216</v>
      </c>
      <c r="B1007" s="63">
        <v>44389.0</v>
      </c>
      <c r="C1007" s="69">
        <v>32.08993268599351</v>
      </c>
    </row>
    <row r="1008">
      <c r="A1008" s="62" t="s">
        <v>5880</v>
      </c>
      <c r="B1008" s="63">
        <v>44327.0</v>
      </c>
      <c r="C1008" s="69">
        <v>32.087286297421265</v>
      </c>
    </row>
    <row r="1009">
      <c r="A1009" s="62" t="s">
        <v>5879</v>
      </c>
      <c r="B1009" s="63">
        <v>44344.0</v>
      </c>
      <c r="C1009" s="69">
        <v>32.083950819876975</v>
      </c>
    </row>
    <row r="1010">
      <c r="A1010" s="62" t="s">
        <v>4258</v>
      </c>
      <c r="B1010" s="63">
        <v>44132.0</v>
      </c>
      <c r="C1010" s="69">
        <v>32.076983529516035</v>
      </c>
    </row>
    <row r="1011">
      <c r="A1011" s="62" t="s">
        <v>4760</v>
      </c>
      <c r="B1011" s="63">
        <v>44257.0</v>
      </c>
      <c r="C1011" s="69">
        <v>32.073074018248306</v>
      </c>
    </row>
    <row r="1012">
      <c r="A1012" s="62" t="s">
        <v>2636</v>
      </c>
      <c r="B1012" s="63">
        <v>44188.0</v>
      </c>
      <c r="C1012" s="69">
        <v>32.07251912905929</v>
      </c>
    </row>
    <row r="1013">
      <c r="A1013" s="62" t="s">
        <v>3561</v>
      </c>
      <c r="B1013" s="63">
        <v>44133.0</v>
      </c>
      <c r="C1013" s="69">
        <v>32.06750751626869</v>
      </c>
    </row>
    <row r="1014">
      <c r="A1014" s="62" t="s">
        <v>2592</v>
      </c>
      <c r="B1014" s="63">
        <v>44383.0</v>
      </c>
      <c r="C1014" s="69">
        <v>32.066542692477576</v>
      </c>
    </row>
    <row r="1015">
      <c r="A1015" s="62" t="s">
        <v>909</v>
      </c>
      <c r="B1015" s="63">
        <v>44277.0</v>
      </c>
      <c r="C1015" s="69">
        <v>32.06210123942406</v>
      </c>
    </row>
    <row r="1016">
      <c r="A1016" s="62" t="s">
        <v>5878</v>
      </c>
      <c r="B1016" s="63">
        <v>44342.0</v>
      </c>
      <c r="C1016" s="69">
        <v>32.05987447350337</v>
      </c>
    </row>
    <row r="1017">
      <c r="A1017" s="62" t="s">
        <v>2950</v>
      </c>
      <c r="B1017" s="63">
        <v>44117.0</v>
      </c>
      <c r="C1017" s="69">
        <v>32.05867180720644</v>
      </c>
    </row>
    <row r="1018">
      <c r="A1018" s="62" t="s">
        <v>5877</v>
      </c>
      <c r="B1018" s="63">
        <v>44347.0</v>
      </c>
      <c r="C1018" s="69">
        <v>32.058391275505194</v>
      </c>
    </row>
    <row r="1019">
      <c r="A1019" s="62" t="s">
        <v>1312</v>
      </c>
      <c r="B1019" s="63">
        <v>44155.0</v>
      </c>
      <c r="C1019" s="69">
        <v>32.05706173912239</v>
      </c>
    </row>
    <row r="1020">
      <c r="A1020" s="62" t="s">
        <v>5876</v>
      </c>
      <c r="B1020" s="63">
        <v>44344.0</v>
      </c>
      <c r="C1020" s="69">
        <v>32.05626324193553</v>
      </c>
    </row>
    <row r="1021">
      <c r="A1021" s="62" t="s">
        <v>5875</v>
      </c>
      <c r="B1021" s="63">
        <v>44334.0</v>
      </c>
      <c r="C1021" s="69">
        <v>32.0495968562782</v>
      </c>
    </row>
    <row r="1022">
      <c r="A1022" s="62" t="s">
        <v>3021</v>
      </c>
      <c r="B1022" s="63">
        <v>44202.0</v>
      </c>
      <c r="C1022" s="69">
        <v>32.046509547121374</v>
      </c>
    </row>
    <row r="1023">
      <c r="A1023" s="62" t="s">
        <v>3693</v>
      </c>
      <c r="B1023" s="63">
        <v>44196.0</v>
      </c>
      <c r="C1023" s="69">
        <v>32.04395988770863</v>
      </c>
    </row>
    <row r="1024">
      <c r="A1024" s="62" t="s">
        <v>3195</v>
      </c>
      <c r="B1024" s="63">
        <v>44174.0</v>
      </c>
      <c r="C1024" s="69">
        <v>32.037244693146995</v>
      </c>
    </row>
    <row r="1025">
      <c r="A1025" s="62" t="s">
        <v>4832</v>
      </c>
      <c r="B1025" s="63">
        <v>44298.0</v>
      </c>
      <c r="C1025" s="69">
        <v>32.034317094959185</v>
      </c>
    </row>
    <row r="1026">
      <c r="A1026" s="62" t="s">
        <v>6140</v>
      </c>
      <c r="B1026" s="63">
        <v>44357.0</v>
      </c>
      <c r="C1026" s="69">
        <v>32.02551805937158</v>
      </c>
    </row>
    <row r="1027">
      <c r="A1027" s="62" t="s">
        <v>3433</v>
      </c>
      <c r="B1027" s="63">
        <v>44236.0</v>
      </c>
      <c r="C1027" s="69">
        <v>32.02494018123299</v>
      </c>
    </row>
    <row r="1028">
      <c r="A1028" s="62" t="s">
        <v>4541</v>
      </c>
      <c r="B1028" s="63">
        <v>44281.0</v>
      </c>
      <c r="C1028" s="69">
        <v>32.02371728616296</v>
      </c>
    </row>
    <row r="1029">
      <c r="A1029" s="62" t="s">
        <v>1146</v>
      </c>
      <c r="B1029" s="63">
        <v>44165.0</v>
      </c>
      <c r="C1029" s="69">
        <v>32.02368272877877</v>
      </c>
    </row>
    <row r="1030">
      <c r="A1030" s="62" t="s">
        <v>5874</v>
      </c>
      <c r="B1030" s="63">
        <v>44326.0</v>
      </c>
      <c r="C1030" s="69">
        <v>32.02173465037232</v>
      </c>
    </row>
    <row r="1031">
      <c r="A1031" s="62" t="s">
        <v>5873</v>
      </c>
      <c r="B1031" s="63">
        <v>44340.0</v>
      </c>
      <c r="C1031" s="69">
        <v>32.021508773684076</v>
      </c>
    </row>
    <row r="1032">
      <c r="A1032" s="62" t="s">
        <v>4993</v>
      </c>
      <c r="B1032" s="63">
        <v>44273.0</v>
      </c>
      <c r="C1032" s="69">
        <v>32.01892072217019</v>
      </c>
    </row>
    <row r="1033">
      <c r="A1033" s="62" t="s">
        <v>2695</v>
      </c>
      <c r="B1033" s="63">
        <v>44114.0</v>
      </c>
      <c r="C1033" s="69">
        <v>32.01326395670918</v>
      </c>
    </row>
    <row r="1034">
      <c r="A1034" s="62" t="s">
        <v>3788</v>
      </c>
      <c r="B1034" s="63">
        <v>44082.0</v>
      </c>
      <c r="C1034" s="69">
        <v>32.010280065701764</v>
      </c>
    </row>
    <row r="1035">
      <c r="A1035" s="62" t="s">
        <v>3307</v>
      </c>
      <c r="B1035" s="63">
        <v>44076.0</v>
      </c>
      <c r="C1035" s="69">
        <v>32.010076146412075</v>
      </c>
    </row>
    <row r="1036">
      <c r="A1036" s="62" t="s">
        <v>3777</v>
      </c>
      <c r="B1036" s="63">
        <v>44225.0</v>
      </c>
      <c r="C1036" s="69">
        <v>32.006628907948176</v>
      </c>
    </row>
    <row r="1037">
      <c r="A1037" s="62" t="s">
        <v>532</v>
      </c>
      <c r="B1037" s="63">
        <v>44231.0</v>
      </c>
      <c r="C1037" s="69">
        <v>32.004664862420285</v>
      </c>
    </row>
    <row r="1038">
      <c r="A1038" s="62" t="s">
        <v>5186</v>
      </c>
      <c r="B1038" s="63">
        <v>44286.0</v>
      </c>
      <c r="C1038" s="69">
        <v>32.00398661063254</v>
      </c>
    </row>
    <row r="1039">
      <c r="A1039" s="62" t="s">
        <v>5023</v>
      </c>
      <c r="B1039" s="63">
        <v>44312.0</v>
      </c>
      <c r="C1039" s="69">
        <v>31.99827788760124</v>
      </c>
    </row>
    <row r="1040">
      <c r="A1040" s="62" t="s">
        <v>3273</v>
      </c>
      <c r="B1040" s="63">
        <v>44225.0</v>
      </c>
      <c r="C1040" s="69">
        <v>31.994596812553134</v>
      </c>
    </row>
    <row r="1041">
      <c r="A1041" s="62" t="s">
        <v>3077</v>
      </c>
      <c r="B1041" s="63">
        <v>44222.0</v>
      </c>
      <c r="C1041" s="69">
        <v>31.991431478009478</v>
      </c>
    </row>
    <row r="1042">
      <c r="A1042" s="62" t="s">
        <v>2863</v>
      </c>
      <c r="B1042" s="63">
        <v>44236.0</v>
      </c>
      <c r="C1042" s="69">
        <v>31.986686571860012</v>
      </c>
    </row>
    <row r="1043">
      <c r="A1043" s="62" t="s">
        <v>5872</v>
      </c>
      <c r="B1043" s="63">
        <v>44327.0</v>
      </c>
      <c r="C1043" s="69">
        <v>31.985663891304945</v>
      </c>
    </row>
    <row r="1044">
      <c r="A1044" s="62" t="s">
        <v>2539</v>
      </c>
      <c r="B1044" s="63">
        <v>44378.0</v>
      </c>
      <c r="C1044" s="69">
        <v>31.983341091993978</v>
      </c>
    </row>
    <row r="1045">
      <c r="A1045" s="62" t="s">
        <v>6358</v>
      </c>
      <c r="B1045" s="63">
        <v>44376.0</v>
      </c>
      <c r="C1045" s="69">
        <v>31.982691919141402</v>
      </c>
    </row>
    <row r="1046">
      <c r="A1046" s="62" t="s">
        <v>4204</v>
      </c>
      <c r="B1046" s="63">
        <v>44195.0</v>
      </c>
      <c r="C1046" s="69">
        <v>31.979825333165827</v>
      </c>
    </row>
    <row r="1047">
      <c r="A1047" s="62" t="s">
        <v>2998</v>
      </c>
      <c r="B1047" s="63">
        <v>44151.0</v>
      </c>
      <c r="C1047" s="69">
        <v>31.979631513851</v>
      </c>
    </row>
    <row r="1048">
      <c r="A1048" s="62" t="s">
        <v>138</v>
      </c>
      <c r="B1048" s="63">
        <v>44074.0</v>
      </c>
      <c r="C1048" s="69">
        <v>31.97828064181168</v>
      </c>
    </row>
    <row r="1049">
      <c r="A1049" s="62" t="s">
        <v>4158</v>
      </c>
      <c r="B1049" s="63">
        <v>44162.0</v>
      </c>
      <c r="C1049" s="69">
        <v>31.978041400806188</v>
      </c>
    </row>
    <row r="1050">
      <c r="A1050" s="62" t="s">
        <v>5869</v>
      </c>
      <c r="B1050" s="63">
        <v>44335.0</v>
      </c>
      <c r="C1050" s="69">
        <v>31.97768080986973</v>
      </c>
    </row>
    <row r="1051">
      <c r="A1051" s="62" t="s">
        <v>5868</v>
      </c>
      <c r="B1051" s="63">
        <v>44321.0</v>
      </c>
      <c r="C1051" s="69">
        <v>31.977598942402487</v>
      </c>
    </row>
    <row r="1052">
      <c r="A1052" s="62" t="s">
        <v>1266</v>
      </c>
      <c r="B1052" s="63">
        <v>44377.0</v>
      </c>
      <c r="C1052" s="69">
        <v>31.976032350830224</v>
      </c>
    </row>
    <row r="1053">
      <c r="A1053" s="62" t="s">
        <v>5801</v>
      </c>
      <c r="B1053" s="63">
        <v>44362.0</v>
      </c>
      <c r="C1053" s="69">
        <v>31.97292602085062</v>
      </c>
    </row>
    <row r="1054">
      <c r="A1054" s="62" t="s">
        <v>5866</v>
      </c>
      <c r="B1054" s="63">
        <v>44323.0</v>
      </c>
      <c r="C1054" s="69">
        <v>31.9722273117406</v>
      </c>
    </row>
    <row r="1055">
      <c r="A1055" s="62" t="s">
        <v>1290</v>
      </c>
      <c r="B1055" s="63">
        <v>44228.0</v>
      </c>
      <c r="C1055" s="69">
        <v>31.97015932703104</v>
      </c>
    </row>
    <row r="1056">
      <c r="A1056" s="62" t="s">
        <v>5528</v>
      </c>
      <c r="B1056" s="63">
        <v>44355.0</v>
      </c>
      <c r="C1056" s="69">
        <v>31.9640517030362</v>
      </c>
    </row>
    <row r="1057">
      <c r="A1057" s="62" t="s">
        <v>3620</v>
      </c>
      <c r="B1057" s="63">
        <v>44167.0</v>
      </c>
      <c r="C1057" s="69">
        <v>31.963233364760626</v>
      </c>
    </row>
    <row r="1058">
      <c r="A1058" s="62" t="s">
        <v>2894</v>
      </c>
      <c r="B1058" s="63">
        <v>44216.0</v>
      </c>
      <c r="C1058" s="69">
        <v>31.95996829887317</v>
      </c>
    </row>
    <row r="1059">
      <c r="A1059" s="62" t="s">
        <v>3983</v>
      </c>
      <c r="B1059" s="63">
        <v>44155.0</v>
      </c>
      <c r="C1059" s="69">
        <v>31.95708932366867</v>
      </c>
    </row>
    <row r="1060">
      <c r="A1060" s="62" t="s">
        <v>5973</v>
      </c>
      <c r="B1060" s="63">
        <v>44359.0</v>
      </c>
      <c r="C1060" s="69">
        <v>31.95486751570984</v>
      </c>
    </row>
    <row r="1061">
      <c r="A1061" s="62" t="s">
        <v>2687</v>
      </c>
      <c r="B1061" s="63">
        <v>44221.0</v>
      </c>
      <c r="C1061" s="69">
        <v>31.951710633383776</v>
      </c>
    </row>
    <row r="1062">
      <c r="A1062" s="62" t="s">
        <v>3610</v>
      </c>
      <c r="B1062" s="63">
        <v>44220.0</v>
      </c>
      <c r="C1062" s="69">
        <v>31.951432955029922</v>
      </c>
    </row>
    <row r="1063">
      <c r="A1063" s="62" t="s">
        <v>3436</v>
      </c>
      <c r="B1063" s="63">
        <v>44218.0</v>
      </c>
      <c r="C1063" s="69">
        <v>31.95023681857699</v>
      </c>
    </row>
    <row r="1064">
      <c r="A1064" s="62" t="s">
        <v>5865</v>
      </c>
      <c r="B1064" s="63">
        <v>44338.0</v>
      </c>
      <c r="C1064" s="69">
        <v>31.94950485368225</v>
      </c>
    </row>
    <row r="1065">
      <c r="A1065" s="62" t="s">
        <v>3476</v>
      </c>
      <c r="B1065" s="63">
        <v>44175.0</v>
      </c>
      <c r="C1065" s="69">
        <v>31.94902048122713</v>
      </c>
    </row>
    <row r="1066">
      <c r="A1066" s="62" t="s">
        <v>5864</v>
      </c>
      <c r="B1066" s="63">
        <v>44340.0</v>
      </c>
      <c r="C1066" s="69">
        <v>31.947788096321634</v>
      </c>
    </row>
    <row r="1067">
      <c r="A1067" s="62" t="s">
        <v>5863</v>
      </c>
      <c r="B1067" s="63">
        <v>44347.0</v>
      </c>
      <c r="C1067" s="69">
        <v>31.947732652287186</v>
      </c>
    </row>
    <row r="1068">
      <c r="A1068" s="62" t="s">
        <v>3498</v>
      </c>
      <c r="B1068" s="63">
        <v>44218.0</v>
      </c>
      <c r="C1068" s="69">
        <v>31.94620566654191</v>
      </c>
    </row>
    <row r="1069">
      <c r="A1069" s="62" t="s">
        <v>4359</v>
      </c>
      <c r="B1069" s="63">
        <v>44239.0</v>
      </c>
      <c r="C1069" s="69">
        <v>31.940358490762893</v>
      </c>
    </row>
    <row r="1070">
      <c r="A1070" s="62" t="s">
        <v>5862</v>
      </c>
      <c r="B1070" s="63">
        <v>44333.0</v>
      </c>
      <c r="C1070" s="69">
        <v>31.93533211493302</v>
      </c>
    </row>
    <row r="1071">
      <c r="A1071" s="62" t="s">
        <v>5448</v>
      </c>
      <c r="B1071" s="63">
        <v>44372.0</v>
      </c>
      <c r="C1071" s="69">
        <v>31.933706545244473</v>
      </c>
    </row>
    <row r="1072">
      <c r="A1072" s="62" t="s">
        <v>5623</v>
      </c>
      <c r="B1072" s="63">
        <v>44375.0</v>
      </c>
      <c r="C1072" s="69">
        <v>31.932831451442105</v>
      </c>
    </row>
    <row r="1073">
      <c r="A1073" s="62" t="s">
        <v>1933</v>
      </c>
      <c r="B1073" s="63">
        <v>44377.0</v>
      </c>
      <c r="C1073" s="69">
        <v>31.927209391288635</v>
      </c>
    </row>
    <row r="1074">
      <c r="A1074" s="62" t="s">
        <v>5861</v>
      </c>
      <c r="B1074" s="63">
        <v>44345.0</v>
      </c>
      <c r="C1074" s="69">
        <v>31.919921943275504</v>
      </c>
    </row>
    <row r="1075">
      <c r="A1075" s="62" t="s">
        <v>3510</v>
      </c>
      <c r="B1075" s="63">
        <v>44167.0</v>
      </c>
      <c r="C1075" s="69">
        <v>31.91553267286806</v>
      </c>
    </row>
    <row r="1076">
      <c r="A1076" s="62" t="s">
        <v>4917</v>
      </c>
      <c r="B1076" s="63">
        <v>44277.0</v>
      </c>
      <c r="C1076" s="69">
        <v>31.907944754119605</v>
      </c>
    </row>
    <row r="1077">
      <c r="A1077" s="62" t="s">
        <v>5899</v>
      </c>
      <c r="B1077" s="63">
        <v>44348.0</v>
      </c>
      <c r="C1077" s="69">
        <v>31.906600967729204</v>
      </c>
    </row>
    <row r="1078">
      <c r="A1078" s="62" t="s">
        <v>3383</v>
      </c>
      <c r="B1078" s="63">
        <v>44207.0</v>
      </c>
      <c r="C1078" s="69">
        <v>31.90539390783464</v>
      </c>
    </row>
    <row r="1079">
      <c r="A1079" s="62" t="s">
        <v>5860</v>
      </c>
      <c r="B1079" s="63">
        <v>44329.0</v>
      </c>
      <c r="C1079" s="69">
        <v>31.90514648005058</v>
      </c>
    </row>
    <row r="1080">
      <c r="A1080" s="62" t="s">
        <v>6332</v>
      </c>
      <c r="B1080" s="63">
        <v>44362.0</v>
      </c>
      <c r="C1080" s="69">
        <v>31.90452579328296</v>
      </c>
    </row>
    <row r="1081">
      <c r="A1081" s="62" t="s">
        <v>4677</v>
      </c>
      <c r="B1081" s="63">
        <v>44279.0</v>
      </c>
      <c r="C1081" s="69">
        <v>31.903993032442564</v>
      </c>
    </row>
    <row r="1082">
      <c r="A1082" s="62" t="s">
        <v>2632</v>
      </c>
      <c r="B1082" s="63">
        <v>44120.0</v>
      </c>
      <c r="C1082" s="69">
        <v>31.902348489634903</v>
      </c>
    </row>
    <row r="1083">
      <c r="A1083" s="62" t="s">
        <v>2656</v>
      </c>
      <c r="B1083" s="63">
        <v>44208.0</v>
      </c>
      <c r="C1083" s="69">
        <v>31.895549931892234</v>
      </c>
    </row>
    <row r="1084">
      <c r="A1084" s="62" t="s">
        <v>5856</v>
      </c>
      <c r="B1084" s="63">
        <v>44327.0</v>
      </c>
      <c r="C1084" s="69">
        <v>31.892774294627625</v>
      </c>
    </row>
    <row r="1085">
      <c r="A1085" s="62" t="s">
        <v>6061</v>
      </c>
      <c r="B1085" s="63">
        <v>44372.0</v>
      </c>
      <c r="C1085" s="69">
        <v>31.88954720072749</v>
      </c>
    </row>
    <row r="1086">
      <c r="A1086" s="62" t="s">
        <v>5979</v>
      </c>
      <c r="B1086" s="63">
        <v>44371.0</v>
      </c>
      <c r="C1086" s="69">
        <v>31.888283194287087</v>
      </c>
    </row>
    <row r="1087">
      <c r="A1087" s="62" t="s">
        <v>3896</v>
      </c>
      <c r="B1087" s="63">
        <v>44221.0</v>
      </c>
      <c r="C1087" s="69">
        <v>31.884379279940394</v>
      </c>
    </row>
    <row r="1088">
      <c r="A1088" s="62" t="s">
        <v>5111</v>
      </c>
      <c r="B1088" s="63">
        <v>44294.0</v>
      </c>
      <c r="C1088" s="69">
        <v>31.882710230103548</v>
      </c>
    </row>
    <row r="1089">
      <c r="A1089" s="62" t="s">
        <v>5852</v>
      </c>
      <c r="B1089" s="63">
        <v>44343.0</v>
      </c>
      <c r="C1089" s="69">
        <v>31.8685391871095</v>
      </c>
    </row>
    <row r="1090">
      <c r="A1090" s="62" t="s">
        <v>5230</v>
      </c>
      <c r="B1090" s="63">
        <v>44298.0</v>
      </c>
      <c r="C1090" s="69">
        <v>31.867710460354694</v>
      </c>
    </row>
    <row r="1091">
      <c r="A1091" s="62" t="s">
        <v>4622</v>
      </c>
      <c r="B1091" s="63">
        <v>44313.0</v>
      </c>
      <c r="C1091" s="69">
        <v>31.863184799697855</v>
      </c>
    </row>
    <row r="1092">
      <c r="A1092" s="62" t="s">
        <v>2429</v>
      </c>
      <c r="B1092" s="63">
        <v>44382.0</v>
      </c>
      <c r="C1092" s="69">
        <v>31.861569053876806</v>
      </c>
    </row>
    <row r="1093">
      <c r="A1093" s="62" t="s">
        <v>4020</v>
      </c>
      <c r="B1093" s="63">
        <v>44075.0</v>
      </c>
      <c r="C1093" s="69">
        <v>31.86115723471407</v>
      </c>
    </row>
    <row r="1094">
      <c r="A1094" s="62" t="s">
        <v>4279</v>
      </c>
      <c r="B1094" s="63">
        <v>44138.0</v>
      </c>
      <c r="C1094" s="69">
        <v>31.85771319364892</v>
      </c>
    </row>
    <row r="1095">
      <c r="A1095" s="62" t="s">
        <v>4568</v>
      </c>
      <c r="B1095" s="63">
        <v>44278.0</v>
      </c>
      <c r="C1095" s="69">
        <v>31.85418737494553</v>
      </c>
    </row>
    <row r="1096">
      <c r="A1096" s="62" t="s">
        <v>2543</v>
      </c>
      <c r="B1096" s="63">
        <v>44380.0</v>
      </c>
      <c r="C1096" s="69">
        <v>31.85177905853785</v>
      </c>
    </row>
    <row r="1097">
      <c r="A1097" s="62" t="s">
        <v>4487</v>
      </c>
      <c r="B1097" s="63">
        <v>44306.0</v>
      </c>
      <c r="C1097" s="69">
        <v>31.84724355669782</v>
      </c>
    </row>
    <row r="1098">
      <c r="A1098" s="62" t="s">
        <v>5136</v>
      </c>
      <c r="B1098" s="63">
        <v>44259.0</v>
      </c>
      <c r="C1098" s="69">
        <v>31.847202926426238</v>
      </c>
    </row>
    <row r="1099">
      <c r="A1099" s="62" t="s">
        <v>4959</v>
      </c>
      <c r="B1099" s="63">
        <v>44308.0</v>
      </c>
      <c r="C1099" s="69">
        <v>31.84591589990001</v>
      </c>
    </row>
    <row r="1100">
      <c r="A1100" s="62" t="s">
        <v>5850</v>
      </c>
      <c r="B1100" s="63">
        <v>44322.0</v>
      </c>
      <c r="C1100" s="69">
        <v>31.845325576486943</v>
      </c>
    </row>
    <row r="1101">
      <c r="A1101" s="62" t="s">
        <v>2734</v>
      </c>
      <c r="B1101" s="63">
        <v>44204.0</v>
      </c>
      <c r="C1101" s="69">
        <v>31.842966656851015</v>
      </c>
    </row>
    <row r="1102">
      <c r="A1102" s="62" t="s">
        <v>4315</v>
      </c>
      <c r="B1102" s="63">
        <v>44204.0</v>
      </c>
      <c r="C1102" s="69">
        <v>31.84071170694122</v>
      </c>
    </row>
    <row r="1103">
      <c r="A1103" s="62" t="s">
        <v>2478</v>
      </c>
      <c r="B1103" s="63">
        <v>44379.0</v>
      </c>
      <c r="C1103" s="69">
        <v>31.84025781054737</v>
      </c>
    </row>
    <row r="1104">
      <c r="A1104" s="62" t="s">
        <v>2759</v>
      </c>
      <c r="B1104" s="63">
        <v>44250.0</v>
      </c>
      <c r="C1104" s="69">
        <v>31.836964533083858</v>
      </c>
    </row>
    <row r="1105">
      <c r="A1105" s="62" t="s">
        <v>5849</v>
      </c>
      <c r="B1105" s="63">
        <v>44328.0</v>
      </c>
      <c r="C1105" s="69">
        <v>31.83171758395046</v>
      </c>
    </row>
    <row r="1106">
      <c r="A1106" s="62" t="s">
        <v>4948</v>
      </c>
      <c r="B1106" s="63">
        <v>44284.0</v>
      </c>
      <c r="C1106" s="69">
        <v>31.831348574663785</v>
      </c>
    </row>
    <row r="1107">
      <c r="A1107" s="62" t="s">
        <v>5680</v>
      </c>
      <c r="B1107" s="63">
        <v>44370.0</v>
      </c>
      <c r="C1107" s="69">
        <v>31.830429362510895</v>
      </c>
    </row>
    <row r="1108">
      <c r="A1108" s="62" t="s">
        <v>5848</v>
      </c>
      <c r="B1108" s="63">
        <v>44336.0</v>
      </c>
      <c r="C1108" s="69">
        <v>31.82957181170961</v>
      </c>
    </row>
    <row r="1109">
      <c r="A1109" s="62" t="s">
        <v>646</v>
      </c>
      <c r="B1109" s="63">
        <v>44281.0</v>
      </c>
      <c r="C1109" s="69">
        <v>31.827533449467566</v>
      </c>
    </row>
    <row r="1110">
      <c r="A1110" s="62" t="s">
        <v>6557</v>
      </c>
      <c r="B1110" s="63">
        <v>44376.0</v>
      </c>
      <c r="C1110" s="69">
        <v>31.825138112454468</v>
      </c>
    </row>
    <row r="1111">
      <c r="A1111" s="62" t="s">
        <v>5715</v>
      </c>
      <c r="B1111" s="63">
        <v>44358.0</v>
      </c>
      <c r="C1111" s="69">
        <v>31.824665381536903</v>
      </c>
    </row>
    <row r="1112">
      <c r="A1112" s="62" t="s">
        <v>179</v>
      </c>
      <c r="B1112" s="63">
        <v>44384.0</v>
      </c>
      <c r="C1112" s="69">
        <v>31.82278750991013</v>
      </c>
    </row>
    <row r="1113">
      <c r="A1113" s="62" t="s">
        <v>2064</v>
      </c>
      <c r="B1113" s="63">
        <v>44158.0</v>
      </c>
      <c r="C1113" s="69">
        <v>31.820740884600454</v>
      </c>
    </row>
    <row r="1114">
      <c r="A1114" s="62" t="s">
        <v>2537</v>
      </c>
      <c r="B1114" s="63">
        <v>44383.0</v>
      </c>
      <c r="C1114" s="69">
        <v>31.815439261275884</v>
      </c>
    </row>
    <row r="1115">
      <c r="A1115" s="62" t="s">
        <v>4919</v>
      </c>
      <c r="B1115" s="63">
        <v>44270.0</v>
      </c>
      <c r="C1115" s="69">
        <v>31.805877181006288</v>
      </c>
    </row>
    <row r="1116">
      <c r="A1116" s="62" t="s">
        <v>5847</v>
      </c>
      <c r="B1116" s="63">
        <v>44341.0</v>
      </c>
      <c r="C1116" s="69">
        <v>31.801418902977225</v>
      </c>
    </row>
    <row r="1117">
      <c r="A1117" s="62" t="s">
        <v>2278</v>
      </c>
      <c r="B1117" s="63">
        <v>44386.0</v>
      </c>
      <c r="C1117" s="69">
        <v>31.797747628436824</v>
      </c>
    </row>
    <row r="1118">
      <c r="A1118" s="62" t="s">
        <v>3800</v>
      </c>
      <c r="B1118" s="63">
        <v>44118.0</v>
      </c>
      <c r="C1118" s="69">
        <v>31.79678400068971</v>
      </c>
    </row>
    <row r="1119">
      <c r="A1119" s="62" t="s">
        <v>5844</v>
      </c>
      <c r="B1119" s="63">
        <v>44320.0</v>
      </c>
      <c r="C1119" s="69">
        <v>31.79457624913587</v>
      </c>
    </row>
    <row r="1120">
      <c r="A1120" s="62" t="s">
        <v>4748</v>
      </c>
      <c r="B1120" s="63">
        <v>44265.0</v>
      </c>
      <c r="C1120" s="69">
        <v>31.78763447042801</v>
      </c>
    </row>
    <row r="1121">
      <c r="A1121" s="62" t="s">
        <v>5268</v>
      </c>
      <c r="B1121" s="63">
        <v>44293.0</v>
      </c>
      <c r="C1121" s="69">
        <v>31.784153293571258</v>
      </c>
    </row>
    <row r="1122">
      <c r="A1122" s="62" t="s">
        <v>6387</v>
      </c>
      <c r="B1122" s="63">
        <v>44357.0</v>
      </c>
      <c r="C1122" s="69">
        <v>31.78107123224086</v>
      </c>
    </row>
    <row r="1123">
      <c r="A1123" s="62" t="s">
        <v>3726</v>
      </c>
      <c r="B1123" s="63">
        <v>44099.0</v>
      </c>
      <c r="C1123" s="69">
        <v>31.776595410439175</v>
      </c>
    </row>
    <row r="1124">
      <c r="A1124" s="62" t="s">
        <v>4046</v>
      </c>
      <c r="B1124" s="63">
        <v>44144.0</v>
      </c>
      <c r="C1124" s="69">
        <v>31.774926307617008</v>
      </c>
    </row>
    <row r="1125">
      <c r="A1125" s="62" t="s">
        <v>4061</v>
      </c>
      <c r="B1125" s="63">
        <v>44201.0</v>
      </c>
      <c r="C1125" s="69">
        <v>31.771748862756436</v>
      </c>
    </row>
    <row r="1126">
      <c r="A1126" s="62" t="s">
        <v>669</v>
      </c>
      <c r="B1126" s="63">
        <v>44378.0</v>
      </c>
      <c r="C1126" s="69">
        <v>31.76824546813636</v>
      </c>
    </row>
    <row r="1127">
      <c r="A1127" s="62" t="s">
        <v>2848</v>
      </c>
      <c r="B1127" s="63">
        <v>44082.0</v>
      </c>
      <c r="C1127" s="69">
        <v>31.7644027371512</v>
      </c>
    </row>
    <row r="1128">
      <c r="A1128" s="62" t="s">
        <v>6482</v>
      </c>
      <c r="B1128" s="63">
        <v>44376.0</v>
      </c>
      <c r="C1128" s="69">
        <v>31.76206500938899</v>
      </c>
    </row>
    <row r="1129">
      <c r="A1129" s="62" t="s">
        <v>4826</v>
      </c>
      <c r="B1129" s="63">
        <v>44274.0</v>
      </c>
      <c r="C1129" s="69">
        <v>31.758121596841804</v>
      </c>
    </row>
    <row r="1130">
      <c r="A1130" s="62" t="s">
        <v>3571</v>
      </c>
      <c r="B1130" s="63">
        <v>44182.0</v>
      </c>
      <c r="C1130" s="69">
        <v>31.754217726396217</v>
      </c>
    </row>
    <row r="1131">
      <c r="A1131" s="62" t="s">
        <v>2495</v>
      </c>
      <c r="B1131" s="63">
        <v>44379.0</v>
      </c>
      <c r="C1131" s="69">
        <v>31.75289793148079</v>
      </c>
    </row>
    <row r="1132">
      <c r="A1132" s="62" t="s">
        <v>456</v>
      </c>
      <c r="B1132" s="63">
        <v>44114.0</v>
      </c>
      <c r="C1132" s="69">
        <v>31.751898775149286</v>
      </c>
    </row>
    <row r="1133">
      <c r="A1133" s="62" t="s">
        <v>2773</v>
      </c>
      <c r="B1133" s="63">
        <v>44175.0</v>
      </c>
      <c r="C1133" s="69">
        <v>31.750601047954845</v>
      </c>
    </row>
    <row r="1134">
      <c r="A1134" s="62" t="s">
        <v>4592</v>
      </c>
      <c r="B1134" s="63">
        <v>44287.0</v>
      </c>
      <c r="C1134" s="69">
        <v>31.75055948372645</v>
      </c>
    </row>
    <row r="1135">
      <c r="A1135" s="62" t="s">
        <v>5843</v>
      </c>
      <c r="B1135" s="63">
        <v>44321.0</v>
      </c>
      <c r="C1135" s="69">
        <v>31.74831173736817</v>
      </c>
    </row>
    <row r="1136">
      <c r="A1136" s="62" t="s">
        <v>2536</v>
      </c>
      <c r="B1136" s="63">
        <v>44383.0</v>
      </c>
      <c r="C1136" s="69">
        <v>31.745333729459965</v>
      </c>
    </row>
    <row r="1137">
      <c r="A1137" s="62" t="s">
        <v>1667</v>
      </c>
      <c r="B1137" s="63">
        <v>44370.0</v>
      </c>
      <c r="C1137" s="69">
        <v>31.74337270646776</v>
      </c>
    </row>
    <row r="1138">
      <c r="A1138" s="62" t="s">
        <v>5842</v>
      </c>
      <c r="B1138" s="63">
        <v>44347.0</v>
      </c>
      <c r="C1138" s="69">
        <v>31.74126560727132</v>
      </c>
    </row>
    <row r="1139">
      <c r="A1139" s="62" t="s">
        <v>5837</v>
      </c>
      <c r="B1139" s="63">
        <v>44326.0</v>
      </c>
      <c r="C1139" s="69">
        <v>31.73705553610393</v>
      </c>
    </row>
    <row r="1140">
      <c r="A1140" s="62" t="s">
        <v>5295</v>
      </c>
      <c r="B1140" s="63">
        <v>44376.0</v>
      </c>
      <c r="C1140" s="69">
        <v>31.73492413094584</v>
      </c>
    </row>
    <row r="1141">
      <c r="A1141" s="62" t="s">
        <v>3469</v>
      </c>
      <c r="B1141" s="63">
        <v>44244.0</v>
      </c>
      <c r="C1141" s="69">
        <v>31.733939723140104</v>
      </c>
    </row>
    <row r="1142">
      <c r="A1142" s="62" t="s">
        <v>1773</v>
      </c>
      <c r="B1142" s="63">
        <v>44111.0</v>
      </c>
      <c r="C1142" s="69">
        <v>31.733304615676072</v>
      </c>
    </row>
    <row r="1143">
      <c r="A1143" s="62" t="s">
        <v>2336</v>
      </c>
      <c r="B1143" s="63">
        <v>44378.0</v>
      </c>
      <c r="C1143" s="69">
        <v>31.727215514813174</v>
      </c>
    </row>
    <row r="1144">
      <c r="A1144" s="62" t="s">
        <v>3165</v>
      </c>
      <c r="B1144" s="63">
        <v>44111.0</v>
      </c>
      <c r="C1144" s="69">
        <v>31.723538472781346</v>
      </c>
    </row>
    <row r="1145">
      <c r="A1145" s="62" t="s">
        <v>3318</v>
      </c>
      <c r="B1145" s="63">
        <v>44104.0</v>
      </c>
      <c r="C1145" s="69">
        <v>31.72160912697779</v>
      </c>
    </row>
    <row r="1146">
      <c r="A1146" s="62" t="s">
        <v>5835</v>
      </c>
      <c r="B1146" s="63">
        <v>44319.0</v>
      </c>
      <c r="C1146" s="69">
        <v>31.719799301891094</v>
      </c>
    </row>
    <row r="1147">
      <c r="A1147" s="62" t="s">
        <v>4380</v>
      </c>
      <c r="B1147" s="63">
        <v>44137.0</v>
      </c>
      <c r="C1147" s="69">
        <v>31.719799294175466</v>
      </c>
    </row>
    <row r="1148">
      <c r="A1148" s="62" t="s">
        <v>4833</v>
      </c>
      <c r="B1148" s="63">
        <v>44307.0</v>
      </c>
      <c r="C1148" s="69">
        <v>31.71847388134062</v>
      </c>
    </row>
    <row r="1149">
      <c r="A1149" s="62" t="s">
        <v>3754</v>
      </c>
      <c r="B1149" s="63">
        <v>44233.0</v>
      </c>
      <c r="C1149" s="69">
        <v>31.713714303848946</v>
      </c>
    </row>
    <row r="1150">
      <c r="A1150" s="62" t="s">
        <v>5834</v>
      </c>
      <c r="B1150" s="63">
        <v>44328.0</v>
      </c>
      <c r="C1150" s="69">
        <v>31.712533600893657</v>
      </c>
    </row>
    <row r="1151">
      <c r="A1151" s="62" t="s">
        <v>4051</v>
      </c>
      <c r="B1151" s="63">
        <v>44188.0</v>
      </c>
      <c r="C1151" s="69">
        <v>31.71031895243036</v>
      </c>
    </row>
    <row r="1152">
      <c r="A1152" s="62" t="s">
        <v>6401</v>
      </c>
      <c r="B1152" s="63">
        <v>44361.0</v>
      </c>
      <c r="C1152" s="69">
        <v>31.709414878554814</v>
      </c>
    </row>
    <row r="1153">
      <c r="A1153" s="62" t="s">
        <v>2890</v>
      </c>
      <c r="B1153" s="63">
        <v>44200.0</v>
      </c>
      <c r="C1153" s="69">
        <v>31.70466976710481</v>
      </c>
    </row>
    <row r="1154">
      <c r="A1154" s="62" t="s">
        <v>5152</v>
      </c>
      <c r="B1154" s="63">
        <v>44309.0</v>
      </c>
      <c r="C1154" s="69">
        <v>31.70327603505072</v>
      </c>
    </row>
    <row r="1155">
      <c r="A1155" s="62" t="s">
        <v>2424</v>
      </c>
      <c r="B1155" s="63">
        <v>44378.0</v>
      </c>
      <c r="C1155" s="69">
        <v>31.701808323039756</v>
      </c>
    </row>
    <row r="1156">
      <c r="A1156" s="62" t="s">
        <v>4121</v>
      </c>
      <c r="B1156" s="63">
        <v>44223.0</v>
      </c>
      <c r="C1156" s="69">
        <v>31.698847359944516</v>
      </c>
    </row>
    <row r="1157">
      <c r="A1157" s="62" t="s">
        <v>5832</v>
      </c>
      <c r="B1157" s="63">
        <v>44323.0</v>
      </c>
      <c r="C1157" s="69">
        <v>31.692270057751468</v>
      </c>
    </row>
    <row r="1158">
      <c r="A1158" s="62" t="s">
        <v>5831</v>
      </c>
      <c r="B1158" s="63">
        <v>44326.0</v>
      </c>
      <c r="C1158" s="69">
        <v>31.68802805773037</v>
      </c>
    </row>
    <row r="1159">
      <c r="A1159" s="62" t="s">
        <v>2256</v>
      </c>
      <c r="B1159" s="63">
        <v>44070.0</v>
      </c>
      <c r="C1159" s="69">
        <v>31.687875744514233</v>
      </c>
    </row>
    <row r="1160">
      <c r="A1160" s="62" t="s">
        <v>162</v>
      </c>
      <c r="B1160" s="63">
        <v>44399.0</v>
      </c>
      <c r="C1160" s="69">
        <v>31.68722955892101</v>
      </c>
    </row>
    <row r="1161">
      <c r="A1161" s="62" t="s">
        <v>2799</v>
      </c>
      <c r="B1161" s="63">
        <v>44236.0</v>
      </c>
      <c r="C1161" s="69">
        <v>31.687106397175377</v>
      </c>
    </row>
    <row r="1162">
      <c r="A1162" s="62" t="s">
        <v>2392</v>
      </c>
      <c r="B1162" s="63">
        <v>44392.0</v>
      </c>
      <c r="C1162" s="69">
        <v>31.68229638259311</v>
      </c>
    </row>
    <row r="1163">
      <c r="A1163" s="62" t="s">
        <v>5828</v>
      </c>
      <c r="B1163" s="63">
        <v>44343.0</v>
      </c>
      <c r="C1163" s="69">
        <v>31.68223431601167</v>
      </c>
    </row>
    <row r="1164">
      <c r="A1164" s="62" t="s">
        <v>5969</v>
      </c>
      <c r="B1164" s="63">
        <v>44376.0</v>
      </c>
      <c r="C1164" s="69">
        <v>31.677040354269664</v>
      </c>
    </row>
    <row r="1165">
      <c r="A1165" s="62" t="s">
        <v>4623</v>
      </c>
      <c r="B1165" s="63">
        <v>44274.0</v>
      </c>
      <c r="C1165" s="69">
        <v>31.670078071196514</v>
      </c>
    </row>
    <row r="1166">
      <c r="A1166" s="62" t="s">
        <v>4244</v>
      </c>
      <c r="B1166" s="63">
        <v>44174.0</v>
      </c>
      <c r="C1166" s="69">
        <v>31.667933500506944</v>
      </c>
    </row>
    <row r="1167">
      <c r="A1167" s="62" t="s">
        <v>6021</v>
      </c>
      <c r="B1167" s="63">
        <v>44353.0</v>
      </c>
      <c r="C1167" s="69">
        <v>31.6631229232982</v>
      </c>
    </row>
    <row r="1168">
      <c r="A1168" s="62" t="s">
        <v>2150</v>
      </c>
      <c r="B1168" s="63">
        <v>44074.0</v>
      </c>
      <c r="C1168" s="69">
        <v>31.660969287989754</v>
      </c>
    </row>
    <row r="1169">
      <c r="A1169" s="62" t="s">
        <v>4511</v>
      </c>
      <c r="B1169" s="63">
        <v>44298.0</v>
      </c>
      <c r="C1169" s="69">
        <v>31.6599512181649</v>
      </c>
    </row>
    <row r="1170">
      <c r="A1170" s="62" t="s">
        <v>4022</v>
      </c>
      <c r="B1170" s="63">
        <v>44106.0</v>
      </c>
      <c r="C1170" s="69">
        <v>31.658565475780666</v>
      </c>
    </row>
    <row r="1171">
      <c r="A1171" s="62" t="s">
        <v>5826</v>
      </c>
      <c r="B1171" s="63">
        <v>44327.0</v>
      </c>
      <c r="C1171" s="69">
        <v>31.657653613151084</v>
      </c>
    </row>
    <row r="1172">
      <c r="A1172" s="62" t="s">
        <v>3250</v>
      </c>
      <c r="B1172" s="63">
        <v>44100.0</v>
      </c>
      <c r="C1172" s="69">
        <v>31.654630146887236</v>
      </c>
    </row>
    <row r="1173">
      <c r="A1173" s="62" t="s">
        <v>5823</v>
      </c>
      <c r="B1173" s="63">
        <v>44321.0</v>
      </c>
      <c r="C1173" s="69">
        <v>31.65377728217607</v>
      </c>
    </row>
    <row r="1174">
      <c r="A1174" s="62" t="s">
        <v>4838</v>
      </c>
      <c r="B1174" s="63">
        <v>44281.0</v>
      </c>
      <c r="C1174" s="69">
        <v>31.64956856411324</v>
      </c>
    </row>
    <row r="1175">
      <c r="A1175" s="62" t="s">
        <v>3957</v>
      </c>
      <c r="B1175" s="63">
        <v>44235.0</v>
      </c>
      <c r="C1175" s="69">
        <v>31.64796226871978</v>
      </c>
    </row>
    <row r="1176">
      <c r="A1176" s="62" t="s">
        <v>6515</v>
      </c>
      <c r="B1176" s="63">
        <v>44354.0</v>
      </c>
      <c r="C1176" s="69">
        <v>31.643053571345018</v>
      </c>
    </row>
    <row r="1177">
      <c r="A1177" s="62" t="s">
        <v>6441</v>
      </c>
      <c r="B1177" s="63">
        <v>44375.0</v>
      </c>
      <c r="C1177" s="69">
        <v>31.64085054536537</v>
      </c>
    </row>
    <row r="1178">
      <c r="A1178" s="62" t="s">
        <v>3658</v>
      </c>
      <c r="B1178" s="63">
        <v>44207.0</v>
      </c>
      <c r="C1178" s="69">
        <v>31.63058970798836</v>
      </c>
    </row>
    <row r="1179">
      <c r="A1179" s="62" t="s">
        <v>2148</v>
      </c>
      <c r="B1179" s="63">
        <v>44061.0</v>
      </c>
      <c r="C1179" s="69">
        <v>31.62969979667711</v>
      </c>
    </row>
    <row r="1180">
      <c r="A1180" s="62" t="s">
        <v>6377</v>
      </c>
      <c r="B1180" s="63">
        <v>44377.0</v>
      </c>
      <c r="C1180" s="69">
        <v>31.62418908210845</v>
      </c>
    </row>
    <row r="1181">
      <c r="A1181" s="62" t="s">
        <v>5471</v>
      </c>
      <c r="B1181" s="63">
        <v>44350.0</v>
      </c>
      <c r="C1181" s="69">
        <v>31.623211779234968</v>
      </c>
    </row>
    <row r="1182">
      <c r="A1182" s="62" t="s">
        <v>4906</v>
      </c>
      <c r="B1182" s="63">
        <v>44273.0</v>
      </c>
      <c r="C1182" s="69">
        <v>31.620602691573456</v>
      </c>
    </row>
    <row r="1183">
      <c r="A1183" s="62" t="s">
        <v>5822</v>
      </c>
      <c r="B1183" s="63">
        <v>44321.0</v>
      </c>
      <c r="C1183" s="69">
        <v>31.620226112917067</v>
      </c>
    </row>
    <row r="1184">
      <c r="A1184" s="62" t="s">
        <v>2075</v>
      </c>
      <c r="B1184" s="63">
        <v>44186.0</v>
      </c>
      <c r="C1184" s="69">
        <v>31.61387935578962</v>
      </c>
    </row>
    <row r="1185">
      <c r="A1185" s="62" t="s">
        <v>2563</v>
      </c>
      <c r="B1185" s="63">
        <v>44387.0</v>
      </c>
      <c r="C1185" s="69">
        <v>31.612399737165163</v>
      </c>
    </row>
    <row r="1186">
      <c r="A1186" s="62" t="s">
        <v>3858</v>
      </c>
      <c r="B1186" s="63">
        <v>44179.0</v>
      </c>
      <c r="C1186" s="69">
        <v>31.610029382112693</v>
      </c>
    </row>
    <row r="1187">
      <c r="A1187" s="62" t="s">
        <v>5821</v>
      </c>
      <c r="B1187" s="63">
        <v>44341.0</v>
      </c>
      <c r="C1187" s="69">
        <v>31.609639584340798</v>
      </c>
    </row>
    <row r="1188">
      <c r="A1188" s="62" t="s">
        <v>3702</v>
      </c>
      <c r="B1188" s="63">
        <v>44236.0</v>
      </c>
      <c r="C1188" s="69">
        <v>31.604474931917164</v>
      </c>
    </row>
    <row r="1189">
      <c r="A1189" s="62" t="s">
        <v>6658</v>
      </c>
      <c r="B1189" s="63">
        <v>44348.0</v>
      </c>
      <c r="C1189" s="69">
        <v>31.601696068779866</v>
      </c>
    </row>
    <row r="1190">
      <c r="A1190" s="62" t="s">
        <v>5817</v>
      </c>
      <c r="B1190" s="63">
        <v>44336.0</v>
      </c>
      <c r="C1190" s="69">
        <v>31.600516828716447</v>
      </c>
    </row>
    <row r="1191">
      <c r="A1191" s="62" t="s">
        <v>3489</v>
      </c>
      <c r="B1191" s="63">
        <v>44082.0</v>
      </c>
      <c r="C1191" s="69">
        <v>31.600340157293658</v>
      </c>
    </row>
    <row r="1192">
      <c r="A1192" s="62" t="s">
        <v>2458</v>
      </c>
      <c r="B1192" s="63">
        <v>44386.0</v>
      </c>
      <c r="C1192" s="69">
        <v>31.597674498012132</v>
      </c>
    </row>
    <row r="1193">
      <c r="A1193" s="62" t="s">
        <v>5818</v>
      </c>
      <c r="B1193" s="63">
        <v>44351.0</v>
      </c>
      <c r="C1193" s="69">
        <v>31.596684495555873</v>
      </c>
    </row>
    <row r="1194">
      <c r="A1194" s="62" t="s">
        <v>300</v>
      </c>
      <c r="B1194" s="63">
        <v>44235.0</v>
      </c>
      <c r="C1194" s="69">
        <v>31.59603906408566</v>
      </c>
    </row>
    <row r="1195">
      <c r="A1195" s="62" t="s">
        <v>2965</v>
      </c>
      <c r="B1195" s="63">
        <v>44154.0</v>
      </c>
      <c r="C1195" s="69">
        <v>31.595949201555058</v>
      </c>
    </row>
    <row r="1196">
      <c r="A1196" s="62" t="s">
        <v>6317</v>
      </c>
      <c r="B1196" s="63">
        <v>44371.0</v>
      </c>
      <c r="C1196" s="69">
        <v>31.593558600270264</v>
      </c>
    </row>
    <row r="1197">
      <c r="A1197" s="62" t="s">
        <v>3160</v>
      </c>
      <c r="B1197" s="63">
        <v>44215.0</v>
      </c>
      <c r="C1197" s="69">
        <v>31.59212752611753</v>
      </c>
    </row>
    <row r="1198">
      <c r="A1198" s="62" t="s">
        <v>5814</v>
      </c>
      <c r="B1198" s="63">
        <v>44337.0</v>
      </c>
      <c r="C1198" s="69">
        <v>31.588779902070634</v>
      </c>
    </row>
    <row r="1199">
      <c r="A1199" s="62" t="s">
        <v>5804</v>
      </c>
      <c r="B1199" s="63">
        <v>44371.0</v>
      </c>
      <c r="C1199" s="69">
        <v>31.58320885532821</v>
      </c>
    </row>
    <row r="1200">
      <c r="A1200" s="62" t="s">
        <v>4910</v>
      </c>
      <c r="B1200" s="63">
        <v>44274.0</v>
      </c>
      <c r="C1200" s="69">
        <v>31.573649087883755</v>
      </c>
    </row>
    <row r="1201">
      <c r="A1201" s="62" t="s">
        <v>5557</v>
      </c>
      <c r="B1201" s="63">
        <v>44371.0</v>
      </c>
      <c r="C1201" s="69">
        <v>31.572502853671338</v>
      </c>
    </row>
    <row r="1202">
      <c r="A1202" s="62" t="s">
        <v>3590</v>
      </c>
      <c r="B1202" s="63">
        <v>44238.0</v>
      </c>
      <c r="C1202" s="69">
        <v>31.56337549710034</v>
      </c>
    </row>
    <row r="1203">
      <c r="A1203" s="62" t="s">
        <v>6363</v>
      </c>
      <c r="B1203" s="63">
        <v>44366.0</v>
      </c>
      <c r="C1203" s="69">
        <v>31.558752672178404</v>
      </c>
    </row>
    <row r="1204">
      <c r="A1204" s="62" t="s">
        <v>130</v>
      </c>
      <c r="B1204" s="63">
        <v>44070.0</v>
      </c>
      <c r="C1204" s="69">
        <v>31.55342920468677</v>
      </c>
    </row>
    <row r="1205">
      <c r="A1205" s="62" t="s">
        <v>1552</v>
      </c>
      <c r="B1205" s="63">
        <v>44096.0</v>
      </c>
      <c r="C1205" s="69">
        <v>31.552150774927988</v>
      </c>
    </row>
    <row r="1206">
      <c r="A1206" s="62" t="s">
        <v>3148</v>
      </c>
      <c r="B1206" s="63">
        <v>44201.0</v>
      </c>
      <c r="C1206" s="69">
        <v>31.550169856849685</v>
      </c>
    </row>
    <row r="1207">
      <c r="A1207" s="62" t="s">
        <v>3562</v>
      </c>
      <c r="B1207" s="63">
        <v>44136.0</v>
      </c>
      <c r="C1207" s="69">
        <v>31.548142797284704</v>
      </c>
    </row>
    <row r="1208">
      <c r="A1208" s="62" t="s">
        <v>4842</v>
      </c>
      <c r="B1208" s="63">
        <v>44298.0</v>
      </c>
      <c r="C1208" s="69">
        <v>31.541586054849322</v>
      </c>
    </row>
    <row r="1209">
      <c r="A1209" s="62" t="s">
        <v>2224</v>
      </c>
      <c r="B1209" s="63">
        <v>44061.0</v>
      </c>
      <c r="C1209" s="69">
        <v>31.53959232831529</v>
      </c>
    </row>
    <row r="1210">
      <c r="A1210" s="62" t="s">
        <v>2594</v>
      </c>
      <c r="B1210" s="63">
        <v>44382.0</v>
      </c>
      <c r="C1210" s="69">
        <v>31.53125031595483</v>
      </c>
    </row>
    <row r="1211">
      <c r="A1211" s="62" t="s">
        <v>6131</v>
      </c>
      <c r="B1211" s="63">
        <v>44358.0</v>
      </c>
      <c r="C1211" s="69">
        <v>31.53021538328128</v>
      </c>
    </row>
    <row r="1212">
      <c r="A1212" s="62" t="s">
        <v>5345</v>
      </c>
      <c r="B1212" s="63">
        <v>44357.0</v>
      </c>
      <c r="C1212" s="69">
        <v>31.528562689809885</v>
      </c>
    </row>
    <row r="1213">
      <c r="A1213" s="62" t="s">
        <v>3376</v>
      </c>
      <c r="B1213" s="63">
        <v>44076.0</v>
      </c>
      <c r="C1213" s="69">
        <v>31.52610626286431</v>
      </c>
    </row>
    <row r="1214">
      <c r="A1214" s="62" t="s">
        <v>6177</v>
      </c>
      <c r="B1214" s="63">
        <v>44377.0</v>
      </c>
      <c r="C1214" s="69">
        <v>31.517137082952654</v>
      </c>
    </row>
    <row r="1215">
      <c r="A1215" s="62" t="s">
        <v>4965</v>
      </c>
      <c r="B1215" s="63">
        <v>44279.0</v>
      </c>
      <c r="C1215" s="69">
        <v>31.51650393727064</v>
      </c>
    </row>
    <row r="1216">
      <c r="A1216" s="62" t="s">
        <v>293</v>
      </c>
      <c r="B1216" s="63">
        <v>44166.0</v>
      </c>
      <c r="C1216" s="69">
        <v>31.50749813409935</v>
      </c>
    </row>
    <row r="1217">
      <c r="A1217" s="62" t="s">
        <v>2406</v>
      </c>
      <c r="B1217" s="63">
        <v>44390.0</v>
      </c>
      <c r="C1217" s="69">
        <v>31.498481355201555</v>
      </c>
    </row>
    <row r="1218">
      <c r="A1218" s="62" t="s">
        <v>6203</v>
      </c>
      <c r="B1218" s="63">
        <v>44369.0</v>
      </c>
      <c r="C1218" s="69">
        <v>31.493511656631608</v>
      </c>
    </row>
    <row r="1219">
      <c r="A1219" s="62" t="s">
        <v>6009</v>
      </c>
      <c r="B1219" s="63">
        <v>44362.0</v>
      </c>
      <c r="C1219" s="69">
        <v>31.493067312839244</v>
      </c>
    </row>
    <row r="1220">
      <c r="A1220" s="62" t="s">
        <v>880</v>
      </c>
      <c r="B1220" s="63">
        <v>44280.0</v>
      </c>
      <c r="C1220" s="69">
        <v>31.491373906434752</v>
      </c>
    </row>
    <row r="1221">
      <c r="A1221" s="62" t="s">
        <v>2425</v>
      </c>
      <c r="B1221" s="63">
        <v>44379.0</v>
      </c>
      <c r="C1221" s="69">
        <v>31.490305435273886</v>
      </c>
    </row>
    <row r="1222">
      <c r="A1222" s="62" t="s">
        <v>2311</v>
      </c>
      <c r="B1222" s="63">
        <v>44383.0</v>
      </c>
      <c r="C1222" s="69">
        <v>31.48318076265179</v>
      </c>
    </row>
    <row r="1223">
      <c r="A1223" s="62" t="s">
        <v>5478</v>
      </c>
      <c r="B1223" s="63">
        <v>44355.0</v>
      </c>
      <c r="C1223" s="69">
        <v>31.481346082382338</v>
      </c>
    </row>
    <row r="1224">
      <c r="A1224" s="62" t="s">
        <v>5101</v>
      </c>
      <c r="B1224" s="63">
        <v>44313.0</v>
      </c>
      <c r="C1224" s="69">
        <v>31.47585753976363</v>
      </c>
    </row>
    <row r="1225">
      <c r="A1225" s="62" t="s">
        <v>2601</v>
      </c>
      <c r="B1225" s="63">
        <v>44392.0</v>
      </c>
      <c r="C1225" s="69">
        <v>31.475329182873594</v>
      </c>
    </row>
    <row r="1226">
      <c r="A1226" s="62" t="s">
        <v>5073</v>
      </c>
      <c r="B1226" s="63">
        <v>44298.0</v>
      </c>
      <c r="C1226" s="69">
        <v>31.471269397706223</v>
      </c>
    </row>
    <row r="1227">
      <c r="A1227" s="62" t="s">
        <v>956</v>
      </c>
      <c r="B1227" s="63">
        <v>44223.0</v>
      </c>
      <c r="C1227" s="69">
        <v>31.467780212294873</v>
      </c>
    </row>
    <row r="1228">
      <c r="A1228" s="62" t="s">
        <v>2631</v>
      </c>
      <c r="B1228" s="63">
        <v>44214.0</v>
      </c>
      <c r="C1228" s="69">
        <v>31.466873760470293</v>
      </c>
    </row>
    <row r="1229">
      <c r="A1229" s="62" t="s">
        <v>4074</v>
      </c>
      <c r="B1229" s="63">
        <v>44207.0</v>
      </c>
      <c r="C1229" s="69">
        <v>31.466099569060056</v>
      </c>
    </row>
    <row r="1230">
      <c r="A1230" s="62" t="s">
        <v>4730</v>
      </c>
      <c r="B1230" s="63">
        <v>44277.0</v>
      </c>
      <c r="C1230" s="69">
        <v>31.465752835914763</v>
      </c>
    </row>
    <row r="1231">
      <c r="A1231" s="62" t="s">
        <v>4539</v>
      </c>
      <c r="B1231" s="63">
        <v>44281.0</v>
      </c>
      <c r="C1231" s="69">
        <v>31.46358648980744</v>
      </c>
    </row>
    <row r="1232">
      <c r="A1232" s="62" t="s">
        <v>4156</v>
      </c>
      <c r="B1232" s="63">
        <v>44245.0</v>
      </c>
      <c r="C1232" s="69">
        <v>31.461585620759717</v>
      </c>
    </row>
    <row r="1233">
      <c r="A1233" s="62" t="s">
        <v>4006</v>
      </c>
      <c r="B1233" s="63">
        <v>44211.0</v>
      </c>
      <c r="C1233" s="69">
        <v>31.45634953985017</v>
      </c>
    </row>
    <row r="1234">
      <c r="A1234" s="62" t="s">
        <v>1944</v>
      </c>
      <c r="B1234" s="63">
        <v>44080.0</v>
      </c>
      <c r="C1234" s="69">
        <v>31.45588589529412</v>
      </c>
    </row>
    <row r="1235">
      <c r="A1235" s="62" t="s">
        <v>6713</v>
      </c>
      <c r="B1235" s="63">
        <v>44377.0</v>
      </c>
      <c r="C1235" s="69">
        <v>31.45266900968203</v>
      </c>
    </row>
    <row r="1236">
      <c r="A1236" s="62" t="s">
        <v>4679</v>
      </c>
      <c r="B1236" s="63">
        <v>44256.0</v>
      </c>
      <c r="C1236" s="69">
        <v>31.451358876395247</v>
      </c>
    </row>
    <row r="1237">
      <c r="A1237" s="62" t="s">
        <v>5811</v>
      </c>
      <c r="B1237" s="63">
        <v>44338.0</v>
      </c>
      <c r="C1237" s="69">
        <v>31.44968923877197</v>
      </c>
    </row>
    <row r="1238">
      <c r="A1238" s="62" t="s">
        <v>6267</v>
      </c>
      <c r="B1238" s="63">
        <v>44362.0</v>
      </c>
      <c r="C1238" s="69">
        <v>31.447402697481223</v>
      </c>
    </row>
    <row r="1239">
      <c r="A1239" s="62" t="s">
        <v>6172</v>
      </c>
      <c r="B1239" s="63">
        <v>44371.0</v>
      </c>
      <c r="C1239" s="69">
        <v>31.445727420856752</v>
      </c>
    </row>
    <row r="1240">
      <c r="A1240" s="62" t="s">
        <v>3388</v>
      </c>
      <c r="B1240" s="63">
        <v>44102.0</v>
      </c>
      <c r="C1240" s="69">
        <v>31.444948659964396</v>
      </c>
    </row>
    <row r="1241">
      <c r="A1241" s="62" t="s">
        <v>3138</v>
      </c>
      <c r="B1241" s="63">
        <v>44230.0</v>
      </c>
      <c r="C1241" s="69">
        <v>31.43734921901034</v>
      </c>
    </row>
    <row r="1242">
      <c r="A1242" s="62" t="s">
        <v>5810</v>
      </c>
      <c r="B1242" s="63">
        <v>44334.0</v>
      </c>
      <c r="C1242" s="69">
        <v>31.431270201151065</v>
      </c>
    </row>
    <row r="1243">
      <c r="A1243" s="62" t="s">
        <v>5808</v>
      </c>
      <c r="B1243" s="63">
        <v>44342.0</v>
      </c>
      <c r="C1243" s="69">
        <v>31.42374733942396</v>
      </c>
    </row>
    <row r="1244">
      <c r="A1244" s="62" t="s">
        <v>3211</v>
      </c>
      <c r="B1244" s="63">
        <v>44161.0</v>
      </c>
      <c r="C1244" s="69">
        <v>31.423181757417087</v>
      </c>
    </row>
    <row r="1245">
      <c r="A1245" s="62" t="s">
        <v>3133</v>
      </c>
      <c r="B1245" s="63">
        <v>44235.0</v>
      </c>
      <c r="C1245" s="69">
        <v>31.422663632717853</v>
      </c>
    </row>
    <row r="1246">
      <c r="A1246" s="62" t="s">
        <v>5805</v>
      </c>
      <c r="B1246" s="63">
        <v>44347.0</v>
      </c>
      <c r="C1246" s="69">
        <v>31.419418822641177</v>
      </c>
    </row>
    <row r="1247">
      <c r="A1247" s="62" t="s">
        <v>6513</v>
      </c>
      <c r="B1247" s="63">
        <v>44368.0</v>
      </c>
      <c r="C1247" s="69">
        <v>31.417932398008446</v>
      </c>
    </row>
    <row r="1248">
      <c r="A1248" s="62" t="s">
        <v>2353</v>
      </c>
      <c r="B1248" s="63">
        <v>44384.0</v>
      </c>
      <c r="C1248" s="69">
        <v>31.417632099518926</v>
      </c>
    </row>
    <row r="1249">
      <c r="A1249" s="62" t="s">
        <v>2680</v>
      </c>
      <c r="B1249" s="63">
        <v>44207.0</v>
      </c>
      <c r="C1249" s="69">
        <v>31.416147140421042</v>
      </c>
    </row>
    <row r="1250">
      <c r="A1250" s="62" t="s">
        <v>2214</v>
      </c>
      <c r="B1250" s="63">
        <v>44063.0</v>
      </c>
      <c r="C1250" s="69">
        <v>31.411972920473225</v>
      </c>
    </row>
    <row r="1251">
      <c r="A1251" s="62" t="s">
        <v>3321</v>
      </c>
      <c r="B1251" s="63">
        <v>44091.0</v>
      </c>
      <c r="C1251" s="69">
        <v>31.40766149118101</v>
      </c>
    </row>
    <row r="1252">
      <c r="A1252" s="62" t="s">
        <v>6148</v>
      </c>
      <c r="B1252" s="63">
        <v>44376.0</v>
      </c>
      <c r="C1252" s="69">
        <v>31.400040587416804</v>
      </c>
    </row>
    <row r="1253">
      <c r="A1253" s="62" t="s">
        <v>5803</v>
      </c>
      <c r="B1253" s="63">
        <v>44341.0</v>
      </c>
      <c r="C1253" s="69">
        <v>31.391677380879443</v>
      </c>
    </row>
    <row r="1254">
      <c r="A1254" s="62" t="s">
        <v>239</v>
      </c>
      <c r="B1254" s="63">
        <v>44394.0</v>
      </c>
      <c r="C1254" s="69">
        <v>31.39022806801176</v>
      </c>
    </row>
    <row r="1255">
      <c r="A1255" s="62" t="s">
        <v>170</v>
      </c>
      <c r="B1255" s="63">
        <v>44377.0</v>
      </c>
      <c r="C1255" s="69">
        <v>31.389258474646276</v>
      </c>
    </row>
    <row r="1256">
      <c r="A1256" s="62" t="s">
        <v>3976</v>
      </c>
      <c r="B1256" s="63">
        <v>44230.0</v>
      </c>
      <c r="C1256" s="69">
        <v>31.38691273918613</v>
      </c>
    </row>
    <row r="1257">
      <c r="A1257" s="62" t="s">
        <v>4179</v>
      </c>
      <c r="B1257" s="63">
        <v>44201.0</v>
      </c>
      <c r="C1257" s="69">
        <v>31.38574931572251</v>
      </c>
    </row>
    <row r="1258">
      <c r="A1258" s="62" t="s">
        <v>4361</v>
      </c>
      <c r="B1258" s="63">
        <v>44091.0</v>
      </c>
      <c r="C1258" s="69">
        <v>31.381518344000536</v>
      </c>
    </row>
    <row r="1259">
      <c r="A1259" s="62" t="s">
        <v>3283</v>
      </c>
      <c r="B1259" s="63">
        <v>44217.0</v>
      </c>
      <c r="C1259" s="69">
        <v>31.378142081745526</v>
      </c>
    </row>
    <row r="1260">
      <c r="A1260" s="62" t="s">
        <v>5449</v>
      </c>
      <c r="B1260" s="63">
        <v>44357.0</v>
      </c>
      <c r="C1260" s="69">
        <v>31.372140754105615</v>
      </c>
    </row>
    <row r="1261">
      <c r="A1261" s="62" t="s">
        <v>2641</v>
      </c>
      <c r="B1261" s="63">
        <v>44215.0</v>
      </c>
      <c r="C1261" s="69">
        <v>31.370958883404313</v>
      </c>
    </row>
    <row r="1262">
      <c r="A1262" s="62" t="s">
        <v>2766</v>
      </c>
      <c r="B1262" s="63">
        <v>44237.0</v>
      </c>
      <c r="C1262" s="69">
        <v>31.370865303685854</v>
      </c>
    </row>
    <row r="1263">
      <c r="A1263" s="62" t="s">
        <v>5425</v>
      </c>
      <c r="B1263" s="63">
        <v>44354.0</v>
      </c>
      <c r="C1263" s="69">
        <v>31.368379890688853</v>
      </c>
    </row>
    <row r="1264">
      <c r="A1264" s="62" t="s">
        <v>5799</v>
      </c>
      <c r="B1264" s="63">
        <v>44320.0</v>
      </c>
      <c r="C1264" s="69">
        <v>31.365741439256063</v>
      </c>
    </row>
    <row r="1265">
      <c r="A1265" s="62" t="s">
        <v>2282</v>
      </c>
      <c r="B1265" s="63">
        <v>44382.0</v>
      </c>
      <c r="C1265" s="69">
        <v>31.362179316045186</v>
      </c>
    </row>
    <row r="1266">
      <c r="A1266" s="62" t="s">
        <v>3486</v>
      </c>
      <c r="B1266" s="63">
        <v>44222.0</v>
      </c>
      <c r="C1266" s="69">
        <v>31.360967629207064</v>
      </c>
    </row>
    <row r="1267">
      <c r="A1267" s="62" t="s">
        <v>1723</v>
      </c>
      <c r="B1267" s="63">
        <v>44375.0</v>
      </c>
      <c r="C1267" s="69">
        <v>31.357114786374297</v>
      </c>
    </row>
    <row r="1268">
      <c r="A1268" s="62" t="s">
        <v>3030</v>
      </c>
      <c r="B1268" s="63">
        <v>44137.0</v>
      </c>
      <c r="C1268" s="69">
        <v>31.35535835257749</v>
      </c>
    </row>
    <row r="1269">
      <c r="A1269" s="62" t="s">
        <v>6069</v>
      </c>
      <c r="B1269" s="63">
        <v>44364.0</v>
      </c>
      <c r="C1269" s="69">
        <v>31.354003558691083</v>
      </c>
    </row>
    <row r="1270">
      <c r="A1270" s="62" t="s">
        <v>3216</v>
      </c>
      <c r="B1270" s="63">
        <v>44193.0</v>
      </c>
      <c r="C1270" s="69">
        <v>31.347858346375705</v>
      </c>
    </row>
    <row r="1271">
      <c r="A1271" s="62" t="s">
        <v>5511</v>
      </c>
      <c r="B1271" s="63">
        <v>44349.0</v>
      </c>
      <c r="C1271" s="69">
        <v>31.346435973485995</v>
      </c>
    </row>
    <row r="1272">
      <c r="A1272" s="62" t="s">
        <v>2629</v>
      </c>
      <c r="B1272" s="63">
        <v>44102.0</v>
      </c>
      <c r="C1272" s="69">
        <v>31.344391094810987</v>
      </c>
    </row>
    <row r="1273">
      <c r="A1273" s="62" t="s">
        <v>3749</v>
      </c>
      <c r="B1273" s="63">
        <v>44224.0</v>
      </c>
      <c r="C1273" s="69">
        <v>31.34393673611665</v>
      </c>
    </row>
    <row r="1274">
      <c r="A1274" s="62" t="s">
        <v>2849</v>
      </c>
      <c r="B1274" s="63">
        <v>44084.0</v>
      </c>
      <c r="C1274" s="69">
        <v>31.33964036215398</v>
      </c>
    </row>
    <row r="1275">
      <c r="A1275" s="62" t="s">
        <v>556</v>
      </c>
      <c r="B1275" s="63">
        <v>44364.0</v>
      </c>
      <c r="C1275" s="69">
        <v>31.338424491932688</v>
      </c>
    </row>
    <row r="1276">
      <c r="A1276" s="62" t="s">
        <v>2203</v>
      </c>
      <c r="B1276" s="63">
        <v>44074.0</v>
      </c>
      <c r="C1276" s="69">
        <v>31.337758152539</v>
      </c>
    </row>
    <row r="1277">
      <c r="A1277" s="62" t="s">
        <v>3677</v>
      </c>
      <c r="B1277" s="63">
        <v>44211.0</v>
      </c>
      <c r="C1277" s="69">
        <v>31.336723079161022</v>
      </c>
    </row>
    <row r="1278">
      <c r="A1278" s="62" t="s">
        <v>2114</v>
      </c>
      <c r="B1278" s="63">
        <v>44076.0</v>
      </c>
      <c r="C1278" s="69">
        <v>31.33076262719712</v>
      </c>
    </row>
    <row r="1279">
      <c r="A1279" s="62" t="s">
        <v>2007</v>
      </c>
      <c r="B1279" s="63">
        <v>44228.0</v>
      </c>
      <c r="C1279" s="69">
        <v>31.327556707209496</v>
      </c>
    </row>
    <row r="1280">
      <c r="A1280" s="62" t="s">
        <v>3122</v>
      </c>
      <c r="B1280" s="63">
        <v>44126.0</v>
      </c>
      <c r="C1280" s="69">
        <v>31.327196615489413</v>
      </c>
    </row>
    <row r="1281">
      <c r="A1281" s="62" t="s">
        <v>5797</v>
      </c>
      <c r="B1281" s="63">
        <v>44329.0</v>
      </c>
      <c r="C1281" s="69">
        <v>31.321560607848387</v>
      </c>
    </row>
    <row r="1282">
      <c r="A1282" s="62" t="s">
        <v>4455</v>
      </c>
      <c r="B1282" s="63">
        <v>44298.0</v>
      </c>
      <c r="C1282" s="69">
        <v>31.319772089939182</v>
      </c>
    </row>
    <row r="1283">
      <c r="A1283" s="62" t="s">
        <v>5035</v>
      </c>
      <c r="B1283" s="63">
        <v>44265.0</v>
      </c>
      <c r="C1283" s="69">
        <v>31.319284498643203</v>
      </c>
    </row>
    <row r="1284">
      <c r="A1284" s="62" t="s">
        <v>4704</v>
      </c>
      <c r="B1284" s="63">
        <v>44284.0</v>
      </c>
      <c r="C1284" s="69">
        <v>31.316031219017884</v>
      </c>
    </row>
    <row r="1285">
      <c r="A1285" s="62" t="s">
        <v>3802</v>
      </c>
      <c r="B1285" s="63">
        <v>44242.0</v>
      </c>
      <c r="C1285" s="69">
        <v>31.315083869882123</v>
      </c>
    </row>
    <row r="1286">
      <c r="A1286" s="62" t="s">
        <v>6753</v>
      </c>
      <c r="B1286" s="63">
        <v>44375.0</v>
      </c>
      <c r="C1286" s="69">
        <v>31.314152972263955</v>
      </c>
    </row>
    <row r="1287">
      <c r="A1287" s="62" t="s">
        <v>4026</v>
      </c>
      <c r="B1287" s="63">
        <v>44142.0</v>
      </c>
      <c r="C1287" s="69">
        <v>31.31414531861602</v>
      </c>
    </row>
    <row r="1288">
      <c r="A1288" s="62" t="s">
        <v>5636</v>
      </c>
      <c r="B1288" s="63">
        <v>44376.0</v>
      </c>
      <c r="C1288" s="69">
        <v>31.31132490781556</v>
      </c>
    </row>
    <row r="1289">
      <c r="A1289" s="62" t="s">
        <v>4216</v>
      </c>
      <c r="B1289" s="63">
        <v>44141.0</v>
      </c>
      <c r="C1289" s="69">
        <v>31.309561407458965</v>
      </c>
    </row>
    <row r="1290">
      <c r="A1290" s="62" t="s">
        <v>5796</v>
      </c>
      <c r="B1290" s="63">
        <v>44340.0</v>
      </c>
      <c r="C1290" s="69">
        <v>31.309508261639778</v>
      </c>
    </row>
    <row r="1291">
      <c r="A1291" s="62" t="s">
        <v>5855</v>
      </c>
      <c r="B1291" s="63">
        <v>44351.0</v>
      </c>
      <c r="C1291" s="69">
        <v>31.30877542241652</v>
      </c>
    </row>
    <row r="1292">
      <c r="A1292" s="62" t="s">
        <v>4638</v>
      </c>
      <c r="B1292" s="63">
        <v>44301.0</v>
      </c>
      <c r="C1292" s="69">
        <v>31.307409767585163</v>
      </c>
    </row>
    <row r="1293">
      <c r="A1293" s="62" t="s">
        <v>4659</v>
      </c>
      <c r="B1293" s="63">
        <v>44309.0</v>
      </c>
      <c r="C1293" s="69">
        <v>31.301209514121204</v>
      </c>
    </row>
    <row r="1294">
      <c r="A1294" s="62" t="s">
        <v>4000</v>
      </c>
      <c r="B1294" s="63">
        <v>44219.0</v>
      </c>
      <c r="C1294" s="69">
        <v>31.299516601921987</v>
      </c>
    </row>
    <row r="1295">
      <c r="A1295" s="62" t="s">
        <v>2212</v>
      </c>
      <c r="B1295" s="63">
        <v>44055.0</v>
      </c>
      <c r="C1295" s="69">
        <v>31.295072894149087</v>
      </c>
    </row>
    <row r="1296">
      <c r="A1296" s="62" t="s">
        <v>4515</v>
      </c>
      <c r="B1296" s="63">
        <v>44271.0</v>
      </c>
      <c r="C1296" s="69">
        <v>31.283605151483012</v>
      </c>
    </row>
    <row r="1297">
      <c r="A1297" s="62" t="s">
        <v>5211</v>
      </c>
      <c r="B1297" s="63">
        <v>44280.0</v>
      </c>
      <c r="C1297" s="69">
        <v>31.27974458727885</v>
      </c>
    </row>
    <row r="1298">
      <c r="A1298" s="62" t="s">
        <v>5795</v>
      </c>
      <c r="B1298" s="63">
        <v>44342.0</v>
      </c>
      <c r="C1298" s="69">
        <v>31.279512722423213</v>
      </c>
    </row>
    <row r="1299">
      <c r="A1299" s="62" t="s">
        <v>3402</v>
      </c>
      <c r="B1299" s="63">
        <v>44239.0</v>
      </c>
      <c r="C1299" s="69">
        <v>31.277953106575357</v>
      </c>
    </row>
    <row r="1300">
      <c r="A1300" s="62" t="s">
        <v>6541</v>
      </c>
      <c r="B1300" s="63">
        <v>44356.0</v>
      </c>
      <c r="C1300" s="69">
        <v>31.26705534560749</v>
      </c>
    </row>
    <row r="1301">
      <c r="A1301" s="62" t="s">
        <v>4382</v>
      </c>
      <c r="B1301" s="63">
        <v>44251.0</v>
      </c>
      <c r="C1301" s="69">
        <v>31.266871708893234</v>
      </c>
    </row>
    <row r="1302">
      <c r="A1302" s="62" t="s">
        <v>4646</v>
      </c>
      <c r="B1302" s="63">
        <v>44306.0</v>
      </c>
      <c r="C1302" s="69">
        <v>31.266135205950192</v>
      </c>
    </row>
    <row r="1303">
      <c r="A1303" s="62" t="s">
        <v>603</v>
      </c>
      <c r="B1303" s="63">
        <v>44356.0</v>
      </c>
      <c r="C1303" s="69">
        <v>31.26233582690884</v>
      </c>
    </row>
    <row r="1304">
      <c r="A1304" s="62" t="s">
        <v>3033</v>
      </c>
      <c r="B1304" s="63">
        <v>44222.0</v>
      </c>
      <c r="C1304" s="69">
        <v>31.261744194750367</v>
      </c>
    </row>
    <row r="1305">
      <c r="A1305" s="62" t="s">
        <v>5135</v>
      </c>
      <c r="B1305" s="63">
        <v>44285.0</v>
      </c>
      <c r="C1305" s="69">
        <v>31.25876012594989</v>
      </c>
    </row>
    <row r="1306">
      <c r="A1306" s="62" t="s">
        <v>173</v>
      </c>
      <c r="B1306" s="63">
        <v>44050.0</v>
      </c>
      <c r="C1306" s="69">
        <v>31.25617464983053</v>
      </c>
    </row>
    <row r="1307">
      <c r="A1307" s="62" t="s">
        <v>4655</v>
      </c>
      <c r="B1307" s="63">
        <v>44259.0</v>
      </c>
      <c r="C1307" s="69">
        <v>31.253404060062884</v>
      </c>
    </row>
    <row r="1308">
      <c r="A1308" s="62" t="s">
        <v>5793</v>
      </c>
      <c r="B1308" s="63">
        <v>44329.0</v>
      </c>
      <c r="C1308" s="69">
        <v>31.24593265576572</v>
      </c>
    </row>
    <row r="1309">
      <c r="A1309" s="62" t="s">
        <v>5791</v>
      </c>
      <c r="B1309" s="63">
        <v>44342.0</v>
      </c>
      <c r="C1309" s="69">
        <v>31.24583587519849</v>
      </c>
    </row>
    <row r="1310">
      <c r="A1310" s="62" t="s">
        <v>3190</v>
      </c>
      <c r="B1310" s="63">
        <v>44130.0</v>
      </c>
      <c r="C1310" s="69">
        <v>31.244915223331677</v>
      </c>
    </row>
    <row r="1311">
      <c r="A1311" s="62" t="s">
        <v>5790</v>
      </c>
      <c r="B1311" s="63">
        <v>44343.0</v>
      </c>
      <c r="C1311" s="69">
        <v>31.234925133161706</v>
      </c>
    </row>
    <row r="1312">
      <c r="A1312" s="62" t="s">
        <v>3258</v>
      </c>
      <c r="B1312" s="63">
        <v>44105.0</v>
      </c>
      <c r="C1312" s="69">
        <v>31.23192927505034</v>
      </c>
    </row>
    <row r="1313">
      <c r="A1313" s="62" t="s">
        <v>5789</v>
      </c>
      <c r="B1313" s="63">
        <v>44341.0</v>
      </c>
      <c r="C1313" s="69">
        <v>31.229466041120286</v>
      </c>
    </row>
    <row r="1314">
      <c r="A1314" s="62" t="s">
        <v>4722</v>
      </c>
      <c r="B1314" s="63">
        <v>44295.0</v>
      </c>
      <c r="C1314" s="69">
        <v>31.217874982842908</v>
      </c>
    </row>
    <row r="1315">
      <c r="A1315" s="62" t="s">
        <v>5748</v>
      </c>
      <c r="B1315" s="63">
        <v>44375.0</v>
      </c>
      <c r="C1315" s="69">
        <v>31.21599683982177</v>
      </c>
    </row>
    <row r="1316">
      <c r="A1316" s="62" t="s">
        <v>2296</v>
      </c>
      <c r="B1316" s="63">
        <v>44378.0</v>
      </c>
      <c r="C1316" s="69">
        <v>31.214207528936292</v>
      </c>
    </row>
    <row r="1317">
      <c r="A1317" s="62" t="s">
        <v>5164</v>
      </c>
      <c r="B1317" s="63">
        <v>44294.0</v>
      </c>
      <c r="C1317" s="69">
        <v>31.212378039426003</v>
      </c>
    </row>
    <row r="1318">
      <c r="A1318" s="62" t="s">
        <v>2155</v>
      </c>
      <c r="B1318" s="63">
        <v>44062.0</v>
      </c>
      <c r="C1318" s="69">
        <v>31.208680451220282</v>
      </c>
    </row>
    <row r="1319">
      <c r="A1319" s="62" t="s">
        <v>5788</v>
      </c>
      <c r="B1319" s="63">
        <v>44331.0</v>
      </c>
      <c r="C1319" s="69">
        <v>31.205525329216634</v>
      </c>
    </row>
    <row r="1320">
      <c r="A1320" s="62" t="s">
        <v>4344</v>
      </c>
      <c r="B1320" s="63">
        <v>44170.0</v>
      </c>
      <c r="C1320" s="69">
        <v>31.200788512793416</v>
      </c>
    </row>
    <row r="1321">
      <c r="A1321" s="62" t="s">
        <v>5787</v>
      </c>
      <c r="B1321" s="63">
        <v>44328.0</v>
      </c>
      <c r="C1321" s="69">
        <v>31.200141914955427</v>
      </c>
    </row>
    <row r="1322">
      <c r="A1322" s="62" t="s">
        <v>2716</v>
      </c>
      <c r="B1322" s="63">
        <v>44215.0</v>
      </c>
      <c r="C1322" s="69">
        <v>31.198997414556647</v>
      </c>
    </row>
    <row r="1323">
      <c r="A1323" s="62" t="s">
        <v>5786</v>
      </c>
      <c r="B1323" s="63">
        <v>44347.0</v>
      </c>
      <c r="C1323" s="69">
        <v>31.19731649188905</v>
      </c>
    </row>
    <row r="1324">
      <c r="A1324" s="62" t="s">
        <v>5022</v>
      </c>
      <c r="B1324" s="63">
        <v>44309.0</v>
      </c>
      <c r="C1324" s="69">
        <v>31.18810612082477</v>
      </c>
    </row>
    <row r="1325">
      <c r="A1325" s="62" t="s">
        <v>1097</v>
      </c>
      <c r="B1325" s="63">
        <v>44130.0</v>
      </c>
      <c r="C1325" s="69">
        <v>31.18436935161016</v>
      </c>
    </row>
    <row r="1326">
      <c r="A1326" s="62" t="s">
        <v>4309</v>
      </c>
      <c r="B1326" s="63">
        <v>44144.0</v>
      </c>
      <c r="C1326" s="69">
        <v>31.179084461162407</v>
      </c>
    </row>
    <row r="1327">
      <c r="A1327" s="62" t="s">
        <v>4512</v>
      </c>
      <c r="B1327" s="63">
        <v>44316.0</v>
      </c>
      <c r="C1327" s="69">
        <v>31.178760694349723</v>
      </c>
    </row>
    <row r="1328">
      <c r="A1328" s="62" t="s">
        <v>2855</v>
      </c>
      <c r="B1328" s="63">
        <v>44238.0</v>
      </c>
      <c r="C1328" s="69">
        <v>31.176245747233445</v>
      </c>
    </row>
    <row r="1329">
      <c r="A1329" s="62" t="s">
        <v>2146</v>
      </c>
      <c r="B1329" s="63">
        <v>44062.0</v>
      </c>
      <c r="C1329" s="69">
        <v>31.175357833728384</v>
      </c>
    </row>
    <row r="1330">
      <c r="A1330" s="62" t="s">
        <v>5081</v>
      </c>
      <c r="B1330" s="63">
        <v>44264.0</v>
      </c>
      <c r="C1330" s="69">
        <v>31.173267969523746</v>
      </c>
    </row>
    <row r="1331">
      <c r="A1331" s="62" t="s">
        <v>2638</v>
      </c>
      <c r="B1331" s="63">
        <v>44235.0</v>
      </c>
      <c r="C1331" s="69">
        <v>31.167536349367886</v>
      </c>
    </row>
    <row r="1332">
      <c r="A1332" s="62" t="s">
        <v>3660</v>
      </c>
      <c r="B1332" s="63">
        <v>44127.0</v>
      </c>
      <c r="C1332" s="69">
        <v>31.16663694739153</v>
      </c>
    </row>
    <row r="1333">
      <c r="A1333" s="62" t="s">
        <v>3070</v>
      </c>
      <c r="B1333" s="63">
        <v>44096.0</v>
      </c>
      <c r="C1333" s="69">
        <v>31.16592551128405</v>
      </c>
    </row>
    <row r="1334">
      <c r="A1334" s="62" t="s">
        <v>4994</v>
      </c>
      <c r="B1334" s="63">
        <v>44314.0</v>
      </c>
      <c r="C1334" s="69">
        <v>31.162070629710055</v>
      </c>
    </row>
    <row r="1335">
      <c r="A1335" s="62" t="s">
        <v>5785</v>
      </c>
      <c r="B1335" s="63">
        <v>44337.0</v>
      </c>
      <c r="C1335" s="69">
        <v>31.157472410578432</v>
      </c>
    </row>
    <row r="1336">
      <c r="A1336" s="62" t="s">
        <v>3834</v>
      </c>
      <c r="B1336" s="63">
        <v>44222.0</v>
      </c>
      <c r="C1336" s="69">
        <v>31.156658432834156</v>
      </c>
    </row>
    <row r="1337">
      <c r="A1337" s="62" t="s">
        <v>5784</v>
      </c>
      <c r="B1337" s="63">
        <v>44319.0</v>
      </c>
      <c r="C1337" s="69">
        <v>31.150257672775545</v>
      </c>
    </row>
    <row r="1338">
      <c r="A1338" s="62" t="s">
        <v>5782</v>
      </c>
      <c r="B1338" s="63">
        <v>44334.0</v>
      </c>
      <c r="C1338" s="69">
        <v>31.145595920434896</v>
      </c>
    </row>
    <row r="1339">
      <c r="A1339" s="62" t="s">
        <v>6412</v>
      </c>
      <c r="B1339" s="63">
        <v>44350.0</v>
      </c>
      <c r="C1339" s="69">
        <v>31.145512750608297</v>
      </c>
    </row>
    <row r="1340">
      <c r="A1340" s="62" t="s">
        <v>4411</v>
      </c>
      <c r="B1340" s="63">
        <v>44194.0</v>
      </c>
      <c r="C1340" s="69">
        <v>31.145354197411763</v>
      </c>
    </row>
    <row r="1341">
      <c r="A1341" s="62" t="s">
        <v>6369</v>
      </c>
      <c r="B1341" s="63">
        <v>44358.0</v>
      </c>
      <c r="C1341" s="69">
        <v>31.145317066753794</v>
      </c>
    </row>
    <row r="1342">
      <c r="A1342" s="62" t="s">
        <v>4421</v>
      </c>
      <c r="B1342" s="63">
        <v>44153.0</v>
      </c>
      <c r="C1342" s="69">
        <v>31.144914104673006</v>
      </c>
    </row>
    <row r="1343">
      <c r="A1343" s="62" t="s">
        <v>5255</v>
      </c>
      <c r="B1343" s="63">
        <v>44285.0</v>
      </c>
      <c r="C1343" s="69">
        <v>31.137680537664757</v>
      </c>
    </row>
    <row r="1344">
      <c r="A1344" s="62" t="s">
        <v>2798</v>
      </c>
      <c r="B1344" s="63">
        <v>44218.0</v>
      </c>
      <c r="C1344" s="69">
        <v>31.132323591814522</v>
      </c>
    </row>
    <row r="1345">
      <c r="A1345" s="62" t="s">
        <v>4116</v>
      </c>
      <c r="B1345" s="63">
        <v>44101.0</v>
      </c>
      <c r="C1345" s="69">
        <v>31.122413140535265</v>
      </c>
    </row>
    <row r="1346">
      <c r="A1346" s="62" t="s">
        <v>126</v>
      </c>
      <c r="B1346" s="63">
        <v>44396.0</v>
      </c>
      <c r="C1346" s="69">
        <v>31.118837271098172</v>
      </c>
    </row>
    <row r="1347">
      <c r="A1347" s="62" t="s">
        <v>3993</v>
      </c>
      <c r="B1347" s="63">
        <v>44237.0</v>
      </c>
      <c r="C1347" s="69">
        <v>31.11460276475036</v>
      </c>
    </row>
    <row r="1348">
      <c r="A1348" s="62" t="s">
        <v>5734</v>
      </c>
      <c r="B1348" s="63">
        <v>44364.0</v>
      </c>
      <c r="C1348" s="69">
        <v>31.110627840641346</v>
      </c>
    </row>
    <row r="1349">
      <c r="A1349" s="62" t="s">
        <v>5124</v>
      </c>
      <c r="B1349" s="63">
        <v>44284.0</v>
      </c>
      <c r="C1349" s="69">
        <v>31.107991250347354</v>
      </c>
    </row>
    <row r="1350">
      <c r="A1350" s="62" t="s">
        <v>5838</v>
      </c>
      <c r="B1350" s="63">
        <v>44363.0</v>
      </c>
      <c r="C1350" s="69">
        <v>31.098518887671148</v>
      </c>
    </row>
    <row r="1351">
      <c r="A1351" s="62" t="s">
        <v>4992</v>
      </c>
      <c r="B1351" s="63">
        <v>44310.0</v>
      </c>
      <c r="C1351" s="69">
        <v>31.098037780976078</v>
      </c>
    </row>
    <row r="1352">
      <c r="A1352" s="62" t="s">
        <v>3069</v>
      </c>
      <c r="B1352" s="63">
        <v>44236.0</v>
      </c>
      <c r="C1352" s="69">
        <v>31.090666534096076</v>
      </c>
    </row>
    <row r="1353">
      <c r="A1353" s="62" t="s">
        <v>2637</v>
      </c>
      <c r="B1353" s="63">
        <v>44229.0</v>
      </c>
      <c r="C1353" s="69">
        <v>31.08723720664221</v>
      </c>
    </row>
    <row r="1354">
      <c r="A1354" s="62" t="s">
        <v>2221</v>
      </c>
      <c r="B1354" s="63">
        <v>44070.0</v>
      </c>
      <c r="C1354" s="69">
        <v>31.087215424995346</v>
      </c>
    </row>
    <row r="1355">
      <c r="A1355" s="62" t="s">
        <v>5781</v>
      </c>
      <c r="B1355" s="63">
        <v>44335.0</v>
      </c>
      <c r="C1355" s="69">
        <v>31.084104464667423</v>
      </c>
    </row>
    <row r="1356">
      <c r="A1356" s="62" t="s">
        <v>4221</v>
      </c>
      <c r="B1356" s="63">
        <v>44181.0</v>
      </c>
      <c r="C1356" s="69">
        <v>31.082724676030658</v>
      </c>
    </row>
    <row r="1357">
      <c r="A1357" s="62" t="s">
        <v>3097</v>
      </c>
      <c r="B1357" s="63">
        <v>44216.0</v>
      </c>
      <c r="C1357" s="69">
        <v>31.07936120359191</v>
      </c>
    </row>
    <row r="1358">
      <c r="A1358" s="62" t="s">
        <v>5362</v>
      </c>
      <c r="B1358" s="63">
        <v>44365.0</v>
      </c>
      <c r="C1358" s="69">
        <v>31.077560349494266</v>
      </c>
    </row>
    <row r="1359">
      <c r="A1359" s="62" t="s">
        <v>4348</v>
      </c>
      <c r="B1359" s="63">
        <v>44123.0</v>
      </c>
      <c r="C1359" s="69">
        <v>31.076037385588837</v>
      </c>
    </row>
    <row r="1360">
      <c r="A1360" s="62" t="s">
        <v>3435</v>
      </c>
      <c r="B1360" s="63">
        <v>44076.0</v>
      </c>
      <c r="C1360" s="69">
        <v>31.070103004021597</v>
      </c>
    </row>
    <row r="1361">
      <c r="A1361" s="62" t="s">
        <v>4853</v>
      </c>
      <c r="B1361" s="63">
        <v>44264.0</v>
      </c>
      <c r="C1361" s="69">
        <v>31.067836209801335</v>
      </c>
    </row>
    <row r="1362">
      <c r="A1362" s="62" t="s">
        <v>5780</v>
      </c>
      <c r="B1362" s="63">
        <v>44322.0</v>
      </c>
      <c r="C1362" s="69">
        <v>31.061507275381413</v>
      </c>
    </row>
    <row r="1363">
      <c r="A1363" s="62" t="s">
        <v>2753</v>
      </c>
      <c r="B1363" s="63">
        <v>44238.0</v>
      </c>
      <c r="C1363" s="69">
        <v>31.053598009314392</v>
      </c>
    </row>
    <row r="1364">
      <c r="A1364" s="62" t="s">
        <v>2335</v>
      </c>
      <c r="B1364" s="63">
        <v>44397.0</v>
      </c>
      <c r="C1364" s="69">
        <v>31.052703674163112</v>
      </c>
    </row>
    <row r="1365">
      <c r="A1365" s="62" t="s">
        <v>2145</v>
      </c>
      <c r="B1365" s="63">
        <v>44062.0</v>
      </c>
      <c r="C1365" s="69">
        <v>31.0518700236793</v>
      </c>
    </row>
    <row r="1366">
      <c r="A1366" s="62" t="s">
        <v>6604</v>
      </c>
      <c r="B1366" s="63">
        <v>44349.0</v>
      </c>
      <c r="C1366" s="69">
        <v>31.050943543286955</v>
      </c>
    </row>
    <row r="1367">
      <c r="A1367" s="62" t="s">
        <v>5779</v>
      </c>
      <c r="B1367" s="63">
        <v>44323.0</v>
      </c>
      <c r="C1367" s="69">
        <v>31.0443808418419</v>
      </c>
    </row>
    <row r="1368">
      <c r="A1368" s="62" t="s">
        <v>5132</v>
      </c>
      <c r="B1368" s="63">
        <v>44305.0</v>
      </c>
      <c r="C1368" s="69">
        <v>31.0427895393386</v>
      </c>
    </row>
    <row r="1369">
      <c r="A1369" s="62" t="s">
        <v>266</v>
      </c>
      <c r="B1369" s="63">
        <v>44382.0</v>
      </c>
      <c r="C1369" s="69">
        <v>31.040274310110814</v>
      </c>
    </row>
    <row r="1370">
      <c r="A1370" s="62" t="s">
        <v>4664</v>
      </c>
      <c r="B1370" s="63">
        <v>44312.0</v>
      </c>
      <c r="C1370" s="69">
        <v>31.03681284927442</v>
      </c>
    </row>
    <row r="1371">
      <c r="A1371" s="62" t="s">
        <v>5778</v>
      </c>
      <c r="B1371" s="63">
        <v>44340.0</v>
      </c>
      <c r="C1371" s="69">
        <v>31.033036095294943</v>
      </c>
    </row>
    <row r="1372">
      <c r="A1372" s="62" t="s">
        <v>4805</v>
      </c>
      <c r="B1372" s="63">
        <v>44305.0</v>
      </c>
      <c r="C1372" s="69">
        <v>31.031459990623993</v>
      </c>
    </row>
    <row r="1373">
      <c r="A1373" s="62" t="s">
        <v>6202</v>
      </c>
      <c r="B1373" s="63">
        <v>44375.0</v>
      </c>
      <c r="C1373" s="69">
        <v>31.030604159456267</v>
      </c>
    </row>
    <row r="1374">
      <c r="A1374" s="62" t="s">
        <v>3016</v>
      </c>
      <c r="B1374" s="63">
        <v>44151.0</v>
      </c>
      <c r="C1374" s="69">
        <v>31.028172531402376</v>
      </c>
    </row>
    <row r="1375">
      <c r="A1375" s="62" t="s">
        <v>4627</v>
      </c>
      <c r="B1375" s="63">
        <v>44280.0</v>
      </c>
      <c r="C1375" s="69">
        <v>31.02555375988388</v>
      </c>
    </row>
    <row r="1376">
      <c r="A1376" s="62" t="s">
        <v>5750</v>
      </c>
      <c r="B1376" s="63">
        <v>44351.0</v>
      </c>
      <c r="C1376" s="69">
        <v>31.024774984098165</v>
      </c>
    </row>
    <row r="1377">
      <c r="A1377" s="62" t="s">
        <v>4316</v>
      </c>
      <c r="B1377" s="63">
        <v>44119.0</v>
      </c>
      <c r="C1377" s="69">
        <v>31.02371455069017</v>
      </c>
    </row>
    <row r="1378">
      <c r="A1378" s="62" t="s">
        <v>4236</v>
      </c>
      <c r="B1378" s="63">
        <v>44235.0</v>
      </c>
      <c r="C1378" s="69">
        <v>31.022228370509843</v>
      </c>
    </row>
    <row r="1379">
      <c r="A1379" s="62" t="s">
        <v>5776</v>
      </c>
      <c r="B1379" s="63">
        <v>44327.0</v>
      </c>
      <c r="C1379" s="69">
        <v>31.02085827399047</v>
      </c>
    </row>
    <row r="1380">
      <c r="A1380" s="62" t="s">
        <v>5774</v>
      </c>
      <c r="B1380" s="63">
        <v>44326.0</v>
      </c>
      <c r="C1380" s="69">
        <v>31.018028844896122</v>
      </c>
    </row>
    <row r="1381">
      <c r="A1381" s="62" t="s">
        <v>107</v>
      </c>
      <c r="B1381" s="63">
        <v>44382.0</v>
      </c>
      <c r="C1381" s="69">
        <v>31.01455361838987</v>
      </c>
    </row>
    <row r="1382">
      <c r="A1382" s="62" t="s">
        <v>5690</v>
      </c>
      <c r="B1382" s="63">
        <v>44371.0</v>
      </c>
      <c r="C1382" s="69">
        <v>31.01366458924744</v>
      </c>
    </row>
    <row r="1383">
      <c r="A1383" s="62" t="s">
        <v>455</v>
      </c>
      <c r="B1383" s="63">
        <v>44069.0</v>
      </c>
      <c r="C1383" s="69">
        <v>31.01129363696321</v>
      </c>
    </row>
    <row r="1384">
      <c r="A1384" s="62" t="s">
        <v>6542</v>
      </c>
      <c r="B1384" s="63">
        <v>44366.0</v>
      </c>
      <c r="C1384" s="69">
        <v>31.00969872640964</v>
      </c>
    </row>
    <row r="1385">
      <c r="A1385" s="62" t="s">
        <v>5773</v>
      </c>
      <c r="B1385" s="63">
        <v>44336.0</v>
      </c>
      <c r="C1385" s="69">
        <v>31.006911923944106</v>
      </c>
    </row>
    <row r="1386">
      <c r="A1386" s="62" t="s">
        <v>5269</v>
      </c>
      <c r="B1386" s="63">
        <v>44292.0</v>
      </c>
      <c r="C1386" s="69">
        <v>31.003528296362397</v>
      </c>
    </row>
    <row r="1387">
      <c r="A1387" s="62" t="s">
        <v>2298</v>
      </c>
      <c r="B1387" s="63">
        <v>44382.0</v>
      </c>
      <c r="C1387" s="69">
        <v>31.00317602153431</v>
      </c>
    </row>
    <row r="1388">
      <c r="A1388" s="62" t="s">
        <v>5215</v>
      </c>
      <c r="B1388" s="63">
        <v>44279.0</v>
      </c>
      <c r="C1388" s="69">
        <v>30.994683761416635</v>
      </c>
    </row>
    <row r="1389">
      <c r="A1389" s="62" t="s">
        <v>202</v>
      </c>
      <c r="B1389" s="63">
        <v>44398.0</v>
      </c>
      <c r="C1389" s="69">
        <v>30.99344134639655</v>
      </c>
    </row>
    <row r="1390">
      <c r="A1390" s="62" t="s">
        <v>3390</v>
      </c>
      <c r="B1390" s="63">
        <v>44114.0</v>
      </c>
      <c r="C1390" s="69">
        <v>30.993346762640005</v>
      </c>
    </row>
    <row r="1391">
      <c r="A1391" s="62" t="s">
        <v>3427</v>
      </c>
      <c r="B1391" s="63">
        <v>44238.0</v>
      </c>
      <c r="C1391" s="69">
        <v>30.992818117093872</v>
      </c>
    </row>
    <row r="1392">
      <c r="A1392" s="62" t="s">
        <v>142</v>
      </c>
      <c r="B1392" s="63">
        <v>44392.0</v>
      </c>
      <c r="C1392" s="69">
        <v>30.99213405003755</v>
      </c>
    </row>
    <row r="1393">
      <c r="A1393" s="62" t="s">
        <v>4209</v>
      </c>
      <c r="B1393" s="63">
        <v>44131.0</v>
      </c>
      <c r="C1393" s="69">
        <v>30.99202664615668</v>
      </c>
    </row>
    <row r="1394">
      <c r="A1394" s="62" t="s">
        <v>5772</v>
      </c>
      <c r="B1394" s="63">
        <v>44330.0</v>
      </c>
      <c r="C1394" s="69">
        <v>30.989309820212114</v>
      </c>
    </row>
    <row r="1395">
      <c r="A1395" s="62" t="s">
        <v>6249</v>
      </c>
      <c r="B1395" s="63">
        <v>44357.0</v>
      </c>
      <c r="C1395" s="69">
        <v>30.9861890221503</v>
      </c>
    </row>
    <row r="1396">
      <c r="A1396" s="62" t="s">
        <v>4385</v>
      </c>
      <c r="B1396" s="63">
        <v>44079.0</v>
      </c>
      <c r="C1396" s="69">
        <v>30.979621729570663</v>
      </c>
    </row>
    <row r="1397">
      <c r="A1397" s="62" t="s">
        <v>2393</v>
      </c>
      <c r="B1397" s="63">
        <v>44383.0</v>
      </c>
      <c r="C1397" s="69">
        <v>30.976541083390494</v>
      </c>
    </row>
    <row r="1398">
      <c r="A1398" s="62" t="s">
        <v>4162</v>
      </c>
      <c r="B1398" s="63">
        <v>44243.0</v>
      </c>
      <c r="C1398" s="69">
        <v>30.976100759401078</v>
      </c>
    </row>
    <row r="1399">
      <c r="A1399" s="62" t="s">
        <v>4307</v>
      </c>
      <c r="B1399" s="63">
        <v>44223.0</v>
      </c>
      <c r="C1399" s="69">
        <v>30.971092950797406</v>
      </c>
    </row>
    <row r="1400">
      <c r="A1400" s="62" t="s">
        <v>4419</v>
      </c>
      <c r="B1400" s="63">
        <v>44096.0</v>
      </c>
      <c r="C1400" s="69">
        <v>30.970941353709605</v>
      </c>
    </row>
    <row r="1401">
      <c r="A1401" s="62" t="s">
        <v>3401</v>
      </c>
      <c r="B1401" s="63">
        <v>44251.0</v>
      </c>
      <c r="C1401" s="69">
        <v>30.966386052237063</v>
      </c>
    </row>
    <row r="1402">
      <c r="A1402" s="62" t="s">
        <v>2303</v>
      </c>
      <c r="B1402" s="63">
        <v>44378.0</v>
      </c>
      <c r="C1402" s="69">
        <v>30.963920892832846</v>
      </c>
    </row>
    <row r="1403">
      <c r="A1403" s="62" t="s">
        <v>3495</v>
      </c>
      <c r="B1403" s="63">
        <v>44209.0</v>
      </c>
      <c r="C1403" s="69">
        <v>30.962978373746015</v>
      </c>
    </row>
    <row r="1404">
      <c r="A1404" s="62" t="s">
        <v>3710</v>
      </c>
      <c r="B1404" s="63">
        <v>44193.0</v>
      </c>
      <c r="C1404" s="69">
        <v>30.961853980286467</v>
      </c>
    </row>
    <row r="1405">
      <c r="A1405" s="62" t="s">
        <v>5226</v>
      </c>
      <c r="B1405" s="63">
        <v>44267.0</v>
      </c>
      <c r="C1405" s="69">
        <v>30.96137377506689</v>
      </c>
    </row>
    <row r="1406">
      <c r="A1406" s="62" t="s">
        <v>5767</v>
      </c>
      <c r="B1406" s="63">
        <v>44341.0</v>
      </c>
      <c r="C1406" s="69">
        <v>30.96101227105615</v>
      </c>
    </row>
    <row r="1407">
      <c r="A1407" s="62" t="s">
        <v>4341</v>
      </c>
      <c r="B1407" s="63">
        <v>44078.0</v>
      </c>
      <c r="C1407" s="69">
        <v>30.95950967119225</v>
      </c>
    </row>
    <row r="1408">
      <c r="A1408" s="62" t="s">
        <v>458</v>
      </c>
      <c r="B1408" s="63">
        <v>44176.0</v>
      </c>
      <c r="C1408" s="69">
        <v>30.95841575332072</v>
      </c>
    </row>
    <row r="1409">
      <c r="A1409" s="62" t="s">
        <v>3132</v>
      </c>
      <c r="B1409" s="63">
        <v>44117.0</v>
      </c>
      <c r="C1409" s="69">
        <v>30.957695865630967</v>
      </c>
    </row>
    <row r="1410">
      <c r="A1410" s="62" t="s">
        <v>5766</v>
      </c>
      <c r="B1410" s="63">
        <v>44321.0</v>
      </c>
      <c r="C1410" s="69">
        <v>30.951064960365233</v>
      </c>
    </row>
    <row r="1411">
      <c r="A1411" s="62" t="s">
        <v>5187</v>
      </c>
      <c r="B1411" s="63">
        <v>44312.0</v>
      </c>
      <c r="C1411" s="69">
        <v>30.94361349927518</v>
      </c>
    </row>
    <row r="1412">
      <c r="A1412" s="62" t="s">
        <v>4276</v>
      </c>
      <c r="B1412" s="63">
        <v>44110.0</v>
      </c>
      <c r="C1412" s="69">
        <v>30.94005165192779</v>
      </c>
    </row>
    <row r="1413">
      <c r="A1413" s="62" t="s">
        <v>2883</v>
      </c>
      <c r="B1413" s="63">
        <v>44104.0</v>
      </c>
      <c r="C1413" s="69">
        <v>30.937107583883584</v>
      </c>
    </row>
    <row r="1414">
      <c r="A1414" s="62" t="s">
        <v>5762</v>
      </c>
      <c r="B1414" s="63">
        <v>44320.0</v>
      </c>
      <c r="C1414" s="69">
        <v>30.92953738416429</v>
      </c>
    </row>
    <row r="1415">
      <c r="A1415" s="62" t="s">
        <v>204</v>
      </c>
      <c r="B1415" s="63">
        <v>44389.0</v>
      </c>
      <c r="C1415" s="69">
        <v>30.923611560310206</v>
      </c>
    </row>
    <row r="1416">
      <c r="A1416" s="62" t="s">
        <v>2219</v>
      </c>
      <c r="B1416" s="63">
        <v>44074.0</v>
      </c>
      <c r="C1416" s="69">
        <v>30.917897735410165</v>
      </c>
    </row>
    <row r="1417">
      <c r="A1417" s="62" t="s">
        <v>5964</v>
      </c>
      <c r="B1417" s="63">
        <v>44348.0</v>
      </c>
      <c r="C1417" s="69">
        <v>30.912148503331863</v>
      </c>
    </row>
    <row r="1418">
      <c r="A1418" s="62" t="s">
        <v>5445</v>
      </c>
      <c r="B1418" s="63">
        <v>44377.0</v>
      </c>
      <c r="C1418" s="69">
        <v>30.91150782091657</v>
      </c>
    </row>
    <row r="1419">
      <c r="A1419" s="62" t="s">
        <v>622</v>
      </c>
      <c r="B1419" s="63">
        <v>44154.0</v>
      </c>
      <c r="C1419" s="69">
        <v>30.90709653770461</v>
      </c>
    </row>
    <row r="1420">
      <c r="A1420" s="62" t="s">
        <v>5760</v>
      </c>
      <c r="B1420" s="63">
        <v>44343.0</v>
      </c>
      <c r="C1420" s="69">
        <v>30.907046477177992</v>
      </c>
    </row>
    <row r="1421">
      <c r="A1421" s="62" t="s">
        <v>4905</v>
      </c>
      <c r="B1421" s="63">
        <v>44263.0</v>
      </c>
      <c r="C1421" s="69">
        <v>30.905980455889726</v>
      </c>
    </row>
    <row r="1422">
      <c r="A1422" s="62" t="s">
        <v>4400</v>
      </c>
      <c r="B1422" s="63">
        <v>44179.0</v>
      </c>
      <c r="C1422" s="69">
        <v>30.897938714041597</v>
      </c>
    </row>
    <row r="1423">
      <c r="A1423" s="62" t="s">
        <v>6481</v>
      </c>
      <c r="B1423" s="63">
        <v>44355.0</v>
      </c>
      <c r="C1423" s="69">
        <v>30.895657814111427</v>
      </c>
    </row>
    <row r="1424">
      <c r="A1424" s="62" t="s">
        <v>3628</v>
      </c>
      <c r="B1424" s="63">
        <v>44225.0</v>
      </c>
      <c r="C1424" s="69">
        <v>30.895277149806965</v>
      </c>
    </row>
    <row r="1425">
      <c r="A1425" s="62" t="s">
        <v>4013</v>
      </c>
      <c r="B1425" s="63">
        <v>44221.0</v>
      </c>
      <c r="C1425" s="69">
        <v>30.887413971372567</v>
      </c>
    </row>
    <row r="1426">
      <c r="A1426" s="62" t="s">
        <v>3126</v>
      </c>
      <c r="B1426" s="63">
        <v>44223.0</v>
      </c>
      <c r="C1426" s="69">
        <v>30.885653947162773</v>
      </c>
    </row>
    <row r="1427">
      <c r="A1427" s="62" t="s">
        <v>3228</v>
      </c>
      <c r="B1427" s="63">
        <v>44088.0</v>
      </c>
      <c r="C1427" s="69">
        <v>30.885131365475473</v>
      </c>
    </row>
    <row r="1428">
      <c r="A1428" s="62" t="s">
        <v>4745</v>
      </c>
      <c r="B1428" s="63">
        <v>44305.0</v>
      </c>
      <c r="C1428" s="69">
        <v>30.879916760711332</v>
      </c>
    </row>
    <row r="1429">
      <c r="A1429" s="62" t="s">
        <v>5222</v>
      </c>
      <c r="B1429" s="63">
        <v>44287.0</v>
      </c>
      <c r="C1429" s="69">
        <v>30.879666377271832</v>
      </c>
    </row>
    <row r="1430">
      <c r="A1430" s="62" t="s">
        <v>3506</v>
      </c>
      <c r="B1430" s="63">
        <v>44231.0</v>
      </c>
      <c r="C1430" s="69">
        <v>30.874162850228444</v>
      </c>
    </row>
    <row r="1431">
      <c r="A1431" s="62" t="s">
        <v>4856</v>
      </c>
      <c r="B1431" s="63">
        <v>44292.0</v>
      </c>
      <c r="C1431" s="69">
        <v>30.873304289544027</v>
      </c>
    </row>
    <row r="1432">
      <c r="A1432" s="62" t="s">
        <v>6223</v>
      </c>
      <c r="B1432" s="63">
        <v>44368.0</v>
      </c>
      <c r="C1432" s="69">
        <v>30.869955231849215</v>
      </c>
    </row>
    <row r="1433">
      <c r="A1433" s="62" t="s">
        <v>2568</v>
      </c>
      <c r="B1433" s="63">
        <v>44389.0</v>
      </c>
      <c r="C1433" s="69">
        <v>30.867942631140348</v>
      </c>
    </row>
    <row r="1434">
      <c r="A1434" s="62" t="s">
        <v>4999</v>
      </c>
      <c r="B1434" s="63">
        <v>44280.0</v>
      </c>
      <c r="C1434" s="69">
        <v>30.86620658160074</v>
      </c>
    </row>
    <row r="1435">
      <c r="A1435" s="62" t="s">
        <v>3404</v>
      </c>
      <c r="B1435" s="63">
        <v>44223.0</v>
      </c>
      <c r="C1435" s="69">
        <v>30.866089214821734</v>
      </c>
    </row>
    <row r="1436">
      <c r="A1436" s="62" t="s">
        <v>1563</v>
      </c>
      <c r="B1436" s="63">
        <v>44215.0</v>
      </c>
      <c r="C1436" s="69">
        <v>30.865879300871775</v>
      </c>
    </row>
    <row r="1437">
      <c r="A1437" s="62" t="s">
        <v>3181</v>
      </c>
      <c r="B1437" s="63">
        <v>44235.0</v>
      </c>
      <c r="C1437" s="69">
        <v>30.86079323688044</v>
      </c>
    </row>
    <row r="1438">
      <c r="A1438" s="62" t="s">
        <v>3078</v>
      </c>
      <c r="B1438" s="63">
        <v>44181.0</v>
      </c>
      <c r="C1438" s="69">
        <v>30.859530858743184</v>
      </c>
    </row>
    <row r="1439">
      <c r="A1439" s="62" t="s">
        <v>4237</v>
      </c>
      <c r="B1439" s="63">
        <v>44207.0</v>
      </c>
      <c r="C1439" s="69">
        <v>30.852347337973164</v>
      </c>
    </row>
    <row r="1440">
      <c r="A1440" s="62" t="s">
        <v>4460</v>
      </c>
      <c r="B1440" s="63">
        <v>44284.0</v>
      </c>
      <c r="C1440" s="69">
        <v>30.85005934713223</v>
      </c>
    </row>
    <row r="1441">
      <c r="A1441" s="62" t="s">
        <v>3829</v>
      </c>
      <c r="B1441" s="63">
        <v>44190.0</v>
      </c>
      <c r="C1441" s="69">
        <v>30.844812943289618</v>
      </c>
    </row>
    <row r="1442">
      <c r="A1442" s="62" t="s">
        <v>3709</v>
      </c>
      <c r="B1442" s="63">
        <v>44118.0</v>
      </c>
      <c r="C1442" s="69">
        <v>30.843987083155568</v>
      </c>
    </row>
    <row r="1443">
      <c r="A1443" s="62" t="s">
        <v>4459</v>
      </c>
      <c r="B1443" s="63">
        <v>44277.0</v>
      </c>
      <c r="C1443" s="69">
        <v>30.83903370041788</v>
      </c>
    </row>
    <row r="1444">
      <c r="A1444" s="62" t="s">
        <v>4605</v>
      </c>
      <c r="B1444" s="63">
        <v>44305.0</v>
      </c>
      <c r="C1444" s="69">
        <v>30.837910327597122</v>
      </c>
    </row>
    <row r="1445">
      <c r="A1445" s="62" t="s">
        <v>5758</v>
      </c>
      <c r="B1445" s="63">
        <v>44334.0</v>
      </c>
      <c r="C1445" s="69">
        <v>30.82903042952003</v>
      </c>
    </row>
    <row r="1446">
      <c r="A1446" s="62" t="s">
        <v>3730</v>
      </c>
      <c r="B1446" s="63">
        <v>44085.0</v>
      </c>
      <c r="C1446" s="69">
        <v>30.824684512304703</v>
      </c>
    </row>
    <row r="1447">
      <c r="A1447" s="62" t="s">
        <v>3996</v>
      </c>
      <c r="B1447" s="63">
        <v>44076.0</v>
      </c>
      <c r="C1447" s="69">
        <v>30.82340614321939</v>
      </c>
    </row>
    <row r="1448">
      <c r="A1448" s="62" t="s">
        <v>2388</v>
      </c>
      <c r="B1448" s="63">
        <v>44382.0</v>
      </c>
      <c r="C1448" s="69">
        <v>30.822523872404297</v>
      </c>
    </row>
    <row r="1449">
      <c r="A1449" s="62" t="s">
        <v>3775</v>
      </c>
      <c r="B1449" s="63">
        <v>44235.0</v>
      </c>
      <c r="C1449" s="69">
        <v>30.815551860216047</v>
      </c>
    </row>
    <row r="1450">
      <c r="A1450" s="62" t="s">
        <v>3108</v>
      </c>
      <c r="B1450" s="63">
        <v>44208.0</v>
      </c>
      <c r="C1450" s="69">
        <v>30.81522024420035</v>
      </c>
    </row>
    <row r="1451">
      <c r="A1451" s="62" t="s">
        <v>5757</v>
      </c>
      <c r="B1451" s="63">
        <v>44334.0</v>
      </c>
      <c r="C1451" s="69">
        <v>30.80889164822085</v>
      </c>
    </row>
    <row r="1452">
      <c r="A1452" s="62" t="s">
        <v>4801</v>
      </c>
      <c r="B1452" s="63">
        <v>44265.0</v>
      </c>
      <c r="C1452" s="69">
        <v>30.806430242691803</v>
      </c>
    </row>
    <row r="1453">
      <c r="A1453" s="62" t="s">
        <v>2518</v>
      </c>
      <c r="B1453" s="63">
        <v>44389.0</v>
      </c>
      <c r="C1453" s="69">
        <v>30.795929444861166</v>
      </c>
    </row>
    <row r="1454">
      <c r="A1454" s="62" t="s">
        <v>2664</v>
      </c>
      <c r="B1454" s="63">
        <v>44186.0</v>
      </c>
      <c r="C1454" s="69">
        <v>30.795903208167104</v>
      </c>
    </row>
    <row r="1455">
      <c r="A1455" s="62" t="s">
        <v>5897</v>
      </c>
      <c r="B1455" s="63">
        <v>44364.0</v>
      </c>
      <c r="C1455" s="69">
        <v>30.794778817661502</v>
      </c>
    </row>
    <row r="1456">
      <c r="A1456" s="62" t="s">
        <v>3935</v>
      </c>
      <c r="B1456" s="63">
        <v>44212.0</v>
      </c>
      <c r="C1456" s="69">
        <v>30.794104359165885</v>
      </c>
    </row>
    <row r="1457">
      <c r="A1457" s="62" t="s">
        <v>2705</v>
      </c>
      <c r="B1457" s="63">
        <v>44224.0</v>
      </c>
      <c r="C1457" s="69">
        <v>30.79279185748467</v>
      </c>
    </row>
    <row r="1458">
      <c r="A1458" s="62" t="s">
        <v>3676</v>
      </c>
      <c r="B1458" s="63">
        <v>44236.0</v>
      </c>
      <c r="C1458" s="69">
        <v>30.789442492306787</v>
      </c>
    </row>
    <row r="1459">
      <c r="A1459" s="62" t="s">
        <v>3848</v>
      </c>
      <c r="B1459" s="63">
        <v>44085.0</v>
      </c>
      <c r="C1459" s="69">
        <v>30.788407728758997</v>
      </c>
    </row>
    <row r="1460">
      <c r="A1460" s="62" t="s">
        <v>5532</v>
      </c>
      <c r="B1460" s="63">
        <v>44354.0</v>
      </c>
      <c r="C1460" s="69">
        <v>30.78790939294742</v>
      </c>
    </row>
    <row r="1461">
      <c r="A1461" s="62" t="s">
        <v>1899</v>
      </c>
      <c r="B1461" s="63">
        <v>44370.0</v>
      </c>
      <c r="C1461" s="69">
        <v>30.780492322257103</v>
      </c>
    </row>
    <row r="1462">
      <c r="A1462" s="62" t="s">
        <v>3128</v>
      </c>
      <c r="B1462" s="63">
        <v>44243.0</v>
      </c>
      <c r="C1462" s="69">
        <v>30.780042119088556</v>
      </c>
    </row>
    <row r="1463">
      <c r="A1463" s="62" t="s">
        <v>3377</v>
      </c>
      <c r="B1463" s="63">
        <v>44252.0</v>
      </c>
      <c r="C1463" s="69">
        <v>30.778137423037588</v>
      </c>
    </row>
    <row r="1464">
      <c r="A1464" s="62" t="s">
        <v>4011</v>
      </c>
      <c r="B1464" s="63">
        <v>44116.0</v>
      </c>
      <c r="C1464" s="69">
        <v>30.769621715139564</v>
      </c>
    </row>
    <row r="1465">
      <c r="A1465" s="62" t="s">
        <v>4702</v>
      </c>
      <c r="B1465" s="63">
        <v>44307.0</v>
      </c>
      <c r="C1465" s="69">
        <v>30.768695491356794</v>
      </c>
    </row>
    <row r="1466">
      <c r="A1466" s="62" t="s">
        <v>5755</v>
      </c>
      <c r="B1466" s="63">
        <v>44329.0</v>
      </c>
      <c r="C1466" s="69">
        <v>30.768522635768626</v>
      </c>
    </row>
    <row r="1467">
      <c r="A1467" s="62" t="s">
        <v>2658</v>
      </c>
      <c r="B1467" s="63">
        <v>44091.0</v>
      </c>
      <c r="C1467" s="69">
        <v>30.76802036036424</v>
      </c>
    </row>
    <row r="1468">
      <c r="A1468" s="62" t="s">
        <v>5752</v>
      </c>
      <c r="B1468" s="63">
        <v>44326.0</v>
      </c>
      <c r="C1468" s="69">
        <v>30.76448006951086</v>
      </c>
    </row>
    <row r="1469">
      <c r="A1469" s="62" t="s">
        <v>5749</v>
      </c>
      <c r="B1469" s="63">
        <v>44337.0</v>
      </c>
      <c r="C1469" s="69">
        <v>30.763018192768907</v>
      </c>
    </row>
    <row r="1470">
      <c r="A1470" s="62" t="s">
        <v>2264</v>
      </c>
      <c r="B1470" s="63">
        <v>44384.0</v>
      </c>
      <c r="C1470" s="69">
        <v>30.76254462285636</v>
      </c>
    </row>
    <row r="1471">
      <c r="A1471" s="62" t="s">
        <v>6723</v>
      </c>
      <c r="B1471" s="63">
        <v>44348.0</v>
      </c>
      <c r="C1471" s="69">
        <v>30.75693975520787</v>
      </c>
    </row>
    <row r="1472">
      <c r="A1472" s="62" t="s">
        <v>4493</v>
      </c>
      <c r="B1472" s="63">
        <v>44256.0</v>
      </c>
      <c r="C1472" s="69">
        <v>30.754637939178615</v>
      </c>
    </row>
    <row r="1473">
      <c r="A1473" s="62" t="s">
        <v>2694</v>
      </c>
      <c r="B1473" s="63">
        <v>44126.0</v>
      </c>
      <c r="C1473" s="69">
        <v>30.7495669207754</v>
      </c>
    </row>
    <row r="1474">
      <c r="A1474" s="62" t="s">
        <v>4120</v>
      </c>
      <c r="B1474" s="63">
        <v>44197.0</v>
      </c>
      <c r="C1474" s="69">
        <v>30.749484461700956</v>
      </c>
    </row>
    <row r="1475">
      <c r="A1475" s="62" t="s">
        <v>5747</v>
      </c>
      <c r="B1475" s="63">
        <v>44341.0</v>
      </c>
      <c r="C1475" s="69">
        <v>30.748940545329475</v>
      </c>
    </row>
    <row r="1476">
      <c r="A1476" s="62" t="s">
        <v>5812</v>
      </c>
      <c r="B1476" s="63">
        <v>44368.0</v>
      </c>
      <c r="C1476" s="69">
        <v>30.735386969169287</v>
      </c>
    </row>
    <row r="1477">
      <c r="A1477" s="62" t="s">
        <v>2241</v>
      </c>
      <c r="B1477" s="63">
        <v>44064.0</v>
      </c>
      <c r="C1477" s="69">
        <v>30.73483188183332</v>
      </c>
    </row>
    <row r="1478">
      <c r="A1478" s="62" t="s">
        <v>4100</v>
      </c>
      <c r="B1478" s="63">
        <v>44183.0</v>
      </c>
      <c r="C1478" s="69">
        <v>30.731730699370566</v>
      </c>
    </row>
    <row r="1479">
      <c r="A1479" s="62" t="s">
        <v>5746</v>
      </c>
      <c r="B1479" s="63">
        <v>44326.0</v>
      </c>
      <c r="C1479" s="69">
        <v>30.729373721270647</v>
      </c>
    </row>
    <row r="1480">
      <c r="A1480" s="62" t="s">
        <v>3060</v>
      </c>
      <c r="B1480" s="63">
        <v>44158.0</v>
      </c>
      <c r="C1480" s="69">
        <v>30.728655434068493</v>
      </c>
    </row>
    <row r="1481">
      <c r="A1481" s="62" t="s">
        <v>4227</v>
      </c>
      <c r="B1481" s="63">
        <v>44130.0</v>
      </c>
      <c r="C1481" s="69">
        <v>30.727181366002707</v>
      </c>
    </row>
    <row r="1482">
      <c r="A1482" s="62" t="s">
        <v>4305</v>
      </c>
      <c r="B1482" s="63">
        <v>44124.0</v>
      </c>
      <c r="C1482" s="69">
        <v>30.72704158896031</v>
      </c>
    </row>
    <row r="1483">
      <c r="A1483" s="62" t="s">
        <v>705</v>
      </c>
      <c r="B1483" s="63">
        <v>44237.0</v>
      </c>
      <c r="C1483" s="69">
        <v>30.72158731602915</v>
      </c>
    </row>
    <row r="1484">
      <c r="A1484" s="62" t="s">
        <v>5743</v>
      </c>
      <c r="B1484" s="63">
        <v>44321.0</v>
      </c>
      <c r="C1484" s="69">
        <v>30.714795033462604</v>
      </c>
    </row>
    <row r="1485">
      <c r="A1485" s="62" t="s">
        <v>5740</v>
      </c>
      <c r="B1485" s="63">
        <v>44319.0</v>
      </c>
      <c r="C1485" s="69">
        <v>30.709144702253987</v>
      </c>
    </row>
    <row r="1486">
      <c r="A1486" s="62" t="s">
        <v>5739</v>
      </c>
      <c r="B1486" s="63">
        <v>44333.0</v>
      </c>
      <c r="C1486" s="69">
        <v>30.708455714524632</v>
      </c>
    </row>
    <row r="1487">
      <c r="A1487" s="62" t="s">
        <v>2599</v>
      </c>
      <c r="B1487" s="63">
        <v>44384.0</v>
      </c>
      <c r="C1487" s="69">
        <v>30.705434056948526</v>
      </c>
    </row>
    <row r="1488">
      <c r="A1488" s="62" t="s">
        <v>2880</v>
      </c>
      <c r="B1488" s="63">
        <v>44204.0</v>
      </c>
      <c r="C1488" s="69">
        <v>30.703241056861437</v>
      </c>
    </row>
    <row r="1489">
      <c r="A1489" s="62" t="s">
        <v>6430</v>
      </c>
      <c r="B1489" s="63">
        <v>44359.0</v>
      </c>
      <c r="C1489" s="69">
        <v>30.700163881035888</v>
      </c>
    </row>
    <row r="1490">
      <c r="A1490" s="62" t="s">
        <v>3981</v>
      </c>
      <c r="B1490" s="63">
        <v>44233.0</v>
      </c>
      <c r="C1490" s="69">
        <v>30.697133254738482</v>
      </c>
    </row>
    <row r="1491">
      <c r="A1491" s="62" t="s">
        <v>3264</v>
      </c>
      <c r="B1491" s="63">
        <v>44252.0</v>
      </c>
      <c r="C1491" s="69">
        <v>30.693067691867878</v>
      </c>
    </row>
    <row r="1492">
      <c r="A1492" s="62" t="s">
        <v>6492</v>
      </c>
      <c r="B1492" s="63">
        <v>44376.0</v>
      </c>
      <c r="C1492" s="69">
        <v>30.69278362671345</v>
      </c>
    </row>
    <row r="1493">
      <c r="A1493" s="62" t="s">
        <v>6711</v>
      </c>
      <c r="B1493" s="63">
        <v>44348.0</v>
      </c>
      <c r="C1493" s="69">
        <v>30.692270251394433</v>
      </c>
    </row>
    <row r="1494">
      <c r="A1494" s="62" t="s">
        <v>3323</v>
      </c>
      <c r="B1494" s="63">
        <v>44193.0</v>
      </c>
      <c r="C1494" s="69">
        <v>30.687486090129468</v>
      </c>
    </row>
    <row r="1495">
      <c r="A1495" s="62" t="s">
        <v>5738</v>
      </c>
      <c r="B1495" s="63">
        <v>44319.0</v>
      </c>
      <c r="C1495" s="69">
        <v>30.687204429093704</v>
      </c>
    </row>
    <row r="1496">
      <c r="A1496" s="62" t="s">
        <v>5072</v>
      </c>
      <c r="B1496" s="63">
        <v>44307.0</v>
      </c>
      <c r="C1496" s="69">
        <v>30.68696544179554</v>
      </c>
    </row>
    <row r="1497">
      <c r="A1497" s="62" t="s">
        <v>3238</v>
      </c>
      <c r="B1497" s="63">
        <v>44232.0</v>
      </c>
      <c r="C1497" s="69">
        <v>30.683805122701735</v>
      </c>
    </row>
    <row r="1498">
      <c r="A1498" s="62" t="s">
        <v>5993</v>
      </c>
      <c r="B1498" s="63">
        <v>44361.0</v>
      </c>
      <c r="C1498" s="69">
        <v>30.681903076840378</v>
      </c>
    </row>
    <row r="1499">
      <c r="A1499" s="62" t="s">
        <v>3939</v>
      </c>
      <c r="B1499" s="63">
        <v>44223.0</v>
      </c>
      <c r="C1499" s="69">
        <v>30.679978095272627</v>
      </c>
    </row>
    <row r="1500">
      <c r="A1500" s="62" t="s">
        <v>4229</v>
      </c>
      <c r="B1500" s="63">
        <v>44125.0</v>
      </c>
      <c r="C1500" s="69">
        <v>30.677969704272392</v>
      </c>
    </row>
    <row r="1501">
      <c r="A1501" s="62" t="s">
        <v>2682</v>
      </c>
      <c r="B1501" s="63">
        <v>44223.0</v>
      </c>
      <c r="C1501" s="69">
        <v>30.677021607001585</v>
      </c>
    </row>
    <row r="1502">
      <c r="A1502" s="62" t="s">
        <v>6562</v>
      </c>
      <c r="B1502" s="63">
        <v>44368.0</v>
      </c>
      <c r="C1502" s="69">
        <v>30.666430851074203</v>
      </c>
    </row>
    <row r="1503">
      <c r="A1503" s="62" t="s">
        <v>4818</v>
      </c>
      <c r="B1503" s="63">
        <v>44265.0</v>
      </c>
      <c r="C1503" s="69">
        <v>30.665784381719693</v>
      </c>
    </row>
    <row r="1504">
      <c r="A1504" s="62" t="s">
        <v>4494</v>
      </c>
      <c r="B1504" s="63">
        <v>44277.0</v>
      </c>
      <c r="C1504" s="69">
        <v>30.663710527295294</v>
      </c>
    </row>
    <row r="1505">
      <c r="A1505" s="62" t="s">
        <v>3898</v>
      </c>
      <c r="B1505" s="63">
        <v>44225.0</v>
      </c>
      <c r="C1505" s="69">
        <v>30.660812449225226</v>
      </c>
    </row>
    <row r="1506">
      <c r="A1506" s="62" t="s">
        <v>3022</v>
      </c>
      <c r="B1506" s="63">
        <v>44237.0</v>
      </c>
      <c r="C1506" s="69">
        <v>30.65680419439041</v>
      </c>
    </row>
    <row r="1507">
      <c r="A1507" s="62" t="s">
        <v>488</v>
      </c>
      <c r="B1507" s="63">
        <v>44354.0</v>
      </c>
      <c r="C1507" s="69">
        <v>30.65666522711072</v>
      </c>
    </row>
    <row r="1508">
      <c r="A1508" s="62" t="s">
        <v>1591</v>
      </c>
      <c r="B1508" s="63">
        <v>44139.0</v>
      </c>
      <c r="C1508" s="69">
        <v>30.656505077032996</v>
      </c>
    </row>
    <row r="1509">
      <c r="A1509" s="62" t="s">
        <v>2681</v>
      </c>
      <c r="B1509" s="63">
        <v>44254.0</v>
      </c>
      <c r="C1509" s="69">
        <v>30.656467817737983</v>
      </c>
    </row>
    <row r="1510">
      <c r="A1510" s="62" t="s">
        <v>6272</v>
      </c>
      <c r="B1510" s="63">
        <v>44363.0</v>
      </c>
      <c r="C1510" s="69">
        <v>30.65544949897926</v>
      </c>
    </row>
    <row r="1511">
      <c r="A1511" s="62" t="s">
        <v>1278</v>
      </c>
      <c r="B1511" s="63">
        <v>44305.0</v>
      </c>
      <c r="C1511" s="69">
        <v>30.65144036187062</v>
      </c>
    </row>
    <row r="1512">
      <c r="A1512" s="62" t="s">
        <v>5733</v>
      </c>
      <c r="B1512" s="63">
        <v>44334.0</v>
      </c>
      <c r="C1512" s="69">
        <v>30.651292081699868</v>
      </c>
    </row>
    <row r="1513">
      <c r="A1513" s="62" t="s">
        <v>2307</v>
      </c>
      <c r="B1513" s="63">
        <v>44379.0</v>
      </c>
      <c r="C1513" s="69">
        <v>30.636664737499757</v>
      </c>
    </row>
    <row r="1514">
      <c r="A1514" s="62" t="s">
        <v>5732</v>
      </c>
      <c r="B1514" s="63">
        <v>44335.0</v>
      </c>
      <c r="C1514" s="69">
        <v>30.635726003294224</v>
      </c>
    </row>
    <row r="1515">
      <c r="A1515" s="62" t="s">
        <v>5984</v>
      </c>
      <c r="B1515" s="63">
        <v>44351.0</v>
      </c>
      <c r="C1515" s="69">
        <v>30.63514722298133</v>
      </c>
    </row>
    <row r="1516">
      <c r="A1516" s="62" t="s">
        <v>5731</v>
      </c>
      <c r="B1516" s="63">
        <v>44341.0</v>
      </c>
      <c r="C1516" s="69">
        <v>30.634427971836136</v>
      </c>
    </row>
    <row r="1517">
      <c r="A1517" s="62" t="s">
        <v>3092</v>
      </c>
      <c r="B1517" s="63">
        <v>44079.0</v>
      </c>
      <c r="C1517" s="69">
        <v>30.631159372077292</v>
      </c>
    </row>
    <row r="1518">
      <c r="A1518" s="62" t="s">
        <v>4841</v>
      </c>
      <c r="B1518" s="63">
        <v>44265.0</v>
      </c>
      <c r="C1518" s="69">
        <v>30.629975558374603</v>
      </c>
    </row>
    <row r="1519">
      <c r="A1519" s="62" t="s">
        <v>5730</v>
      </c>
      <c r="B1519" s="63">
        <v>44328.0</v>
      </c>
      <c r="C1519" s="69">
        <v>30.627538035713204</v>
      </c>
    </row>
    <row r="1520">
      <c r="A1520" s="62" t="s">
        <v>4337</v>
      </c>
      <c r="B1520" s="63">
        <v>44207.0</v>
      </c>
      <c r="C1520" s="69">
        <v>30.611788373796127</v>
      </c>
    </row>
    <row r="1521">
      <c r="A1521" s="62" t="s">
        <v>5729</v>
      </c>
      <c r="B1521" s="63">
        <v>44347.0</v>
      </c>
      <c r="C1521" s="69">
        <v>30.609022467950115</v>
      </c>
    </row>
    <row r="1522">
      <c r="A1522" s="62" t="s">
        <v>2794</v>
      </c>
      <c r="B1522" s="63">
        <v>44214.0</v>
      </c>
      <c r="C1522" s="69">
        <v>30.608529766107218</v>
      </c>
    </row>
    <row r="1523">
      <c r="A1523" s="62" t="s">
        <v>320</v>
      </c>
      <c r="B1523" s="63">
        <v>44370.0</v>
      </c>
      <c r="C1523" s="69">
        <v>30.608473582091868</v>
      </c>
    </row>
    <row r="1524">
      <c r="A1524" s="62" t="s">
        <v>4409</v>
      </c>
      <c r="B1524" s="63">
        <v>44180.0</v>
      </c>
      <c r="C1524" s="69">
        <v>30.60685917814535</v>
      </c>
    </row>
    <row r="1525">
      <c r="A1525" s="62" t="s">
        <v>2517</v>
      </c>
      <c r="B1525" s="63">
        <v>44389.0</v>
      </c>
      <c r="C1525" s="69">
        <v>30.598704046348175</v>
      </c>
    </row>
    <row r="1526">
      <c r="A1526" s="62" t="s">
        <v>2819</v>
      </c>
      <c r="B1526" s="63">
        <v>44181.0</v>
      </c>
      <c r="C1526" s="69">
        <v>30.598702745325042</v>
      </c>
    </row>
    <row r="1527">
      <c r="A1527" s="62" t="s">
        <v>2106</v>
      </c>
      <c r="B1527" s="63">
        <v>44273.0</v>
      </c>
      <c r="C1527" s="69">
        <v>30.595930167344846</v>
      </c>
    </row>
    <row r="1528">
      <c r="A1528" s="62" t="s">
        <v>2646</v>
      </c>
      <c r="B1528" s="63">
        <v>44169.0</v>
      </c>
      <c r="C1528" s="69">
        <v>30.59589595146983</v>
      </c>
    </row>
    <row r="1529">
      <c r="A1529" s="62" t="s">
        <v>5102</v>
      </c>
      <c r="B1529" s="63">
        <v>44314.0</v>
      </c>
      <c r="C1529" s="69">
        <v>30.590158201796307</v>
      </c>
    </row>
    <row r="1530">
      <c r="A1530" s="62" t="s">
        <v>3973</v>
      </c>
      <c r="B1530" s="63">
        <v>44249.0</v>
      </c>
      <c r="C1530" s="69">
        <v>30.589409553435218</v>
      </c>
    </row>
    <row r="1531">
      <c r="A1531" s="62" t="s">
        <v>5728</v>
      </c>
      <c r="B1531" s="63">
        <v>44321.0</v>
      </c>
      <c r="C1531" s="69">
        <v>30.58436053483235</v>
      </c>
    </row>
    <row r="1532">
      <c r="A1532" s="62" t="s">
        <v>6390</v>
      </c>
      <c r="B1532" s="63">
        <v>44375.0</v>
      </c>
      <c r="C1532" s="69">
        <v>30.582301817289668</v>
      </c>
    </row>
    <row r="1533">
      <c r="A1533" s="62" t="s">
        <v>5800</v>
      </c>
      <c r="B1533" s="63">
        <v>44375.0</v>
      </c>
      <c r="C1533" s="69">
        <v>30.580345418045418</v>
      </c>
    </row>
    <row r="1534">
      <c r="A1534" s="62" t="s">
        <v>2970</v>
      </c>
      <c r="B1534" s="63">
        <v>44236.0</v>
      </c>
      <c r="C1534" s="69">
        <v>30.575620263059527</v>
      </c>
    </row>
    <row r="1535">
      <c r="A1535" s="62" t="s">
        <v>4099</v>
      </c>
      <c r="B1535" s="63">
        <v>44254.0</v>
      </c>
      <c r="C1535" s="69">
        <v>30.57036382608876</v>
      </c>
    </row>
    <row r="1536">
      <c r="A1536" s="62" t="s">
        <v>5890</v>
      </c>
      <c r="B1536" s="63">
        <v>44348.0</v>
      </c>
      <c r="C1536" s="69">
        <v>30.566275648536294</v>
      </c>
    </row>
    <row r="1537">
      <c r="A1537" s="62" t="s">
        <v>2612</v>
      </c>
      <c r="B1537" s="63">
        <v>44383.0</v>
      </c>
      <c r="C1537" s="69">
        <v>30.56271595354322</v>
      </c>
    </row>
    <row r="1538">
      <c r="A1538" s="62" t="s">
        <v>5725</v>
      </c>
      <c r="B1538" s="63">
        <v>44345.0</v>
      </c>
      <c r="C1538" s="69">
        <v>30.56221465052376</v>
      </c>
    </row>
    <row r="1539">
      <c r="A1539" s="62" t="s">
        <v>5724</v>
      </c>
      <c r="B1539" s="63">
        <v>44345.0</v>
      </c>
      <c r="C1539" s="69">
        <v>30.560464789401784</v>
      </c>
    </row>
    <row r="1540">
      <c r="A1540" s="62" t="s">
        <v>3403</v>
      </c>
      <c r="B1540" s="63">
        <v>44237.0</v>
      </c>
      <c r="C1540" s="69">
        <v>30.560252874099866</v>
      </c>
    </row>
    <row r="1541">
      <c r="A1541" s="62" t="s">
        <v>3361</v>
      </c>
      <c r="B1541" s="63">
        <v>44228.0</v>
      </c>
      <c r="C1541" s="69">
        <v>30.55828408318181</v>
      </c>
    </row>
    <row r="1542">
      <c r="A1542" s="62" t="s">
        <v>5535</v>
      </c>
      <c r="B1542" s="63">
        <v>44352.0</v>
      </c>
      <c r="C1542" s="69">
        <v>30.555191837905205</v>
      </c>
    </row>
    <row r="1543">
      <c r="A1543" s="62" t="s">
        <v>4564</v>
      </c>
      <c r="B1543" s="63">
        <v>44291.0</v>
      </c>
      <c r="C1543" s="69">
        <v>30.55417520232828</v>
      </c>
    </row>
    <row r="1544">
      <c r="A1544" s="62" t="s">
        <v>5723</v>
      </c>
      <c r="B1544" s="63">
        <v>44344.0</v>
      </c>
      <c r="C1544" s="69">
        <v>30.552713657663215</v>
      </c>
    </row>
    <row r="1545">
      <c r="A1545" s="62" t="s">
        <v>2416</v>
      </c>
      <c r="B1545" s="63">
        <v>44378.0</v>
      </c>
      <c r="C1545" s="69">
        <v>30.550123870983676</v>
      </c>
    </row>
    <row r="1546">
      <c r="A1546" s="62" t="s">
        <v>5722</v>
      </c>
      <c r="B1546" s="63">
        <v>44336.0</v>
      </c>
      <c r="C1546" s="69">
        <v>30.54375276700707</v>
      </c>
    </row>
    <row r="1547">
      <c r="A1547" s="62" t="s">
        <v>742</v>
      </c>
      <c r="B1547" s="63">
        <v>44376.0</v>
      </c>
      <c r="C1547" s="69">
        <v>30.54369167849552</v>
      </c>
    </row>
    <row r="1548">
      <c r="A1548" s="62" t="s">
        <v>2947</v>
      </c>
      <c r="B1548" s="63">
        <v>44223.0</v>
      </c>
      <c r="C1548" s="69">
        <v>30.54250963166835</v>
      </c>
    </row>
    <row r="1549">
      <c r="A1549" s="62" t="s">
        <v>4737</v>
      </c>
      <c r="B1549" s="63">
        <v>44287.0</v>
      </c>
      <c r="C1549" s="69">
        <v>30.542454520516014</v>
      </c>
    </row>
    <row r="1550">
      <c r="A1550" s="62" t="s">
        <v>4447</v>
      </c>
      <c r="B1550" s="63">
        <v>44274.0</v>
      </c>
      <c r="C1550" s="69">
        <v>30.542015993752045</v>
      </c>
    </row>
    <row r="1551">
      <c r="A1551" s="62" t="s">
        <v>4731</v>
      </c>
      <c r="B1551" s="63">
        <v>44277.0</v>
      </c>
      <c r="C1551" s="69">
        <v>30.536683198386342</v>
      </c>
    </row>
    <row r="1552">
      <c r="A1552" s="62" t="s">
        <v>1879</v>
      </c>
      <c r="B1552" s="63">
        <v>44354.0</v>
      </c>
      <c r="C1552" s="69">
        <v>30.534309085748134</v>
      </c>
    </row>
    <row r="1553">
      <c r="A1553" s="62" t="s">
        <v>834</v>
      </c>
      <c r="B1553" s="63">
        <v>44072.0</v>
      </c>
      <c r="C1553" s="69">
        <v>30.53412449308653</v>
      </c>
    </row>
    <row r="1554">
      <c r="A1554" s="62" t="s">
        <v>5721</v>
      </c>
      <c r="B1554" s="63">
        <v>44321.0</v>
      </c>
      <c r="C1554" s="69">
        <v>30.533793901711064</v>
      </c>
    </row>
    <row r="1555">
      <c r="A1555" s="62" t="s">
        <v>3204</v>
      </c>
      <c r="B1555" s="63">
        <v>44077.0</v>
      </c>
      <c r="C1555" s="69">
        <v>30.533737207958644</v>
      </c>
    </row>
    <row r="1556">
      <c r="A1556" s="62" t="s">
        <v>482</v>
      </c>
      <c r="B1556" s="63">
        <v>44082.0</v>
      </c>
      <c r="C1556" s="69">
        <v>30.532969371447038</v>
      </c>
    </row>
    <row r="1557">
      <c r="A1557" s="62" t="s">
        <v>5709</v>
      </c>
      <c r="B1557" s="63">
        <v>44356.0</v>
      </c>
      <c r="C1557" s="69">
        <v>30.527131114031157</v>
      </c>
    </row>
    <row r="1558">
      <c r="A1558" s="62" t="s">
        <v>467</v>
      </c>
      <c r="B1558" s="63">
        <v>44302.0</v>
      </c>
      <c r="C1558" s="69">
        <v>30.522241509609586</v>
      </c>
    </row>
    <row r="1559">
      <c r="A1559" s="62" t="s">
        <v>2630</v>
      </c>
      <c r="B1559" s="63">
        <v>44195.0</v>
      </c>
      <c r="C1559" s="69">
        <v>30.522030346449966</v>
      </c>
    </row>
    <row r="1560">
      <c r="A1560" s="62" t="s">
        <v>1911</v>
      </c>
      <c r="B1560" s="63">
        <v>44259.0</v>
      </c>
      <c r="C1560" s="69">
        <v>30.518444451857512</v>
      </c>
    </row>
    <row r="1561">
      <c r="A1561" s="62" t="s">
        <v>3208</v>
      </c>
      <c r="B1561" s="63">
        <v>44165.0</v>
      </c>
      <c r="C1561" s="69">
        <v>30.517915432871774</v>
      </c>
    </row>
    <row r="1562">
      <c r="A1562" s="62" t="s">
        <v>5944</v>
      </c>
      <c r="B1562" s="63">
        <v>44376.0</v>
      </c>
      <c r="C1562" s="69">
        <v>30.517631956021667</v>
      </c>
    </row>
    <row r="1563">
      <c r="A1563" s="62" t="s">
        <v>813</v>
      </c>
      <c r="B1563" s="63">
        <v>44131.0</v>
      </c>
      <c r="C1563" s="69">
        <v>30.516836737401526</v>
      </c>
    </row>
    <row r="1564">
      <c r="A1564" s="62" t="s">
        <v>3014</v>
      </c>
      <c r="B1564" s="63">
        <v>44218.0</v>
      </c>
      <c r="C1564" s="69">
        <v>30.516354920557475</v>
      </c>
    </row>
    <row r="1565">
      <c r="A1565" s="62" t="s">
        <v>3441</v>
      </c>
      <c r="B1565" s="63">
        <v>44107.0</v>
      </c>
      <c r="C1565" s="69">
        <v>30.515796891170886</v>
      </c>
    </row>
    <row r="1566">
      <c r="A1566" s="62" t="s">
        <v>4500</v>
      </c>
      <c r="B1566" s="63">
        <v>44272.0</v>
      </c>
      <c r="C1566" s="69">
        <v>30.513075902427545</v>
      </c>
    </row>
    <row r="1567">
      <c r="A1567" s="62" t="s">
        <v>5720</v>
      </c>
      <c r="B1567" s="63">
        <v>44342.0</v>
      </c>
      <c r="C1567" s="69">
        <v>30.5125801350952</v>
      </c>
    </row>
    <row r="1568">
      <c r="A1568" s="62" t="s">
        <v>6004</v>
      </c>
      <c r="B1568" s="63">
        <v>44358.0</v>
      </c>
      <c r="C1568" s="69">
        <v>30.506477729676234</v>
      </c>
    </row>
    <row r="1569">
      <c r="A1569" s="62" t="s">
        <v>867</v>
      </c>
      <c r="B1569" s="63">
        <v>44139.0</v>
      </c>
      <c r="C1569" s="69">
        <v>30.50264029868144</v>
      </c>
    </row>
    <row r="1570">
      <c r="A1570" s="62" t="s">
        <v>5719</v>
      </c>
      <c r="B1570" s="63">
        <v>44329.0</v>
      </c>
      <c r="C1570" s="69">
        <v>30.500787947314354</v>
      </c>
    </row>
    <row r="1571">
      <c r="A1571" s="62" t="s">
        <v>5718</v>
      </c>
      <c r="B1571" s="63">
        <v>44345.0</v>
      </c>
      <c r="C1571" s="69">
        <v>30.49912749486993</v>
      </c>
    </row>
    <row r="1572">
      <c r="A1572" s="62" t="s">
        <v>4176</v>
      </c>
      <c r="B1572" s="63">
        <v>44125.0</v>
      </c>
      <c r="C1572" s="69">
        <v>30.490433765791465</v>
      </c>
    </row>
    <row r="1573">
      <c r="A1573" s="62" t="s">
        <v>6669</v>
      </c>
      <c r="B1573" s="63">
        <v>44356.0</v>
      </c>
      <c r="C1573" s="69">
        <v>30.482941718384797</v>
      </c>
    </row>
    <row r="1574">
      <c r="A1574" s="62" t="s">
        <v>3457</v>
      </c>
      <c r="B1574" s="63">
        <v>44249.0</v>
      </c>
      <c r="C1574" s="69">
        <v>30.480690246751294</v>
      </c>
    </row>
    <row r="1575">
      <c r="A1575" s="62" t="s">
        <v>6215</v>
      </c>
      <c r="B1575" s="63">
        <v>44358.0</v>
      </c>
      <c r="C1575" s="69">
        <v>30.478953520542458</v>
      </c>
    </row>
    <row r="1576">
      <c r="A1576" s="62" t="s">
        <v>5716</v>
      </c>
      <c r="B1576" s="63">
        <v>44343.0</v>
      </c>
      <c r="C1576" s="69">
        <v>30.47554955915586</v>
      </c>
    </row>
    <row r="1577">
      <c r="A1577" s="62" t="s">
        <v>4577</v>
      </c>
      <c r="B1577" s="63">
        <v>44266.0</v>
      </c>
      <c r="C1577" s="69">
        <v>30.47356509205504</v>
      </c>
    </row>
    <row r="1578">
      <c r="A1578" s="62" t="s">
        <v>2805</v>
      </c>
      <c r="B1578" s="63">
        <v>44175.0</v>
      </c>
      <c r="C1578" s="69">
        <v>30.472904363693203</v>
      </c>
    </row>
    <row r="1579">
      <c r="A1579" s="62" t="s">
        <v>2220</v>
      </c>
      <c r="B1579" s="63">
        <v>44070.0</v>
      </c>
      <c r="C1579" s="69">
        <v>30.468303997962813</v>
      </c>
    </row>
    <row r="1580">
      <c r="A1580" s="62" t="s">
        <v>3235</v>
      </c>
      <c r="B1580" s="63">
        <v>44106.0</v>
      </c>
      <c r="C1580" s="69">
        <v>30.46591020901216</v>
      </c>
    </row>
    <row r="1581">
      <c r="A1581" s="62" t="s">
        <v>1747</v>
      </c>
      <c r="B1581" s="63">
        <v>44228.0</v>
      </c>
      <c r="C1581" s="69">
        <v>30.465005761485067</v>
      </c>
    </row>
    <row r="1582">
      <c r="A1582" s="62" t="s">
        <v>5713</v>
      </c>
      <c r="B1582" s="63">
        <v>44333.0</v>
      </c>
      <c r="C1582" s="69">
        <v>30.463685201400715</v>
      </c>
    </row>
    <row r="1583">
      <c r="A1583" s="62" t="s">
        <v>2654</v>
      </c>
      <c r="B1583" s="63">
        <v>44237.0</v>
      </c>
      <c r="C1583" s="69">
        <v>30.460232697105802</v>
      </c>
    </row>
    <row r="1584">
      <c r="A1584" s="62" t="s">
        <v>5712</v>
      </c>
      <c r="B1584" s="63">
        <v>44325.0</v>
      </c>
      <c r="C1584" s="69">
        <v>30.459684106098237</v>
      </c>
    </row>
    <row r="1585">
      <c r="A1585" s="62" t="s">
        <v>5708</v>
      </c>
      <c r="B1585" s="63">
        <v>44326.0</v>
      </c>
      <c r="C1585" s="69">
        <v>30.45561278516179</v>
      </c>
    </row>
    <row r="1586">
      <c r="A1586" s="62" t="s">
        <v>4875</v>
      </c>
      <c r="B1586" s="63">
        <v>44265.0</v>
      </c>
      <c r="C1586" s="69">
        <v>30.45451687649429</v>
      </c>
    </row>
    <row r="1587">
      <c r="A1587" s="62" t="s">
        <v>1457</v>
      </c>
      <c r="B1587" s="63">
        <v>44375.0</v>
      </c>
      <c r="C1587" s="69">
        <v>30.454187714099895</v>
      </c>
    </row>
    <row r="1588">
      <c r="A1588" s="62" t="s">
        <v>4802</v>
      </c>
      <c r="B1588" s="63">
        <v>44314.0</v>
      </c>
      <c r="C1588" s="69">
        <v>30.45012303224596</v>
      </c>
    </row>
    <row r="1589">
      <c r="A1589" s="62" t="s">
        <v>5707</v>
      </c>
      <c r="B1589" s="63">
        <v>44342.0</v>
      </c>
      <c r="C1589" s="69">
        <v>30.44985435259033</v>
      </c>
    </row>
    <row r="1590">
      <c r="A1590" s="62" t="s">
        <v>3407</v>
      </c>
      <c r="B1590" s="63">
        <v>44202.0</v>
      </c>
      <c r="C1590" s="69">
        <v>30.447750317166115</v>
      </c>
    </row>
    <row r="1591">
      <c r="A1591" s="62" t="s">
        <v>2570</v>
      </c>
      <c r="B1591" s="63">
        <v>44390.0</v>
      </c>
      <c r="C1591" s="69">
        <v>30.44300121771108</v>
      </c>
    </row>
    <row r="1592">
      <c r="A1592" s="62" t="s">
        <v>5706</v>
      </c>
      <c r="B1592" s="63">
        <v>44328.0</v>
      </c>
      <c r="C1592" s="69">
        <v>30.437573683446164</v>
      </c>
    </row>
    <row r="1593">
      <c r="A1593" s="62" t="s">
        <v>4582</v>
      </c>
      <c r="B1593" s="63">
        <v>44312.0</v>
      </c>
      <c r="C1593" s="69">
        <v>30.42984058836722</v>
      </c>
    </row>
    <row r="1594">
      <c r="A1594" s="62" t="s">
        <v>3448</v>
      </c>
      <c r="B1594" s="63">
        <v>44229.0</v>
      </c>
      <c r="C1594" s="69">
        <v>30.427840093814723</v>
      </c>
    </row>
    <row r="1595">
      <c r="A1595" s="62" t="s">
        <v>2781</v>
      </c>
      <c r="B1595" s="63">
        <v>44162.0</v>
      </c>
      <c r="C1595" s="69">
        <v>30.426590080667953</v>
      </c>
    </row>
    <row r="1596">
      <c r="A1596" s="62" t="s">
        <v>2433</v>
      </c>
      <c r="B1596" s="63">
        <v>44379.0</v>
      </c>
      <c r="C1596" s="69">
        <v>30.42658984609565</v>
      </c>
    </row>
    <row r="1597">
      <c r="A1597" s="62" t="s">
        <v>360</v>
      </c>
      <c r="B1597" s="63">
        <v>44369.0</v>
      </c>
      <c r="C1597" s="69">
        <v>30.42560869379966</v>
      </c>
    </row>
    <row r="1598">
      <c r="A1598" s="62" t="s">
        <v>4814</v>
      </c>
      <c r="B1598" s="63">
        <v>44285.0</v>
      </c>
      <c r="C1598" s="69">
        <v>30.424648598615818</v>
      </c>
    </row>
    <row r="1599">
      <c r="A1599" s="62" t="s">
        <v>5327</v>
      </c>
      <c r="B1599" s="63">
        <v>44377.0</v>
      </c>
      <c r="C1599" s="69">
        <v>30.422496285167075</v>
      </c>
    </row>
    <row r="1600">
      <c r="A1600" s="62" t="s">
        <v>5620</v>
      </c>
      <c r="B1600" s="63">
        <v>44359.0</v>
      </c>
      <c r="C1600" s="69">
        <v>30.42248444136029</v>
      </c>
    </row>
    <row r="1601">
      <c r="A1601" s="62" t="s">
        <v>5263</v>
      </c>
      <c r="B1601" s="63">
        <v>44313.0</v>
      </c>
      <c r="C1601" s="69">
        <v>30.42069762003581</v>
      </c>
    </row>
    <row r="1602">
      <c r="A1602" s="62" t="s">
        <v>6626</v>
      </c>
      <c r="B1602" s="63">
        <v>44375.0</v>
      </c>
      <c r="C1602" s="69">
        <v>30.41432942588751</v>
      </c>
    </row>
    <row r="1603">
      <c r="A1603" s="62" t="s">
        <v>5705</v>
      </c>
      <c r="B1603" s="63">
        <v>44341.0</v>
      </c>
      <c r="C1603" s="69">
        <v>30.409481447705993</v>
      </c>
    </row>
    <row r="1604">
      <c r="A1604" s="62" t="s">
        <v>2704</v>
      </c>
      <c r="B1604" s="63">
        <v>44210.0</v>
      </c>
      <c r="C1604" s="69">
        <v>30.406013306435717</v>
      </c>
    </row>
    <row r="1605">
      <c r="A1605" s="62" t="s">
        <v>6106</v>
      </c>
      <c r="B1605" s="63">
        <v>44351.0</v>
      </c>
      <c r="C1605" s="69">
        <v>30.403323178306163</v>
      </c>
    </row>
    <row r="1606">
      <c r="A1606" s="62" t="s">
        <v>5397</v>
      </c>
      <c r="B1606" s="63">
        <v>44350.0</v>
      </c>
      <c r="C1606" s="69">
        <v>30.402657372803752</v>
      </c>
    </row>
    <row r="1607">
      <c r="A1607" s="62" t="s">
        <v>5014</v>
      </c>
      <c r="B1607" s="63">
        <v>44265.0</v>
      </c>
      <c r="C1607" s="69">
        <v>30.401794636239075</v>
      </c>
    </row>
    <row r="1608">
      <c r="A1608" s="62" t="s">
        <v>5704</v>
      </c>
      <c r="B1608" s="63">
        <v>44332.0</v>
      </c>
      <c r="C1608" s="69">
        <v>30.399628093768854</v>
      </c>
    </row>
    <row r="1609">
      <c r="A1609" s="62" t="s">
        <v>5189</v>
      </c>
      <c r="B1609" s="63">
        <v>44292.0</v>
      </c>
      <c r="C1609" s="69">
        <v>30.397157657594533</v>
      </c>
    </row>
    <row r="1610">
      <c r="A1610" s="62" t="s">
        <v>4313</v>
      </c>
      <c r="B1610" s="63">
        <v>44093.0</v>
      </c>
      <c r="C1610" s="69">
        <v>30.39631368727094</v>
      </c>
    </row>
    <row r="1611">
      <c r="A1611" s="62" t="s">
        <v>246</v>
      </c>
      <c r="B1611" s="63">
        <v>44379.0</v>
      </c>
      <c r="C1611" s="69">
        <v>30.39597322099665</v>
      </c>
    </row>
    <row r="1612">
      <c r="A1612" s="62" t="s">
        <v>263</v>
      </c>
      <c r="B1612" s="63">
        <v>44391.0</v>
      </c>
      <c r="C1612" s="69">
        <v>30.395566488300425</v>
      </c>
    </row>
    <row r="1613">
      <c r="A1613" s="62" t="s">
        <v>2732</v>
      </c>
      <c r="B1613" s="63">
        <v>44177.0</v>
      </c>
      <c r="C1613" s="69">
        <v>30.391062907025066</v>
      </c>
    </row>
    <row r="1614">
      <c r="A1614" s="62" t="s">
        <v>5703</v>
      </c>
      <c r="B1614" s="63">
        <v>44328.0</v>
      </c>
      <c r="C1614" s="69">
        <v>30.381741548979644</v>
      </c>
    </row>
    <row r="1615">
      <c r="A1615" s="62" t="s">
        <v>1368</v>
      </c>
      <c r="B1615" s="63">
        <v>44350.0</v>
      </c>
      <c r="C1615" s="69">
        <v>30.377101512099514</v>
      </c>
    </row>
    <row r="1616">
      <c r="A1616" s="62" t="s">
        <v>5461</v>
      </c>
      <c r="B1616" s="63">
        <v>44369.0</v>
      </c>
      <c r="C1616" s="69">
        <v>30.37426688943725</v>
      </c>
    </row>
    <row r="1617">
      <c r="A1617" s="62" t="s">
        <v>4887</v>
      </c>
      <c r="B1617" s="63">
        <v>44279.0</v>
      </c>
      <c r="C1617" s="69">
        <v>30.373465654781313</v>
      </c>
    </row>
    <row r="1618">
      <c r="A1618" s="62" t="s">
        <v>2551</v>
      </c>
      <c r="B1618" s="63">
        <v>44383.0</v>
      </c>
      <c r="C1618" s="69">
        <v>30.361422032982585</v>
      </c>
    </row>
    <row r="1619">
      <c r="A1619" s="62" t="s">
        <v>5701</v>
      </c>
      <c r="B1619" s="63">
        <v>44331.0</v>
      </c>
      <c r="C1619" s="69">
        <v>30.35975931371133</v>
      </c>
    </row>
    <row r="1620">
      <c r="A1620" s="62" t="s">
        <v>4597</v>
      </c>
      <c r="B1620" s="63">
        <v>44314.0</v>
      </c>
      <c r="C1620" s="69">
        <v>30.359121419492915</v>
      </c>
    </row>
    <row r="1621">
      <c r="A1621" s="62" t="s">
        <v>3166</v>
      </c>
      <c r="B1621" s="63">
        <v>44154.0</v>
      </c>
      <c r="C1621" s="69">
        <v>30.35650817197473</v>
      </c>
    </row>
    <row r="1622">
      <c r="A1622" s="62" t="s">
        <v>1280</v>
      </c>
      <c r="B1622" s="63">
        <v>44376.0</v>
      </c>
      <c r="C1622" s="69">
        <v>30.356212834045117</v>
      </c>
    </row>
    <row r="1623">
      <c r="A1623" s="62" t="s">
        <v>5698</v>
      </c>
      <c r="B1623" s="63">
        <v>44376.0</v>
      </c>
      <c r="C1623" s="69">
        <v>30.354633179379306</v>
      </c>
    </row>
    <row r="1624">
      <c r="A1624" s="62" t="s">
        <v>3145</v>
      </c>
      <c r="B1624" s="63">
        <v>44202.0</v>
      </c>
      <c r="C1624" s="69">
        <v>30.346875629133876</v>
      </c>
    </row>
    <row r="1625">
      <c r="A1625" s="62" t="s">
        <v>5700</v>
      </c>
      <c r="B1625" s="63">
        <v>44321.0</v>
      </c>
      <c r="C1625" s="69">
        <v>30.337802816212776</v>
      </c>
    </row>
    <row r="1626">
      <c r="A1626" s="62" t="s">
        <v>336</v>
      </c>
      <c r="B1626" s="63">
        <v>44266.0</v>
      </c>
      <c r="C1626" s="69">
        <v>30.33554176729617</v>
      </c>
    </row>
    <row r="1627">
      <c r="A1627" s="62" t="s">
        <v>5694</v>
      </c>
      <c r="B1627" s="63">
        <v>44333.0</v>
      </c>
      <c r="C1627" s="69">
        <v>30.33326469973329</v>
      </c>
    </row>
    <row r="1628">
      <c r="A1628" s="62" t="s">
        <v>3292</v>
      </c>
      <c r="B1628" s="63">
        <v>44231.0</v>
      </c>
      <c r="C1628" s="69">
        <v>30.329897491342184</v>
      </c>
    </row>
    <row r="1629">
      <c r="A1629" s="62" t="s">
        <v>2722</v>
      </c>
      <c r="B1629" s="63">
        <v>44237.0</v>
      </c>
      <c r="C1629" s="69">
        <v>30.32980419946189</v>
      </c>
    </row>
    <row r="1630">
      <c r="A1630" s="62" t="s">
        <v>4381</v>
      </c>
      <c r="B1630" s="63">
        <v>44134.0</v>
      </c>
      <c r="C1630" s="69">
        <v>30.329223392087805</v>
      </c>
    </row>
    <row r="1631">
      <c r="A1631" s="62" t="s">
        <v>5689</v>
      </c>
      <c r="B1631" s="63">
        <v>44337.0</v>
      </c>
      <c r="C1631" s="69">
        <v>30.328364949294908</v>
      </c>
    </row>
    <row r="1632">
      <c r="A1632" s="62" t="s">
        <v>3131</v>
      </c>
      <c r="B1632" s="63">
        <v>44170.0</v>
      </c>
      <c r="C1632" s="69">
        <v>30.3254480672296</v>
      </c>
    </row>
    <row r="1633">
      <c r="A1633" s="62" t="s">
        <v>5005</v>
      </c>
      <c r="B1633" s="63">
        <v>44256.0</v>
      </c>
      <c r="C1633" s="69">
        <v>30.31805088765981</v>
      </c>
    </row>
    <row r="1634">
      <c r="A1634" s="62" t="s">
        <v>5688</v>
      </c>
      <c r="B1634" s="63">
        <v>44336.0</v>
      </c>
      <c r="C1634" s="69">
        <v>30.315470911647115</v>
      </c>
    </row>
    <row r="1635">
      <c r="A1635" s="62" t="s">
        <v>2591</v>
      </c>
      <c r="B1635" s="63">
        <v>44392.0</v>
      </c>
      <c r="C1635" s="69">
        <v>30.31341495642848</v>
      </c>
    </row>
    <row r="1636">
      <c r="A1636" s="62" t="s">
        <v>5687</v>
      </c>
      <c r="B1636" s="63">
        <v>44345.0</v>
      </c>
      <c r="C1636" s="69">
        <v>30.306900730510833</v>
      </c>
    </row>
    <row r="1637">
      <c r="A1637" s="62" t="s">
        <v>4377</v>
      </c>
      <c r="B1637" s="63">
        <v>44250.0</v>
      </c>
      <c r="C1637" s="69">
        <v>30.304835793973893</v>
      </c>
    </row>
    <row r="1638">
      <c r="A1638" s="62" t="s">
        <v>4431</v>
      </c>
      <c r="B1638" s="63">
        <v>44151.0</v>
      </c>
      <c r="C1638" s="69">
        <v>30.296641050195596</v>
      </c>
    </row>
    <row r="1639">
      <c r="A1639" s="62" t="s">
        <v>927</v>
      </c>
      <c r="B1639" s="63">
        <v>44375.0</v>
      </c>
      <c r="C1639" s="69">
        <v>30.295356905500867</v>
      </c>
    </row>
    <row r="1640">
      <c r="A1640" s="62" t="s">
        <v>2179</v>
      </c>
      <c r="B1640" s="63">
        <v>44063.0</v>
      </c>
      <c r="C1640" s="69">
        <v>30.291419063135994</v>
      </c>
    </row>
    <row r="1641">
      <c r="A1641" s="62" t="s">
        <v>3504</v>
      </c>
      <c r="B1641" s="63">
        <v>44231.0</v>
      </c>
      <c r="C1641" s="69">
        <v>30.291020035172213</v>
      </c>
    </row>
    <row r="1642">
      <c r="A1642" s="62" t="s">
        <v>5191</v>
      </c>
      <c r="B1642" s="63">
        <v>44267.0</v>
      </c>
      <c r="C1642" s="69">
        <v>30.287910986560476</v>
      </c>
    </row>
    <row r="1643">
      <c r="A1643" s="62" t="s">
        <v>3193</v>
      </c>
      <c r="B1643" s="63">
        <v>44223.0</v>
      </c>
      <c r="C1643" s="69">
        <v>30.286547198363003</v>
      </c>
    </row>
    <row r="1644">
      <c r="A1644" s="62" t="s">
        <v>5685</v>
      </c>
      <c r="B1644" s="63">
        <v>44326.0</v>
      </c>
      <c r="C1644" s="69">
        <v>30.284865464890967</v>
      </c>
    </row>
    <row r="1645">
      <c r="A1645" s="62" t="s">
        <v>3242</v>
      </c>
      <c r="B1645" s="63">
        <v>44236.0</v>
      </c>
      <c r="C1645" s="69">
        <v>30.283907484726527</v>
      </c>
    </row>
    <row r="1646">
      <c r="A1646" s="62" t="s">
        <v>5684</v>
      </c>
      <c r="B1646" s="63">
        <v>44345.0</v>
      </c>
      <c r="C1646" s="69">
        <v>30.281925836558177</v>
      </c>
    </row>
    <row r="1647">
      <c r="A1647" s="62" t="s">
        <v>2229</v>
      </c>
      <c r="B1647" s="63">
        <v>44064.0</v>
      </c>
      <c r="C1647" s="69">
        <v>30.28147998797268</v>
      </c>
    </row>
    <row r="1648">
      <c r="A1648" s="62" t="s">
        <v>3944</v>
      </c>
      <c r="B1648" s="63">
        <v>44224.0</v>
      </c>
      <c r="C1648" s="69">
        <v>30.275308389008888</v>
      </c>
    </row>
    <row r="1649">
      <c r="A1649" s="62" t="s">
        <v>4446</v>
      </c>
      <c r="B1649" s="63">
        <v>44309.0</v>
      </c>
      <c r="C1649" s="69">
        <v>30.271772345542463</v>
      </c>
    </row>
    <row r="1650">
      <c r="A1650" s="62" t="s">
        <v>5679</v>
      </c>
      <c r="B1650" s="63">
        <v>44328.0</v>
      </c>
      <c r="C1650" s="69">
        <v>30.269032150797173</v>
      </c>
    </row>
    <row r="1651">
      <c r="A1651" s="62" t="s">
        <v>2292</v>
      </c>
      <c r="B1651" s="63">
        <v>44383.0</v>
      </c>
      <c r="C1651" s="69">
        <v>30.267544978911374</v>
      </c>
    </row>
    <row r="1652">
      <c r="A1652" s="62" t="s">
        <v>5676</v>
      </c>
      <c r="B1652" s="63">
        <v>44340.0</v>
      </c>
      <c r="C1652" s="69">
        <v>30.259999123998025</v>
      </c>
    </row>
    <row r="1653">
      <c r="A1653" s="62" t="s">
        <v>5992</v>
      </c>
      <c r="B1653" s="63">
        <v>44358.0</v>
      </c>
      <c r="C1653" s="69">
        <v>30.25783425390277</v>
      </c>
    </row>
    <row r="1654">
      <c r="A1654" s="62" t="s">
        <v>5965</v>
      </c>
      <c r="B1654" s="63">
        <v>44349.0</v>
      </c>
      <c r="C1654" s="69">
        <v>30.253534107485947</v>
      </c>
    </row>
    <row r="1655">
      <c r="A1655" s="62" t="s">
        <v>6637</v>
      </c>
      <c r="B1655" s="63">
        <v>44361.0</v>
      </c>
      <c r="C1655" s="69">
        <v>30.25319096557444</v>
      </c>
    </row>
    <row r="1656">
      <c r="A1656" s="62" t="s">
        <v>3796</v>
      </c>
      <c r="B1656" s="63">
        <v>44194.0</v>
      </c>
      <c r="C1656" s="69">
        <v>30.2358065738338</v>
      </c>
    </row>
    <row r="1657">
      <c r="A1657" s="62" t="s">
        <v>1093</v>
      </c>
      <c r="B1657" s="63">
        <v>44361.0</v>
      </c>
      <c r="C1657" s="69">
        <v>30.23216822178281</v>
      </c>
    </row>
    <row r="1658">
      <c r="A1658" s="62" t="s">
        <v>4776</v>
      </c>
      <c r="B1658" s="63">
        <v>44274.0</v>
      </c>
      <c r="C1658" s="69">
        <v>30.23213544307452</v>
      </c>
    </row>
    <row r="1659">
      <c r="A1659" s="62" t="s">
        <v>5675</v>
      </c>
      <c r="B1659" s="63">
        <v>44344.0</v>
      </c>
      <c r="C1659" s="69">
        <v>30.23179942073977</v>
      </c>
    </row>
    <row r="1660">
      <c r="A1660" s="62" t="s">
        <v>6308</v>
      </c>
      <c r="B1660" s="63">
        <v>44377.0</v>
      </c>
      <c r="C1660" s="69">
        <v>30.23092550727649</v>
      </c>
    </row>
    <row r="1661">
      <c r="A1661" s="62" t="s">
        <v>1377</v>
      </c>
      <c r="B1661" s="63">
        <v>44384.0</v>
      </c>
      <c r="C1661" s="69">
        <v>30.221711649428382</v>
      </c>
    </row>
    <row r="1662">
      <c r="A1662" s="62" t="s">
        <v>4977</v>
      </c>
      <c r="B1662" s="63">
        <v>44312.0</v>
      </c>
      <c r="C1662" s="69">
        <v>30.219803136087876</v>
      </c>
    </row>
    <row r="1663">
      <c r="A1663" s="62" t="s">
        <v>5714</v>
      </c>
      <c r="B1663" s="63">
        <v>44372.0</v>
      </c>
      <c r="C1663" s="69">
        <v>30.216991238127974</v>
      </c>
    </row>
    <row r="1664">
      <c r="A1664" s="62" t="s">
        <v>3954</v>
      </c>
      <c r="B1664" s="63">
        <v>44211.0</v>
      </c>
      <c r="C1664" s="69">
        <v>30.215662571414708</v>
      </c>
    </row>
    <row r="1665">
      <c r="A1665" s="62" t="s">
        <v>654</v>
      </c>
      <c r="B1665" s="63">
        <v>44378.0</v>
      </c>
      <c r="C1665" s="69">
        <v>30.215572183682777</v>
      </c>
    </row>
    <row r="1666">
      <c r="A1666" s="62" t="s">
        <v>5671</v>
      </c>
      <c r="B1666" s="63">
        <v>44330.0</v>
      </c>
      <c r="C1666" s="69">
        <v>30.21015919353701</v>
      </c>
    </row>
    <row r="1667">
      <c r="A1667" s="62" t="s">
        <v>3366</v>
      </c>
      <c r="B1667" s="63">
        <v>44236.0</v>
      </c>
      <c r="C1667" s="69">
        <v>30.209834356297737</v>
      </c>
    </row>
    <row r="1668">
      <c r="A1668" s="62" t="s">
        <v>4712</v>
      </c>
      <c r="B1668" s="63">
        <v>44294.0</v>
      </c>
      <c r="C1668" s="69">
        <v>30.206670533903576</v>
      </c>
    </row>
    <row r="1669">
      <c r="A1669" s="62" t="s">
        <v>2154</v>
      </c>
      <c r="B1669" s="63">
        <v>44072.0</v>
      </c>
      <c r="C1669" s="69">
        <v>30.202935848413098</v>
      </c>
    </row>
    <row r="1670">
      <c r="A1670" s="62" t="s">
        <v>6745</v>
      </c>
      <c r="B1670" s="63">
        <v>44377.0</v>
      </c>
      <c r="C1670" s="69">
        <v>30.197985923177384</v>
      </c>
    </row>
    <row r="1671">
      <c r="A1671" s="62" t="s">
        <v>4900</v>
      </c>
      <c r="B1671" s="63">
        <v>44267.0</v>
      </c>
      <c r="C1671" s="69">
        <v>30.195055536874797</v>
      </c>
    </row>
    <row r="1672">
      <c r="A1672" s="62" t="s">
        <v>2524</v>
      </c>
      <c r="B1672" s="63">
        <v>44389.0</v>
      </c>
      <c r="C1672" s="69">
        <v>30.192791096677503</v>
      </c>
    </row>
    <row r="1673">
      <c r="A1673" s="62" t="s">
        <v>2983</v>
      </c>
      <c r="B1673" s="63">
        <v>44225.0</v>
      </c>
      <c r="C1673" s="69">
        <v>30.19098549723425</v>
      </c>
    </row>
    <row r="1674">
      <c r="A1674" s="62" t="s">
        <v>2149</v>
      </c>
      <c r="B1674" s="63">
        <v>44071.0</v>
      </c>
      <c r="C1674" s="69">
        <v>30.187613032743286</v>
      </c>
    </row>
    <row r="1675">
      <c r="A1675" s="62" t="s">
        <v>1834</v>
      </c>
      <c r="B1675" s="63">
        <v>44089.0</v>
      </c>
      <c r="C1675" s="69">
        <v>30.18476214040406</v>
      </c>
    </row>
    <row r="1676">
      <c r="A1676" s="62" t="s">
        <v>5956</v>
      </c>
      <c r="B1676" s="63">
        <v>44357.0</v>
      </c>
      <c r="C1676" s="69">
        <v>30.183337238283183</v>
      </c>
    </row>
    <row r="1677">
      <c r="A1677" s="62" t="s">
        <v>1599</v>
      </c>
      <c r="B1677" s="63">
        <v>44362.0</v>
      </c>
      <c r="C1677" s="69">
        <v>30.180211678051325</v>
      </c>
    </row>
    <row r="1678">
      <c r="A1678" s="62" t="s">
        <v>4028</v>
      </c>
      <c r="B1678" s="63">
        <v>44232.0</v>
      </c>
      <c r="C1678" s="69">
        <v>30.179059411320416</v>
      </c>
    </row>
    <row r="1679">
      <c r="A1679" s="62" t="s">
        <v>2767</v>
      </c>
      <c r="B1679" s="63">
        <v>44116.0</v>
      </c>
      <c r="C1679" s="69">
        <v>30.178936781362413</v>
      </c>
    </row>
    <row r="1680">
      <c r="A1680" s="62" t="s">
        <v>5021</v>
      </c>
      <c r="B1680" s="63">
        <v>44274.0</v>
      </c>
      <c r="C1680" s="69">
        <v>30.176560132571186</v>
      </c>
    </row>
    <row r="1681">
      <c r="A1681" s="62" t="s">
        <v>3665</v>
      </c>
      <c r="B1681" s="63">
        <v>44233.0</v>
      </c>
      <c r="C1681" s="69">
        <v>30.174246859924992</v>
      </c>
    </row>
    <row r="1682">
      <c r="A1682" s="62" t="s">
        <v>5669</v>
      </c>
      <c r="B1682" s="63">
        <v>44332.0</v>
      </c>
      <c r="C1682" s="69">
        <v>30.168617921862094</v>
      </c>
    </row>
    <row r="1683">
      <c r="A1683" s="62" t="s">
        <v>1579</v>
      </c>
      <c r="B1683" s="63">
        <v>44365.0</v>
      </c>
      <c r="C1683" s="69">
        <v>30.162175423710707</v>
      </c>
    </row>
    <row r="1684">
      <c r="A1684" s="62" t="s">
        <v>3582</v>
      </c>
      <c r="B1684" s="63">
        <v>44222.0</v>
      </c>
      <c r="C1684" s="69">
        <v>30.155715055239575</v>
      </c>
    </row>
    <row r="1685">
      <c r="A1685" s="62" t="s">
        <v>3373</v>
      </c>
      <c r="B1685" s="63">
        <v>44228.0</v>
      </c>
      <c r="C1685" s="69">
        <v>30.149510434738353</v>
      </c>
    </row>
    <row r="1686">
      <c r="A1686" s="62" t="s">
        <v>5668</v>
      </c>
      <c r="B1686" s="63">
        <v>44320.0</v>
      </c>
      <c r="C1686" s="69">
        <v>30.14533781407751</v>
      </c>
    </row>
    <row r="1687">
      <c r="A1687" s="62" t="s">
        <v>2308</v>
      </c>
      <c r="B1687" s="63">
        <v>44392.0</v>
      </c>
      <c r="C1687" s="69">
        <v>30.13995363760941</v>
      </c>
    </row>
    <row r="1688">
      <c r="A1688" s="62" t="s">
        <v>4603</v>
      </c>
      <c r="B1688" s="63">
        <v>44284.0</v>
      </c>
      <c r="C1688" s="69">
        <v>30.13781459964502</v>
      </c>
    </row>
    <row r="1689">
      <c r="A1689" s="62" t="s">
        <v>3453</v>
      </c>
      <c r="B1689" s="63">
        <v>44205.0</v>
      </c>
      <c r="C1689" s="69">
        <v>30.131029132142345</v>
      </c>
    </row>
    <row r="1690">
      <c r="A1690" s="62" t="s">
        <v>5665</v>
      </c>
      <c r="B1690" s="63">
        <v>44319.0</v>
      </c>
      <c r="C1690" s="69">
        <v>30.12728185899791</v>
      </c>
    </row>
    <row r="1691">
      <c r="A1691" s="62" t="s">
        <v>2757</v>
      </c>
      <c r="B1691" s="63">
        <v>44147.0</v>
      </c>
      <c r="C1691" s="69">
        <v>30.126192440244466</v>
      </c>
    </row>
    <row r="1692">
      <c r="A1692" s="62" t="s">
        <v>5429</v>
      </c>
      <c r="B1692" s="63">
        <v>44355.0</v>
      </c>
      <c r="C1692" s="69">
        <v>30.12442530124614</v>
      </c>
    </row>
    <row r="1693">
      <c r="A1693" s="62" t="s">
        <v>5664</v>
      </c>
      <c r="B1693" s="63">
        <v>44342.0</v>
      </c>
      <c r="C1693" s="69">
        <v>30.12401492268151</v>
      </c>
    </row>
    <row r="1694">
      <c r="A1694" s="62" t="s">
        <v>4177</v>
      </c>
      <c r="B1694" s="63">
        <v>44135.0</v>
      </c>
      <c r="C1694" s="69">
        <v>30.123650035200153</v>
      </c>
    </row>
    <row r="1695">
      <c r="A1695" s="62" t="s">
        <v>3319</v>
      </c>
      <c r="B1695" s="63">
        <v>44107.0</v>
      </c>
      <c r="C1695" s="69">
        <v>30.12177696564364</v>
      </c>
    </row>
    <row r="1696">
      <c r="A1696" s="62" t="s">
        <v>3718</v>
      </c>
      <c r="B1696" s="63">
        <v>44176.0</v>
      </c>
      <c r="C1696" s="69">
        <v>30.120935500027</v>
      </c>
    </row>
    <row r="1697">
      <c r="A1697" s="62" t="s">
        <v>4002</v>
      </c>
      <c r="B1697" s="63">
        <v>44159.0</v>
      </c>
      <c r="C1697" s="69">
        <v>30.11956603234176</v>
      </c>
    </row>
    <row r="1698">
      <c r="A1698" s="62" t="s">
        <v>5179</v>
      </c>
      <c r="B1698" s="63">
        <v>44266.0</v>
      </c>
      <c r="C1698" s="69">
        <v>30.113973959570217</v>
      </c>
    </row>
    <row r="1699">
      <c r="A1699" s="62" t="s">
        <v>3374</v>
      </c>
      <c r="B1699" s="63">
        <v>44187.0</v>
      </c>
      <c r="C1699" s="69">
        <v>30.112334790087452</v>
      </c>
    </row>
    <row r="1700">
      <c r="A1700" s="62" t="s">
        <v>4774</v>
      </c>
      <c r="B1700" s="63">
        <v>44286.0</v>
      </c>
      <c r="C1700" s="69">
        <v>30.110940790195333</v>
      </c>
    </row>
    <row r="1701">
      <c r="A1701" s="62" t="s">
        <v>215</v>
      </c>
      <c r="B1701" s="63">
        <v>44379.0</v>
      </c>
      <c r="C1701" s="69">
        <v>30.109464984183816</v>
      </c>
    </row>
    <row r="1702">
      <c r="A1702" s="62" t="s">
        <v>4602</v>
      </c>
      <c r="B1702" s="63">
        <v>44294.0</v>
      </c>
      <c r="C1702" s="69">
        <v>30.106012996408616</v>
      </c>
    </row>
    <row r="1703">
      <c r="A1703" s="62" t="s">
        <v>3706</v>
      </c>
      <c r="B1703" s="63">
        <v>44227.0</v>
      </c>
      <c r="C1703" s="69">
        <v>30.10592330097139</v>
      </c>
    </row>
    <row r="1704">
      <c r="A1704" s="62" t="s">
        <v>5663</v>
      </c>
      <c r="B1704" s="63">
        <v>44330.0</v>
      </c>
      <c r="C1704" s="69">
        <v>30.10054427076885</v>
      </c>
    </row>
    <row r="1705">
      <c r="A1705" s="62" t="s">
        <v>3320</v>
      </c>
      <c r="B1705" s="63">
        <v>44097.0</v>
      </c>
      <c r="C1705" s="69">
        <v>30.100357072561295</v>
      </c>
    </row>
    <row r="1706">
      <c r="A1706" s="62" t="s">
        <v>5931</v>
      </c>
      <c r="B1706" s="63">
        <v>44362.0</v>
      </c>
      <c r="C1706" s="69">
        <v>30.100177598315703</v>
      </c>
    </row>
    <row r="1707">
      <c r="A1707" s="62" t="s">
        <v>3385</v>
      </c>
      <c r="B1707" s="63">
        <v>44137.0</v>
      </c>
      <c r="C1707" s="69">
        <v>30.09962528578841</v>
      </c>
    </row>
    <row r="1708">
      <c r="A1708" s="62" t="s">
        <v>3018</v>
      </c>
      <c r="B1708" s="63">
        <v>44236.0</v>
      </c>
      <c r="C1708" s="69">
        <v>30.099302290794316</v>
      </c>
    </row>
    <row r="1709">
      <c r="A1709" s="62" t="s">
        <v>2936</v>
      </c>
      <c r="B1709" s="63">
        <v>44180.0</v>
      </c>
      <c r="C1709" s="69">
        <v>30.087443809796774</v>
      </c>
    </row>
    <row r="1710">
      <c r="A1710" s="62" t="s">
        <v>4145</v>
      </c>
      <c r="B1710" s="63">
        <v>44235.0</v>
      </c>
      <c r="C1710" s="69">
        <v>30.08554096949597</v>
      </c>
    </row>
    <row r="1711">
      <c r="A1711" s="62" t="s">
        <v>2500</v>
      </c>
      <c r="B1711" s="63">
        <v>44379.0</v>
      </c>
      <c r="C1711" s="69">
        <v>30.08427849737391</v>
      </c>
    </row>
    <row r="1712">
      <c r="A1712" s="62" t="s">
        <v>5661</v>
      </c>
      <c r="B1712" s="63">
        <v>44328.0</v>
      </c>
      <c r="C1712" s="69">
        <v>30.08309393731606</v>
      </c>
    </row>
    <row r="1713">
      <c r="A1713" s="62" t="s">
        <v>2590</v>
      </c>
      <c r="B1713" s="63">
        <v>44385.0</v>
      </c>
      <c r="C1713" s="69">
        <v>30.079477541894125</v>
      </c>
    </row>
    <row r="1714">
      <c r="A1714" s="62" t="s">
        <v>2756</v>
      </c>
      <c r="B1714" s="63">
        <v>44237.0</v>
      </c>
      <c r="C1714" s="69">
        <v>30.076387435629304</v>
      </c>
    </row>
    <row r="1715">
      <c r="A1715" s="62" t="s">
        <v>5028</v>
      </c>
      <c r="B1715" s="63">
        <v>44305.0</v>
      </c>
      <c r="C1715" s="69">
        <v>30.075011810269725</v>
      </c>
    </row>
    <row r="1716">
      <c r="A1716" s="62" t="s">
        <v>5103</v>
      </c>
      <c r="B1716" s="63">
        <v>44308.0</v>
      </c>
      <c r="C1716" s="69">
        <v>30.07124015718095</v>
      </c>
    </row>
    <row r="1717">
      <c r="A1717" s="62" t="s">
        <v>4038</v>
      </c>
      <c r="B1717" s="63">
        <v>44214.0</v>
      </c>
      <c r="C1717" s="69">
        <v>30.071167768106303</v>
      </c>
    </row>
    <row r="1718">
      <c r="A1718" s="62" t="s">
        <v>3467</v>
      </c>
      <c r="B1718" s="63">
        <v>44093.0</v>
      </c>
      <c r="C1718" s="69">
        <v>30.0710209233442</v>
      </c>
    </row>
    <row r="1719">
      <c r="A1719" s="62" t="s">
        <v>5659</v>
      </c>
      <c r="B1719" s="63">
        <v>44320.0</v>
      </c>
      <c r="C1719" s="69">
        <v>30.070303821127176</v>
      </c>
    </row>
    <row r="1720">
      <c r="A1720" s="62" t="s">
        <v>3530</v>
      </c>
      <c r="B1720" s="63">
        <v>44165.0</v>
      </c>
      <c r="C1720" s="69">
        <v>30.068252020417397</v>
      </c>
    </row>
    <row r="1721">
      <c r="A1721" s="62" t="s">
        <v>766</v>
      </c>
      <c r="B1721" s="63">
        <v>44368.0</v>
      </c>
      <c r="C1721" s="69">
        <v>30.060808626038348</v>
      </c>
    </row>
    <row r="1722">
      <c r="A1722" s="62" t="s">
        <v>3251</v>
      </c>
      <c r="B1722" s="63">
        <v>44078.0</v>
      </c>
      <c r="C1722" s="69">
        <v>30.060062206415527</v>
      </c>
    </row>
    <row r="1723">
      <c r="A1723" s="62" t="s">
        <v>5658</v>
      </c>
      <c r="B1723" s="63">
        <v>44321.0</v>
      </c>
      <c r="C1723" s="69">
        <v>30.059873302747818</v>
      </c>
    </row>
    <row r="1724">
      <c r="A1724" s="62" t="s">
        <v>4290</v>
      </c>
      <c r="B1724" s="63">
        <v>44203.0</v>
      </c>
      <c r="C1724" s="69">
        <v>30.056715171872288</v>
      </c>
    </row>
    <row r="1725">
      <c r="A1725" s="62" t="s">
        <v>6490</v>
      </c>
      <c r="B1725" s="63">
        <v>44375.0</v>
      </c>
      <c r="C1725" s="69">
        <v>30.04865554517678</v>
      </c>
    </row>
    <row r="1726">
      <c r="A1726" s="62" t="s">
        <v>3458</v>
      </c>
      <c r="B1726" s="63">
        <v>44140.0</v>
      </c>
      <c r="C1726" s="69">
        <v>30.04688350025915</v>
      </c>
    </row>
    <row r="1727">
      <c r="A1727" s="62" t="s">
        <v>5204</v>
      </c>
      <c r="B1727" s="63">
        <v>44263.0</v>
      </c>
      <c r="C1727" s="69">
        <v>30.042590462334662</v>
      </c>
    </row>
    <row r="1728">
      <c r="A1728" s="62" t="s">
        <v>1072</v>
      </c>
      <c r="B1728" s="63">
        <v>44198.0</v>
      </c>
      <c r="C1728" s="69">
        <v>30.03913822016086</v>
      </c>
    </row>
    <row r="1729">
      <c r="A1729" s="62" t="s">
        <v>2503</v>
      </c>
      <c r="B1729" s="63">
        <v>44384.0</v>
      </c>
      <c r="C1729" s="69">
        <v>30.025769782664888</v>
      </c>
    </row>
    <row r="1730">
      <c r="A1730" s="62" t="s">
        <v>2763</v>
      </c>
      <c r="B1730" s="63">
        <v>44221.0</v>
      </c>
      <c r="C1730" s="69">
        <v>30.025125065058074</v>
      </c>
    </row>
    <row r="1731">
      <c r="A1731" s="62" t="s">
        <v>5656</v>
      </c>
      <c r="B1731" s="63">
        <v>44341.0</v>
      </c>
      <c r="C1731" s="69">
        <v>30.018809495769307</v>
      </c>
    </row>
    <row r="1732">
      <c r="A1732" s="62" t="s">
        <v>5929</v>
      </c>
      <c r="B1732" s="63">
        <v>44375.0</v>
      </c>
      <c r="C1732" s="69">
        <v>30.00554947671528</v>
      </c>
    </row>
    <row r="1733">
      <c r="A1733" s="62" t="s">
        <v>4039</v>
      </c>
      <c r="B1733" s="63">
        <v>44216.0</v>
      </c>
      <c r="C1733" s="69">
        <v>30.005429088967706</v>
      </c>
    </row>
    <row r="1734">
      <c r="A1734" s="62" t="s">
        <v>5655</v>
      </c>
      <c r="B1734" s="63">
        <v>44333.0</v>
      </c>
      <c r="C1734" s="69">
        <v>30.000742968922538</v>
      </c>
    </row>
    <row r="1735">
      <c r="A1735" s="62" t="s">
        <v>4333</v>
      </c>
      <c r="B1735" s="63">
        <v>44091.0</v>
      </c>
      <c r="C1735" s="69">
        <v>29.9995976032221</v>
      </c>
    </row>
    <row r="1736">
      <c r="A1736" s="62" t="s">
        <v>3955</v>
      </c>
      <c r="B1736" s="63">
        <v>44194.0</v>
      </c>
      <c r="C1736" s="69">
        <v>29.985050707413006</v>
      </c>
    </row>
    <row r="1737">
      <c r="A1737" s="62" t="s">
        <v>5579</v>
      </c>
      <c r="B1737" s="63">
        <v>44372.0</v>
      </c>
      <c r="C1737" s="69">
        <v>29.984367570923144</v>
      </c>
    </row>
    <row r="1738">
      <c r="A1738" s="62" t="s">
        <v>2165</v>
      </c>
      <c r="B1738" s="63">
        <v>44062.0</v>
      </c>
      <c r="C1738" s="69">
        <v>29.98369785855079</v>
      </c>
    </row>
    <row r="1739">
      <c r="A1739" s="62" t="s">
        <v>2737</v>
      </c>
      <c r="B1739" s="63">
        <v>44077.0</v>
      </c>
      <c r="C1739" s="69">
        <v>29.980125629555026</v>
      </c>
    </row>
    <row r="1740">
      <c r="A1740" s="62" t="s">
        <v>4072</v>
      </c>
      <c r="B1740" s="63">
        <v>44119.0</v>
      </c>
      <c r="C1740" s="69">
        <v>29.979410983945986</v>
      </c>
    </row>
    <row r="1741">
      <c r="A1741" s="62" t="s">
        <v>2526</v>
      </c>
      <c r="B1741" s="63">
        <v>44393.0</v>
      </c>
      <c r="C1741" s="69">
        <v>29.978510569009494</v>
      </c>
    </row>
    <row r="1742">
      <c r="A1742" s="62" t="s">
        <v>1918</v>
      </c>
      <c r="B1742" s="63">
        <v>44182.0</v>
      </c>
      <c r="C1742" s="69">
        <v>29.971157788292004</v>
      </c>
    </row>
    <row r="1743">
      <c r="A1743" s="62" t="s">
        <v>5909</v>
      </c>
      <c r="B1743" s="63">
        <v>44372.0</v>
      </c>
      <c r="C1743" s="69">
        <v>29.970773888243233</v>
      </c>
    </row>
    <row r="1744">
      <c r="A1744" s="62" t="s">
        <v>5654</v>
      </c>
      <c r="B1744" s="63">
        <v>44326.0</v>
      </c>
      <c r="C1744" s="69">
        <v>29.96392177031323</v>
      </c>
    </row>
    <row r="1745">
      <c r="A1745" s="62" t="s">
        <v>3670</v>
      </c>
      <c r="B1745" s="63">
        <v>44246.0</v>
      </c>
      <c r="C1745" s="69">
        <v>29.961548772918075</v>
      </c>
    </row>
    <row r="1746">
      <c r="A1746" s="62" t="s">
        <v>2958</v>
      </c>
      <c r="B1746" s="63">
        <v>44202.0</v>
      </c>
      <c r="C1746" s="69">
        <v>29.95908214727998</v>
      </c>
    </row>
    <row r="1747">
      <c r="A1747" s="62" t="s">
        <v>1577</v>
      </c>
      <c r="B1747" s="63">
        <v>44358.0</v>
      </c>
      <c r="C1747" s="69">
        <v>29.95313567492755</v>
      </c>
    </row>
    <row r="1748">
      <c r="A1748" s="62" t="s">
        <v>5653</v>
      </c>
      <c r="B1748" s="63">
        <v>44322.0</v>
      </c>
      <c r="C1748" s="69">
        <v>29.951835918310827</v>
      </c>
    </row>
    <row r="1749">
      <c r="A1749" s="62" t="s">
        <v>3330</v>
      </c>
      <c r="B1749" s="63">
        <v>44214.0</v>
      </c>
      <c r="C1749" s="69">
        <v>29.943408832719655</v>
      </c>
    </row>
    <row r="1750">
      <c r="A1750" s="62" t="s">
        <v>5652</v>
      </c>
      <c r="B1750" s="63">
        <v>44323.0</v>
      </c>
      <c r="C1750" s="69">
        <v>29.94032123047761</v>
      </c>
    </row>
    <row r="1751">
      <c r="A1751" s="62" t="s">
        <v>5650</v>
      </c>
      <c r="B1751" s="63">
        <v>44330.0</v>
      </c>
      <c r="C1751" s="69">
        <v>29.933521379771733</v>
      </c>
    </row>
    <row r="1752">
      <c r="A1752" s="62" t="s">
        <v>5649</v>
      </c>
      <c r="B1752" s="63">
        <v>44336.0</v>
      </c>
      <c r="C1752" s="69">
        <v>29.919475238407678</v>
      </c>
    </row>
    <row r="1753">
      <c r="A1753" s="62" t="s">
        <v>4363</v>
      </c>
      <c r="B1753" s="63">
        <v>44081.0</v>
      </c>
      <c r="C1753" s="69">
        <v>29.91783547692597</v>
      </c>
    </row>
    <row r="1754">
      <c r="A1754" s="62" t="s">
        <v>4399</v>
      </c>
      <c r="B1754" s="63">
        <v>44242.0</v>
      </c>
      <c r="C1754" s="69">
        <v>29.91413834539472</v>
      </c>
    </row>
    <row r="1755">
      <c r="A1755" s="62" t="s">
        <v>539</v>
      </c>
      <c r="B1755" s="63">
        <v>44217.0</v>
      </c>
      <c r="C1755" s="69">
        <v>29.913579740165037</v>
      </c>
    </row>
    <row r="1756">
      <c r="A1756" s="62" t="s">
        <v>252</v>
      </c>
      <c r="B1756" s="63">
        <v>44392.0</v>
      </c>
      <c r="C1756" s="69">
        <v>29.908056898060774</v>
      </c>
    </row>
    <row r="1757">
      <c r="A1757" s="62" t="s">
        <v>3970</v>
      </c>
      <c r="B1757" s="63">
        <v>44217.0</v>
      </c>
      <c r="C1757" s="69">
        <v>29.899404629300047</v>
      </c>
    </row>
    <row r="1758">
      <c r="A1758" s="62" t="s">
        <v>5621</v>
      </c>
      <c r="B1758" s="63">
        <v>44355.0</v>
      </c>
      <c r="C1758" s="69">
        <v>29.898818554614806</v>
      </c>
    </row>
    <row r="1759">
      <c r="A1759" s="62" t="s">
        <v>2198</v>
      </c>
      <c r="B1759" s="63">
        <v>44071.0</v>
      </c>
      <c r="C1759" s="69">
        <v>29.89795206759961</v>
      </c>
    </row>
    <row r="1760">
      <c r="A1760" s="62" t="s">
        <v>4981</v>
      </c>
      <c r="B1760" s="63">
        <v>44296.0</v>
      </c>
      <c r="C1760" s="69">
        <v>29.893019297081832</v>
      </c>
    </row>
    <row r="1761">
      <c r="A1761" s="62" t="s">
        <v>1947</v>
      </c>
      <c r="B1761" s="63">
        <v>44230.0</v>
      </c>
      <c r="C1761" s="69">
        <v>29.89120632788826</v>
      </c>
    </row>
    <row r="1762">
      <c r="A1762" s="62" t="s">
        <v>121</v>
      </c>
      <c r="B1762" s="63">
        <v>44389.0</v>
      </c>
      <c r="C1762" s="69">
        <v>29.8893397131824</v>
      </c>
    </row>
    <row r="1763">
      <c r="A1763" s="62" t="s">
        <v>3426</v>
      </c>
      <c r="B1763" s="63">
        <v>44109.0</v>
      </c>
      <c r="C1763" s="69">
        <v>29.887811507752538</v>
      </c>
    </row>
    <row r="1764">
      <c r="A1764" s="62" t="s">
        <v>1969</v>
      </c>
      <c r="B1764" s="63">
        <v>44148.0</v>
      </c>
      <c r="C1764" s="69">
        <v>29.872105664887087</v>
      </c>
    </row>
    <row r="1765">
      <c r="A1765" s="62" t="s">
        <v>3757</v>
      </c>
      <c r="B1765" s="63">
        <v>44240.0</v>
      </c>
      <c r="C1765" s="69">
        <v>29.871746594647192</v>
      </c>
    </row>
    <row r="1766">
      <c r="A1766" s="62" t="s">
        <v>892</v>
      </c>
      <c r="B1766" s="63">
        <v>44375.0</v>
      </c>
      <c r="C1766" s="69">
        <v>29.870473203690494</v>
      </c>
    </row>
    <row r="1767">
      <c r="A1767" s="62" t="s">
        <v>4007</v>
      </c>
      <c r="B1767" s="63">
        <v>44160.0</v>
      </c>
      <c r="C1767" s="69">
        <v>29.86466489008255</v>
      </c>
    </row>
    <row r="1768">
      <c r="A1768" s="62" t="s">
        <v>5962</v>
      </c>
      <c r="B1768" s="63">
        <v>44370.0</v>
      </c>
      <c r="C1768" s="69">
        <v>29.86242131457804</v>
      </c>
    </row>
    <row r="1769">
      <c r="A1769" s="62" t="s">
        <v>153</v>
      </c>
      <c r="B1769" s="63">
        <v>44382.0</v>
      </c>
      <c r="C1769" s="69">
        <v>29.86206289651647</v>
      </c>
    </row>
    <row r="1770">
      <c r="A1770" s="62" t="s">
        <v>4426</v>
      </c>
      <c r="B1770" s="63">
        <v>44233.0</v>
      </c>
      <c r="C1770" s="69">
        <v>29.855131068066264</v>
      </c>
    </row>
    <row r="1771">
      <c r="A1771" s="62" t="s">
        <v>3714</v>
      </c>
      <c r="B1771" s="63">
        <v>44096.0</v>
      </c>
      <c r="C1771" s="69">
        <v>29.84984963762468</v>
      </c>
    </row>
    <row r="1772">
      <c r="A1772" s="62" t="s">
        <v>3287</v>
      </c>
      <c r="B1772" s="63">
        <v>44211.0</v>
      </c>
      <c r="C1772" s="69">
        <v>29.841505911105287</v>
      </c>
    </row>
    <row r="1773">
      <c r="A1773" s="62" t="s">
        <v>4793</v>
      </c>
      <c r="B1773" s="63">
        <v>44306.0</v>
      </c>
      <c r="C1773" s="69">
        <v>29.840185661623593</v>
      </c>
    </row>
    <row r="1774">
      <c r="A1774" s="62" t="s">
        <v>837</v>
      </c>
      <c r="B1774" s="63">
        <v>44361.0</v>
      </c>
      <c r="C1774" s="69">
        <v>29.838540308074823</v>
      </c>
    </row>
    <row r="1775">
      <c r="A1775" s="62" t="s">
        <v>6417</v>
      </c>
      <c r="B1775" s="63">
        <v>44375.0</v>
      </c>
      <c r="C1775" s="69">
        <v>29.8359981990742</v>
      </c>
    </row>
    <row r="1776">
      <c r="A1776" s="62" t="s">
        <v>3815</v>
      </c>
      <c r="B1776" s="63">
        <v>44236.0</v>
      </c>
      <c r="C1776" s="69">
        <v>29.831942014165975</v>
      </c>
    </row>
    <row r="1777">
      <c r="A1777" s="62" t="s">
        <v>2479</v>
      </c>
      <c r="B1777" s="63">
        <v>44379.0</v>
      </c>
      <c r="C1777" s="69">
        <v>29.831325401471183</v>
      </c>
    </row>
    <row r="1778">
      <c r="A1778" s="62" t="s">
        <v>5033</v>
      </c>
      <c r="B1778" s="63">
        <v>44278.0</v>
      </c>
      <c r="C1778" s="69">
        <v>29.82602912773747</v>
      </c>
    </row>
    <row r="1779">
      <c r="A1779" s="62" t="s">
        <v>3255</v>
      </c>
      <c r="B1779" s="63">
        <v>44165.0</v>
      </c>
      <c r="C1779" s="69">
        <v>29.822675765180826</v>
      </c>
    </row>
    <row r="1780">
      <c r="A1780" s="62" t="s">
        <v>2932</v>
      </c>
      <c r="B1780" s="63">
        <v>44104.0</v>
      </c>
      <c r="C1780" s="69">
        <v>29.820725043610334</v>
      </c>
    </row>
    <row r="1781">
      <c r="A1781" s="62" t="s">
        <v>3197</v>
      </c>
      <c r="B1781" s="63">
        <v>44178.0</v>
      </c>
      <c r="C1781" s="69">
        <v>29.820582067629626</v>
      </c>
    </row>
    <row r="1782">
      <c r="A1782" s="62" t="s">
        <v>4392</v>
      </c>
      <c r="B1782" s="63">
        <v>44231.0</v>
      </c>
      <c r="C1782" s="69">
        <v>29.817417025723344</v>
      </c>
    </row>
    <row r="1783">
      <c r="A1783" s="62" t="s">
        <v>5647</v>
      </c>
      <c r="B1783" s="63">
        <v>44334.0</v>
      </c>
      <c r="C1783" s="69">
        <v>29.804570940626682</v>
      </c>
    </row>
    <row r="1784">
      <c r="A1784" s="62" t="s">
        <v>3632</v>
      </c>
      <c r="B1784" s="63">
        <v>44099.0</v>
      </c>
      <c r="C1784" s="69">
        <v>29.80241287606595</v>
      </c>
    </row>
    <row r="1785">
      <c r="A1785" s="62" t="s">
        <v>4488</v>
      </c>
      <c r="B1785" s="63">
        <v>44287.0</v>
      </c>
      <c r="C1785" s="69">
        <v>29.800320752864717</v>
      </c>
    </row>
    <row r="1786">
      <c r="A1786" s="62" t="s">
        <v>2609</v>
      </c>
      <c r="B1786" s="63">
        <v>44390.0</v>
      </c>
      <c r="C1786" s="69">
        <v>29.79833079921616</v>
      </c>
    </row>
    <row r="1787">
      <c r="A1787" s="62" t="s">
        <v>3254</v>
      </c>
      <c r="B1787" s="63">
        <v>44149.0</v>
      </c>
      <c r="C1787" s="69">
        <v>29.791843976084667</v>
      </c>
    </row>
    <row r="1788">
      <c r="A1788" s="62" t="s">
        <v>4587</v>
      </c>
      <c r="B1788" s="63">
        <v>44266.0</v>
      </c>
      <c r="C1788" s="69">
        <v>29.791006830686726</v>
      </c>
    </row>
    <row r="1789">
      <c r="A1789" s="62" t="s">
        <v>6584</v>
      </c>
      <c r="B1789" s="63">
        <v>44354.0</v>
      </c>
      <c r="C1789" s="69">
        <v>29.787473306450224</v>
      </c>
    </row>
    <row r="1790">
      <c r="A1790" s="62" t="s">
        <v>5183</v>
      </c>
      <c r="B1790" s="63">
        <v>44272.0</v>
      </c>
      <c r="C1790" s="69">
        <v>29.787078721921887</v>
      </c>
    </row>
    <row r="1791">
      <c r="A1791" s="62" t="s">
        <v>3064</v>
      </c>
      <c r="B1791" s="63">
        <v>44161.0</v>
      </c>
      <c r="C1791" s="69">
        <v>29.776561615430246</v>
      </c>
    </row>
    <row r="1792">
      <c r="A1792" s="62" t="s">
        <v>3522</v>
      </c>
      <c r="B1792" s="63">
        <v>44166.0</v>
      </c>
      <c r="C1792" s="69">
        <v>29.771555140474728</v>
      </c>
    </row>
    <row r="1793">
      <c r="A1793" s="62" t="s">
        <v>343</v>
      </c>
      <c r="B1793" s="63">
        <v>44168.0</v>
      </c>
      <c r="C1793" s="69">
        <v>29.76912509624924</v>
      </c>
    </row>
    <row r="1794">
      <c r="A1794" s="62" t="s">
        <v>4762</v>
      </c>
      <c r="B1794" s="63">
        <v>44287.0</v>
      </c>
      <c r="C1794" s="69">
        <v>29.7623826872739</v>
      </c>
    </row>
    <row r="1795">
      <c r="A1795" s="62" t="s">
        <v>4032</v>
      </c>
      <c r="B1795" s="63">
        <v>44154.0</v>
      </c>
      <c r="C1795" s="69">
        <v>29.75762813361439</v>
      </c>
    </row>
    <row r="1796">
      <c r="A1796" s="62" t="s">
        <v>6325</v>
      </c>
      <c r="B1796" s="63">
        <v>44370.0</v>
      </c>
      <c r="C1796" s="69">
        <v>29.754304751386456</v>
      </c>
    </row>
    <row r="1797">
      <c r="A1797" s="62" t="s">
        <v>3688</v>
      </c>
      <c r="B1797" s="63">
        <v>44096.0</v>
      </c>
      <c r="C1797" s="69">
        <v>29.752666088605825</v>
      </c>
    </row>
    <row r="1798">
      <c r="A1798" s="62" t="s">
        <v>3430</v>
      </c>
      <c r="B1798" s="63">
        <v>44107.0</v>
      </c>
      <c r="C1798" s="69">
        <v>29.750603541488267</v>
      </c>
    </row>
    <row r="1799">
      <c r="A1799" s="62" t="s">
        <v>3616</v>
      </c>
      <c r="B1799" s="63">
        <v>44076.0</v>
      </c>
      <c r="C1799" s="69">
        <v>29.739821721712936</v>
      </c>
    </row>
    <row r="1800">
      <c r="A1800" s="62" t="s">
        <v>2020</v>
      </c>
      <c r="B1800" s="63">
        <v>44375.0</v>
      </c>
      <c r="C1800" s="69">
        <v>29.73947285407755</v>
      </c>
    </row>
    <row r="1801">
      <c r="A1801" s="62" t="s">
        <v>118</v>
      </c>
      <c r="B1801" s="63">
        <v>44010.0</v>
      </c>
      <c r="C1801" s="69">
        <v>29.737389972977375</v>
      </c>
    </row>
    <row r="1802">
      <c r="A1802" s="62" t="s">
        <v>2718</v>
      </c>
      <c r="B1802" s="63">
        <v>44235.0</v>
      </c>
      <c r="C1802" s="69">
        <v>29.728105676676442</v>
      </c>
    </row>
    <row r="1803">
      <c r="A1803" s="62" t="s">
        <v>1614</v>
      </c>
      <c r="B1803" s="63">
        <v>44088.0</v>
      </c>
      <c r="C1803" s="69">
        <v>29.72708352469896</v>
      </c>
    </row>
    <row r="1804">
      <c r="A1804" s="62" t="s">
        <v>3978</v>
      </c>
      <c r="B1804" s="63">
        <v>44193.0</v>
      </c>
      <c r="C1804" s="69">
        <v>29.72305915634226</v>
      </c>
    </row>
    <row r="1805">
      <c r="A1805" s="62" t="s">
        <v>3557</v>
      </c>
      <c r="B1805" s="63">
        <v>44168.0</v>
      </c>
      <c r="C1805" s="69">
        <v>29.72211257443186</v>
      </c>
    </row>
    <row r="1806">
      <c r="A1806" s="62" t="s">
        <v>6361</v>
      </c>
      <c r="B1806" s="63">
        <v>44350.0</v>
      </c>
      <c r="C1806" s="69">
        <v>29.71827411094271</v>
      </c>
    </row>
    <row r="1807">
      <c r="A1807" s="62" t="s">
        <v>4157</v>
      </c>
      <c r="B1807" s="63">
        <v>44220.0</v>
      </c>
      <c r="C1807" s="69">
        <v>29.705382693507328</v>
      </c>
    </row>
    <row r="1808">
      <c r="A1808" s="62" t="s">
        <v>5643</v>
      </c>
      <c r="B1808" s="63">
        <v>44340.0</v>
      </c>
      <c r="C1808" s="69">
        <v>29.703185188138093</v>
      </c>
    </row>
    <row r="1809">
      <c r="A1809" s="62" t="s">
        <v>446</v>
      </c>
      <c r="B1809" s="63">
        <v>44224.0</v>
      </c>
      <c r="C1809" s="69">
        <v>29.700251942938607</v>
      </c>
    </row>
    <row r="1810">
      <c r="A1810" s="62" t="s">
        <v>1699</v>
      </c>
      <c r="B1810" s="63">
        <v>44165.0</v>
      </c>
      <c r="C1810" s="69">
        <v>29.694419678365573</v>
      </c>
    </row>
    <row r="1811">
      <c r="A1811" s="62" t="s">
        <v>3608</v>
      </c>
      <c r="B1811" s="63">
        <v>44166.0</v>
      </c>
      <c r="C1811" s="69">
        <v>29.687542463317243</v>
      </c>
    </row>
    <row r="1812">
      <c r="A1812" s="62" t="s">
        <v>5642</v>
      </c>
      <c r="B1812" s="63">
        <v>44343.0</v>
      </c>
      <c r="C1812" s="69">
        <v>29.670912880478717</v>
      </c>
    </row>
    <row r="1813">
      <c r="A1813" s="62" t="s">
        <v>4625</v>
      </c>
      <c r="B1813" s="63">
        <v>44266.0</v>
      </c>
      <c r="C1813" s="69">
        <v>29.663310060295657</v>
      </c>
    </row>
    <row r="1814">
      <c r="A1814" s="62" t="s">
        <v>3615</v>
      </c>
      <c r="B1814" s="63">
        <v>44141.0</v>
      </c>
      <c r="C1814" s="69">
        <v>29.66278044041495</v>
      </c>
    </row>
    <row r="1815">
      <c r="A1815" s="62" t="s">
        <v>3354</v>
      </c>
      <c r="B1815" s="63">
        <v>44252.0</v>
      </c>
      <c r="C1815" s="69">
        <v>29.662135131702527</v>
      </c>
    </row>
    <row r="1816">
      <c r="A1816" s="62" t="s">
        <v>2789</v>
      </c>
      <c r="B1816" s="63">
        <v>44233.0</v>
      </c>
      <c r="C1816" s="69">
        <v>29.66192175180506</v>
      </c>
    </row>
    <row r="1817">
      <c r="A1817" s="62" t="s">
        <v>4736</v>
      </c>
      <c r="B1817" s="63">
        <v>44309.0</v>
      </c>
      <c r="C1817" s="69">
        <v>29.661898652933974</v>
      </c>
    </row>
    <row r="1818">
      <c r="A1818" s="62" t="s">
        <v>6057</v>
      </c>
      <c r="B1818" s="63">
        <v>44354.0</v>
      </c>
      <c r="C1818" s="69">
        <v>29.6608575091374</v>
      </c>
    </row>
    <row r="1819">
      <c r="A1819" s="62" t="s">
        <v>4486</v>
      </c>
      <c r="B1819" s="63">
        <v>44284.0</v>
      </c>
      <c r="C1819" s="69">
        <v>29.657571178332542</v>
      </c>
    </row>
    <row r="1820">
      <c r="A1820" s="62" t="s">
        <v>2483</v>
      </c>
      <c r="B1820" s="63">
        <v>44379.0</v>
      </c>
      <c r="C1820" s="69">
        <v>29.65261439504522</v>
      </c>
    </row>
    <row r="1821">
      <c r="A1821" s="62" t="s">
        <v>4963</v>
      </c>
      <c r="B1821" s="63">
        <v>44272.0</v>
      </c>
      <c r="C1821" s="69">
        <v>29.6518438773815</v>
      </c>
    </row>
    <row r="1822">
      <c r="A1822" s="62" t="s">
        <v>4047</v>
      </c>
      <c r="B1822" s="63">
        <v>44236.0</v>
      </c>
      <c r="C1822" s="69">
        <v>29.640998853405097</v>
      </c>
    </row>
    <row r="1823">
      <c r="A1823" s="62" t="s">
        <v>5641</v>
      </c>
      <c r="B1823" s="63">
        <v>44342.0</v>
      </c>
      <c r="C1823" s="69">
        <v>29.640859854389454</v>
      </c>
    </row>
    <row r="1824">
      <c r="A1824" s="62" t="s">
        <v>5638</v>
      </c>
      <c r="B1824" s="63">
        <v>44342.0</v>
      </c>
      <c r="C1824" s="69">
        <v>29.626226485896183</v>
      </c>
    </row>
    <row r="1825">
      <c r="A1825" s="62" t="s">
        <v>4540</v>
      </c>
      <c r="B1825" s="63">
        <v>44274.0</v>
      </c>
      <c r="C1825" s="69">
        <v>29.6256341965025</v>
      </c>
    </row>
    <row r="1826">
      <c r="A1826" s="62" t="s">
        <v>3539</v>
      </c>
      <c r="B1826" s="63">
        <v>44200.0</v>
      </c>
      <c r="C1826" s="69">
        <v>29.62147628651345</v>
      </c>
    </row>
    <row r="1827">
      <c r="A1827" s="62" t="s">
        <v>3806</v>
      </c>
      <c r="B1827" s="63">
        <v>44249.0</v>
      </c>
      <c r="C1827" s="69">
        <v>29.618454255405045</v>
      </c>
    </row>
    <row r="1828">
      <c r="A1828" s="62" t="s">
        <v>3789</v>
      </c>
      <c r="B1828" s="63">
        <v>44205.0</v>
      </c>
      <c r="C1828" s="69">
        <v>29.61661678130576</v>
      </c>
    </row>
    <row r="1829">
      <c r="A1829" s="62" t="s">
        <v>6252</v>
      </c>
      <c r="B1829" s="63">
        <v>44369.0</v>
      </c>
      <c r="C1829" s="69">
        <v>29.61396353628917</v>
      </c>
    </row>
    <row r="1830">
      <c r="A1830" s="62" t="s">
        <v>3631</v>
      </c>
      <c r="B1830" s="63">
        <v>44096.0</v>
      </c>
      <c r="C1830" s="69">
        <v>29.61140535988502</v>
      </c>
    </row>
    <row r="1831">
      <c r="A1831" s="62" t="s">
        <v>3912</v>
      </c>
      <c r="B1831" s="63">
        <v>44242.0</v>
      </c>
      <c r="C1831" s="69">
        <v>29.61002669963242</v>
      </c>
    </row>
    <row r="1832">
      <c r="A1832" s="62" t="s">
        <v>2999</v>
      </c>
      <c r="B1832" s="63">
        <v>44236.0</v>
      </c>
      <c r="C1832" s="69">
        <v>29.60319824783017</v>
      </c>
    </row>
    <row r="1833">
      <c r="A1833" s="62" t="s">
        <v>6616</v>
      </c>
      <c r="B1833" s="63">
        <v>44372.0</v>
      </c>
      <c r="C1833" s="69">
        <v>29.601763429456387</v>
      </c>
    </row>
    <row r="1834">
      <c r="A1834" s="62" t="s">
        <v>5635</v>
      </c>
      <c r="B1834" s="63">
        <v>44328.0</v>
      </c>
      <c r="C1834" s="69">
        <v>29.59607394110867</v>
      </c>
    </row>
    <row r="1835">
      <c r="A1835" s="62" t="s">
        <v>3782</v>
      </c>
      <c r="B1835" s="63">
        <v>44136.0</v>
      </c>
      <c r="C1835" s="69">
        <v>29.59495319676347</v>
      </c>
    </row>
    <row r="1836">
      <c r="A1836" s="62" t="s">
        <v>4562</v>
      </c>
      <c r="B1836" s="63">
        <v>44263.0</v>
      </c>
      <c r="C1836" s="69">
        <v>29.59494670655633</v>
      </c>
    </row>
    <row r="1837">
      <c r="A1837" s="62" t="s">
        <v>3024</v>
      </c>
      <c r="B1837" s="63">
        <v>44204.0</v>
      </c>
      <c r="C1837" s="69">
        <v>29.59413172970617</v>
      </c>
    </row>
    <row r="1838">
      <c r="A1838" s="62" t="s">
        <v>5634</v>
      </c>
      <c r="B1838" s="63">
        <v>44333.0</v>
      </c>
      <c r="C1838" s="69">
        <v>29.592707561408112</v>
      </c>
    </row>
    <row r="1839">
      <c r="A1839" s="62" t="s">
        <v>3086</v>
      </c>
      <c r="B1839" s="63">
        <v>44183.0</v>
      </c>
      <c r="C1839" s="69">
        <v>29.587873380229155</v>
      </c>
    </row>
    <row r="1840">
      <c r="A1840" s="62" t="s">
        <v>3084</v>
      </c>
      <c r="B1840" s="63">
        <v>44225.0</v>
      </c>
      <c r="C1840" s="69">
        <v>29.58709853705956</v>
      </c>
    </row>
    <row r="1841">
      <c r="A1841" s="62" t="s">
        <v>4464</v>
      </c>
      <c r="B1841" s="63">
        <v>44286.0</v>
      </c>
      <c r="C1841" s="69">
        <v>29.58566491032745</v>
      </c>
    </row>
    <row r="1842">
      <c r="A1842" s="62" t="s">
        <v>5775</v>
      </c>
      <c r="B1842" s="63">
        <v>44375.0</v>
      </c>
      <c r="C1842" s="69">
        <v>29.571591082542245</v>
      </c>
    </row>
    <row r="1843">
      <c r="A1843" s="62" t="s">
        <v>1641</v>
      </c>
      <c r="B1843" s="63">
        <v>44376.0</v>
      </c>
      <c r="C1843" s="69">
        <v>29.568398830422176</v>
      </c>
    </row>
    <row r="1844">
      <c r="A1844" s="62" t="s">
        <v>4849</v>
      </c>
      <c r="B1844" s="63">
        <v>44259.0</v>
      </c>
      <c r="C1844" s="69">
        <v>29.56590758731293</v>
      </c>
    </row>
    <row r="1845">
      <c r="A1845" s="62" t="s">
        <v>5857</v>
      </c>
      <c r="B1845" s="63">
        <v>44363.0</v>
      </c>
      <c r="C1845" s="69">
        <v>29.554886727687787</v>
      </c>
    </row>
    <row r="1846">
      <c r="A1846" s="62" t="s">
        <v>3303</v>
      </c>
      <c r="B1846" s="63">
        <v>44191.0</v>
      </c>
      <c r="C1846" s="69">
        <v>29.552696120999997</v>
      </c>
    </row>
    <row r="1847">
      <c r="A1847" s="62" t="s">
        <v>6677</v>
      </c>
      <c r="B1847" s="63">
        <v>44364.0</v>
      </c>
      <c r="C1847" s="69">
        <v>29.54849473105775</v>
      </c>
    </row>
    <row r="1848">
      <c r="A1848" s="62" t="s">
        <v>2990</v>
      </c>
      <c r="B1848" s="63">
        <v>44230.0</v>
      </c>
      <c r="C1848" s="69">
        <v>29.548394808814</v>
      </c>
    </row>
    <row r="1849">
      <c r="A1849" s="62" t="s">
        <v>2411</v>
      </c>
      <c r="B1849" s="63">
        <v>44381.0</v>
      </c>
      <c r="C1849" s="69">
        <v>29.545205496856184</v>
      </c>
    </row>
    <row r="1850">
      <c r="A1850" s="62" t="s">
        <v>4152</v>
      </c>
      <c r="B1850" s="63">
        <v>44110.0</v>
      </c>
      <c r="C1850" s="69">
        <v>29.545075464380787</v>
      </c>
    </row>
    <row r="1851">
      <c r="A1851" s="62" t="s">
        <v>6067</v>
      </c>
      <c r="B1851" s="63">
        <v>44354.0</v>
      </c>
      <c r="C1851" s="69">
        <v>29.544557125416734</v>
      </c>
    </row>
    <row r="1852">
      <c r="A1852" s="62" t="s">
        <v>5464</v>
      </c>
      <c r="B1852" s="63">
        <v>44368.0</v>
      </c>
      <c r="C1852" s="69">
        <v>29.542996068336844</v>
      </c>
    </row>
    <row r="1853">
      <c r="A1853" s="62" t="s">
        <v>3068</v>
      </c>
      <c r="B1853" s="63">
        <v>44211.0</v>
      </c>
      <c r="C1853" s="69">
        <v>29.54080306888055</v>
      </c>
    </row>
    <row r="1854">
      <c r="A1854" s="62" t="s">
        <v>1527</v>
      </c>
      <c r="B1854" s="63">
        <v>44362.0</v>
      </c>
      <c r="C1854" s="69">
        <v>29.531500037131615</v>
      </c>
    </row>
    <row r="1855">
      <c r="A1855" s="62" t="s">
        <v>2276</v>
      </c>
      <c r="B1855" s="63">
        <v>44379.0</v>
      </c>
      <c r="C1855" s="69">
        <v>29.529761545695443</v>
      </c>
    </row>
    <row r="1856">
      <c r="A1856" s="62" t="s">
        <v>4079</v>
      </c>
      <c r="B1856" s="63">
        <v>44237.0</v>
      </c>
      <c r="C1856" s="69">
        <v>29.526769878649795</v>
      </c>
    </row>
    <row r="1857">
      <c r="A1857" s="62" t="s">
        <v>5239</v>
      </c>
      <c r="B1857" s="63">
        <v>44280.0</v>
      </c>
      <c r="C1857" s="69">
        <v>29.526449145015178</v>
      </c>
    </row>
    <row r="1858">
      <c r="A1858" s="62" t="s">
        <v>5632</v>
      </c>
      <c r="B1858" s="63">
        <v>44347.0</v>
      </c>
      <c r="C1858" s="69">
        <v>29.518196259828898</v>
      </c>
    </row>
    <row r="1859">
      <c r="A1859" s="62" t="s">
        <v>2774</v>
      </c>
      <c r="B1859" s="63">
        <v>44229.0</v>
      </c>
      <c r="C1859" s="69">
        <v>29.51708664422364</v>
      </c>
    </row>
    <row r="1860">
      <c r="A1860" s="62" t="s">
        <v>3635</v>
      </c>
      <c r="B1860" s="63">
        <v>44230.0</v>
      </c>
      <c r="C1860" s="69">
        <v>29.51681944189803</v>
      </c>
    </row>
    <row r="1861">
      <c r="A1861" s="62" t="s">
        <v>4267</v>
      </c>
      <c r="B1861" s="63">
        <v>44210.0</v>
      </c>
      <c r="C1861" s="69">
        <v>29.516030642027538</v>
      </c>
    </row>
    <row r="1862">
      <c r="A1862" s="62" t="s">
        <v>5630</v>
      </c>
      <c r="B1862" s="63">
        <v>44342.0</v>
      </c>
      <c r="C1862" s="69">
        <v>29.51598328409059</v>
      </c>
    </row>
    <row r="1863">
      <c r="A1863" s="62" t="s">
        <v>2835</v>
      </c>
      <c r="B1863" s="63">
        <v>44105.0</v>
      </c>
      <c r="C1863" s="69">
        <v>29.515623358360425</v>
      </c>
    </row>
    <row r="1864">
      <c r="A1864" s="62" t="s">
        <v>3606</v>
      </c>
      <c r="B1864" s="63">
        <v>44230.0</v>
      </c>
      <c r="C1864" s="69">
        <v>29.512192271239233</v>
      </c>
    </row>
    <row r="1865">
      <c r="A1865" s="62" t="s">
        <v>3168</v>
      </c>
      <c r="B1865" s="63">
        <v>44130.0</v>
      </c>
      <c r="C1865" s="69">
        <v>29.50697983620472</v>
      </c>
    </row>
    <row r="1866">
      <c r="A1866" s="62" t="s">
        <v>5094</v>
      </c>
      <c r="B1866" s="63">
        <v>44315.0</v>
      </c>
      <c r="C1866" s="69">
        <v>29.49864395535996</v>
      </c>
    </row>
    <row r="1867">
      <c r="A1867" s="62" t="s">
        <v>2924</v>
      </c>
      <c r="B1867" s="63">
        <v>44134.0</v>
      </c>
      <c r="C1867" s="69">
        <v>29.495227215600863</v>
      </c>
    </row>
    <row r="1868">
      <c r="A1868" s="62" t="s">
        <v>5119</v>
      </c>
      <c r="B1868" s="63">
        <v>44312.0</v>
      </c>
      <c r="C1868" s="69">
        <v>29.493149100605827</v>
      </c>
    </row>
    <row r="1869">
      <c r="A1869" s="62" t="s">
        <v>5827</v>
      </c>
      <c r="B1869" s="63">
        <v>44372.0</v>
      </c>
      <c r="C1869" s="69">
        <v>29.487353715282172</v>
      </c>
    </row>
    <row r="1870">
      <c r="A1870" s="62" t="s">
        <v>794</v>
      </c>
      <c r="B1870" s="63">
        <v>44309.0</v>
      </c>
      <c r="C1870" s="69">
        <v>29.48631511669069</v>
      </c>
    </row>
    <row r="1871">
      <c r="A1871" s="62" t="s">
        <v>5770</v>
      </c>
      <c r="B1871" s="63">
        <v>44350.0</v>
      </c>
      <c r="C1871" s="69">
        <v>29.484458200811524</v>
      </c>
    </row>
    <row r="1872">
      <c r="A1872" s="62" t="s">
        <v>5303</v>
      </c>
      <c r="B1872" s="63">
        <v>44349.0</v>
      </c>
      <c r="C1872" s="69">
        <v>29.482667272359755</v>
      </c>
    </row>
    <row r="1873">
      <c r="A1873" s="62" t="s">
        <v>5629</v>
      </c>
      <c r="B1873" s="63">
        <v>44326.0</v>
      </c>
      <c r="C1873" s="69">
        <v>29.48025913941407</v>
      </c>
    </row>
    <row r="1874">
      <c r="A1874" s="62" t="s">
        <v>3217</v>
      </c>
      <c r="B1874" s="63">
        <v>44147.0</v>
      </c>
      <c r="C1874" s="69">
        <v>29.479700791841104</v>
      </c>
    </row>
    <row r="1875">
      <c r="A1875" s="62" t="s">
        <v>6044</v>
      </c>
      <c r="B1875" s="63">
        <v>44355.0</v>
      </c>
      <c r="C1875" s="69">
        <v>29.479034393452764</v>
      </c>
    </row>
    <row r="1876">
      <c r="A1876" s="62" t="s">
        <v>3555</v>
      </c>
      <c r="B1876" s="63">
        <v>44082.0</v>
      </c>
      <c r="C1876" s="69">
        <v>29.47531102452288</v>
      </c>
    </row>
    <row r="1877">
      <c r="A1877" s="62" t="s">
        <v>4583</v>
      </c>
      <c r="B1877" s="63">
        <v>44313.0</v>
      </c>
      <c r="C1877" s="69">
        <v>29.471738076299957</v>
      </c>
    </row>
    <row r="1878">
      <c r="A1878" s="62" t="s">
        <v>3408</v>
      </c>
      <c r="B1878" s="63">
        <v>44242.0</v>
      </c>
      <c r="C1878" s="69">
        <v>29.47108457865042</v>
      </c>
    </row>
    <row r="1879">
      <c r="A1879" s="62" t="s">
        <v>3163</v>
      </c>
      <c r="B1879" s="63">
        <v>44235.0</v>
      </c>
      <c r="C1879" s="69">
        <v>29.464677904275387</v>
      </c>
    </row>
    <row r="1880">
      <c r="A1880" s="62" t="s">
        <v>1257</v>
      </c>
      <c r="B1880" s="63">
        <v>44133.0</v>
      </c>
      <c r="C1880" s="69">
        <v>29.453924771613273</v>
      </c>
    </row>
    <row r="1881">
      <c r="A1881" s="62" t="s">
        <v>5627</v>
      </c>
      <c r="B1881" s="63">
        <v>44342.0</v>
      </c>
      <c r="C1881" s="69">
        <v>29.452628459624236</v>
      </c>
    </row>
    <row r="1882">
      <c r="A1882" s="62" t="s">
        <v>3659</v>
      </c>
      <c r="B1882" s="63">
        <v>44080.0</v>
      </c>
      <c r="C1882" s="69">
        <v>29.45121552429147</v>
      </c>
    </row>
    <row r="1883">
      <c r="A1883" s="62" t="s">
        <v>3363</v>
      </c>
      <c r="B1883" s="63">
        <v>44234.0</v>
      </c>
      <c r="C1883" s="69">
        <v>29.451063832445126</v>
      </c>
    </row>
    <row r="1884">
      <c r="A1884" s="62" t="s">
        <v>3418</v>
      </c>
      <c r="B1884" s="63">
        <v>44132.0</v>
      </c>
      <c r="C1884" s="69">
        <v>29.45045205645462</v>
      </c>
    </row>
    <row r="1885">
      <c r="A1885" s="62" t="s">
        <v>6748</v>
      </c>
      <c r="B1885" s="63">
        <v>44368.0</v>
      </c>
      <c r="C1885" s="69">
        <v>29.448375374261936</v>
      </c>
    </row>
    <row r="1886">
      <c r="A1886" s="62" t="s">
        <v>2147</v>
      </c>
      <c r="B1886" s="63">
        <v>44069.0</v>
      </c>
      <c r="C1886" s="69">
        <v>29.44627835038918</v>
      </c>
    </row>
    <row r="1887">
      <c r="A1887" s="62" t="s">
        <v>2254</v>
      </c>
      <c r="B1887" s="63">
        <v>44071.0</v>
      </c>
      <c r="C1887" s="69">
        <v>29.44503667886453</v>
      </c>
    </row>
    <row r="1888">
      <c r="A1888" s="62" t="s">
        <v>6705</v>
      </c>
      <c r="B1888" s="63">
        <v>44376.0</v>
      </c>
      <c r="C1888" s="69">
        <v>29.440597032913907</v>
      </c>
    </row>
    <row r="1889">
      <c r="A1889" s="62" t="s">
        <v>5413</v>
      </c>
      <c r="B1889" s="63">
        <v>44369.0</v>
      </c>
      <c r="C1889" s="69">
        <v>29.43578832908421</v>
      </c>
    </row>
    <row r="1890">
      <c r="A1890" s="62" t="s">
        <v>2912</v>
      </c>
      <c r="B1890" s="63">
        <v>44121.0</v>
      </c>
      <c r="C1890" s="69">
        <v>29.435620867438583</v>
      </c>
    </row>
    <row r="1891">
      <c r="A1891" s="62" t="s">
        <v>3088</v>
      </c>
      <c r="B1891" s="63">
        <v>44084.0</v>
      </c>
      <c r="C1891" s="69">
        <v>29.434599984026946</v>
      </c>
    </row>
    <row r="1892">
      <c r="A1892" s="62" t="s">
        <v>5038</v>
      </c>
      <c r="B1892" s="63">
        <v>44307.0</v>
      </c>
      <c r="C1892" s="69">
        <v>29.433878217650285</v>
      </c>
    </row>
    <row r="1893">
      <c r="A1893" s="62" t="s">
        <v>2143</v>
      </c>
      <c r="B1893" s="63">
        <v>44061.0</v>
      </c>
      <c r="C1893" s="69">
        <v>29.420109916881355</v>
      </c>
    </row>
    <row r="1894">
      <c r="A1894" s="62" t="s">
        <v>4233</v>
      </c>
      <c r="B1894" s="63">
        <v>44179.0</v>
      </c>
      <c r="C1894" s="69">
        <v>29.41937822405223</v>
      </c>
    </row>
    <row r="1895">
      <c r="A1895" s="62" t="s">
        <v>4946</v>
      </c>
      <c r="B1895" s="63">
        <v>44315.0</v>
      </c>
      <c r="C1895" s="69">
        <v>29.41491980719359</v>
      </c>
    </row>
    <row r="1896">
      <c r="A1896" s="62" t="s">
        <v>5490</v>
      </c>
      <c r="B1896" s="63">
        <v>44364.0</v>
      </c>
      <c r="C1896" s="69">
        <v>29.41478017988907</v>
      </c>
    </row>
    <row r="1897">
      <c r="A1897" s="62" t="s">
        <v>2207</v>
      </c>
      <c r="B1897" s="63">
        <v>44060.0</v>
      </c>
      <c r="C1897" s="69">
        <v>29.413983631143914</v>
      </c>
    </row>
    <row r="1898">
      <c r="A1898" s="62" t="s">
        <v>3940</v>
      </c>
      <c r="B1898" s="63">
        <v>44131.0</v>
      </c>
      <c r="C1898" s="69">
        <v>29.410293616947037</v>
      </c>
    </row>
    <row r="1899">
      <c r="A1899" s="62" t="s">
        <v>1074</v>
      </c>
      <c r="B1899" s="63">
        <v>44368.0</v>
      </c>
      <c r="C1899" s="69">
        <v>29.407785264908686</v>
      </c>
    </row>
    <row r="1900">
      <c r="A1900" s="62" t="s">
        <v>3280</v>
      </c>
      <c r="B1900" s="63">
        <v>44126.0</v>
      </c>
      <c r="C1900" s="69">
        <v>29.405170472845814</v>
      </c>
    </row>
    <row r="1901">
      <c r="A1901" s="62" t="s">
        <v>4088</v>
      </c>
      <c r="B1901" s="63">
        <v>44158.0</v>
      </c>
      <c r="C1901" s="69">
        <v>29.400763163193417</v>
      </c>
    </row>
    <row r="1902">
      <c r="A1902" s="62" t="s">
        <v>3638</v>
      </c>
      <c r="B1902" s="63">
        <v>44091.0</v>
      </c>
      <c r="C1902" s="69">
        <v>29.398511316016265</v>
      </c>
    </row>
    <row r="1903">
      <c r="A1903" s="62" t="s">
        <v>4386</v>
      </c>
      <c r="B1903" s="63">
        <v>44121.0</v>
      </c>
      <c r="C1903" s="69">
        <v>29.389645138844955</v>
      </c>
    </row>
    <row r="1904">
      <c r="A1904" s="62" t="s">
        <v>5084</v>
      </c>
      <c r="B1904" s="63">
        <v>44292.0</v>
      </c>
      <c r="C1904" s="69">
        <v>29.388310715047965</v>
      </c>
    </row>
    <row r="1905">
      <c r="A1905" s="62" t="s">
        <v>5619</v>
      </c>
      <c r="B1905" s="63">
        <v>44346.0</v>
      </c>
      <c r="C1905" s="69">
        <v>29.386831497645854</v>
      </c>
    </row>
    <row r="1906">
      <c r="A1906" s="62" t="s">
        <v>3295</v>
      </c>
      <c r="B1906" s="63">
        <v>44223.0</v>
      </c>
      <c r="C1906" s="69">
        <v>29.38484324516891</v>
      </c>
    </row>
    <row r="1907">
      <c r="A1907" s="62" t="s">
        <v>2497</v>
      </c>
      <c r="B1907" s="63">
        <v>44383.0</v>
      </c>
      <c r="C1907" s="69">
        <v>29.383122217508646</v>
      </c>
    </row>
    <row r="1908">
      <c r="A1908" s="62" t="s">
        <v>206</v>
      </c>
      <c r="B1908" s="63">
        <v>44396.0</v>
      </c>
      <c r="C1908" s="69">
        <v>29.38060513896633</v>
      </c>
    </row>
    <row r="1909">
      <c r="A1909" s="62" t="s">
        <v>4822</v>
      </c>
      <c r="B1909" s="63">
        <v>44307.0</v>
      </c>
      <c r="C1909" s="69">
        <v>29.376302645518372</v>
      </c>
    </row>
    <row r="1910">
      <c r="A1910" s="62" t="s">
        <v>1452</v>
      </c>
      <c r="B1910" s="63">
        <v>44368.0</v>
      </c>
      <c r="C1910" s="69">
        <v>29.36981737300062</v>
      </c>
    </row>
    <row r="1911">
      <c r="A1911" s="62" t="s">
        <v>2530</v>
      </c>
      <c r="B1911" s="63">
        <v>44391.0</v>
      </c>
      <c r="C1911" s="69">
        <v>29.368748081844718</v>
      </c>
    </row>
    <row r="1912">
      <c r="A1912" s="62" t="s">
        <v>6266</v>
      </c>
      <c r="B1912" s="63">
        <v>44377.0</v>
      </c>
      <c r="C1912" s="69">
        <v>29.364327402772375</v>
      </c>
    </row>
    <row r="1913">
      <c r="A1913" s="62" t="s">
        <v>4304</v>
      </c>
      <c r="B1913" s="63">
        <v>44082.0</v>
      </c>
      <c r="C1913" s="69">
        <v>29.361847081035833</v>
      </c>
    </row>
    <row r="1914">
      <c r="A1914" s="62" t="s">
        <v>4324</v>
      </c>
      <c r="B1914" s="63">
        <v>44163.0</v>
      </c>
      <c r="C1914" s="69">
        <v>29.359701564411218</v>
      </c>
    </row>
    <row r="1915">
      <c r="A1915" s="62" t="s">
        <v>3907</v>
      </c>
      <c r="B1915" s="63">
        <v>44130.0</v>
      </c>
      <c r="C1915" s="69">
        <v>29.35656615156826</v>
      </c>
    </row>
    <row r="1916">
      <c r="A1916" s="62" t="s">
        <v>5618</v>
      </c>
      <c r="B1916" s="63">
        <v>44339.0</v>
      </c>
      <c r="C1916" s="69">
        <v>29.35059486265409</v>
      </c>
    </row>
    <row r="1917">
      <c r="A1917" s="62" t="s">
        <v>3302</v>
      </c>
      <c r="B1917" s="63">
        <v>44224.0</v>
      </c>
      <c r="C1917" s="69">
        <v>29.3499753668737</v>
      </c>
    </row>
    <row r="1918">
      <c r="A1918" s="62" t="s">
        <v>4514</v>
      </c>
      <c r="B1918" s="63">
        <v>44265.0</v>
      </c>
      <c r="C1918" s="69">
        <v>29.34727831274959</v>
      </c>
    </row>
    <row r="1919">
      <c r="A1919" s="62" t="s">
        <v>5622</v>
      </c>
      <c r="B1919" s="63">
        <v>44362.0</v>
      </c>
      <c r="C1919" s="69">
        <v>29.34233184356706</v>
      </c>
    </row>
    <row r="1920">
      <c r="A1920" s="62" t="s">
        <v>3382</v>
      </c>
      <c r="B1920" s="63">
        <v>44207.0</v>
      </c>
      <c r="C1920" s="69">
        <v>29.340701259957914</v>
      </c>
    </row>
    <row r="1921">
      <c r="A1921" s="62" t="s">
        <v>5617</v>
      </c>
      <c r="B1921" s="63">
        <v>44327.0</v>
      </c>
      <c r="C1921" s="69">
        <v>29.338084998997694</v>
      </c>
    </row>
    <row r="1922">
      <c r="A1922" s="62" t="s">
        <v>5616</v>
      </c>
      <c r="B1922" s="63">
        <v>44324.0</v>
      </c>
      <c r="C1922" s="69">
        <v>29.333949063602184</v>
      </c>
    </row>
    <row r="1923">
      <c r="A1923" s="62" t="s">
        <v>4969</v>
      </c>
      <c r="B1923" s="63">
        <v>44309.0</v>
      </c>
      <c r="C1923" s="69">
        <v>29.324092437696674</v>
      </c>
    </row>
    <row r="1924">
      <c r="A1924" s="62" t="s">
        <v>2710</v>
      </c>
      <c r="B1924" s="63">
        <v>44228.0</v>
      </c>
      <c r="C1924" s="69">
        <v>29.310409174383636</v>
      </c>
    </row>
    <row r="1925">
      <c r="A1925" s="62" t="s">
        <v>420</v>
      </c>
      <c r="B1925" s="63">
        <v>44073.0</v>
      </c>
      <c r="C1925" s="69">
        <v>29.307299741850773</v>
      </c>
    </row>
    <row r="1926">
      <c r="A1926" s="62" t="s">
        <v>4171</v>
      </c>
      <c r="B1926" s="63">
        <v>44252.0</v>
      </c>
      <c r="C1926" s="69">
        <v>29.303523787187927</v>
      </c>
    </row>
    <row r="1927">
      <c r="A1927" s="62" t="s">
        <v>5683</v>
      </c>
      <c r="B1927" s="63">
        <v>44371.0</v>
      </c>
      <c r="C1927" s="69">
        <v>29.300682057689038</v>
      </c>
    </row>
    <row r="1928">
      <c r="A1928" s="62" t="s">
        <v>3694</v>
      </c>
      <c r="B1928" s="63">
        <v>44109.0</v>
      </c>
      <c r="C1928" s="69">
        <v>29.30001216439426</v>
      </c>
    </row>
    <row r="1929">
      <c r="A1929" s="62" t="s">
        <v>3032</v>
      </c>
      <c r="B1929" s="63">
        <v>44221.0</v>
      </c>
      <c r="C1929" s="69">
        <v>29.2975570242808</v>
      </c>
    </row>
    <row r="1930">
      <c r="A1930" s="62" t="s">
        <v>3640</v>
      </c>
      <c r="B1930" s="63">
        <v>44200.0</v>
      </c>
      <c r="C1930" s="69">
        <v>29.28948338796607</v>
      </c>
    </row>
    <row r="1931">
      <c r="A1931" s="62" t="s">
        <v>4473</v>
      </c>
      <c r="B1931" s="63">
        <v>44315.0</v>
      </c>
      <c r="C1931" s="69">
        <v>29.289472507580395</v>
      </c>
    </row>
    <row r="1932">
      <c r="A1932" s="62" t="s">
        <v>3305</v>
      </c>
      <c r="B1932" s="63">
        <v>44149.0</v>
      </c>
      <c r="C1932" s="69">
        <v>29.285516274150506</v>
      </c>
    </row>
    <row r="1933">
      <c r="A1933" s="62" t="s">
        <v>6397</v>
      </c>
      <c r="B1933" s="63">
        <v>44348.0</v>
      </c>
      <c r="C1933" s="69">
        <v>29.280208035529522</v>
      </c>
    </row>
    <row r="1934">
      <c r="A1934" s="62" t="s">
        <v>6681</v>
      </c>
      <c r="B1934" s="63">
        <v>44359.0</v>
      </c>
      <c r="C1934" s="69">
        <v>29.269380696533844</v>
      </c>
    </row>
    <row r="1935">
      <c r="A1935" s="62" t="s">
        <v>5754</v>
      </c>
      <c r="B1935" s="63">
        <v>44375.0</v>
      </c>
      <c r="C1935" s="69">
        <v>29.267604931145165</v>
      </c>
    </row>
    <row r="1936">
      <c r="A1936" s="62" t="s">
        <v>2775</v>
      </c>
      <c r="B1936" s="63">
        <v>44123.0</v>
      </c>
      <c r="C1936" s="69">
        <v>29.25314678326381</v>
      </c>
    </row>
    <row r="1937">
      <c r="A1937" s="62" t="s">
        <v>1493</v>
      </c>
      <c r="B1937" s="63">
        <v>44375.0</v>
      </c>
      <c r="C1937" s="69">
        <v>29.253019724845476</v>
      </c>
    </row>
    <row r="1938">
      <c r="A1938" s="62" t="s">
        <v>5615</v>
      </c>
      <c r="B1938" s="63">
        <v>44335.0</v>
      </c>
      <c r="C1938" s="69">
        <v>29.249243878563167</v>
      </c>
    </row>
    <row r="1939">
      <c r="A1939" s="62" t="s">
        <v>5614</v>
      </c>
      <c r="B1939" s="63">
        <v>44337.0</v>
      </c>
      <c r="C1939" s="69">
        <v>29.245993748364224</v>
      </c>
    </row>
    <row r="1940">
      <c r="A1940" s="62" t="s">
        <v>3017</v>
      </c>
      <c r="B1940" s="63">
        <v>44162.0</v>
      </c>
      <c r="C1940" s="69">
        <v>29.245923798114042</v>
      </c>
    </row>
    <row r="1941">
      <c r="A1941" s="62" t="s">
        <v>3285</v>
      </c>
      <c r="B1941" s="63">
        <v>44224.0</v>
      </c>
      <c r="C1941" s="69">
        <v>29.245405327993467</v>
      </c>
    </row>
    <row r="1942">
      <c r="A1942" s="62" t="s">
        <v>4351</v>
      </c>
      <c r="B1942" s="63">
        <v>44082.0</v>
      </c>
      <c r="C1942" s="69">
        <v>29.245070068093504</v>
      </c>
    </row>
    <row r="1943">
      <c r="A1943" s="62" t="s">
        <v>5354</v>
      </c>
      <c r="B1943" s="63">
        <v>44354.0</v>
      </c>
      <c r="C1943" s="69">
        <v>29.24472792405416</v>
      </c>
    </row>
    <row r="1944">
      <c r="A1944" s="62" t="s">
        <v>2788</v>
      </c>
      <c r="B1944" s="63">
        <v>44104.0</v>
      </c>
      <c r="C1944" s="69">
        <v>29.242415869663102</v>
      </c>
    </row>
    <row r="1945">
      <c r="A1945" s="62" t="s">
        <v>2339</v>
      </c>
      <c r="B1945" s="63">
        <v>44378.0</v>
      </c>
      <c r="C1945" s="69">
        <v>29.241511337359533</v>
      </c>
    </row>
    <row r="1946">
      <c r="A1946" s="62" t="s">
        <v>5611</v>
      </c>
      <c r="B1946" s="63">
        <v>44327.0</v>
      </c>
      <c r="C1946" s="69">
        <v>29.237110258066647</v>
      </c>
    </row>
    <row r="1947">
      <c r="A1947" s="62" t="s">
        <v>5610</v>
      </c>
      <c r="B1947" s="63">
        <v>44343.0</v>
      </c>
      <c r="C1947" s="69">
        <v>29.2318131751283</v>
      </c>
    </row>
    <row r="1948">
      <c r="A1948" s="62" t="s">
        <v>1461</v>
      </c>
      <c r="B1948" s="63">
        <v>44377.0</v>
      </c>
      <c r="C1948" s="69">
        <v>29.23101242542017</v>
      </c>
    </row>
    <row r="1949">
      <c r="A1949" s="62" t="s">
        <v>2561</v>
      </c>
      <c r="B1949" s="63">
        <v>44384.0</v>
      </c>
      <c r="C1949" s="69">
        <v>29.23090360657889</v>
      </c>
    </row>
    <row r="1950">
      <c r="A1950" s="62" t="s">
        <v>3636</v>
      </c>
      <c r="B1950" s="63">
        <v>44155.0</v>
      </c>
      <c r="C1950" s="69">
        <v>29.226672568956413</v>
      </c>
    </row>
    <row r="1951">
      <c r="A1951" s="62" t="s">
        <v>6107</v>
      </c>
      <c r="B1951" s="63">
        <v>44356.0</v>
      </c>
      <c r="C1951" s="69">
        <v>29.225973384196607</v>
      </c>
    </row>
    <row r="1952">
      <c r="A1952" s="62" t="s">
        <v>3381</v>
      </c>
      <c r="B1952" s="63">
        <v>44172.0</v>
      </c>
      <c r="C1952" s="69">
        <v>29.214186886918895</v>
      </c>
    </row>
    <row r="1953">
      <c r="A1953" s="62" t="s">
        <v>2448</v>
      </c>
      <c r="B1953" s="63">
        <v>44392.0</v>
      </c>
      <c r="C1953" s="69">
        <v>29.209492980521826</v>
      </c>
    </row>
    <row r="1954">
      <c r="A1954" s="62" t="s">
        <v>1802</v>
      </c>
      <c r="B1954" s="63">
        <v>44366.0</v>
      </c>
      <c r="C1954" s="69">
        <v>29.203523805896367</v>
      </c>
    </row>
    <row r="1955">
      <c r="A1955" s="62" t="s">
        <v>3932</v>
      </c>
      <c r="B1955" s="63">
        <v>44193.0</v>
      </c>
      <c r="C1955" s="69">
        <v>29.201815693484726</v>
      </c>
    </row>
    <row r="1956">
      <c r="A1956" s="62" t="s">
        <v>5025</v>
      </c>
      <c r="B1956" s="63">
        <v>44258.0</v>
      </c>
      <c r="C1956" s="69">
        <v>29.199271363977168</v>
      </c>
    </row>
    <row r="1957">
      <c r="A1957" s="62" t="s">
        <v>699</v>
      </c>
      <c r="B1957" s="63">
        <v>44350.0</v>
      </c>
      <c r="C1957" s="69">
        <v>29.1992202859449</v>
      </c>
    </row>
    <row r="1958">
      <c r="A1958" s="62" t="s">
        <v>5459</v>
      </c>
      <c r="B1958" s="63">
        <v>44351.0</v>
      </c>
      <c r="C1958" s="69">
        <v>29.19678264429698</v>
      </c>
    </row>
    <row r="1959">
      <c r="A1959" s="62" t="s">
        <v>2228</v>
      </c>
      <c r="B1959" s="63">
        <v>44061.0</v>
      </c>
      <c r="C1959" s="69">
        <v>29.195099535784035</v>
      </c>
    </row>
    <row r="1960">
      <c r="A1960" s="62" t="s">
        <v>2505</v>
      </c>
      <c r="B1960" s="63">
        <v>44380.0</v>
      </c>
      <c r="C1960" s="69">
        <v>29.189970335291374</v>
      </c>
    </row>
    <row r="1961">
      <c r="A1961" s="62" t="s">
        <v>2540</v>
      </c>
      <c r="B1961" s="63">
        <v>44397.0</v>
      </c>
      <c r="C1961" s="69">
        <v>29.18992617952721</v>
      </c>
    </row>
    <row r="1962">
      <c r="A1962" s="62" t="s">
        <v>5609</v>
      </c>
      <c r="B1962" s="63">
        <v>44320.0</v>
      </c>
      <c r="C1962" s="69">
        <v>29.18898512293729</v>
      </c>
    </row>
    <row r="1963">
      <c r="A1963" s="62" t="s">
        <v>4756</v>
      </c>
      <c r="B1963" s="63">
        <v>44256.0</v>
      </c>
      <c r="C1963" s="69">
        <v>29.188164964950694</v>
      </c>
    </row>
    <row r="1964">
      <c r="A1964" s="62" t="s">
        <v>4452</v>
      </c>
      <c r="B1964" s="63">
        <v>44259.0</v>
      </c>
      <c r="C1964" s="69">
        <v>29.18237590264446</v>
      </c>
    </row>
    <row r="1965">
      <c r="A1965" s="62" t="s">
        <v>4466</v>
      </c>
      <c r="B1965" s="63">
        <v>44257.0</v>
      </c>
      <c r="C1965" s="69">
        <v>29.181023372082016</v>
      </c>
    </row>
    <row r="1966">
      <c r="A1966" s="62" t="s">
        <v>3585</v>
      </c>
      <c r="B1966" s="63">
        <v>44209.0</v>
      </c>
      <c r="C1966" s="69">
        <v>29.179691141640717</v>
      </c>
    </row>
    <row r="1967">
      <c r="A1967" s="62" t="s">
        <v>2973</v>
      </c>
      <c r="B1967" s="63">
        <v>44181.0</v>
      </c>
      <c r="C1967" s="69">
        <v>29.17692322329546</v>
      </c>
    </row>
    <row r="1968">
      <c r="A1968" s="62" t="s">
        <v>3739</v>
      </c>
      <c r="B1968" s="63">
        <v>44237.0</v>
      </c>
      <c r="C1968" s="69">
        <v>29.17176124165831</v>
      </c>
    </row>
    <row r="1969">
      <c r="A1969" s="62" t="s">
        <v>5278</v>
      </c>
      <c r="B1969" s="63">
        <v>44312.0</v>
      </c>
      <c r="C1969" s="69">
        <v>29.169056071932523</v>
      </c>
    </row>
    <row r="1970">
      <c r="A1970" s="62" t="s">
        <v>257</v>
      </c>
      <c r="B1970" s="63">
        <v>44389.0</v>
      </c>
      <c r="C1970" s="69">
        <v>29.163873643123736</v>
      </c>
    </row>
    <row r="1971">
      <c r="A1971" s="62" t="s">
        <v>2804</v>
      </c>
      <c r="B1971" s="63">
        <v>44232.0</v>
      </c>
      <c r="C1971" s="69">
        <v>29.162959547601098</v>
      </c>
    </row>
    <row r="1972">
      <c r="A1972" s="62" t="s">
        <v>3443</v>
      </c>
      <c r="B1972" s="63">
        <v>44238.0</v>
      </c>
      <c r="C1972" s="69">
        <v>29.161616582416244</v>
      </c>
    </row>
    <row r="1973">
      <c r="A1973" s="62" t="s">
        <v>2345</v>
      </c>
      <c r="B1973" s="63">
        <v>44384.0</v>
      </c>
      <c r="C1973" s="69">
        <v>29.160102647589664</v>
      </c>
    </row>
    <row r="1974">
      <c r="A1974" s="62" t="s">
        <v>3603</v>
      </c>
      <c r="B1974" s="63">
        <v>44075.0</v>
      </c>
      <c r="C1974" s="69">
        <v>29.156508676976635</v>
      </c>
    </row>
    <row r="1975">
      <c r="A1975" s="62" t="s">
        <v>4528</v>
      </c>
      <c r="B1975" s="63">
        <v>44273.0</v>
      </c>
      <c r="C1975" s="69">
        <v>29.154345656005663</v>
      </c>
    </row>
    <row r="1976">
      <c r="A1976" s="62" t="s">
        <v>3196</v>
      </c>
      <c r="B1976" s="63">
        <v>44088.0</v>
      </c>
      <c r="C1976" s="69">
        <v>29.152521761294402</v>
      </c>
    </row>
    <row r="1977">
      <c r="A1977" s="62" t="s">
        <v>2250</v>
      </c>
      <c r="B1977" s="63">
        <v>44056.0</v>
      </c>
      <c r="C1977" s="69">
        <v>29.151392675383132</v>
      </c>
    </row>
    <row r="1978">
      <c r="A1978" s="62" t="s">
        <v>5737</v>
      </c>
      <c r="B1978" s="63">
        <v>44375.0</v>
      </c>
      <c r="C1978" s="69">
        <v>29.15023421929158</v>
      </c>
    </row>
    <row r="1979">
      <c r="A1979" s="62" t="s">
        <v>3564</v>
      </c>
      <c r="B1979" s="63">
        <v>44195.0</v>
      </c>
      <c r="C1979" s="69">
        <v>29.147921940768697</v>
      </c>
    </row>
    <row r="1980">
      <c r="A1980" s="62" t="s">
        <v>4174</v>
      </c>
      <c r="B1980" s="63">
        <v>44253.0</v>
      </c>
      <c r="C1980" s="69">
        <v>29.14211439568423</v>
      </c>
    </row>
    <row r="1981">
      <c r="A1981" s="62" t="s">
        <v>6092</v>
      </c>
      <c r="B1981" s="63">
        <v>44372.0</v>
      </c>
      <c r="C1981" s="69">
        <v>29.1411991026143</v>
      </c>
    </row>
    <row r="1982">
      <c r="A1982" s="62" t="s">
        <v>6458</v>
      </c>
      <c r="B1982" s="63">
        <v>44365.0</v>
      </c>
      <c r="C1982" s="69">
        <v>29.13920613569335</v>
      </c>
    </row>
    <row r="1983">
      <c r="A1983" s="62" t="s">
        <v>1951</v>
      </c>
      <c r="B1983" s="63">
        <v>44223.0</v>
      </c>
      <c r="C1983" s="69">
        <v>29.135212710216575</v>
      </c>
    </row>
    <row r="1984">
      <c r="A1984" s="62" t="s">
        <v>3891</v>
      </c>
      <c r="B1984" s="63">
        <v>44243.0</v>
      </c>
      <c r="C1984" s="69">
        <v>29.134398252275368</v>
      </c>
    </row>
    <row r="1985">
      <c r="A1985" s="62" t="s">
        <v>5608</v>
      </c>
      <c r="B1985" s="63">
        <v>44322.0</v>
      </c>
      <c r="C1985" s="69">
        <v>29.132677111404416</v>
      </c>
    </row>
    <row r="1986">
      <c r="A1986" s="62" t="s">
        <v>259</v>
      </c>
      <c r="B1986" s="63">
        <v>44399.0</v>
      </c>
      <c r="C1986" s="69">
        <v>29.129910390460758</v>
      </c>
    </row>
    <row r="1987">
      <c r="A1987" s="62" t="s">
        <v>4369</v>
      </c>
      <c r="B1987" s="63">
        <v>44082.0</v>
      </c>
      <c r="C1987" s="69">
        <v>29.12879486473336</v>
      </c>
    </row>
    <row r="1988">
      <c r="A1988" s="62" t="s">
        <v>5607</v>
      </c>
      <c r="B1988" s="63">
        <v>44341.0</v>
      </c>
      <c r="C1988" s="69">
        <v>29.128612362340043</v>
      </c>
    </row>
    <row r="1989">
      <c r="A1989" s="62" t="s">
        <v>2209</v>
      </c>
      <c r="B1989" s="63">
        <v>44072.0</v>
      </c>
      <c r="C1989" s="69">
        <v>29.12748726216914</v>
      </c>
    </row>
    <row r="1990">
      <c r="A1990" s="62" t="s">
        <v>2398</v>
      </c>
      <c r="B1990" s="63">
        <v>44379.0</v>
      </c>
      <c r="C1990" s="69">
        <v>29.1257575477147</v>
      </c>
    </row>
    <row r="1991">
      <c r="A1991" s="62" t="s">
        <v>5606</v>
      </c>
      <c r="B1991" s="63">
        <v>44335.0</v>
      </c>
      <c r="C1991" s="69">
        <v>29.12379251474995</v>
      </c>
    </row>
    <row r="1992">
      <c r="A1992" s="62" t="s">
        <v>5816</v>
      </c>
      <c r="B1992" s="63">
        <v>44368.0</v>
      </c>
      <c r="C1992" s="69">
        <v>29.12353297341406</v>
      </c>
    </row>
    <row r="1993">
      <c r="A1993" s="62" t="s">
        <v>3520</v>
      </c>
      <c r="B1993" s="63">
        <v>44137.0</v>
      </c>
      <c r="C1993" s="69">
        <v>29.111658969028802</v>
      </c>
    </row>
    <row r="1994">
      <c r="A1994" s="62" t="s">
        <v>6110</v>
      </c>
      <c r="B1994" s="63">
        <v>44366.0</v>
      </c>
      <c r="C1994" s="69">
        <v>29.110635219585895</v>
      </c>
    </row>
    <row r="1995">
      <c r="A1995" s="62" t="s">
        <v>5605</v>
      </c>
      <c r="B1995" s="63">
        <v>44327.0</v>
      </c>
      <c r="C1995" s="69">
        <v>29.106481140176832</v>
      </c>
    </row>
    <row r="1996">
      <c r="A1996" s="62" t="s">
        <v>2905</v>
      </c>
      <c r="B1996" s="63">
        <v>44137.0</v>
      </c>
      <c r="C1996" s="69">
        <v>29.079505477848123</v>
      </c>
    </row>
    <row r="1997">
      <c r="A1997" s="62" t="s">
        <v>5401</v>
      </c>
      <c r="B1997" s="63">
        <v>44370.0</v>
      </c>
      <c r="C1997" s="69">
        <v>29.07801159325085</v>
      </c>
    </row>
    <row r="1998">
      <c r="A1998" s="62" t="s">
        <v>6682</v>
      </c>
      <c r="B1998" s="63">
        <v>44351.0</v>
      </c>
      <c r="C1998" s="69">
        <v>29.07292229396743</v>
      </c>
    </row>
    <row r="1999">
      <c r="A1999" s="62" t="s">
        <v>5214</v>
      </c>
      <c r="B1999" s="63">
        <v>44271.0</v>
      </c>
      <c r="C1999" s="69">
        <v>29.068548181886726</v>
      </c>
    </row>
    <row r="2000">
      <c r="A2000" s="62" t="s">
        <v>4045</v>
      </c>
      <c r="B2000" s="63">
        <v>44236.0</v>
      </c>
      <c r="C2000" s="69">
        <v>29.06547433779593</v>
      </c>
    </row>
    <row r="2001">
      <c r="A2001" s="62" t="s">
        <v>2074</v>
      </c>
      <c r="B2001" s="63">
        <v>44364.0</v>
      </c>
      <c r="C2001" s="69">
        <v>29.062317937356376</v>
      </c>
    </row>
    <row r="2002">
      <c r="A2002" s="62" t="s">
        <v>5603</v>
      </c>
      <c r="B2002" s="63">
        <v>44326.0</v>
      </c>
      <c r="C2002" s="69">
        <v>29.058973360166696</v>
      </c>
    </row>
    <row r="2003">
      <c r="A2003" s="62" t="s">
        <v>2532</v>
      </c>
      <c r="B2003" s="63">
        <v>44385.0</v>
      </c>
      <c r="C2003" s="69">
        <v>29.05385132390097</v>
      </c>
    </row>
    <row r="2004">
      <c r="A2004" s="62" t="s">
        <v>3527</v>
      </c>
      <c r="B2004" s="63">
        <v>44124.0</v>
      </c>
      <c r="C2004" s="69">
        <v>29.048587391262295</v>
      </c>
    </row>
    <row r="2005">
      <c r="A2005" s="62" t="s">
        <v>3306</v>
      </c>
      <c r="B2005" s="63">
        <v>44109.0</v>
      </c>
      <c r="C2005" s="69">
        <v>29.03960258118022</v>
      </c>
    </row>
    <row r="2006">
      <c r="A2006" s="62" t="s">
        <v>5109</v>
      </c>
      <c r="B2006" s="63">
        <v>44295.0</v>
      </c>
      <c r="C2006" s="69">
        <v>29.038319844374488</v>
      </c>
    </row>
    <row r="2007">
      <c r="A2007" s="62" t="s">
        <v>1263</v>
      </c>
      <c r="B2007" s="63">
        <v>44349.0</v>
      </c>
      <c r="C2007" s="69">
        <v>29.035076566203387</v>
      </c>
    </row>
    <row r="2008">
      <c r="A2008" s="62" t="s">
        <v>5041</v>
      </c>
      <c r="B2008" s="63">
        <v>44284.0</v>
      </c>
      <c r="C2008" s="69">
        <v>29.02484129184625</v>
      </c>
    </row>
    <row r="2009">
      <c r="A2009" s="62" t="s">
        <v>2153</v>
      </c>
      <c r="B2009" s="63">
        <v>44069.0</v>
      </c>
      <c r="C2009" s="69">
        <v>29.022436849643597</v>
      </c>
    </row>
    <row r="2010">
      <c r="A2010" s="62" t="s">
        <v>1451</v>
      </c>
      <c r="B2010" s="63">
        <v>44357.0</v>
      </c>
      <c r="C2010" s="69">
        <v>29.021117240448437</v>
      </c>
    </row>
    <row r="2011">
      <c r="A2011" s="62" t="s">
        <v>2975</v>
      </c>
      <c r="B2011" s="63">
        <v>44134.0</v>
      </c>
      <c r="C2011" s="69">
        <v>29.019424075267178</v>
      </c>
    </row>
    <row r="2012">
      <c r="A2012" s="62" t="s">
        <v>3226</v>
      </c>
      <c r="B2012" s="63">
        <v>44162.0</v>
      </c>
      <c r="C2012" s="69">
        <v>29.016809839392444</v>
      </c>
    </row>
    <row r="2013">
      <c r="A2013" s="62" t="s">
        <v>5602</v>
      </c>
      <c r="B2013" s="63">
        <v>44344.0</v>
      </c>
      <c r="C2013" s="69">
        <v>29.011590994993256</v>
      </c>
    </row>
    <row r="2014">
      <c r="A2014" s="62" t="s">
        <v>5122</v>
      </c>
      <c r="B2014" s="63">
        <v>44288.0</v>
      </c>
      <c r="C2014" s="69">
        <v>29.00717137250062</v>
      </c>
    </row>
    <row r="2015">
      <c r="A2015" s="62" t="s">
        <v>3442</v>
      </c>
      <c r="B2015" s="63">
        <v>44230.0</v>
      </c>
      <c r="C2015" s="69">
        <v>29.006825303255333</v>
      </c>
    </row>
    <row r="2016">
      <c r="A2016" s="62" t="s">
        <v>3245</v>
      </c>
      <c r="B2016" s="63">
        <v>44223.0</v>
      </c>
      <c r="C2016" s="69">
        <v>29.00541131609444</v>
      </c>
    </row>
    <row r="2017">
      <c r="A2017" s="62" t="s">
        <v>3087</v>
      </c>
      <c r="B2017" s="63">
        <v>44221.0</v>
      </c>
      <c r="C2017" s="69">
        <v>29.004799746117197</v>
      </c>
    </row>
    <row r="2018">
      <c r="A2018" s="62" t="s">
        <v>4506</v>
      </c>
      <c r="B2018" s="63">
        <v>44274.0</v>
      </c>
      <c r="C2018" s="69">
        <v>29.00474729189146</v>
      </c>
    </row>
    <row r="2019">
      <c r="A2019" s="62" t="s">
        <v>2908</v>
      </c>
      <c r="B2019" s="63">
        <v>44126.0</v>
      </c>
      <c r="C2019" s="69">
        <v>28.998333427528394</v>
      </c>
    </row>
    <row r="2020">
      <c r="A2020" s="62" t="s">
        <v>4194</v>
      </c>
      <c r="B2020" s="63">
        <v>44216.0</v>
      </c>
      <c r="C2020" s="69">
        <v>28.989510264580613</v>
      </c>
    </row>
    <row r="2021">
      <c r="A2021" s="62" t="s">
        <v>2711</v>
      </c>
      <c r="B2021" s="63">
        <v>44152.0</v>
      </c>
      <c r="C2021" s="69">
        <v>28.984112113658128</v>
      </c>
    </row>
    <row r="2022">
      <c r="A2022" s="62" t="s">
        <v>5581</v>
      </c>
      <c r="B2022" s="63">
        <v>44372.0</v>
      </c>
      <c r="C2022" s="69">
        <v>28.972025031683035</v>
      </c>
    </row>
    <row r="2023">
      <c r="A2023" s="62" t="s">
        <v>4207</v>
      </c>
      <c r="B2023" s="63">
        <v>44162.0</v>
      </c>
      <c r="C2023" s="69">
        <v>28.972005680385877</v>
      </c>
    </row>
    <row r="2024">
      <c r="A2024" s="62" t="s">
        <v>2806</v>
      </c>
      <c r="B2024" s="63">
        <v>44218.0</v>
      </c>
      <c r="C2024" s="69">
        <v>28.970008878286492</v>
      </c>
    </row>
    <row r="2025">
      <c r="A2025" s="62" t="s">
        <v>5601</v>
      </c>
      <c r="B2025" s="63">
        <v>44344.0</v>
      </c>
      <c r="C2025" s="69">
        <v>28.96857144457373</v>
      </c>
    </row>
    <row r="2026">
      <c r="A2026" s="62" t="s">
        <v>2086</v>
      </c>
      <c r="B2026" s="63">
        <v>44248.0</v>
      </c>
      <c r="C2026" s="69">
        <v>28.968173274400325</v>
      </c>
    </row>
    <row r="2027">
      <c r="A2027" s="62" t="s">
        <v>2324</v>
      </c>
      <c r="B2027" s="63">
        <v>44389.0</v>
      </c>
      <c r="C2027" s="69">
        <v>28.965558459719382</v>
      </c>
    </row>
    <row r="2028">
      <c r="A2028" s="62" t="s">
        <v>5600</v>
      </c>
      <c r="B2028" s="63">
        <v>44321.0</v>
      </c>
      <c r="C2028" s="69">
        <v>28.963812151379486</v>
      </c>
    </row>
    <row r="2029">
      <c r="A2029" s="62" t="s">
        <v>6539</v>
      </c>
      <c r="B2029" s="63">
        <v>44362.0</v>
      </c>
      <c r="C2029" s="69">
        <v>28.958604753330075</v>
      </c>
    </row>
    <row r="2030">
      <c r="A2030" s="62" t="s">
        <v>2923</v>
      </c>
      <c r="B2030" s="63">
        <v>44217.0</v>
      </c>
      <c r="C2030" s="69">
        <v>28.956258889279564</v>
      </c>
    </row>
    <row r="2031">
      <c r="A2031" s="62" t="s">
        <v>4059</v>
      </c>
      <c r="B2031" s="63">
        <v>44232.0</v>
      </c>
      <c r="C2031" s="69">
        <v>28.954452237025293</v>
      </c>
    </row>
    <row r="2032">
      <c r="A2032" s="62" t="s">
        <v>3154</v>
      </c>
      <c r="B2032" s="63">
        <v>44253.0</v>
      </c>
      <c r="C2032" s="69">
        <v>28.953950021300543</v>
      </c>
    </row>
    <row r="2033">
      <c r="A2033" s="62" t="s">
        <v>3721</v>
      </c>
      <c r="B2033" s="63">
        <v>44124.0</v>
      </c>
      <c r="C2033" s="69">
        <v>28.94698118152501</v>
      </c>
    </row>
    <row r="2034">
      <c r="A2034" s="62" t="s">
        <v>4105</v>
      </c>
      <c r="B2034" s="63">
        <v>44238.0</v>
      </c>
      <c r="C2034" s="69">
        <v>28.94066016341734</v>
      </c>
    </row>
    <row r="2035">
      <c r="A2035" s="62" t="s">
        <v>1031</v>
      </c>
      <c r="B2035" s="63">
        <v>44376.0</v>
      </c>
      <c r="C2035" s="69">
        <v>28.94029169606982</v>
      </c>
    </row>
    <row r="2036">
      <c r="A2036" s="62" t="s">
        <v>194</v>
      </c>
      <c r="B2036" s="63">
        <v>44387.0</v>
      </c>
      <c r="C2036" s="69">
        <v>28.939683392142292</v>
      </c>
    </row>
    <row r="2037">
      <c r="A2037" s="62" t="s">
        <v>3575</v>
      </c>
      <c r="B2037" s="63">
        <v>44252.0</v>
      </c>
      <c r="C2037" s="69">
        <v>28.938775954898475</v>
      </c>
    </row>
    <row r="2038">
      <c r="A2038" s="62" t="s">
        <v>5104</v>
      </c>
      <c r="B2038" s="63">
        <v>44306.0</v>
      </c>
      <c r="C2038" s="69">
        <v>28.934206099284353</v>
      </c>
    </row>
    <row r="2039">
      <c r="A2039" s="62" t="s">
        <v>3711</v>
      </c>
      <c r="B2039" s="63">
        <v>44207.0</v>
      </c>
      <c r="C2039" s="69">
        <v>28.930921631261235</v>
      </c>
    </row>
    <row r="2040">
      <c r="A2040" s="62" t="s">
        <v>5529</v>
      </c>
      <c r="B2040" s="63">
        <v>44351.0</v>
      </c>
      <c r="C2040" s="69">
        <v>28.930099264348552</v>
      </c>
    </row>
    <row r="2041">
      <c r="A2041" s="62" t="s">
        <v>4041</v>
      </c>
      <c r="B2041" s="63">
        <v>44164.0</v>
      </c>
      <c r="C2041" s="69">
        <v>28.928861310806386</v>
      </c>
    </row>
    <row r="2042">
      <c r="A2042" s="62" t="s">
        <v>4187</v>
      </c>
      <c r="B2042" s="63">
        <v>44077.0</v>
      </c>
      <c r="C2042" s="69">
        <v>28.92394333773941</v>
      </c>
    </row>
    <row r="2043">
      <c r="A2043" s="62" t="s">
        <v>5599</v>
      </c>
      <c r="B2043" s="63">
        <v>44326.0</v>
      </c>
      <c r="C2043" s="69">
        <v>28.92094805355983</v>
      </c>
    </row>
    <row r="2044">
      <c r="A2044" s="62" t="s">
        <v>4785</v>
      </c>
      <c r="B2044" s="63">
        <v>44265.0</v>
      </c>
      <c r="C2044" s="69">
        <v>28.91986594578787</v>
      </c>
    </row>
    <row r="2045">
      <c r="A2045" s="62" t="s">
        <v>5598</v>
      </c>
      <c r="B2045" s="63">
        <v>44320.0</v>
      </c>
      <c r="C2045" s="69">
        <v>28.91838390721984</v>
      </c>
    </row>
    <row r="2046">
      <c r="A2046" s="62" t="s">
        <v>3043</v>
      </c>
      <c r="B2046" s="63">
        <v>44224.0</v>
      </c>
      <c r="C2046" s="69">
        <v>28.918268254313382</v>
      </c>
    </row>
    <row r="2047">
      <c r="A2047" s="62" t="s">
        <v>2471</v>
      </c>
      <c r="B2047" s="63">
        <v>44386.0</v>
      </c>
      <c r="C2047" s="69">
        <v>28.917161033676017</v>
      </c>
    </row>
    <row r="2048">
      <c r="A2048" s="62" t="s">
        <v>6661</v>
      </c>
      <c r="B2048" s="63">
        <v>44357.0</v>
      </c>
      <c r="C2048" s="69">
        <v>28.909624815529593</v>
      </c>
    </row>
    <row r="2049">
      <c r="A2049" s="62" t="s">
        <v>5596</v>
      </c>
      <c r="B2049" s="63">
        <v>44319.0</v>
      </c>
      <c r="C2049" s="69">
        <v>28.908463379460628</v>
      </c>
    </row>
    <row r="2050">
      <c r="A2050" s="62" t="s">
        <v>4218</v>
      </c>
      <c r="B2050" s="63">
        <v>44135.0</v>
      </c>
      <c r="C2050" s="69">
        <v>28.90657393676774</v>
      </c>
    </row>
    <row r="2051">
      <c r="A2051" s="62" t="s">
        <v>5410</v>
      </c>
      <c r="B2051" s="63">
        <v>44352.0</v>
      </c>
      <c r="C2051" s="69">
        <v>28.901191417838895</v>
      </c>
    </row>
    <row r="2052">
      <c r="A2052" s="62" t="s">
        <v>5593</v>
      </c>
      <c r="B2052" s="63">
        <v>44337.0</v>
      </c>
      <c r="C2052" s="69">
        <v>28.899000987645444</v>
      </c>
    </row>
    <row r="2053">
      <c r="A2053" s="62" t="s">
        <v>3845</v>
      </c>
      <c r="B2053" s="63">
        <v>44137.0</v>
      </c>
      <c r="C2053" s="69">
        <v>28.895817530856235</v>
      </c>
    </row>
    <row r="2054">
      <c r="A2054" s="62" t="s">
        <v>4489</v>
      </c>
      <c r="B2054" s="63">
        <v>44279.0</v>
      </c>
      <c r="C2054" s="69">
        <v>28.89140820553648</v>
      </c>
    </row>
    <row r="2055">
      <c r="A2055" s="62" t="s">
        <v>2234</v>
      </c>
      <c r="B2055" s="63">
        <v>44061.0</v>
      </c>
      <c r="C2055" s="69">
        <v>28.888903596561477</v>
      </c>
    </row>
    <row r="2056">
      <c r="A2056" s="62" t="s">
        <v>3780</v>
      </c>
      <c r="B2056" s="63">
        <v>44217.0</v>
      </c>
      <c r="C2056" s="69">
        <v>28.888689252739937</v>
      </c>
    </row>
    <row r="2057">
      <c r="A2057" s="62" t="s">
        <v>6549</v>
      </c>
      <c r="B2057" s="63">
        <v>44370.0</v>
      </c>
      <c r="C2057" s="69">
        <v>28.886420562813264</v>
      </c>
    </row>
    <row r="2058">
      <c r="A2058" s="62" t="s">
        <v>627</v>
      </c>
      <c r="B2058" s="63">
        <v>44356.0</v>
      </c>
      <c r="C2058" s="69">
        <v>28.88350829978862</v>
      </c>
    </row>
    <row r="2059">
      <c r="A2059" s="62" t="s">
        <v>2305</v>
      </c>
      <c r="B2059" s="63">
        <v>44381.0</v>
      </c>
      <c r="C2059" s="69">
        <v>28.88028342248016</v>
      </c>
    </row>
    <row r="2060">
      <c r="A2060" s="62" t="s">
        <v>2921</v>
      </c>
      <c r="B2060" s="63">
        <v>44237.0</v>
      </c>
      <c r="C2060" s="69">
        <v>28.878655282618727</v>
      </c>
    </row>
    <row r="2061">
      <c r="A2061" s="62" t="s">
        <v>3656</v>
      </c>
      <c r="B2061" s="63">
        <v>44246.0</v>
      </c>
      <c r="C2061" s="69">
        <v>28.872732579252805</v>
      </c>
    </row>
    <row r="2062">
      <c r="A2062" s="62" t="s">
        <v>4243</v>
      </c>
      <c r="B2062" s="63">
        <v>44224.0</v>
      </c>
      <c r="C2062" s="69">
        <v>28.868398325661076</v>
      </c>
    </row>
    <row r="2063">
      <c r="A2063" s="62" t="s">
        <v>4824</v>
      </c>
      <c r="B2063" s="63">
        <v>44307.0</v>
      </c>
      <c r="C2063" s="69">
        <v>28.86741018202287</v>
      </c>
    </row>
    <row r="2064">
      <c r="A2064" s="62" t="s">
        <v>6704</v>
      </c>
      <c r="B2064" s="63">
        <v>44359.0</v>
      </c>
      <c r="C2064" s="69">
        <v>28.861756809125456</v>
      </c>
    </row>
    <row r="2065">
      <c r="A2065" s="62" t="s">
        <v>3391</v>
      </c>
      <c r="B2065" s="63">
        <v>44083.0</v>
      </c>
      <c r="C2065" s="69">
        <v>28.860493997567605</v>
      </c>
    </row>
    <row r="2066">
      <c r="A2066" s="62" t="s">
        <v>1260</v>
      </c>
      <c r="B2066" s="63">
        <v>44111.0</v>
      </c>
      <c r="C2066" s="69">
        <v>28.856220721034713</v>
      </c>
    </row>
    <row r="2067">
      <c r="A2067" s="62" t="s">
        <v>5142</v>
      </c>
      <c r="B2067" s="63">
        <v>44300.0</v>
      </c>
      <c r="C2067" s="69">
        <v>28.85548247945623</v>
      </c>
    </row>
    <row r="2068">
      <c r="A2068" s="62" t="s">
        <v>5592</v>
      </c>
      <c r="B2068" s="63">
        <v>44347.0</v>
      </c>
      <c r="C2068" s="69">
        <v>28.837246704367967</v>
      </c>
    </row>
    <row r="2069">
      <c r="A2069" s="62" t="s">
        <v>5590</v>
      </c>
      <c r="B2069" s="63">
        <v>44336.0</v>
      </c>
      <c r="C2069" s="69">
        <v>28.829216088556326</v>
      </c>
    </row>
    <row r="2070">
      <c r="A2070" s="62" t="s">
        <v>4764</v>
      </c>
      <c r="B2070" s="63">
        <v>44280.0</v>
      </c>
      <c r="C2070" s="69">
        <v>28.826679775257915</v>
      </c>
    </row>
    <row r="2071">
      <c r="A2071" s="62" t="s">
        <v>2574</v>
      </c>
      <c r="B2071" s="63">
        <v>44385.0</v>
      </c>
      <c r="C2071" s="69">
        <v>28.819034098010498</v>
      </c>
    </row>
    <row r="2072">
      <c r="A2072" s="62" t="s">
        <v>2915</v>
      </c>
      <c r="B2072" s="63">
        <v>44179.0</v>
      </c>
      <c r="C2072" s="69">
        <v>28.815854916020704</v>
      </c>
    </row>
    <row r="2073">
      <c r="A2073" s="62" t="s">
        <v>3972</v>
      </c>
      <c r="B2073" s="63">
        <v>44161.0</v>
      </c>
      <c r="C2073" s="69">
        <v>28.815546536681627</v>
      </c>
    </row>
    <row r="2074">
      <c r="A2074" s="62" t="s">
        <v>5272</v>
      </c>
      <c r="B2074" s="63">
        <v>44287.0</v>
      </c>
      <c r="C2074" s="69">
        <v>28.8150240810389</v>
      </c>
    </row>
    <row r="2075">
      <c r="A2075" s="62" t="s">
        <v>4367</v>
      </c>
      <c r="B2075" s="63">
        <v>44109.0</v>
      </c>
      <c r="C2075" s="69">
        <v>28.812317751434314</v>
      </c>
    </row>
    <row r="2076">
      <c r="A2076" s="62" t="s">
        <v>154</v>
      </c>
      <c r="B2076" s="63">
        <v>44071.0</v>
      </c>
      <c r="C2076" s="69">
        <v>28.807673834939052</v>
      </c>
    </row>
    <row r="2077">
      <c r="A2077" s="62" t="s">
        <v>3668</v>
      </c>
      <c r="B2077" s="63">
        <v>44118.0</v>
      </c>
      <c r="C2077" s="69">
        <v>28.8064354991538</v>
      </c>
    </row>
    <row r="2078">
      <c r="A2078" s="62" t="s">
        <v>5589</v>
      </c>
      <c r="B2078" s="63">
        <v>44342.0</v>
      </c>
      <c r="C2078" s="69">
        <v>28.802747085333962</v>
      </c>
    </row>
    <row r="2079">
      <c r="A2079" s="62" t="s">
        <v>2882</v>
      </c>
      <c r="B2079" s="63">
        <v>44200.0</v>
      </c>
      <c r="C2079" s="69">
        <v>28.79764636402595</v>
      </c>
    </row>
    <row r="2080">
      <c r="A2080" s="62" t="s">
        <v>5588</v>
      </c>
      <c r="B2080" s="63">
        <v>44327.0</v>
      </c>
      <c r="C2080" s="69">
        <v>28.7935804354072</v>
      </c>
    </row>
    <row r="2081">
      <c r="A2081" s="62" t="s">
        <v>4035</v>
      </c>
      <c r="B2081" s="63">
        <v>44111.0</v>
      </c>
      <c r="C2081" s="69">
        <v>28.792092308321145</v>
      </c>
    </row>
    <row r="2082">
      <c r="A2082" s="62" t="s">
        <v>5564</v>
      </c>
      <c r="B2082" s="63">
        <v>44355.0</v>
      </c>
      <c r="C2082" s="69">
        <v>28.788047585586618</v>
      </c>
    </row>
    <row r="2083">
      <c r="A2083" s="62" t="s">
        <v>3266</v>
      </c>
      <c r="B2083" s="63">
        <v>44250.0</v>
      </c>
      <c r="C2083" s="69">
        <v>28.785618946450583</v>
      </c>
    </row>
    <row r="2084">
      <c r="A2084" s="62" t="s">
        <v>4199</v>
      </c>
      <c r="B2084" s="63">
        <v>44227.0</v>
      </c>
      <c r="C2084" s="69">
        <v>28.778576265707308</v>
      </c>
    </row>
    <row r="2085">
      <c r="A2085" s="62" t="s">
        <v>4713</v>
      </c>
      <c r="B2085" s="63">
        <v>44275.0</v>
      </c>
      <c r="C2085" s="69">
        <v>28.77814455459488</v>
      </c>
    </row>
    <row r="2086">
      <c r="A2086" s="62" t="s">
        <v>2470</v>
      </c>
      <c r="B2086" s="63">
        <v>44384.0</v>
      </c>
      <c r="C2086" s="69">
        <v>28.776438146607983</v>
      </c>
    </row>
    <row r="2087">
      <c r="A2087" s="62" t="s">
        <v>4402</v>
      </c>
      <c r="B2087" s="63">
        <v>44230.0</v>
      </c>
      <c r="C2087" s="69">
        <v>28.776370371998556</v>
      </c>
    </row>
    <row r="2088">
      <c r="A2088" s="62" t="s">
        <v>2420</v>
      </c>
      <c r="B2088" s="63">
        <v>44379.0</v>
      </c>
      <c r="C2088" s="69">
        <v>28.775923788592173</v>
      </c>
    </row>
    <row r="2089">
      <c r="A2089" s="62" t="s">
        <v>2363</v>
      </c>
      <c r="B2089" s="63">
        <v>44383.0</v>
      </c>
      <c r="C2089" s="69">
        <v>28.77497783300469</v>
      </c>
    </row>
    <row r="2090">
      <c r="A2090" s="62" t="s">
        <v>1876</v>
      </c>
      <c r="B2090" s="63">
        <v>44349.0</v>
      </c>
      <c r="C2090" s="69">
        <v>28.77141871344021</v>
      </c>
    </row>
    <row r="2091">
      <c r="A2091" s="62" t="s">
        <v>3947</v>
      </c>
      <c r="B2091" s="63">
        <v>44169.0</v>
      </c>
      <c r="C2091" s="69">
        <v>28.76466737476184</v>
      </c>
    </row>
    <row r="2092">
      <c r="A2092" s="62" t="s">
        <v>5068</v>
      </c>
      <c r="B2092" s="63">
        <v>44281.0</v>
      </c>
      <c r="C2092" s="69">
        <v>28.76112344931151</v>
      </c>
    </row>
    <row r="2093">
      <c r="A2093" s="62" t="s">
        <v>5324</v>
      </c>
      <c r="B2093" s="63">
        <v>44365.0</v>
      </c>
      <c r="C2093" s="69">
        <v>28.75943362335208</v>
      </c>
    </row>
    <row r="2094">
      <c r="A2094" s="62" t="s">
        <v>3599</v>
      </c>
      <c r="B2094" s="63">
        <v>44087.0</v>
      </c>
      <c r="C2094" s="69">
        <v>28.758247801394326</v>
      </c>
    </row>
    <row r="2095">
      <c r="A2095" s="62" t="s">
        <v>3816</v>
      </c>
      <c r="B2095" s="63">
        <v>44139.0</v>
      </c>
      <c r="C2095" s="69">
        <v>28.752680456232625</v>
      </c>
    </row>
    <row r="2096">
      <c r="A2096" s="62" t="s">
        <v>3261</v>
      </c>
      <c r="B2096" s="63">
        <v>44221.0</v>
      </c>
      <c r="C2096" s="69">
        <v>28.74890606125545</v>
      </c>
    </row>
    <row r="2097">
      <c r="A2097" s="62" t="s">
        <v>217</v>
      </c>
      <c r="B2097" s="63">
        <v>44393.0</v>
      </c>
      <c r="C2097" s="69">
        <v>28.7461696982456</v>
      </c>
    </row>
    <row r="2098">
      <c r="A2098" s="62" t="s">
        <v>438</v>
      </c>
      <c r="B2098" s="63">
        <v>44118.0</v>
      </c>
      <c r="C2098" s="69">
        <v>28.741885190487668</v>
      </c>
    </row>
    <row r="2099">
      <c r="A2099" s="62" t="s">
        <v>2490</v>
      </c>
      <c r="B2099" s="63">
        <v>44399.0</v>
      </c>
      <c r="C2099" s="69">
        <v>28.741454660053826</v>
      </c>
    </row>
    <row r="2100">
      <c r="A2100" s="62" t="s">
        <v>5587</v>
      </c>
      <c r="B2100" s="63">
        <v>44345.0</v>
      </c>
      <c r="C2100" s="69">
        <v>28.73157300623405</v>
      </c>
    </row>
    <row r="2101">
      <c r="A2101" s="62" t="s">
        <v>6465</v>
      </c>
      <c r="B2101" s="63">
        <v>44376.0</v>
      </c>
      <c r="C2101" s="69">
        <v>28.727851012768326</v>
      </c>
    </row>
    <row r="2102">
      <c r="A2102" s="62" t="s">
        <v>2691</v>
      </c>
      <c r="B2102" s="63">
        <v>44225.0</v>
      </c>
      <c r="C2102" s="69">
        <v>28.72744038947234</v>
      </c>
    </row>
    <row r="2103">
      <c r="A2103" s="62" t="s">
        <v>3554</v>
      </c>
      <c r="B2103" s="63">
        <v>44238.0</v>
      </c>
      <c r="C2103" s="69">
        <v>28.726581866115968</v>
      </c>
    </row>
    <row r="2104">
      <c r="A2104" s="62" t="s">
        <v>4408</v>
      </c>
      <c r="B2104" s="63">
        <v>44076.0</v>
      </c>
      <c r="C2104" s="69">
        <v>28.725597407090785</v>
      </c>
    </row>
    <row r="2105">
      <c r="A2105" s="62" t="s">
        <v>5961</v>
      </c>
      <c r="B2105" s="63">
        <v>44371.0</v>
      </c>
      <c r="C2105" s="69">
        <v>28.72481728846987</v>
      </c>
    </row>
    <row r="2106">
      <c r="A2106" s="62" t="s">
        <v>5480</v>
      </c>
      <c r="B2106" s="63">
        <v>44363.0</v>
      </c>
      <c r="C2106" s="69">
        <v>28.717119099466814</v>
      </c>
    </row>
    <row r="2107">
      <c r="A2107" s="62" t="s">
        <v>4407</v>
      </c>
      <c r="B2107" s="63">
        <v>44165.0</v>
      </c>
      <c r="C2107" s="69">
        <v>28.70443245116394</v>
      </c>
    </row>
    <row r="2108">
      <c r="A2108" s="62" t="s">
        <v>4898</v>
      </c>
      <c r="B2108" s="63">
        <v>44307.0</v>
      </c>
      <c r="C2108" s="69">
        <v>28.70423215258917</v>
      </c>
    </row>
    <row r="2109">
      <c r="A2109" s="62" t="s">
        <v>5586</v>
      </c>
      <c r="B2109" s="63">
        <v>44321.0</v>
      </c>
      <c r="C2109" s="69">
        <v>28.699238148429632</v>
      </c>
    </row>
    <row r="2110">
      <c r="A2110" s="62" t="s">
        <v>3797</v>
      </c>
      <c r="B2110" s="63">
        <v>44172.0</v>
      </c>
      <c r="C2110" s="69">
        <v>28.69461972997056</v>
      </c>
    </row>
    <row r="2111">
      <c r="A2111" s="62" t="s">
        <v>267</v>
      </c>
      <c r="B2111" s="63">
        <v>44390.0</v>
      </c>
      <c r="C2111" s="69">
        <v>28.69305892419583</v>
      </c>
    </row>
    <row r="2112">
      <c r="A2112" s="62" t="s">
        <v>5120</v>
      </c>
      <c r="B2112" s="63">
        <v>44272.0</v>
      </c>
      <c r="C2112" s="69">
        <v>28.68299169020936</v>
      </c>
    </row>
    <row r="2113">
      <c r="A2113" s="62" t="s">
        <v>2888</v>
      </c>
      <c r="B2113" s="63">
        <v>44127.0</v>
      </c>
      <c r="C2113" s="69">
        <v>28.6787206297314</v>
      </c>
    </row>
    <row r="2114">
      <c r="A2114" s="62" t="s">
        <v>3107</v>
      </c>
      <c r="B2114" s="63">
        <v>44229.0</v>
      </c>
      <c r="C2114" s="69">
        <v>28.673587207855146</v>
      </c>
    </row>
    <row r="2115">
      <c r="A2115" s="62" t="s">
        <v>5585</v>
      </c>
      <c r="B2115" s="63">
        <v>44337.0</v>
      </c>
      <c r="C2115" s="69">
        <v>28.671133115884643</v>
      </c>
    </row>
    <row r="2116">
      <c r="A2116" s="62" t="s">
        <v>3028</v>
      </c>
      <c r="B2116" s="63">
        <v>44202.0</v>
      </c>
      <c r="C2116" s="69">
        <v>28.667730448999897</v>
      </c>
    </row>
    <row r="2117">
      <c r="A2117" s="62" t="s">
        <v>5582</v>
      </c>
      <c r="B2117" s="63">
        <v>44329.0</v>
      </c>
      <c r="C2117" s="69">
        <v>28.66752573304158</v>
      </c>
    </row>
    <row r="2118">
      <c r="A2118" s="62" t="s">
        <v>4146</v>
      </c>
      <c r="B2118" s="63">
        <v>44230.0</v>
      </c>
      <c r="C2118" s="69">
        <v>28.66466945117782</v>
      </c>
    </row>
    <row r="2119">
      <c r="A2119" s="62" t="s">
        <v>3799</v>
      </c>
      <c r="B2119" s="63">
        <v>44225.0</v>
      </c>
      <c r="C2119" s="69">
        <v>28.661193176530304</v>
      </c>
    </row>
    <row r="2120">
      <c r="A2120" s="62" t="s">
        <v>2917</v>
      </c>
      <c r="B2120" s="63">
        <v>44243.0</v>
      </c>
      <c r="C2120" s="69">
        <v>28.660300722023827</v>
      </c>
    </row>
    <row r="2121">
      <c r="A2121" s="62" t="s">
        <v>5578</v>
      </c>
      <c r="B2121" s="63">
        <v>44335.0</v>
      </c>
      <c r="C2121" s="69">
        <v>28.65732799607411</v>
      </c>
    </row>
    <row r="2122">
      <c r="A2122" s="62" t="s">
        <v>2489</v>
      </c>
      <c r="B2122" s="63">
        <v>44378.0</v>
      </c>
      <c r="C2122" s="69">
        <v>28.655845831175558</v>
      </c>
    </row>
    <row r="2123">
      <c r="A2123" s="62" t="s">
        <v>3672</v>
      </c>
      <c r="B2123" s="63">
        <v>44237.0</v>
      </c>
      <c r="C2123" s="69">
        <v>28.653932204327038</v>
      </c>
    </row>
    <row r="2124">
      <c r="A2124" s="62" t="s">
        <v>2858</v>
      </c>
      <c r="B2124" s="63">
        <v>44237.0</v>
      </c>
      <c r="C2124" s="69">
        <v>28.647997712179823</v>
      </c>
    </row>
    <row r="2125">
      <c r="A2125" s="62" t="s">
        <v>2875</v>
      </c>
      <c r="B2125" s="63">
        <v>44079.0</v>
      </c>
      <c r="C2125" s="69">
        <v>28.646064724470715</v>
      </c>
    </row>
    <row r="2126">
      <c r="A2126" s="62" t="s">
        <v>3479</v>
      </c>
      <c r="B2126" s="63">
        <v>44176.0</v>
      </c>
      <c r="C2126" s="69">
        <v>28.64219732306873</v>
      </c>
    </row>
    <row r="2127">
      <c r="A2127" s="62" t="s">
        <v>882</v>
      </c>
      <c r="B2127" s="63">
        <v>44356.0</v>
      </c>
      <c r="C2127" s="69">
        <v>28.641376244506162</v>
      </c>
    </row>
    <row r="2128">
      <c r="A2128" s="62" t="s">
        <v>4085</v>
      </c>
      <c r="B2128" s="63">
        <v>44156.0</v>
      </c>
      <c r="C2128" s="69">
        <v>28.640791263218468</v>
      </c>
    </row>
    <row r="2129">
      <c r="A2129" s="62" t="s">
        <v>5576</v>
      </c>
      <c r="B2129" s="63">
        <v>44321.0</v>
      </c>
      <c r="C2129" s="69">
        <v>28.63557380131367</v>
      </c>
    </row>
    <row r="2130">
      <c r="A2130" s="62" t="s">
        <v>6552</v>
      </c>
      <c r="B2130" s="63">
        <v>44368.0</v>
      </c>
      <c r="C2130" s="69">
        <v>28.635204981750263</v>
      </c>
    </row>
    <row r="2131">
      <c r="A2131" s="62" t="s">
        <v>2492</v>
      </c>
      <c r="B2131" s="63">
        <v>44382.0</v>
      </c>
      <c r="C2131" s="69">
        <v>28.63301973328109</v>
      </c>
    </row>
    <row r="2132">
      <c r="A2132" s="62" t="s">
        <v>3159</v>
      </c>
      <c r="B2132" s="63">
        <v>44228.0</v>
      </c>
      <c r="C2132" s="69">
        <v>28.62728982978309</v>
      </c>
    </row>
    <row r="2133">
      <c r="A2133" s="62" t="s">
        <v>2297</v>
      </c>
      <c r="B2133" s="63">
        <v>44392.0</v>
      </c>
      <c r="C2133" s="69">
        <v>28.6181418991524</v>
      </c>
    </row>
    <row r="2134">
      <c r="A2134" s="62" t="s">
        <v>4441</v>
      </c>
      <c r="B2134" s="63">
        <v>44274.0</v>
      </c>
      <c r="C2134" s="69">
        <v>28.612629964928324</v>
      </c>
    </row>
    <row r="2135">
      <c r="A2135" s="62" t="s">
        <v>4113</v>
      </c>
      <c r="B2135" s="63">
        <v>44119.0</v>
      </c>
      <c r="C2135" s="69">
        <v>28.607891263244106</v>
      </c>
    </row>
    <row r="2136">
      <c r="A2136" s="62" t="s">
        <v>587</v>
      </c>
      <c r="B2136" s="63">
        <v>44267.0</v>
      </c>
      <c r="C2136" s="69">
        <v>28.60514435517977</v>
      </c>
    </row>
    <row r="2137">
      <c r="A2137" s="62" t="s">
        <v>2019</v>
      </c>
      <c r="B2137" s="63">
        <v>44302.0</v>
      </c>
      <c r="C2137" s="69">
        <v>28.604622760344252</v>
      </c>
    </row>
    <row r="2138">
      <c r="A2138" s="62" t="s">
        <v>5559</v>
      </c>
      <c r="B2138" s="63">
        <v>44362.0</v>
      </c>
      <c r="C2138" s="69">
        <v>28.602402353153057</v>
      </c>
    </row>
    <row r="2139">
      <c r="A2139" s="62" t="s">
        <v>2991</v>
      </c>
      <c r="B2139" s="63">
        <v>44206.0</v>
      </c>
      <c r="C2139" s="69">
        <v>28.600991311987315</v>
      </c>
    </row>
    <row r="2140">
      <c r="A2140" s="62" t="s">
        <v>5388</v>
      </c>
      <c r="B2140" s="63">
        <v>44369.0</v>
      </c>
      <c r="C2140" s="69">
        <v>28.59321744159544</v>
      </c>
    </row>
    <row r="2141">
      <c r="A2141" s="62" t="s">
        <v>5469</v>
      </c>
      <c r="B2141" s="63">
        <v>44362.0</v>
      </c>
      <c r="C2141" s="69">
        <v>28.58730491095756</v>
      </c>
    </row>
    <row r="2142">
      <c r="A2142" s="62" t="s">
        <v>6592</v>
      </c>
      <c r="B2142" s="63">
        <v>44369.0</v>
      </c>
      <c r="C2142" s="69">
        <v>28.586065046859083</v>
      </c>
    </row>
    <row r="2143">
      <c r="A2143" s="62" t="s">
        <v>3755</v>
      </c>
      <c r="B2143" s="63">
        <v>44237.0</v>
      </c>
      <c r="C2143" s="69">
        <v>28.58101442206413</v>
      </c>
    </row>
    <row r="2144">
      <c r="A2144" s="62" t="s">
        <v>3099</v>
      </c>
      <c r="B2144" s="63">
        <v>44126.0</v>
      </c>
      <c r="C2144" s="69">
        <v>28.580207015088227</v>
      </c>
    </row>
    <row r="2145">
      <c r="A2145" s="62" t="s">
        <v>277</v>
      </c>
      <c r="B2145" s="63">
        <v>44392.0</v>
      </c>
      <c r="C2145" s="69">
        <v>28.578109839900677</v>
      </c>
    </row>
    <row r="2146">
      <c r="A2146" s="62" t="s">
        <v>5574</v>
      </c>
      <c r="B2146" s="63">
        <v>44333.0</v>
      </c>
      <c r="C2146" s="69">
        <v>28.577915889295717</v>
      </c>
    </row>
    <row r="2147">
      <c r="A2147" s="62" t="s">
        <v>4950</v>
      </c>
      <c r="B2147" s="63">
        <v>44312.0</v>
      </c>
      <c r="C2147" s="69">
        <v>28.574726118640864</v>
      </c>
    </row>
    <row r="2148">
      <c r="A2148" s="62" t="s">
        <v>4614</v>
      </c>
      <c r="B2148" s="63">
        <v>44301.0</v>
      </c>
      <c r="C2148" s="69">
        <v>28.574202861070756</v>
      </c>
    </row>
    <row r="2149">
      <c r="A2149" s="62" t="s">
        <v>6303</v>
      </c>
      <c r="B2149" s="63">
        <v>44375.0</v>
      </c>
      <c r="C2149" s="69">
        <v>28.572647416420224</v>
      </c>
    </row>
    <row r="2150">
      <c r="A2150" s="62" t="s">
        <v>2510</v>
      </c>
      <c r="B2150" s="63">
        <v>44386.0</v>
      </c>
      <c r="C2150" s="69">
        <v>28.568314718773884</v>
      </c>
    </row>
    <row r="2151">
      <c r="A2151" s="62" t="s">
        <v>2816</v>
      </c>
      <c r="B2151" s="63">
        <v>44076.0</v>
      </c>
      <c r="C2151" s="69">
        <v>28.567643640677524</v>
      </c>
    </row>
    <row r="2152">
      <c r="A2152" s="62" t="s">
        <v>4754</v>
      </c>
      <c r="B2152" s="63">
        <v>44272.0</v>
      </c>
      <c r="C2152" s="69">
        <v>28.564677864569013</v>
      </c>
    </row>
    <row r="2153">
      <c r="A2153" s="62" t="s">
        <v>883</v>
      </c>
      <c r="B2153" s="63">
        <v>44223.0</v>
      </c>
      <c r="C2153" s="69">
        <v>28.564131444668472</v>
      </c>
    </row>
    <row r="2154">
      <c r="A2154" s="62" t="s">
        <v>4580</v>
      </c>
      <c r="B2154" s="63">
        <v>44267.0</v>
      </c>
      <c r="C2154" s="69">
        <v>28.562455921039145</v>
      </c>
    </row>
    <row r="2155">
      <c r="A2155" s="62" t="s">
        <v>2967</v>
      </c>
      <c r="B2155" s="63">
        <v>44110.0</v>
      </c>
      <c r="C2155" s="69">
        <v>28.5470120749498</v>
      </c>
    </row>
    <row r="2156">
      <c r="A2156" s="62" t="s">
        <v>5093</v>
      </c>
      <c r="B2156" s="63">
        <v>44272.0</v>
      </c>
      <c r="C2156" s="69">
        <v>28.544802880759676</v>
      </c>
    </row>
    <row r="2157">
      <c r="A2157" s="62" t="s">
        <v>5144</v>
      </c>
      <c r="B2157" s="63">
        <v>44294.0</v>
      </c>
      <c r="C2157" s="69">
        <v>28.53453282147946</v>
      </c>
    </row>
    <row r="2158">
      <c r="A2158" s="62" t="s">
        <v>5572</v>
      </c>
      <c r="B2158" s="63">
        <v>44330.0</v>
      </c>
      <c r="C2158" s="69">
        <v>28.5328949190133</v>
      </c>
    </row>
    <row r="2159">
      <c r="A2159" s="62" t="s">
        <v>4401</v>
      </c>
      <c r="B2159" s="63">
        <v>44242.0</v>
      </c>
      <c r="C2159" s="69">
        <v>28.530692580855295</v>
      </c>
    </row>
    <row r="2160">
      <c r="A2160" s="62" t="s">
        <v>2168</v>
      </c>
      <c r="B2160" s="63">
        <v>44061.0</v>
      </c>
      <c r="C2160" s="69">
        <v>28.530637574515385</v>
      </c>
    </row>
    <row r="2161">
      <c r="A2161" s="62" t="s">
        <v>5570</v>
      </c>
      <c r="B2161" s="63">
        <v>44343.0</v>
      </c>
      <c r="C2161" s="69">
        <v>28.52140799796789</v>
      </c>
    </row>
    <row r="2162">
      <c r="A2162" s="62" t="s">
        <v>234</v>
      </c>
      <c r="B2162" s="63">
        <v>44071.0</v>
      </c>
      <c r="C2162" s="69">
        <v>28.516209178490662</v>
      </c>
    </row>
    <row r="2163">
      <c r="A2163" s="62" t="s">
        <v>4193</v>
      </c>
      <c r="B2163" s="63">
        <v>44106.0</v>
      </c>
      <c r="C2163" s="69">
        <v>28.515673826501068</v>
      </c>
    </row>
    <row r="2164">
      <c r="A2164" s="62" t="s">
        <v>6159</v>
      </c>
      <c r="B2164" s="63">
        <v>44375.0</v>
      </c>
      <c r="C2164" s="69">
        <v>28.51414251461207</v>
      </c>
    </row>
    <row r="2165">
      <c r="A2165" s="62" t="s">
        <v>2826</v>
      </c>
      <c r="B2165" s="63">
        <v>44236.0</v>
      </c>
      <c r="C2165" s="69">
        <v>28.51225508566128</v>
      </c>
    </row>
    <row r="2166">
      <c r="A2166" s="62" t="s">
        <v>6129</v>
      </c>
      <c r="B2166" s="63">
        <v>44368.0</v>
      </c>
      <c r="C2166" s="69">
        <v>28.50241420592011</v>
      </c>
    </row>
    <row r="2167">
      <c r="A2167" s="62" t="s">
        <v>1048</v>
      </c>
      <c r="B2167" s="63">
        <v>43989.0</v>
      </c>
      <c r="C2167" s="69">
        <v>28.494068713506742</v>
      </c>
    </row>
    <row r="2168">
      <c r="A2168" s="62" t="s">
        <v>5568</v>
      </c>
      <c r="B2168" s="63">
        <v>44325.0</v>
      </c>
      <c r="C2168" s="69">
        <v>28.49353632479336</v>
      </c>
    </row>
    <row r="2169">
      <c r="A2169" s="62" t="s">
        <v>3877</v>
      </c>
      <c r="B2169" s="63">
        <v>44214.0</v>
      </c>
      <c r="C2169" s="69">
        <v>28.49122811802461</v>
      </c>
    </row>
    <row r="2170">
      <c r="A2170" s="62" t="s">
        <v>5565</v>
      </c>
      <c r="B2170" s="63">
        <v>44327.0</v>
      </c>
      <c r="C2170" s="69">
        <v>28.489453849625768</v>
      </c>
    </row>
    <row r="2171">
      <c r="A2171" s="62" t="s">
        <v>4131</v>
      </c>
      <c r="B2171" s="63">
        <v>44149.0</v>
      </c>
      <c r="C2171" s="69">
        <v>28.475993008808178</v>
      </c>
    </row>
    <row r="2172">
      <c r="A2172" s="62" t="s">
        <v>6160</v>
      </c>
      <c r="B2172" s="63">
        <v>44373.0</v>
      </c>
      <c r="C2172" s="69">
        <v>28.474953196326357</v>
      </c>
    </row>
    <row r="2173">
      <c r="A2173" s="62" t="s">
        <v>5549</v>
      </c>
      <c r="B2173" s="63">
        <v>44375.0</v>
      </c>
      <c r="C2173" s="69">
        <v>28.474662995504186</v>
      </c>
    </row>
    <row r="2174">
      <c r="A2174" s="62" t="s">
        <v>3838</v>
      </c>
      <c r="B2174" s="63">
        <v>44176.0</v>
      </c>
      <c r="C2174" s="69">
        <v>28.473819370741396</v>
      </c>
    </row>
    <row r="2175">
      <c r="A2175" s="62" t="s">
        <v>3791</v>
      </c>
      <c r="B2175" s="63">
        <v>44181.0</v>
      </c>
      <c r="C2175" s="69">
        <v>28.473497572552393</v>
      </c>
    </row>
    <row r="2176">
      <c r="A2176" s="62" t="s">
        <v>2709</v>
      </c>
      <c r="B2176" s="63">
        <v>44098.0</v>
      </c>
      <c r="C2176" s="69">
        <v>28.472673107259805</v>
      </c>
    </row>
    <row r="2177">
      <c r="A2177" s="62" t="s">
        <v>6668</v>
      </c>
      <c r="B2177" s="63">
        <v>44357.0</v>
      </c>
      <c r="C2177" s="69">
        <v>28.469353630055757</v>
      </c>
    </row>
    <row r="2178">
      <c r="A2178" s="62" t="s">
        <v>5228</v>
      </c>
      <c r="B2178" s="63">
        <v>44298.0</v>
      </c>
      <c r="C2178" s="69">
        <v>28.46795375012497</v>
      </c>
    </row>
    <row r="2179">
      <c r="A2179" s="62" t="s">
        <v>5302</v>
      </c>
      <c r="B2179" s="63">
        <v>44364.0</v>
      </c>
      <c r="C2179" s="69">
        <v>28.467865684053795</v>
      </c>
    </row>
    <row r="2180">
      <c r="A2180" s="62" t="s">
        <v>4519</v>
      </c>
      <c r="B2180" s="63">
        <v>44259.0</v>
      </c>
      <c r="C2180" s="69">
        <v>28.467622955305107</v>
      </c>
    </row>
    <row r="2181">
      <c r="A2181" s="62" t="s">
        <v>4178</v>
      </c>
      <c r="B2181" s="63">
        <v>44223.0</v>
      </c>
      <c r="C2181" s="69">
        <v>28.454067286334958</v>
      </c>
    </row>
    <row r="2182">
      <c r="A2182" s="62" t="s">
        <v>4626</v>
      </c>
      <c r="B2182" s="63">
        <v>44285.0</v>
      </c>
      <c r="C2182" s="69">
        <v>28.45294694177607</v>
      </c>
    </row>
    <row r="2183">
      <c r="A2183" s="62" t="s">
        <v>5432</v>
      </c>
      <c r="B2183" s="63">
        <v>44370.0</v>
      </c>
      <c r="C2183" s="69">
        <v>28.44731698303339</v>
      </c>
    </row>
    <row r="2184">
      <c r="A2184" s="62" t="s">
        <v>5178</v>
      </c>
      <c r="B2184" s="63">
        <v>44274.0</v>
      </c>
      <c r="C2184" s="69">
        <v>28.44565868663733</v>
      </c>
    </row>
    <row r="2185">
      <c r="A2185" s="62" t="s">
        <v>6708</v>
      </c>
      <c r="B2185" s="63">
        <v>44350.0</v>
      </c>
      <c r="C2185" s="69">
        <v>28.425455224652655</v>
      </c>
    </row>
    <row r="2186">
      <c r="A2186" s="62" t="s">
        <v>5562</v>
      </c>
      <c r="B2186" s="63">
        <v>44346.0</v>
      </c>
      <c r="C2186" s="69">
        <v>28.424572772914125</v>
      </c>
    </row>
    <row r="2187">
      <c r="A2187" s="62" t="s">
        <v>2785</v>
      </c>
      <c r="B2187" s="63">
        <v>44228.0</v>
      </c>
      <c r="C2187" s="69">
        <v>28.424432346577824</v>
      </c>
    </row>
    <row r="2188">
      <c r="A2188" s="62" t="s">
        <v>3447</v>
      </c>
      <c r="B2188" s="63">
        <v>44211.0</v>
      </c>
      <c r="C2188" s="69">
        <v>28.42369109562184</v>
      </c>
    </row>
    <row r="2189">
      <c r="A2189" s="62" t="s">
        <v>5561</v>
      </c>
      <c r="B2189" s="63">
        <v>44335.0</v>
      </c>
      <c r="C2189" s="69">
        <v>28.41823860344775</v>
      </c>
    </row>
    <row r="2190">
      <c r="A2190" s="62" t="s">
        <v>2323</v>
      </c>
      <c r="B2190" s="63">
        <v>44392.0</v>
      </c>
      <c r="C2190" s="69">
        <v>28.417455289427753</v>
      </c>
    </row>
    <row r="2191">
      <c r="A2191" s="62" t="s">
        <v>4249</v>
      </c>
      <c r="B2191" s="63">
        <v>44152.0</v>
      </c>
      <c r="C2191" s="69">
        <v>28.410430032378123</v>
      </c>
    </row>
    <row r="2192">
      <c r="A2192" s="62" t="s">
        <v>5221</v>
      </c>
      <c r="B2192" s="63">
        <v>44313.0</v>
      </c>
      <c r="C2192" s="69">
        <v>28.41031793676444</v>
      </c>
    </row>
    <row r="2193">
      <c r="A2193" s="62" t="s">
        <v>2175</v>
      </c>
      <c r="B2193" s="63">
        <v>44072.0</v>
      </c>
      <c r="C2193" s="69">
        <v>28.405481530054793</v>
      </c>
    </row>
    <row r="2194">
      <c r="A2194" s="62" t="s">
        <v>5558</v>
      </c>
      <c r="B2194" s="63">
        <v>44327.0</v>
      </c>
      <c r="C2194" s="69">
        <v>28.403490559848272</v>
      </c>
    </row>
    <row r="2195">
      <c r="A2195" s="62" t="s">
        <v>4097</v>
      </c>
      <c r="B2195" s="63">
        <v>44119.0</v>
      </c>
      <c r="C2195" s="69">
        <v>28.403228102087716</v>
      </c>
    </row>
    <row r="2196">
      <c r="A2196" s="62" t="s">
        <v>3484</v>
      </c>
      <c r="B2196" s="63">
        <v>44167.0</v>
      </c>
      <c r="C2196" s="69">
        <v>28.40288238040123</v>
      </c>
    </row>
    <row r="2197">
      <c r="A2197" s="62" t="s">
        <v>1900</v>
      </c>
      <c r="B2197" s="63">
        <v>44148.0</v>
      </c>
      <c r="C2197" s="69">
        <v>28.40210774884426</v>
      </c>
    </row>
    <row r="2198">
      <c r="A2198" s="62" t="s">
        <v>2815</v>
      </c>
      <c r="B2198" s="63">
        <v>44121.0</v>
      </c>
      <c r="C2198" s="69">
        <v>28.399011968051045</v>
      </c>
    </row>
    <row r="2199">
      <c r="A2199" s="62" t="s">
        <v>5555</v>
      </c>
      <c r="B2199" s="63">
        <v>44329.0</v>
      </c>
      <c r="C2199" s="69">
        <v>28.394893287520592</v>
      </c>
    </row>
    <row r="2200">
      <c r="A2200" s="62" t="s">
        <v>3951</v>
      </c>
      <c r="B2200" s="63">
        <v>44230.0</v>
      </c>
      <c r="C2200" s="69">
        <v>28.39475396871149</v>
      </c>
    </row>
    <row r="2201">
      <c r="A2201" s="62" t="s">
        <v>2531</v>
      </c>
      <c r="B2201" s="63">
        <v>44396.0</v>
      </c>
      <c r="C2201" s="69">
        <v>28.389804127937303</v>
      </c>
    </row>
    <row r="2202">
      <c r="A2202" s="62" t="s">
        <v>5554</v>
      </c>
      <c r="B2202" s="63">
        <v>44327.0</v>
      </c>
      <c r="C2202" s="69">
        <v>28.389039320058917</v>
      </c>
    </row>
    <row r="2203">
      <c r="A2203" s="62" t="s">
        <v>6366</v>
      </c>
      <c r="B2203" s="63">
        <v>44363.0</v>
      </c>
      <c r="C2203" s="69">
        <v>28.38590556135597</v>
      </c>
    </row>
    <row r="2204">
      <c r="A2204" s="62" t="s">
        <v>3059</v>
      </c>
      <c r="B2204" s="63">
        <v>44226.0</v>
      </c>
      <c r="C2204" s="69">
        <v>28.38294905749229</v>
      </c>
    </row>
    <row r="2205">
      <c r="A2205" s="62" t="s">
        <v>4214</v>
      </c>
      <c r="B2205" s="63">
        <v>44090.0</v>
      </c>
      <c r="C2205" s="69">
        <v>28.381236933859885</v>
      </c>
    </row>
    <row r="2206">
      <c r="A2206" s="62" t="s">
        <v>3496</v>
      </c>
      <c r="B2206" s="63">
        <v>44225.0</v>
      </c>
      <c r="C2206" s="69">
        <v>28.371201523365883</v>
      </c>
    </row>
    <row r="2207">
      <c r="A2207" s="62" t="s">
        <v>5552</v>
      </c>
      <c r="B2207" s="63">
        <v>44334.0</v>
      </c>
      <c r="C2207" s="69">
        <v>28.359814730511367</v>
      </c>
    </row>
    <row r="2208">
      <c r="A2208" s="62" t="s">
        <v>5994</v>
      </c>
      <c r="B2208" s="63">
        <v>44375.0</v>
      </c>
      <c r="C2208" s="69">
        <v>28.346985694916</v>
      </c>
    </row>
    <row r="2209">
      <c r="A2209" s="62" t="s">
        <v>5982</v>
      </c>
      <c r="B2209" s="63">
        <v>44377.0</v>
      </c>
      <c r="C2209" s="69">
        <v>28.34519876890837</v>
      </c>
    </row>
    <row r="2210">
      <c r="A2210" s="62" t="s">
        <v>2390</v>
      </c>
      <c r="B2210" s="63">
        <v>44393.0</v>
      </c>
      <c r="C2210" s="69">
        <v>28.341996468744874</v>
      </c>
    </row>
    <row r="2211">
      <c r="A2211" s="62" t="s">
        <v>4771</v>
      </c>
      <c r="B2211" s="63">
        <v>44307.0</v>
      </c>
      <c r="C2211" s="69">
        <v>28.34128666464201</v>
      </c>
    </row>
    <row r="2212">
      <c r="A2212" s="62" t="s">
        <v>2455</v>
      </c>
      <c r="B2212" s="63">
        <v>44398.0</v>
      </c>
      <c r="C2212" s="69">
        <v>28.333753301559526</v>
      </c>
    </row>
    <row r="2213">
      <c r="A2213" s="62" t="s">
        <v>2688</v>
      </c>
      <c r="B2213" s="63">
        <v>44126.0</v>
      </c>
      <c r="C2213" s="69">
        <v>28.332342056020494</v>
      </c>
    </row>
    <row r="2214">
      <c r="A2214" s="62" t="s">
        <v>3189</v>
      </c>
      <c r="B2214" s="63">
        <v>44194.0</v>
      </c>
      <c r="C2214" s="69">
        <v>28.331841731080466</v>
      </c>
    </row>
    <row r="2215">
      <c r="A2215" s="62" t="s">
        <v>5551</v>
      </c>
      <c r="B2215" s="63">
        <v>44343.0</v>
      </c>
      <c r="C2215" s="69">
        <v>28.330780232089445</v>
      </c>
    </row>
    <row r="2216">
      <c r="A2216" s="62" t="s">
        <v>4057</v>
      </c>
      <c r="B2216" s="63">
        <v>44193.0</v>
      </c>
      <c r="C2216" s="69">
        <v>28.330237020387592</v>
      </c>
    </row>
    <row r="2217">
      <c r="A2217" s="62" t="s">
        <v>3717</v>
      </c>
      <c r="B2217" s="63">
        <v>44169.0</v>
      </c>
      <c r="C2217" s="69">
        <v>28.32186183987927</v>
      </c>
    </row>
    <row r="2218">
      <c r="A2218" s="62" t="s">
        <v>3365</v>
      </c>
      <c r="B2218" s="63">
        <v>44242.0</v>
      </c>
      <c r="C2218" s="69">
        <v>28.3215140991043</v>
      </c>
    </row>
    <row r="2219">
      <c r="A2219" s="62" t="s">
        <v>4390</v>
      </c>
      <c r="B2219" s="63">
        <v>44250.0</v>
      </c>
      <c r="C2219" s="69">
        <v>28.319650553299887</v>
      </c>
    </row>
    <row r="2220">
      <c r="A2220" s="62" t="s">
        <v>3010</v>
      </c>
      <c r="B2220" s="63">
        <v>44119.0</v>
      </c>
      <c r="C2220" s="69">
        <v>28.304263194108927</v>
      </c>
    </row>
    <row r="2221">
      <c r="A2221" s="62" t="s">
        <v>4184</v>
      </c>
      <c r="B2221" s="63">
        <v>44237.0</v>
      </c>
      <c r="C2221" s="69">
        <v>28.296979696768872</v>
      </c>
    </row>
    <row r="2222">
      <c r="A2222" s="62" t="s">
        <v>4600</v>
      </c>
      <c r="B2222" s="63">
        <v>44259.0</v>
      </c>
      <c r="C2222" s="69">
        <v>28.296349052992742</v>
      </c>
    </row>
    <row r="2223">
      <c r="A2223" s="62" t="s">
        <v>4973</v>
      </c>
      <c r="B2223" s="63">
        <v>44310.0</v>
      </c>
      <c r="C2223" s="69">
        <v>28.293105224568883</v>
      </c>
    </row>
    <row r="2224">
      <c r="A2224" s="62" t="s">
        <v>5181</v>
      </c>
      <c r="B2224" s="63">
        <v>44292.0</v>
      </c>
      <c r="C2224" s="69">
        <v>28.29121360443142</v>
      </c>
    </row>
    <row r="2225">
      <c r="A2225" s="62" t="s">
        <v>2367</v>
      </c>
      <c r="B2225" s="63">
        <v>44392.0</v>
      </c>
      <c r="C2225" s="69">
        <v>28.29088108633075</v>
      </c>
    </row>
    <row r="2226">
      <c r="A2226" s="62" t="s">
        <v>3044</v>
      </c>
      <c r="B2226" s="63">
        <v>44093.0</v>
      </c>
      <c r="C2226" s="69">
        <v>28.28281837049009</v>
      </c>
    </row>
    <row r="2227">
      <c r="A2227" s="62" t="s">
        <v>3968</v>
      </c>
      <c r="B2227" s="63">
        <v>44165.0</v>
      </c>
      <c r="C2227" s="69">
        <v>28.277115405862947</v>
      </c>
    </row>
    <row r="2228">
      <c r="A2228" s="62" t="s">
        <v>2844</v>
      </c>
      <c r="B2228" s="63">
        <v>44147.0</v>
      </c>
      <c r="C2228" s="69">
        <v>28.272937731137713</v>
      </c>
    </row>
    <row r="2229">
      <c r="A2229" s="62" t="s">
        <v>3619</v>
      </c>
      <c r="B2229" s="63">
        <v>44187.0</v>
      </c>
      <c r="C2229" s="69">
        <v>28.264969414672123</v>
      </c>
    </row>
    <row r="2230">
      <c r="A2230" s="62" t="s">
        <v>5077</v>
      </c>
      <c r="B2230" s="63">
        <v>44280.0</v>
      </c>
      <c r="C2230" s="69">
        <v>28.260677243102922</v>
      </c>
    </row>
    <row r="2231">
      <c r="A2231" s="62" t="s">
        <v>2913</v>
      </c>
      <c r="B2231" s="63">
        <v>44237.0</v>
      </c>
      <c r="C2231" s="69">
        <v>28.258481630625624</v>
      </c>
    </row>
    <row r="2232">
      <c r="A2232" s="62" t="s">
        <v>2512</v>
      </c>
      <c r="B2232" s="63">
        <v>44379.0</v>
      </c>
      <c r="C2232" s="69">
        <v>28.25846155654594</v>
      </c>
    </row>
    <row r="2233">
      <c r="A2233" s="62" t="s">
        <v>5550</v>
      </c>
      <c r="B2233" s="63">
        <v>44320.0</v>
      </c>
      <c r="C2233" s="69">
        <v>28.258143081594774</v>
      </c>
    </row>
    <row r="2234">
      <c r="A2234" s="62" t="s">
        <v>2922</v>
      </c>
      <c r="B2234" s="63">
        <v>44173.0</v>
      </c>
      <c r="C2234" s="69">
        <v>28.258079931130524</v>
      </c>
    </row>
    <row r="2235">
      <c r="A2235" s="62" t="s">
        <v>6351</v>
      </c>
      <c r="B2235" s="63">
        <v>44366.0</v>
      </c>
      <c r="C2235" s="69">
        <v>28.256885306736024</v>
      </c>
    </row>
    <row r="2236">
      <c r="A2236" s="62" t="s">
        <v>5373</v>
      </c>
      <c r="B2236" s="63">
        <v>44354.0</v>
      </c>
      <c r="C2236" s="69">
        <v>28.256312720074874</v>
      </c>
    </row>
    <row r="2237">
      <c r="A2237" s="62" t="s">
        <v>3137</v>
      </c>
      <c r="B2237" s="63">
        <v>44146.0</v>
      </c>
      <c r="C2237" s="69">
        <v>28.254563388949848</v>
      </c>
    </row>
    <row r="2238">
      <c r="A2238" s="62" t="s">
        <v>5545</v>
      </c>
      <c r="B2238" s="63">
        <v>44344.0</v>
      </c>
      <c r="C2238" s="69">
        <v>28.252852348234253</v>
      </c>
    </row>
    <row r="2239">
      <c r="A2239" s="62" t="s">
        <v>2183</v>
      </c>
      <c r="B2239" s="63">
        <v>44072.0</v>
      </c>
      <c r="C2239" s="69">
        <v>28.246280221534562</v>
      </c>
    </row>
    <row r="2240">
      <c r="A2240" s="62" t="s">
        <v>2745</v>
      </c>
      <c r="B2240" s="63">
        <v>44184.0</v>
      </c>
      <c r="C2240" s="69">
        <v>28.243983585737787</v>
      </c>
    </row>
    <row r="2241">
      <c r="A2241" s="62" t="s">
        <v>6396</v>
      </c>
      <c r="B2241" s="63">
        <v>44353.0</v>
      </c>
      <c r="C2241" s="69">
        <v>28.240241946529288</v>
      </c>
    </row>
    <row r="2242">
      <c r="A2242" s="62" t="s">
        <v>4188</v>
      </c>
      <c r="B2242" s="63">
        <v>44201.0</v>
      </c>
      <c r="C2242" s="69">
        <v>28.23627103717797</v>
      </c>
    </row>
    <row r="2243">
      <c r="A2243" s="62" t="s">
        <v>5543</v>
      </c>
      <c r="B2243" s="63">
        <v>44327.0</v>
      </c>
      <c r="C2243" s="69">
        <v>28.234782833507488</v>
      </c>
    </row>
    <row r="2244">
      <c r="A2244" s="62" t="s">
        <v>5541</v>
      </c>
      <c r="B2244" s="63">
        <v>44343.0</v>
      </c>
      <c r="C2244" s="69">
        <v>28.228068241188524</v>
      </c>
    </row>
    <row r="2245">
      <c r="A2245" s="62" t="s">
        <v>5420</v>
      </c>
      <c r="B2245" s="63">
        <v>44375.0</v>
      </c>
      <c r="C2245" s="69">
        <v>28.226557922880282</v>
      </c>
    </row>
    <row r="2246">
      <c r="A2246" s="62" t="s">
        <v>3598</v>
      </c>
      <c r="B2246" s="63">
        <v>44088.0</v>
      </c>
      <c r="C2246" s="69">
        <v>28.22539868786037</v>
      </c>
    </row>
    <row r="2247">
      <c r="A2247" s="62" t="s">
        <v>2484</v>
      </c>
      <c r="B2247" s="63">
        <v>44388.0</v>
      </c>
      <c r="C2247" s="69">
        <v>28.217316577408397</v>
      </c>
    </row>
    <row r="2248">
      <c r="A2248" s="62" t="s">
        <v>6245</v>
      </c>
      <c r="B2248" s="63">
        <v>44357.0</v>
      </c>
      <c r="C2248" s="69">
        <v>28.216344957965926</v>
      </c>
    </row>
    <row r="2249">
      <c r="A2249" s="62" t="s">
        <v>3394</v>
      </c>
      <c r="B2249" s="63">
        <v>44225.0</v>
      </c>
      <c r="C2249" s="69">
        <v>28.215543841883918</v>
      </c>
    </row>
    <row r="2250">
      <c r="A2250" s="62" t="s">
        <v>5540</v>
      </c>
      <c r="B2250" s="63">
        <v>44323.0</v>
      </c>
      <c r="C2250" s="69">
        <v>28.214782322263506</v>
      </c>
    </row>
    <row r="2251">
      <c r="A2251" s="62" t="s">
        <v>5538</v>
      </c>
      <c r="B2251" s="63">
        <v>44343.0</v>
      </c>
      <c r="C2251" s="69">
        <v>28.21352614600272</v>
      </c>
    </row>
    <row r="2252">
      <c r="A2252" s="62" t="s">
        <v>3793</v>
      </c>
      <c r="B2252" s="63">
        <v>44130.0</v>
      </c>
      <c r="C2252" s="69">
        <v>28.209151371230696</v>
      </c>
    </row>
    <row r="2253">
      <c r="A2253" s="62" t="s">
        <v>5537</v>
      </c>
      <c r="B2253" s="63">
        <v>44326.0</v>
      </c>
      <c r="C2253" s="69">
        <v>28.2066554486586</v>
      </c>
    </row>
    <row r="2254">
      <c r="A2254" s="62" t="s">
        <v>3124</v>
      </c>
      <c r="B2254" s="63">
        <v>44224.0</v>
      </c>
      <c r="C2254" s="69">
        <v>28.2054829041663</v>
      </c>
    </row>
    <row r="2255">
      <c r="A2255" s="62" t="s">
        <v>2382</v>
      </c>
      <c r="B2255" s="63">
        <v>44382.0</v>
      </c>
      <c r="C2255" s="69">
        <v>28.18721361492365</v>
      </c>
    </row>
    <row r="2256">
      <c r="A2256" s="62" t="s">
        <v>4089</v>
      </c>
      <c r="B2256" s="63">
        <v>44236.0</v>
      </c>
      <c r="C2256" s="69">
        <v>28.18302803302852</v>
      </c>
    </row>
    <row r="2257">
      <c r="A2257" s="62" t="s">
        <v>5536</v>
      </c>
      <c r="B2257" s="63">
        <v>44341.0</v>
      </c>
      <c r="C2257" s="69">
        <v>28.18015311017995</v>
      </c>
    </row>
    <row r="2258">
      <c r="A2258" s="62" t="s">
        <v>4579</v>
      </c>
      <c r="B2258" s="63">
        <v>44279.0</v>
      </c>
      <c r="C2258" s="69">
        <v>28.17661044470871</v>
      </c>
    </row>
    <row r="2259">
      <c r="A2259" s="62" t="s">
        <v>1059</v>
      </c>
      <c r="B2259" s="63">
        <v>44355.0</v>
      </c>
      <c r="C2259" s="69">
        <v>28.17409207903826</v>
      </c>
    </row>
    <row r="2260">
      <c r="A2260" s="62" t="s">
        <v>3643</v>
      </c>
      <c r="B2260" s="63">
        <v>44179.0</v>
      </c>
      <c r="C2260" s="69">
        <v>28.17383295496388</v>
      </c>
    </row>
    <row r="2261">
      <c r="A2261" s="62" t="s">
        <v>5481</v>
      </c>
      <c r="B2261" s="63">
        <v>44368.0</v>
      </c>
      <c r="C2261" s="69">
        <v>28.171015891256662</v>
      </c>
    </row>
    <row r="2262">
      <c r="A2262" s="62" t="s">
        <v>4418</v>
      </c>
      <c r="B2262" s="63">
        <v>44110.0</v>
      </c>
      <c r="C2262" s="69">
        <v>28.17015819064067</v>
      </c>
    </row>
    <row r="2263">
      <c r="A2263" s="62" t="s">
        <v>120</v>
      </c>
      <c r="B2263" s="63">
        <v>44382.0</v>
      </c>
      <c r="C2263" s="69">
        <v>28.166225690079408</v>
      </c>
    </row>
    <row r="2264">
      <c r="A2264" s="62" t="s">
        <v>4608</v>
      </c>
      <c r="B2264" s="63">
        <v>44274.0</v>
      </c>
      <c r="C2264" s="69">
        <v>28.162667897272936</v>
      </c>
    </row>
    <row r="2265">
      <c r="A2265" s="62" t="s">
        <v>2949</v>
      </c>
      <c r="B2265" s="63">
        <v>44172.0</v>
      </c>
      <c r="C2265" s="69">
        <v>28.16061029168266</v>
      </c>
    </row>
    <row r="2266">
      <c r="A2266" s="62" t="s">
        <v>1262</v>
      </c>
      <c r="B2266" s="63">
        <v>44279.0</v>
      </c>
      <c r="C2266" s="69">
        <v>28.160536041654716</v>
      </c>
    </row>
    <row r="2267">
      <c r="A2267" s="62" t="s">
        <v>2900</v>
      </c>
      <c r="B2267" s="63">
        <v>44157.0</v>
      </c>
      <c r="C2267" s="69">
        <v>28.15709678546662</v>
      </c>
    </row>
    <row r="2268">
      <c r="A2268" s="62" t="s">
        <v>2933</v>
      </c>
      <c r="B2268" s="63">
        <v>44230.0</v>
      </c>
      <c r="C2268" s="69">
        <v>28.15668207019975</v>
      </c>
    </row>
    <row r="2269">
      <c r="A2269" s="62" t="s">
        <v>3859</v>
      </c>
      <c r="B2269" s="63">
        <v>44235.0</v>
      </c>
      <c r="C2269" s="69">
        <v>28.156661640050316</v>
      </c>
    </row>
    <row r="2270">
      <c r="A2270" s="62" t="s">
        <v>5533</v>
      </c>
      <c r="B2270" s="63">
        <v>44347.0</v>
      </c>
      <c r="C2270" s="69">
        <v>28.153778757288983</v>
      </c>
    </row>
    <row r="2271">
      <c r="A2271" s="62" t="s">
        <v>3924</v>
      </c>
      <c r="B2271" s="63">
        <v>44207.0</v>
      </c>
      <c r="C2271" s="69">
        <v>28.138644372860252</v>
      </c>
    </row>
    <row r="2272">
      <c r="A2272" s="62" t="s">
        <v>2439</v>
      </c>
      <c r="B2272" s="63">
        <v>44384.0</v>
      </c>
      <c r="C2272" s="69">
        <v>28.1364706547103</v>
      </c>
    </row>
    <row r="2273">
      <c r="A2273" s="62" t="s">
        <v>5234</v>
      </c>
      <c r="B2273" s="63">
        <v>44260.0</v>
      </c>
      <c r="C2273" s="69">
        <v>28.135812006832538</v>
      </c>
    </row>
    <row r="2274">
      <c r="A2274" s="62" t="s">
        <v>4843</v>
      </c>
      <c r="B2274" s="63">
        <v>44260.0</v>
      </c>
      <c r="C2274" s="69">
        <v>28.135188662246374</v>
      </c>
    </row>
    <row r="2275">
      <c r="A2275" s="62" t="s">
        <v>5516</v>
      </c>
      <c r="B2275" s="63">
        <v>44370.0</v>
      </c>
      <c r="C2275" s="69">
        <v>28.133954346971045</v>
      </c>
    </row>
    <row r="2276">
      <c r="A2276" s="62" t="s">
        <v>3602</v>
      </c>
      <c r="B2276" s="63">
        <v>44225.0</v>
      </c>
      <c r="C2276" s="69">
        <v>28.13325825303589</v>
      </c>
    </row>
    <row r="2277">
      <c r="A2277" s="62" t="s">
        <v>5531</v>
      </c>
      <c r="B2277" s="63">
        <v>44336.0</v>
      </c>
      <c r="C2277" s="69">
        <v>28.130974318076042</v>
      </c>
    </row>
    <row r="2278">
      <c r="A2278" s="62" t="s">
        <v>5078</v>
      </c>
      <c r="B2278" s="63">
        <v>44272.0</v>
      </c>
      <c r="C2278" s="69">
        <v>28.12855101192582</v>
      </c>
    </row>
    <row r="2279">
      <c r="A2279" s="62" t="s">
        <v>3147</v>
      </c>
      <c r="B2279" s="63">
        <v>44147.0</v>
      </c>
      <c r="C2279" s="69">
        <v>28.12727966059118</v>
      </c>
    </row>
    <row r="2280">
      <c r="A2280" s="62" t="s">
        <v>747</v>
      </c>
      <c r="B2280" s="63">
        <v>44313.0</v>
      </c>
      <c r="C2280" s="69">
        <v>28.126185240345897</v>
      </c>
    </row>
    <row r="2281">
      <c r="A2281" s="62" t="s">
        <v>2797</v>
      </c>
      <c r="B2281" s="63">
        <v>44082.0</v>
      </c>
      <c r="C2281" s="69">
        <v>28.12468568571291</v>
      </c>
    </row>
    <row r="2282">
      <c r="A2282" s="62" t="s">
        <v>6240</v>
      </c>
      <c r="B2282" s="63">
        <v>44375.0</v>
      </c>
      <c r="C2282" s="69">
        <v>28.120982537463355</v>
      </c>
    </row>
    <row r="2283">
      <c r="A2283" s="62" t="s">
        <v>6569</v>
      </c>
      <c r="B2283" s="63">
        <v>44355.0</v>
      </c>
      <c r="C2283" s="69">
        <v>28.120679579813547</v>
      </c>
    </row>
    <row r="2284">
      <c r="A2284" s="62" t="s">
        <v>3452</v>
      </c>
      <c r="B2284" s="63">
        <v>44095.0</v>
      </c>
      <c r="C2284" s="69">
        <v>28.120303903471644</v>
      </c>
    </row>
    <row r="2285">
      <c r="A2285" s="62" t="s">
        <v>5530</v>
      </c>
      <c r="B2285" s="63">
        <v>44343.0</v>
      </c>
      <c r="C2285" s="69">
        <v>28.119792316810248</v>
      </c>
    </row>
    <row r="2286">
      <c r="A2286" s="62" t="s">
        <v>5527</v>
      </c>
      <c r="B2286" s="63">
        <v>44342.0</v>
      </c>
      <c r="C2286" s="69">
        <v>28.119175929099896</v>
      </c>
    </row>
    <row r="2287">
      <c r="A2287" s="62" t="s">
        <v>4391</v>
      </c>
      <c r="B2287" s="63">
        <v>44108.0</v>
      </c>
      <c r="C2287" s="69">
        <v>28.118872283632648</v>
      </c>
    </row>
    <row r="2288">
      <c r="A2288" s="62" t="s">
        <v>3897</v>
      </c>
      <c r="B2288" s="63">
        <v>44174.0</v>
      </c>
      <c r="C2288" s="69">
        <v>28.116681181001482</v>
      </c>
    </row>
    <row r="2289">
      <c r="A2289" s="62" t="s">
        <v>875</v>
      </c>
      <c r="B2289" s="63">
        <v>44368.0</v>
      </c>
      <c r="C2289" s="69">
        <v>28.116393169810845</v>
      </c>
    </row>
    <row r="2290">
      <c r="A2290" s="62" t="s">
        <v>2453</v>
      </c>
      <c r="B2290" s="63">
        <v>44379.0</v>
      </c>
      <c r="C2290" s="69">
        <v>28.113137160029844</v>
      </c>
    </row>
    <row r="2291">
      <c r="A2291" s="62" t="s">
        <v>5020</v>
      </c>
      <c r="B2291" s="63">
        <v>44263.0</v>
      </c>
      <c r="C2291" s="69">
        <v>28.109710311452417</v>
      </c>
    </row>
    <row r="2292">
      <c r="A2292" s="62" t="s">
        <v>2438</v>
      </c>
      <c r="B2292" s="63">
        <v>44385.0</v>
      </c>
      <c r="C2292" s="69">
        <v>28.10291834898115</v>
      </c>
    </row>
    <row r="2293">
      <c r="A2293" s="62" t="s">
        <v>1107</v>
      </c>
      <c r="B2293" s="63">
        <v>44271.0</v>
      </c>
      <c r="C2293" s="69">
        <v>28.101524764872856</v>
      </c>
    </row>
    <row r="2294">
      <c r="A2294" s="62" t="s">
        <v>2152</v>
      </c>
      <c r="B2294" s="63">
        <v>44069.0</v>
      </c>
      <c r="C2294" s="69">
        <v>28.096287575228143</v>
      </c>
    </row>
    <row r="2295">
      <c r="A2295" s="62" t="s">
        <v>4662</v>
      </c>
      <c r="B2295" s="63">
        <v>44295.0</v>
      </c>
      <c r="C2295" s="69">
        <v>28.093076420311967</v>
      </c>
    </row>
    <row r="2296">
      <c r="A2296" s="62" t="s">
        <v>4530</v>
      </c>
      <c r="B2296" s="63">
        <v>44268.0</v>
      </c>
      <c r="C2296" s="69">
        <v>28.091004042107393</v>
      </c>
    </row>
    <row r="2297">
      <c r="A2297" s="62" t="s">
        <v>5175</v>
      </c>
      <c r="B2297" s="63">
        <v>44293.0</v>
      </c>
      <c r="C2297" s="69">
        <v>28.090876862293</v>
      </c>
    </row>
    <row r="2298">
      <c r="A2298" s="62" t="s">
        <v>4768</v>
      </c>
      <c r="B2298" s="63">
        <v>44287.0</v>
      </c>
      <c r="C2298" s="69">
        <v>28.086188834204915</v>
      </c>
    </row>
    <row r="2299">
      <c r="A2299" s="62" t="s">
        <v>6164</v>
      </c>
      <c r="B2299" s="63">
        <v>44354.0</v>
      </c>
      <c r="C2299" s="69">
        <v>28.079475693132878</v>
      </c>
    </row>
    <row r="2300">
      <c r="A2300" s="62" t="s">
        <v>5949</v>
      </c>
      <c r="B2300" s="63">
        <v>44368.0</v>
      </c>
      <c r="C2300" s="69">
        <v>28.070796831762372</v>
      </c>
    </row>
    <row r="2301">
      <c r="A2301" s="62" t="s">
        <v>2163</v>
      </c>
      <c r="B2301" s="63">
        <v>44070.0</v>
      </c>
      <c r="C2301" s="69">
        <v>28.069738235681363</v>
      </c>
    </row>
    <row r="2302">
      <c r="A2302" s="62" t="s">
        <v>4752</v>
      </c>
      <c r="B2302" s="63">
        <v>44266.0</v>
      </c>
      <c r="C2302" s="69">
        <v>28.06855584842532</v>
      </c>
    </row>
    <row r="2303">
      <c r="A2303" s="62" t="s">
        <v>6685</v>
      </c>
      <c r="B2303" s="63">
        <v>44375.0</v>
      </c>
      <c r="C2303" s="69">
        <v>28.06454209887841</v>
      </c>
    </row>
    <row r="2304">
      <c r="A2304" s="62" t="s">
        <v>5526</v>
      </c>
      <c r="B2304" s="63">
        <v>44336.0</v>
      </c>
      <c r="C2304" s="69">
        <v>28.064502893694872</v>
      </c>
    </row>
    <row r="2305">
      <c r="A2305" s="62" t="s">
        <v>149</v>
      </c>
      <c r="B2305" s="63">
        <v>43879.0</v>
      </c>
      <c r="C2305" s="69">
        <v>28.062271304205776</v>
      </c>
    </row>
    <row r="2306">
      <c r="A2306" s="62" t="s">
        <v>4040</v>
      </c>
      <c r="B2306" s="63">
        <v>44148.0</v>
      </c>
      <c r="C2306" s="69">
        <v>28.061081403570398</v>
      </c>
    </row>
    <row r="2307">
      <c r="A2307" s="62" t="s">
        <v>4895</v>
      </c>
      <c r="B2307" s="63">
        <v>44273.0</v>
      </c>
      <c r="C2307" s="69">
        <v>28.05946038329089</v>
      </c>
    </row>
    <row r="2308">
      <c r="A2308" s="62" t="s">
        <v>5807</v>
      </c>
      <c r="B2308" s="63">
        <v>44375.0</v>
      </c>
      <c r="C2308" s="69">
        <v>28.057439023275705</v>
      </c>
    </row>
    <row r="2309">
      <c r="A2309" s="62" t="s">
        <v>5624</v>
      </c>
      <c r="B2309" s="63">
        <v>44377.0</v>
      </c>
      <c r="C2309" s="69">
        <v>28.051846523270786</v>
      </c>
    </row>
    <row r="2310">
      <c r="A2310" s="62" t="s">
        <v>5029</v>
      </c>
      <c r="B2310" s="63">
        <v>44313.0</v>
      </c>
      <c r="C2310" s="69">
        <v>28.051339542692183</v>
      </c>
    </row>
    <row r="2311">
      <c r="A2311" s="62" t="s">
        <v>5523</v>
      </c>
      <c r="B2311" s="63">
        <v>44328.0</v>
      </c>
      <c r="C2311" s="69">
        <v>28.04786088135399</v>
      </c>
    </row>
    <row r="2312">
      <c r="A2312" s="62" t="s">
        <v>2963</v>
      </c>
      <c r="B2312" s="63">
        <v>44209.0</v>
      </c>
      <c r="C2312" s="69">
        <v>28.046256970957945</v>
      </c>
    </row>
    <row r="2313">
      <c r="A2313" s="62" t="s">
        <v>3239</v>
      </c>
      <c r="B2313" s="63">
        <v>44107.0</v>
      </c>
      <c r="C2313" s="69">
        <v>28.04361553120867</v>
      </c>
    </row>
    <row r="2314">
      <c r="A2314" s="62" t="s">
        <v>3332</v>
      </c>
      <c r="B2314" s="63">
        <v>44190.0</v>
      </c>
      <c r="C2314" s="69">
        <v>28.039890958484605</v>
      </c>
    </row>
    <row r="2315">
      <c r="A2315" s="62" t="s">
        <v>5100</v>
      </c>
      <c r="B2315" s="63">
        <v>44263.0</v>
      </c>
      <c r="C2315" s="69">
        <v>28.039394472933328</v>
      </c>
    </row>
    <row r="2316">
      <c r="A2316" s="62" t="s">
        <v>4821</v>
      </c>
      <c r="B2316" s="63">
        <v>44293.0</v>
      </c>
      <c r="C2316" s="69">
        <v>28.03557529426768</v>
      </c>
    </row>
    <row r="2317">
      <c r="A2317" s="62" t="s">
        <v>5522</v>
      </c>
      <c r="B2317" s="63">
        <v>44329.0</v>
      </c>
      <c r="C2317" s="69">
        <v>28.032601173808903</v>
      </c>
    </row>
    <row r="2318">
      <c r="A2318" s="62" t="s">
        <v>5678</v>
      </c>
      <c r="B2318" s="63">
        <v>44365.0</v>
      </c>
      <c r="C2318" s="69">
        <v>28.032074247084875</v>
      </c>
    </row>
    <row r="2319">
      <c r="A2319" s="62" t="s">
        <v>2690</v>
      </c>
      <c r="B2319" s="63">
        <v>44221.0</v>
      </c>
      <c r="C2319" s="69">
        <v>28.030186674377077</v>
      </c>
    </row>
    <row r="2320">
      <c r="A2320" s="62" t="s">
        <v>5518</v>
      </c>
      <c r="B2320" s="63">
        <v>44333.0</v>
      </c>
      <c r="C2320" s="69">
        <v>28.029727187032236</v>
      </c>
    </row>
    <row r="2321">
      <c r="A2321" s="62" t="s">
        <v>3172</v>
      </c>
      <c r="B2321" s="63">
        <v>44235.0</v>
      </c>
      <c r="C2321" s="69">
        <v>28.028923590698728</v>
      </c>
    </row>
    <row r="2322">
      <c r="A2322" s="62" t="s">
        <v>4641</v>
      </c>
      <c r="B2322" s="63">
        <v>44272.0</v>
      </c>
      <c r="C2322" s="69">
        <v>28.01769566210247</v>
      </c>
    </row>
    <row r="2323">
      <c r="A2323" s="62" t="s">
        <v>5517</v>
      </c>
      <c r="B2323" s="63">
        <v>44330.0</v>
      </c>
      <c r="C2323" s="69">
        <v>28.01374933929158</v>
      </c>
    </row>
    <row r="2324">
      <c r="A2324" s="62" t="s">
        <v>5515</v>
      </c>
      <c r="B2324" s="63">
        <v>44341.0</v>
      </c>
      <c r="C2324" s="69">
        <v>28.012317541357504</v>
      </c>
    </row>
    <row r="2325">
      <c r="A2325" s="62" t="s">
        <v>2290</v>
      </c>
      <c r="B2325" s="63">
        <v>44398.0</v>
      </c>
      <c r="C2325" s="69">
        <v>28.006370647941097</v>
      </c>
    </row>
    <row r="2326">
      <c r="A2326" s="62" t="s">
        <v>4715</v>
      </c>
      <c r="B2326" s="63">
        <v>44278.0</v>
      </c>
      <c r="C2326" s="69">
        <v>28.00624827266379</v>
      </c>
    </row>
    <row r="2327">
      <c r="A2327" s="62" t="s">
        <v>2473</v>
      </c>
      <c r="B2327" s="63">
        <v>44396.0</v>
      </c>
      <c r="C2327" s="69">
        <v>28.000376426552446</v>
      </c>
    </row>
    <row r="2328">
      <c r="A2328" s="62" t="s">
        <v>4509</v>
      </c>
      <c r="B2328" s="63">
        <v>44298.0</v>
      </c>
      <c r="C2328" s="69">
        <v>28.00010341696658</v>
      </c>
    </row>
    <row r="2329">
      <c r="A2329" s="62" t="s">
        <v>1445</v>
      </c>
      <c r="B2329" s="63">
        <v>44062.0</v>
      </c>
      <c r="C2329" s="69">
        <v>27.990728169783385</v>
      </c>
    </row>
    <row r="2330">
      <c r="A2330" s="62" t="s">
        <v>5085</v>
      </c>
      <c r="B2330" s="63">
        <v>44264.0</v>
      </c>
      <c r="C2330" s="69">
        <v>27.98442194317157</v>
      </c>
    </row>
    <row r="2331">
      <c r="A2331" s="62" t="s">
        <v>2903</v>
      </c>
      <c r="B2331" s="63">
        <v>44237.0</v>
      </c>
      <c r="C2331" s="69">
        <v>27.98121152253689</v>
      </c>
    </row>
    <row r="2332">
      <c r="A2332" s="62" t="s">
        <v>1558</v>
      </c>
      <c r="B2332" s="63">
        <v>44365.0</v>
      </c>
      <c r="C2332" s="69">
        <v>27.975593699839557</v>
      </c>
    </row>
    <row r="2333">
      <c r="A2333" s="62" t="s">
        <v>5981</v>
      </c>
      <c r="B2333" s="63">
        <v>44349.0</v>
      </c>
      <c r="C2333" s="69">
        <v>27.974963187428333</v>
      </c>
    </row>
    <row r="2334">
      <c r="A2334" s="62" t="s">
        <v>345</v>
      </c>
      <c r="B2334" s="63">
        <v>44271.0</v>
      </c>
      <c r="C2334" s="69">
        <v>27.972708788237995</v>
      </c>
    </row>
    <row r="2335">
      <c r="A2335" s="62" t="s">
        <v>1522</v>
      </c>
      <c r="B2335" s="63">
        <v>44359.0</v>
      </c>
      <c r="C2335" s="69">
        <v>27.9672662293287</v>
      </c>
    </row>
    <row r="2336">
      <c r="A2336" s="62" t="s">
        <v>3473</v>
      </c>
      <c r="B2336" s="63">
        <v>44183.0</v>
      </c>
      <c r="C2336" s="69">
        <v>27.965573111687405</v>
      </c>
    </row>
    <row r="2337">
      <c r="A2337" s="62" t="s">
        <v>3541</v>
      </c>
      <c r="B2337" s="63">
        <v>44118.0</v>
      </c>
      <c r="C2337" s="69">
        <v>27.965122828424565</v>
      </c>
    </row>
    <row r="2338">
      <c r="A2338" s="62" t="s">
        <v>2468</v>
      </c>
      <c r="B2338" s="63">
        <v>44383.0</v>
      </c>
      <c r="C2338" s="69">
        <v>27.95902764533117</v>
      </c>
    </row>
    <row r="2339">
      <c r="A2339" s="62" t="s">
        <v>143</v>
      </c>
      <c r="B2339" s="63">
        <v>44379.0</v>
      </c>
      <c r="C2339" s="69">
        <v>27.958746975768896</v>
      </c>
    </row>
    <row r="2340">
      <c r="A2340" s="62" t="s">
        <v>5815</v>
      </c>
      <c r="B2340" s="63">
        <v>44351.0</v>
      </c>
      <c r="C2340" s="69">
        <v>27.956227801356533</v>
      </c>
    </row>
    <row r="2341">
      <c r="A2341" s="62" t="s">
        <v>5514</v>
      </c>
      <c r="B2341" s="63">
        <v>44329.0</v>
      </c>
      <c r="C2341" s="69">
        <v>27.955142493370325</v>
      </c>
    </row>
    <row r="2342">
      <c r="A2342" s="62" t="s">
        <v>6042</v>
      </c>
      <c r="B2342" s="63">
        <v>44362.0</v>
      </c>
      <c r="C2342" s="69">
        <v>27.94915665483564</v>
      </c>
    </row>
    <row r="2343">
      <c r="A2343" s="62" t="s">
        <v>5677</v>
      </c>
      <c r="B2343" s="63">
        <v>44349.0</v>
      </c>
      <c r="C2343" s="69">
        <v>27.944600352870744</v>
      </c>
    </row>
    <row r="2344">
      <c r="A2344" s="62" t="s">
        <v>4376</v>
      </c>
      <c r="B2344" s="63">
        <v>44156.0</v>
      </c>
      <c r="C2344" s="69">
        <v>27.93484451829409</v>
      </c>
    </row>
    <row r="2345">
      <c r="A2345" s="62" t="s">
        <v>2634</v>
      </c>
      <c r="B2345" s="63">
        <v>44078.0</v>
      </c>
      <c r="C2345" s="69">
        <v>27.932752077848903</v>
      </c>
    </row>
    <row r="2346">
      <c r="A2346" s="62" t="s">
        <v>5902</v>
      </c>
      <c r="B2346" s="63">
        <v>44354.0</v>
      </c>
      <c r="C2346" s="69">
        <v>27.932656166257633</v>
      </c>
    </row>
    <row r="2347">
      <c r="A2347" s="62" t="s">
        <v>4914</v>
      </c>
      <c r="B2347" s="63">
        <v>44280.0</v>
      </c>
      <c r="C2347" s="69">
        <v>27.931454299287566</v>
      </c>
    </row>
    <row r="2348">
      <c r="A2348" s="62" t="s">
        <v>5298</v>
      </c>
      <c r="B2348" s="63">
        <v>44376.0</v>
      </c>
      <c r="C2348" s="69">
        <v>27.928747217211907</v>
      </c>
    </row>
    <row r="2349">
      <c r="A2349" s="62" t="s">
        <v>5744</v>
      </c>
      <c r="B2349" s="63">
        <v>44358.0</v>
      </c>
      <c r="C2349" s="69">
        <v>27.928731614754092</v>
      </c>
    </row>
    <row r="2350">
      <c r="A2350" s="62" t="s">
        <v>327</v>
      </c>
      <c r="B2350" s="63">
        <v>44175.0</v>
      </c>
      <c r="C2350" s="69">
        <v>27.92499813981154</v>
      </c>
    </row>
    <row r="2351">
      <c r="A2351" s="62" t="s">
        <v>814</v>
      </c>
      <c r="B2351" s="63">
        <v>44355.0</v>
      </c>
      <c r="C2351" s="69">
        <v>27.92086257088918</v>
      </c>
    </row>
    <row r="2352">
      <c r="A2352" s="62" t="s">
        <v>4578</v>
      </c>
      <c r="B2352" s="63">
        <v>44256.0</v>
      </c>
      <c r="C2352" s="69">
        <v>27.919852213807644</v>
      </c>
    </row>
    <row r="2353">
      <c r="A2353" s="62" t="s">
        <v>5512</v>
      </c>
      <c r="B2353" s="63">
        <v>44347.0</v>
      </c>
      <c r="C2353" s="69">
        <v>27.91604136499226</v>
      </c>
    </row>
    <row r="2354">
      <c r="A2354" s="62" t="s">
        <v>2437</v>
      </c>
      <c r="B2354" s="63">
        <v>44379.0</v>
      </c>
      <c r="C2354" s="69">
        <v>27.915096012663515</v>
      </c>
    </row>
    <row r="2355">
      <c r="A2355" s="62" t="s">
        <v>3451</v>
      </c>
      <c r="B2355" s="63">
        <v>44121.0</v>
      </c>
      <c r="C2355" s="69">
        <v>27.904130116683973</v>
      </c>
    </row>
    <row r="2356">
      <c r="A2356" s="62" t="s">
        <v>5141</v>
      </c>
      <c r="B2356" s="63">
        <v>44312.0</v>
      </c>
      <c r="C2356" s="69">
        <v>27.90295615547641</v>
      </c>
    </row>
    <row r="2357">
      <c r="A2357" s="62" t="s">
        <v>3397</v>
      </c>
      <c r="B2357" s="63">
        <v>44208.0</v>
      </c>
      <c r="C2357" s="69">
        <v>27.89974464612497</v>
      </c>
    </row>
    <row r="2358">
      <c r="A2358" s="62" t="s">
        <v>666</v>
      </c>
      <c r="B2358" s="63">
        <v>44362.0</v>
      </c>
      <c r="C2358" s="69">
        <v>27.89559991709126</v>
      </c>
    </row>
    <row r="2359">
      <c r="A2359" s="62" t="s">
        <v>5510</v>
      </c>
      <c r="B2359" s="63">
        <v>44347.0</v>
      </c>
      <c r="C2359" s="69">
        <v>27.89248767898135</v>
      </c>
    </row>
    <row r="2360">
      <c r="A2360" s="62" t="s">
        <v>6101</v>
      </c>
      <c r="B2360" s="63">
        <v>44376.0</v>
      </c>
      <c r="C2360" s="69">
        <v>27.891578021820145</v>
      </c>
    </row>
    <row r="2361">
      <c r="A2361" s="62" t="s">
        <v>2286</v>
      </c>
      <c r="B2361" s="63">
        <v>44393.0</v>
      </c>
      <c r="C2361" s="69">
        <v>27.891212071088866</v>
      </c>
    </row>
    <row r="2362">
      <c r="A2362" s="62" t="s">
        <v>272</v>
      </c>
      <c r="B2362" s="63">
        <v>44393.0</v>
      </c>
      <c r="C2362" s="69">
        <v>27.887853020074388</v>
      </c>
    </row>
    <row r="2363">
      <c r="A2363" s="62" t="s">
        <v>3827</v>
      </c>
      <c r="B2363" s="63">
        <v>44228.0</v>
      </c>
      <c r="C2363" s="69">
        <v>27.866015797866964</v>
      </c>
    </row>
    <row r="2364">
      <c r="A2364" s="62" t="s">
        <v>208</v>
      </c>
      <c r="B2364" s="63">
        <v>44399.0</v>
      </c>
      <c r="C2364" s="69">
        <v>27.86398860429722</v>
      </c>
    </row>
    <row r="2365">
      <c r="A2365" s="62" t="s">
        <v>3671</v>
      </c>
      <c r="B2365" s="63">
        <v>44251.0</v>
      </c>
      <c r="C2365" s="69">
        <v>27.856626977509208</v>
      </c>
    </row>
    <row r="2366">
      <c r="A2366" s="62" t="s">
        <v>4497</v>
      </c>
      <c r="B2366" s="63">
        <v>44277.0</v>
      </c>
      <c r="C2366" s="69">
        <v>27.852156414435186</v>
      </c>
    </row>
    <row r="2367">
      <c r="A2367" s="62" t="s">
        <v>5697</v>
      </c>
      <c r="B2367" s="63">
        <v>44361.0</v>
      </c>
      <c r="C2367" s="69">
        <v>27.849363406839096</v>
      </c>
    </row>
    <row r="2368">
      <c r="A2368" s="62" t="s">
        <v>2464</v>
      </c>
      <c r="B2368" s="63">
        <v>44378.0</v>
      </c>
      <c r="C2368" s="69">
        <v>27.84234557338006</v>
      </c>
    </row>
    <row r="2369">
      <c r="A2369" s="62" t="s">
        <v>6608</v>
      </c>
      <c r="B2369" s="63">
        <v>44376.0</v>
      </c>
      <c r="C2369" s="69">
        <v>27.83819139084162</v>
      </c>
    </row>
    <row r="2370">
      <c r="A2370" s="62" t="s">
        <v>251</v>
      </c>
      <c r="B2370" s="63">
        <v>44392.0</v>
      </c>
      <c r="C2370" s="69">
        <v>27.833951624979818</v>
      </c>
    </row>
    <row r="2371">
      <c r="A2371" s="62" t="s">
        <v>5509</v>
      </c>
      <c r="B2371" s="63">
        <v>44328.0</v>
      </c>
      <c r="C2371" s="69">
        <v>27.83187765927634</v>
      </c>
    </row>
    <row r="2372">
      <c r="A2372" s="62" t="s">
        <v>2939</v>
      </c>
      <c r="B2372" s="63">
        <v>44147.0</v>
      </c>
      <c r="C2372" s="69">
        <v>27.82977854502458</v>
      </c>
    </row>
    <row r="2373">
      <c r="A2373" s="62" t="s">
        <v>4008</v>
      </c>
      <c r="B2373" s="63">
        <v>44215.0</v>
      </c>
      <c r="C2373" s="69">
        <v>27.828173846915707</v>
      </c>
    </row>
    <row r="2374">
      <c r="A2374" s="62" t="s">
        <v>3855</v>
      </c>
      <c r="B2374" s="63">
        <v>44082.0</v>
      </c>
      <c r="C2374" s="69">
        <v>27.826483601737277</v>
      </c>
    </row>
    <row r="2375">
      <c r="A2375" s="62" t="s">
        <v>4687</v>
      </c>
      <c r="B2375" s="63">
        <v>44295.0</v>
      </c>
      <c r="C2375" s="69">
        <v>27.825273414947247</v>
      </c>
    </row>
    <row r="2376">
      <c r="A2376" s="62" t="s">
        <v>5507</v>
      </c>
      <c r="B2376" s="63">
        <v>44333.0</v>
      </c>
      <c r="C2376" s="69">
        <v>27.824050952640395</v>
      </c>
    </row>
    <row r="2377">
      <c r="A2377" s="62" t="s">
        <v>6702</v>
      </c>
      <c r="B2377" s="63">
        <v>44363.0</v>
      </c>
      <c r="C2377" s="69">
        <v>27.823862122058287</v>
      </c>
    </row>
    <row r="2378">
      <c r="A2378" s="62" t="s">
        <v>4798</v>
      </c>
      <c r="B2378" s="63">
        <v>44272.0</v>
      </c>
      <c r="C2378" s="69">
        <v>27.820207823691213</v>
      </c>
    </row>
    <row r="2379">
      <c r="A2379" s="62" t="s">
        <v>4634</v>
      </c>
      <c r="B2379" s="63">
        <v>44273.0</v>
      </c>
      <c r="C2379" s="69">
        <v>27.81907810376378</v>
      </c>
    </row>
    <row r="2380">
      <c r="A2380" s="62" t="s">
        <v>3129</v>
      </c>
      <c r="B2380" s="63">
        <v>44179.0</v>
      </c>
      <c r="C2380" s="69">
        <v>27.806455891082315</v>
      </c>
    </row>
    <row r="2381">
      <c r="A2381" s="62" t="s">
        <v>4298</v>
      </c>
      <c r="B2381" s="63">
        <v>44120.0</v>
      </c>
      <c r="C2381" s="69">
        <v>27.805840302109615</v>
      </c>
    </row>
    <row r="2382">
      <c r="A2382" s="62" t="s">
        <v>2850</v>
      </c>
      <c r="B2382" s="63">
        <v>44214.0</v>
      </c>
      <c r="C2382" s="69">
        <v>27.801088573491214</v>
      </c>
    </row>
    <row r="2383">
      <c r="A2383" s="62" t="s">
        <v>5018</v>
      </c>
      <c r="B2383" s="63">
        <v>44279.0</v>
      </c>
      <c r="C2383" s="69">
        <v>27.79677891923808</v>
      </c>
    </row>
    <row r="2384">
      <c r="A2384" s="62" t="s">
        <v>4023</v>
      </c>
      <c r="B2384" s="63">
        <v>44251.0</v>
      </c>
      <c r="C2384" s="69">
        <v>27.796158221546186</v>
      </c>
    </row>
    <row r="2385">
      <c r="A2385" s="62" t="s">
        <v>2909</v>
      </c>
      <c r="B2385" s="63">
        <v>44106.0</v>
      </c>
      <c r="C2385" s="69">
        <v>27.795369023447808</v>
      </c>
    </row>
    <row r="2386">
      <c r="A2386" s="62" t="s">
        <v>3885</v>
      </c>
      <c r="B2386" s="63">
        <v>44237.0</v>
      </c>
      <c r="C2386" s="69">
        <v>27.795290800772857</v>
      </c>
    </row>
    <row r="2387">
      <c r="A2387" s="62" t="s">
        <v>3592</v>
      </c>
      <c r="B2387" s="63">
        <v>44229.0</v>
      </c>
      <c r="C2387" s="69">
        <v>27.7927052385634</v>
      </c>
    </row>
    <row r="2388">
      <c r="A2388" s="62" t="s">
        <v>4268</v>
      </c>
      <c r="B2388" s="63">
        <v>44202.0</v>
      </c>
      <c r="C2388" s="69">
        <v>27.79117323963964</v>
      </c>
    </row>
    <row r="2389">
      <c r="A2389" s="62" t="s">
        <v>1830</v>
      </c>
      <c r="B2389" s="63">
        <v>44272.0</v>
      </c>
      <c r="C2389" s="69">
        <v>27.786568276341264</v>
      </c>
    </row>
    <row r="2390">
      <c r="A2390" s="62" t="s">
        <v>5503</v>
      </c>
      <c r="B2390" s="63">
        <v>44334.0</v>
      </c>
      <c r="C2390" s="69">
        <v>27.785223948773492</v>
      </c>
    </row>
    <row r="2391">
      <c r="A2391" s="62" t="s">
        <v>2860</v>
      </c>
      <c r="B2391" s="63">
        <v>44231.0</v>
      </c>
      <c r="C2391" s="69">
        <v>27.78086616151439</v>
      </c>
    </row>
    <row r="2392">
      <c r="A2392" s="62" t="s">
        <v>2535</v>
      </c>
      <c r="B2392" s="63">
        <v>44378.0</v>
      </c>
      <c r="C2392" s="69">
        <v>27.779896827768454</v>
      </c>
    </row>
    <row r="2393">
      <c r="A2393" s="62" t="s">
        <v>4078</v>
      </c>
      <c r="B2393" s="63">
        <v>44203.0</v>
      </c>
      <c r="C2393" s="69">
        <v>27.77822100531942</v>
      </c>
    </row>
    <row r="2394">
      <c r="A2394" s="62" t="s">
        <v>5500</v>
      </c>
      <c r="B2394" s="63">
        <v>44337.0</v>
      </c>
      <c r="C2394" s="69">
        <v>27.77569396151145</v>
      </c>
    </row>
    <row r="2395">
      <c r="A2395" s="62" t="s">
        <v>2659</v>
      </c>
      <c r="B2395" s="63">
        <v>44121.0</v>
      </c>
      <c r="C2395" s="69">
        <v>27.77245837002817</v>
      </c>
    </row>
    <row r="2396">
      <c r="A2396" s="62" t="s">
        <v>5499</v>
      </c>
      <c r="B2396" s="63">
        <v>44341.0</v>
      </c>
      <c r="C2396" s="69">
        <v>27.76800668490043</v>
      </c>
    </row>
    <row r="2397">
      <c r="A2397" s="62" t="s">
        <v>5235</v>
      </c>
      <c r="B2397" s="63">
        <v>44281.0</v>
      </c>
      <c r="C2397" s="69">
        <v>27.763454219216122</v>
      </c>
    </row>
    <row r="2398">
      <c r="A2398" s="62" t="s">
        <v>4462</v>
      </c>
      <c r="B2398" s="63">
        <v>44286.0</v>
      </c>
      <c r="C2398" s="69">
        <v>27.763414759838618</v>
      </c>
    </row>
    <row r="2399">
      <c r="A2399" s="62" t="s">
        <v>4321</v>
      </c>
      <c r="B2399" s="63">
        <v>44217.0</v>
      </c>
      <c r="C2399" s="69">
        <v>27.762948547669314</v>
      </c>
    </row>
    <row r="2400">
      <c r="A2400" s="62" t="s">
        <v>3471</v>
      </c>
      <c r="B2400" s="63">
        <v>44233.0</v>
      </c>
      <c r="C2400" s="69">
        <v>27.758684309859916</v>
      </c>
    </row>
    <row r="2401">
      <c r="A2401" s="62" t="s">
        <v>5498</v>
      </c>
      <c r="B2401" s="63">
        <v>44347.0</v>
      </c>
      <c r="C2401" s="69">
        <v>27.7581518635887</v>
      </c>
    </row>
    <row r="2402">
      <c r="A2402" s="62" t="s">
        <v>3519</v>
      </c>
      <c r="B2402" s="63">
        <v>44116.0</v>
      </c>
      <c r="C2402" s="69">
        <v>27.757905326210395</v>
      </c>
    </row>
    <row r="2403">
      <c r="A2403" s="62" t="s">
        <v>338</v>
      </c>
      <c r="B2403" s="63">
        <v>44208.0</v>
      </c>
      <c r="C2403" s="69">
        <v>27.750526097192502</v>
      </c>
    </row>
    <row r="2404">
      <c r="A2404" s="62" t="s">
        <v>2328</v>
      </c>
      <c r="B2404" s="63">
        <v>44394.0</v>
      </c>
      <c r="C2404" s="69">
        <v>27.747131004933856</v>
      </c>
    </row>
    <row r="2405">
      <c r="A2405" s="62" t="s">
        <v>3785</v>
      </c>
      <c r="B2405" s="63">
        <v>44185.0</v>
      </c>
      <c r="C2405" s="69">
        <v>27.733033666777217</v>
      </c>
    </row>
    <row r="2406">
      <c r="A2406" s="62" t="s">
        <v>4056</v>
      </c>
      <c r="B2406" s="63">
        <v>44198.0</v>
      </c>
      <c r="C2406" s="69">
        <v>27.731766964981176</v>
      </c>
    </row>
    <row r="2407">
      <c r="A2407" s="62" t="s">
        <v>4428</v>
      </c>
      <c r="B2407" s="63">
        <v>44196.0</v>
      </c>
      <c r="C2407" s="69">
        <v>27.726032206200905</v>
      </c>
    </row>
    <row r="2408">
      <c r="A2408" s="62" t="s">
        <v>3405</v>
      </c>
      <c r="B2408" s="63">
        <v>44215.0</v>
      </c>
      <c r="C2408" s="69">
        <v>27.725212039280734</v>
      </c>
    </row>
    <row r="2409">
      <c r="A2409" s="62" t="s">
        <v>553</v>
      </c>
      <c r="B2409" s="63">
        <v>44362.0</v>
      </c>
      <c r="C2409" s="69">
        <v>27.712297465360663</v>
      </c>
    </row>
    <row r="2410">
      <c r="A2410" s="62" t="s">
        <v>6230</v>
      </c>
      <c r="B2410" s="63">
        <v>44376.0</v>
      </c>
      <c r="C2410" s="69">
        <v>27.701363180648812</v>
      </c>
    </row>
    <row r="2411">
      <c r="A2411" s="62" t="s">
        <v>3853</v>
      </c>
      <c r="B2411" s="63">
        <v>44232.0</v>
      </c>
      <c r="C2411" s="69">
        <v>27.700911974411845</v>
      </c>
    </row>
    <row r="2412">
      <c r="A2412" s="62" t="s">
        <v>5496</v>
      </c>
      <c r="B2412" s="63">
        <v>44326.0</v>
      </c>
      <c r="C2412" s="69">
        <v>27.688303878940733</v>
      </c>
    </row>
    <row r="2413">
      <c r="A2413" s="62" t="s">
        <v>1172</v>
      </c>
      <c r="B2413" s="63">
        <v>44126.0</v>
      </c>
      <c r="C2413" s="69">
        <v>27.687968238672987</v>
      </c>
    </row>
    <row r="2414">
      <c r="A2414" s="62" t="s">
        <v>2714</v>
      </c>
      <c r="B2414" s="63">
        <v>44167.0</v>
      </c>
      <c r="C2414" s="69">
        <v>27.67861996759553</v>
      </c>
    </row>
    <row r="2415">
      <c r="A2415" s="62" t="s">
        <v>5759</v>
      </c>
      <c r="B2415" s="63">
        <v>44369.0</v>
      </c>
      <c r="C2415" s="69">
        <v>27.67617242632121</v>
      </c>
    </row>
    <row r="2416">
      <c r="A2416" s="62" t="s">
        <v>5495</v>
      </c>
      <c r="B2416" s="63">
        <v>44322.0</v>
      </c>
      <c r="C2416" s="69">
        <v>27.67343348749143</v>
      </c>
    </row>
    <row r="2417">
      <c r="A2417" s="62" t="s">
        <v>6572</v>
      </c>
      <c r="B2417" s="63">
        <v>44363.0</v>
      </c>
      <c r="C2417" s="69">
        <v>27.673049478063973</v>
      </c>
    </row>
    <row r="2418">
      <c r="A2418" s="62" t="s">
        <v>4186</v>
      </c>
      <c r="B2418" s="63">
        <v>44200.0</v>
      </c>
      <c r="C2418" s="69">
        <v>27.672424624655363</v>
      </c>
    </row>
    <row r="2419">
      <c r="A2419" s="62" t="s">
        <v>5508</v>
      </c>
      <c r="B2419" s="63">
        <v>44377.0</v>
      </c>
      <c r="C2419" s="69">
        <v>27.671781652669438</v>
      </c>
    </row>
    <row r="2420">
      <c r="A2420" s="62" t="s">
        <v>356</v>
      </c>
      <c r="B2420" s="63">
        <v>44223.0</v>
      </c>
      <c r="C2420" s="69">
        <v>27.669762374187812</v>
      </c>
    </row>
    <row r="2421">
      <c r="A2421" s="62" t="s">
        <v>5493</v>
      </c>
      <c r="B2421" s="63">
        <v>44326.0</v>
      </c>
      <c r="C2421" s="69">
        <v>27.655774139295236</v>
      </c>
    </row>
    <row r="2422">
      <c r="A2422" s="62" t="s">
        <v>4397</v>
      </c>
      <c r="B2422" s="63">
        <v>44213.0</v>
      </c>
      <c r="C2422" s="69">
        <v>27.65485681692944</v>
      </c>
    </row>
    <row r="2423">
      <c r="A2423" s="62" t="s">
        <v>2449</v>
      </c>
      <c r="B2423" s="63">
        <v>44383.0</v>
      </c>
      <c r="C2423" s="69">
        <v>27.647210453287926</v>
      </c>
    </row>
    <row r="2424">
      <c r="A2424" s="62" t="s">
        <v>5491</v>
      </c>
      <c r="B2424" s="63">
        <v>44326.0</v>
      </c>
      <c r="C2424" s="69">
        <v>27.642512609532687</v>
      </c>
    </row>
    <row r="2425">
      <c r="A2425" s="62" t="s">
        <v>4829</v>
      </c>
      <c r="B2425" s="63">
        <v>44266.0</v>
      </c>
      <c r="C2425" s="69">
        <v>27.641395203027137</v>
      </c>
    </row>
    <row r="2426">
      <c r="A2426" s="62" t="s">
        <v>2226</v>
      </c>
      <c r="B2426" s="63">
        <v>44074.0</v>
      </c>
      <c r="C2426" s="69">
        <v>27.63640945974356</v>
      </c>
    </row>
    <row r="2427">
      <c r="A2427" s="62" t="s">
        <v>4339</v>
      </c>
      <c r="B2427" s="63">
        <v>44254.0</v>
      </c>
      <c r="C2427" s="69">
        <v>27.630237772398818</v>
      </c>
    </row>
    <row r="2428">
      <c r="A2428" s="62" t="s">
        <v>2151</v>
      </c>
      <c r="B2428" s="63">
        <v>44064.0</v>
      </c>
      <c r="C2428" s="69">
        <v>27.629676864502514</v>
      </c>
    </row>
    <row r="2429">
      <c r="A2429" s="62" t="s">
        <v>2268</v>
      </c>
      <c r="B2429" s="63">
        <v>44394.0</v>
      </c>
      <c r="C2429" s="69">
        <v>27.62553929196164</v>
      </c>
    </row>
    <row r="2430">
      <c r="A2430" s="62" t="s">
        <v>2974</v>
      </c>
      <c r="B2430" s="63">
        <v>44231.0</v>
      </c>
      <c r="C2430" s="69">
        <v>27.62235016327319</v>
      </c>
    </row>
    <row r="2431">
      <c r="A2431" s="62" t="s">
        <v>3674</v>
      </c>
      <c r="B2431" s="63">
        <v>44167.0</v>
      </c>
      <c r="C2431" s="69">
        <v>27.618779987136644</v>
      </c>
    </row>
    <row r="2432">
      <c r="A2432" s="62" t="s">
        <v>6460</v>
      </c>
      <c r="B2432" s="63">
        <v>44376.0</v>
      </c>
      <c r="C2432" s="69">
        <v>27.615750814049647</v>
      </c>
    </row>
    <row r="2433">
      <c r="A2433" s="62" t="s">
        <v>4846</v>
      </c>
      <c r="B2433" s="63">
        <v>44277.0</v>
      </c>
      <c r="C2433" s="69">
        <v>27.613861626316417</v>
      </c>
    </row>
    <row r="2434">
      <c r="A2434" s="62" t="s">
        <v>2244</v>
      </c>
      <c r="B2434" s="63">
        <v>44071.0</v>
      </c>
      <c r="C2434" s="69">
        <v>27.613041271248502</v>
      </c>
    </row>
    <row r="2435">
      <c r="A2435" s="62" t="s">
        <v>5475</v>
      </c>
      <c r="B2435" s="63">
        <v>44371.0</v>
      </c>
      <c r="C2435" s="69">
        <v>27.607960688811758</v>
      </c>
    </row>
    <row r="2436">
      <c r="A2436" s="62" t="s">
        <v>466</v>
      </c>
      <c r="B2436" s="63">
        <v>44074.0</v>
      </c>
      <c r="C2436" s="69">
        <v>27.604125581436648</v>
      </c>
    </row>
    <row r="2437">
      <c r="A2437" s="62" t="s">
        <v>274</v>
      </c>
      <c r="B2437" s="63">
        <v>44399.0</v>
      </c>
      <c r="C2437" s="69">
        <v>27.601036642993193</v>
      </c>
    </row>
    <row r="2438">
      <c r="A2438" s="62" t="s">
        <v>1853</v>
      </c>
      <c r="B2438" s="63">
        <v>44251.0</v>
      </c>
      <c r="C2438" s="69">
        <v>27.597089099092518</v>
      </c>
    </row>
    <row r="2439">
      <c r="A2439" s="62" t="s">
        <v>6574</v>
      </c>
      <c r="B2439" s="63">
        <v>44356.0</v>
      </c>
      <c r="C2439" s="69">
        <v>27.59708580156831</v>
      </c>
    </row>
    <row r="2440">
      <c r="A2440" s="62" t="s">
        <v>3904</v>
      </c>
      <c r="B2440" s="63">
        <v>44203.0</v>
      </c>
      <c r="C2440" s="69">
        <v>27.591974876720748</v>
      </c>
    </row>
    <row r="2441">
      <c r="A2441" s="62" t="s">
        <v>5696</v>
      </c>
      <c r="B2441" s="63">
        <v>44375.0</v>
      </c>
      <c r="C2441" s="69">
        <v>27.591514161926334</v>
      </c>
    </row>
    <row r="2442">
      <c r="A2442" s="62" t="s">
        <v>5489</v>
      </c>
      <c r="B2442" s="63">
        <v>44321.0</v>
      </c>
      <c r="C2442" s="69">
        <v>27.586908416809326</v>
      </c>
    </row>
    <row r="2443">
      <c r="A2443" s="62" t="s">
        <v>5488</v>
      </c>
      <c r="B2443" s="63">
        <v>44336.0</v>
      </c>
      <c r="C2443" s="69">
        <v>27.582552738759524</v>
      </c>
    </row>
    <row r="2444">
      <c r="A2444" s="62" t="s">
        <v>5138</v>
      </c>
      <c r="B2444" s="63">
        <v>44279.0</v>
      </c>
      <c r="C2444" s="69">
        <v>27.582493296132906</v>
      </c>
    </row>
    <row r="2445">
      <c r="A2445" s="62" t="s">
        <v>5486</v>
      </c>
      <c r="B2445" s="63">
        <v>44341.0</v>
      </c>
      <c r="C2445" s="69">
        <v>27.577494625357026</v>
      </c>
    </row>
    <row r="2446">
      <c r="A2446" s="62" t="s">
        <v>4632</v>
      </c>
      <c r="B2446" s="63">
        <v>44256.0</v>
      </c>
      <c r="C2446" s="69">
        <v>27.576841471536362</v>
      </c>
    </row>
    <row r="2447">
      <c r="A2447" s="62" t="s">
        <v>3914</v>
      </c>
      <c r="B2447" s="63">
        <v>44235.0</v>
      </c>
      <c r="C2447" s="69">
        <v>27.573932152605202</v>
      </c>
    </row>
    <row r="2448">
      <c r="A2448" s="62" t="s">
        <v>4839</v>
      </c>
      <c r="B2448" s="63">
        <v>44258.0</v>
      </c>
      <c r="C2448" s="69">
        <v>27.572994536095248</v>
      </c>
    </row>
    <row r="2449">
      <c r="A2449" s="62" t="s">
        <v>886</v>
      </c>
      <c r="B2449" s="63">
        <v>44373.0</v>
      </c>
      <c r="C2449" s="69">
        <v>27.56861736399238</v>
      </c>
    </row>
    <row r="2450">
      <c r="A2450" s="62" t="s">
        <v>4921</v>
      </c>
      <c r="B2450" s="63">
        <v>44278.0</v>
      </c>
      <c r="C2450" s="69">
        <v>27.56784455022927</v>
      </c>
    </row>
    <row r="2451">
      <c r="A2451" s="62" t="s">
        <v>6350</v>
      </c>
      <c r="B2451" s="63">
        <v>44365.0</v>
      </c>
      <c r="C2451" s="69">
        <v>27.56735531916756</v>
      </c>
    </row>
    <row r="2452">
      <c r="A2452" s="62" t="s">
        <v>3048</v>
      </c>
      <c r="B2452" s="63">
        <v>44233.0</v>
      </c>
      <c r="C2452" s="69">
        <v>27.567069821303207</v>
      </c>
    </row>
    <row r="2453">
      <c r="A2453" s="62" t="s">
        <v>4239</v>
      </c>
      <c r="B2453" s="63">
        <v>44252.0</v>
      </c>
      <c r="C2453" s="69">
        <v>27.5614064374375</v>
      </c>
    </row>
    <row r="2454">
      <c r="A2454" s="62" t="s">
        <v>4606</v>
      </c>
      <c r="B2454" s="63">
        <v>44284.0</v>
      </c>
      <c r="C2454" s="69">
        <v>27.560357231399607</v>
      </c>
    </row>
    <row r="2455">
      <c r="A2455" s="62" t="s">
        <v>597</v>
      </c>
      <c r="B2455" s="63">
        <v>44365.0</v>
      </c>
      <c r="C2455" s="69">
        <v>27.556073984516175</v>
      </c>
    </row>
    <row r="2456">
      <c r="A2456" s="62" t="s">
        <v>3267</v>
      </c>
      <c r="B2456" s="63">
        <v>44161.0</v>
      </c>
      <c r="C2456" s="69">
        <v>27.555146383335853</v>
      </c>
    </row>
    <row r="2457">
      <c r="A2457" s="62" t="s">
        <v>2549</v>
      </c>
      <c r="B2457" s="63">
        <v>44378.0</v>
      </c>
      <c r="C2457" s="69">
        <v>27.55418790568283</v>
      </c>
    </row>
    <row r="2458">
      <c r="A2458" s="62" t="s">
        <v>2334</v>
      </c>
      <c r="B2458" s="63">
        <v>44380.0</v>
      </c>
      <c r="C2458" s="69">
        <v>27.550132126690485</v>
      </c>
    </row>
    <row r="2459">
      <c r="A2459" s="62" t="s">
        <v>5013</v>
      </c>
      <c r="B2459" s="63">
        <v>44280.0</v>
      </c>
      <c r="C2459" s="69">
        <v>27.54409501853111</v>
      </c>
    </row>
    <row r="2460">
      <c r="A2460" s="62" t="s">
        <v>3844</v>
      </c>
      <c r="B2460" s="63">
        <v>44182.0</v>
      </c>
      <c r="C2460" s="69">
        <v>27.541185848866682</v>
      </c>
    </row>
    <row r="2461">
      <c r="A2461" s="62" t="s">
        <v>5485</v>
      </c>
      <c r="B2461" s="63">
        <v>44335.0</v>
      </c>
      <c r="C2461" s="69">
        <v>27.540770337066782</v>
      </c>
    </row>
    <row r="2462">
      <c r="A2462" s="62" t="s">
        <v>4371</v>
      </c>
      <c r="B2462" s="63">
        <v>44207.0</v>
      </c>
      <c r="C2462" s="69">
        <v>27.540350891888366</v>
      </c>
    </row>
    <row r="2463">
      <c r="A2463" s="62" t="s">
        <v>1621</v>
      </c>
      <c r="B2463" s="63">
        <v>44223.0</v>
      </c>
      <c r="C2463" s="69">
        <v>27.537454219921894</v>
      </c>
    </row>
    <row r="2464">
      <c r="A2464" s="62" t="s">
        <v>1629</v>
      </c>
      <c r="B2464" s="63">
        <v>44130.0</v>
      </c>
      <c r="C2464" s="69">
        <v>27.535494453479956</v>
      </c>
    </row>
    <row r="2465">
      <c r="A2465" s="62" t="s">
        <v>6588</v>
      </c>
      <c r="B2465" s="63">
        <v>44367.0</v>
      </c>
      <c r="C2465" s="69">
        <v>27.5329961090658</v>
      </c>
    </row>
    <row r="2466">
      <c r="A2466" s="62" t="s">
        <v>4332</v>
      </c>
      <c r="B2466" s="63">
        <v>44230.0</v>
      </c>
      <c r="C2466" s="69">
        <v>27.528889208240827</v>
      </c>
    </row>
    <row r="2467">
      <c r="A2467" s="62" t="s">
        <v>2652</v>
      </c>
      <c r="B2467" s="63">
        <v>44223.0</v>
      </c>
      <c r="C2467" s="69">
        <v>27.528300091944146</v>
      </c>
    </row>
    <row r="2468">
      <c r="A2468" s="62" t="s">
        <v>2347</v>
      </c>
      <c r="B2468" s="63">
        <v>44382.0</v>
      </c>
      <c r="C2468" s="69">
        <v>27.528150295350116</v>
      </c>
    </row>
    <row r="2469">
      <c r="A2469" s="62" t="s">
        <v>2986</v>
      </c>
      <c r="B2469" s="63">
        <v>44199.0</v>
      </c>
      <c r="C2469" s="69">
        <v>27.527645928696845</v>
      </c>
    </row>
    <row r="2470">
      <c r="A2470" s="62" t="s">
        <v>4422</v>
      </c>
      <c r="B2470" s="63">
        <v>44174.0</v>
      </c>
      <c r="C2470" s="69">
        <v>27.525446073121067</v>
      </c>
    </row>
    <row r="2471">
      <c r="A2471" s="62" t="s">
        <v>3298</v>
      </c>
      <c r="B2471" s="63">
        <v>44208.0</v>
      </c>
      <c r="C2471" s="69">
        <v>27.52050245756365</v>
      </c>
    </row>
    <row r="2472">
      <c r="A2472" s="62" t="s">
        <v>2283</v>
      </c>
      <c r="B2472" s="63">
        <v>44382.0</v>
      </c>
      <c r="C2472" s="69">
        <v>27.516637632564674</v>
      </c>
    </row>
    <row r="2473">
      <c r="A2473" s="62" t="s">
        <v>5483</v>
      </c>
      <c r="B2473" s="63">
        <v>44345.0</v>
      </c>
      <c r="C2473" s="69">
        <v>27.51662921731171</v>
      </c>
    </row>
    <row r="2474">
      <c r="A2474" s="62" t="s">
        <v>1689</v>
      </c>
      <c r="B2474" s="63">
        <v>44263.0</v>
      </c>
      <c r="C2474" s="69">
        <v>27.507096708917366</v>
      </c>
    </row>
    <row r="2475">
      <c r="A2475" s="62" t="s">
        <v>5482</v>
      </c>
      <c r="B2475" s="63">
        <v>44342.0</v>
      </c>
      <c r="C2475" s="69">
        <v>27.506299568862993</v>
      </c>
    </row>
    <row r="2476">
      <c r="A2476" s="62" t="s">
        <v>3462</v>
      </c>
      <c r="B2476" s="63">
        <v>44203.0</v>
      </c>
      <c r="C2476" s="69">
        <v>27.502037529385355</v>
      </c>
    </row>
    <row r="2477">
      <c r="A2477" s="62" t="s">
        <v>5426</v>
      </c>
      <c r="B2477" s="63">
        <v>44356.0</v>
      </c>
      <c r="C2477" s="69">
        <v>27.500024006254694</v>
      </c>
    </row>
    <row r="2478">
      <c r="A2478" s="62" t="s">
        <v>2432</v>
      </c>
      <c r="B2478" s="63">
        <v>44383.0</v>
      </c>
      <c r="C2478" s="69">
        <v>27.49933459558632</v>
      </c>
    </row>
    <row r="2479">
      <c r="A2479" s="62" t="s">
        <v>1488</v>
      </c>
      <c r="B2479" s="63">
        <v>44376.0</v>
      </c>
      <c r="C2479" s="69">
        <v>27.498854263904885</v>
      </c>
    </row>
    <row r="2480">
      <c r="A2480" s="62" t="s">
        <v>5477</v>
      </c>
      <c r="B2480" s="63">
        <v>44347.0</v>
      </c>
      <c r="C2480" s="69">
        <v>27.498794707801743</v>
      </c>
    </row>
    <row r="2481">
      <c r="A2481" s="62" t="s">
        <v>3317</v>
      </c>
      <c r="B2481" s="63">
        <v>44224.0</v>
      </c>
      <c r="C2481" s="69">
        <v>27.49564542262585</v>
      </c>
    </row>
    <row r="2482">
      <c r="A2482" s="62" t="s">
        <v>2169</v>
      </c>
      <c r="B2482" s="63">
        <v>44067.0</v>
      </c>
      <c r="C2482" s="69">
        <v>27.49368065959483</v>
      </c>
    </row>
    <row r="2483">
      <c r="A2483" s="62" t="s">
        <v>3766</v>
      </c>
      <c r="B2483" s="63">
        <v>44187.0</v>
      </c>
      <c r="C2483" s="69">
        <v>27.491930166676507</v>
      </c>
    </row>
    <row r="2484">
      <c r="A2484" s="62" t="s">
        <v>5547</v>
      </c>
      <c r="B2484" s="63">
        <v>44365.0</v>
      </c>
      <c r="C2484" s="69">
        <v>27.48194016111317</v>
      </c>
    </row>
    <row r="2485">
      <c r="A2485" s="62" t="s">
        <v>5474</v>
      </c>
      <c r="B2485" s="63">
        <v>44342.0</v>
      </c>
      <c r="C2485" s="69">
        <v>27.478636295762445</v>
      </c>
    </row>
    <row r="2486">
      <c r="A2486" s="62" t="s">
        <v>6134</v>
      </c>
      <c r="B2486" s="63">
        <v>44355.0</v>
      </c>
      <c r="C2486" s="69">
        <v>27.47257663025117</v>
      </c>
    </row>
    <row r="2487">
      <c r="A2487" s="62" t="s">
        <v>1007</v>
      </c>
      <c r="B2487" s="63">
        <v>44278.0</v>
      </c>
      <c r="C2487" s="69">
        <v>27.470520575394197</v>
      </c>
    </row>
    <row r="2488">
      <c r="A2488" s="62" t="s">
        <v>806</v>
      </c>
      <c r="B2488" s="63">
        <v>44161.0</v>
      </c>
      <c r="C2488" s="69">
        <v>27.46974868493342</v>
      </c>
    </row>
    <row r="2489">
      <c r="A2489" s="62" t="s">
        <v>3878</v>
      </c>
      <c r="B2489" s="63">
        <v>44232.0</v>
      </c>
      <c r="C2489" s="69">
        <v>27.467262951298636</v>
      </c>
    </row>
    <row r="2490">
      <c r="A2490" s="62" t="s">
        <v>3666</v>
      </c>
      <c r="B2490" s="63">
        <v>44174.0</v>
      </c>
      <c r="C2490" s="69">
        <v>27.458353783493358</v>
      </c>
    </row>
    <row r="2491">
      <c r="A2491" s="62" t="s">
        <v>6090</v>
      </c>
      <c r="B2491" s="63">
        <v>44361.0</v>
      </c>
      <c r="C2491" s="69">
        <v>27.457592535091024</v>
      </c>
    </row>
    <row r="2492">
      <c r="A2492" s="62" t="s">
        <v>276</v>
      </c>
      <c r="B2492" s="63">
        <v>44382.0</v>
      </c>
      <c r="C2492" s="69">
        <v>27.45634971890276</v>
      </c>
    </row>
    <row r="2493">
      <c r="A2493" s="62" t="s">
        <v>5473</v>
      </c>
      <c r="B2493" s="63">
        <v>44343.0</v>
      </c>
      <c r="C2493" s="69">
        <v>27.45418422078069</v>
      </c>
    </row>
    <row r="2494">
      <c r="A2494" s="62" t="s">
        <v>3103</v>
      </c>
      <c r="B2494" s="63">
        <v>44229.0</v>
      </c>
      <c r="C2494" s="69">
        <v>27.442535146179928</v>
      </c>
    </row>
    <row r="2495">
      <c r="A2495" s="62" t="s">
        <v>5736</v>
      </c>
      <c r="B2495" s="63">
        <v>44368.0</v>
      </c>
      <c r="C2495" s="69">
        <v>27.442458896716854</v>
      </c>
    </row>
    <row r="2496">
      <c r="A2496" s="62" t="s">
        <v>6537</v>
      </c>
      <c r="B2496" s="63">
        <v>44357.0</v>
      </c>
      <c r="C2496" s="69">
        <v>27.434901385714582</v>
      </c>
    </row>
    <row r="2497">
      <c r="A2497" s="62" t="s">
        <v>6309</v>
      </c>
      <c r="B2497" s="63">
        <v>44376.0</v>
      </c>
      <c r="C2497" s="69">
        <v>27.4334937502003</v>
      </c>
    </row>
    <row r="2498">
      <c r="A2498" s="62" t="s">
        <v>5470</v>
      </c>
      <c r="B2498" s="63">
        <v>44334.0</v>
      </c>
      <c r="C2498" s="69">
        <v>27.42910639599379</v>
      </c>
    </row>
    <row r="2499">
      <c r="A2499" s="62" t="s">
        <v>1799</v>
      </c>
      <c r="B2499" s="63">
        <v>44378.0</v>
      </c>
      <c r="C2499" s="69">
        <v>27.423476753853446</v>
      </c>
    </row>
    <row r="2500">
      <c r="A2500" s="62" t="s">
        <v>5003</v>
      </c>
      <c r="B2500" s="63">
        <v>44309.0</v>
      </c>
      <c r="C2500" s="69">
        <v>27.41829953927422</v>
      </c>
    </row>
    <row r="2501">
      <c r="A2501" s="62" t="s">
        <v>1939</v>
      </c>
      <c r="B2501" s="63">
        <v>44149.0</v>
      </c>
      <c r="C2501" s="69">
        <v>27.412497887520075</v>
      </c>
    </row>
    <row r="2502">
      <c r="A2502" s="62" t="s">
        <v>5098</v>
      </c>
      <c r="B2502" s="63">
        <v>44293.0</v>
      </c>
      <c r="C2502" s="69">
        <v>27.4112080248716</v>
      </c>
    </row>
    <row r="2503">
      <c r="A2503" s="62" t="s">
        <v>2962</v>
      </c>
      <c r="B2503" s="63">
        <v>44086.0</v>
      </c>
      <c r="C2503" s="69">
        <v>27.410842227704816</v>
      </c>
    </row>
    <row r="2504">
      <c r="A2504" s="62" t="s">
        <v>5308</v>
      </c>
      <c r="B2504" s="63">
        <v>44375.0</v>
      </c>
      <c r="C2504" s="69">
        <v>27.40949332696946</v>
      </c>
    </row>
    <row r="2505">
      <c r="A2505" s="62" t="s">
        <v>5312</v>
      </c>
      <c r="B2505" s="63">
        <v>44354.0</v>
      </c>
      <c r="C2505" s="69">
        <v>27.407589805474693</v>
      </c>
    </row>
    <row r="2506">
      <c r="A2506" s="62" t="s">
        <v>4234</v>
      </c>
      <c r="B2506" s="63">
        <v>44183.0</v>
      </c>
      <c r="C2506" s="69">
        <v>27.407254092632705</v>
      </c>
    </row>
    <row r="2507">
      <c r="A2507" s="62" t="s">
        <v>4549</v>
      </c>
      <c r="B2507" s="63">
        <v>44258.0</v>
      </c>
      <c r="C2507" s="69">
        <v>27.403008333480425</v>
      </c>
    </row>
    <row r="2508">
      <c r="A2508" s="62" t="s">
        <v>6219</v>
      </c>
      <c r="B2508" s="63">
        <v>44356.0</v>
      </c>
      <c r="C2508" s="69">
        <v>27.400378031667163</v>
      </c>
    </row>
    <row r="2509">
      <c r="A2509" s="62" t="s">
        <v>5463</v>
      </c>
      <c r="B2509" s="63">
        <v>44333.0</v>
      </c>
      <c r="C2509" s="69">
        <v>27.388368607908955</v>
      </c>
    </row>
    <row r="2510">
      <c r="A2510" s="62" t="s">
        <v>4433</v>
      </c>
      <c r="B2510" s="63">
        <v>44295.0</v>
      </c>
      <c r="C2510" s="69">
        <v>27.38493651979024</v>
      </c>
    </row>
    <row r="2511">
      <c r="A2511" s="62" t="s">
        <v>3623</v>
      </c>
      <c r="B2511" s="63">
        <v>44167.0</v>
      </c>
      <c r="C2511" s="69">
        <v>27.378931516361675</v>
      </c>
    </row>
    <row r="2512">
      <c r="A2512" s="62" t="s">
        <v>2727</v>
      </c>
      <c r="B2512" s="63">
        <v>44224.0</v>
      </c>
      <c r="C2512" s="69">
        <v>27.368940003875224</v>
      </c>
    </row>
    <row r="2513">
      <c r="A2513" s="62" t="s">
        <v>445</v>
      </c>
      <c r="B2513" s="63">
        <v>44384.0</v>
      </c>
      <c r="C2513" s="69">
        <v>27.35896197142661</v>
      </c>
    </row>
    <row r="2514">
      <c r="A2514" s="62" t="s">
        <v>3410</v>
      </c>
      <c r="B2514" s="63">
        <v>44088.0</v>
      </c>
      <c r="C2514" s="69">
        <v>27.356783400092386</v>
      </c>
    </row>
    <row r="2515">
      <c r="A2515" s="62" t="s">
        <v>3111</v>
      </c>
      <c r="B2515" s="63">
        <v>44173.0</v>
      </c>
      <c r="C2515" s="69">
        <v>27.34186083636516</v>
      </c>
    </row>
    <row r="2516">
      <c r="A2516" s="62" t="s">
        <v>3696</v>
      </c>
      <c r="B2516" s="63">
        <v>44237.0</v>
      </c>
      <c r="C2516" s="69">
        <v>27.341705557235333</v>
      </c>
    </row>
    <row r="2517">
      <c r="A2517" s="62" t="s">
        <v>5460</v>
      </c>
      <c r="B2517" s="63">
        <v>44326.0</v>
      </c>
      <c r="C2517" s="69">
        <v>27.327465257619767</v>
      </c>
    </row>
    <row r="2518">
      <c r="A2518" s="62" t="s">
        <v>3889</v>
      </c>
      <c r="B2518" s="63">
        <v>44238.0</v>
      </c>
      <c r="C2518" s="69">
        <v>27.324602356328477</v>
      </c>
    </row>
    <row r="2519">
      <c r="A2519" s="62" t="s">
        <v>4325</v>
      </c>
      <c r="B2519" s="63">
        <v>44166.0</v>
      </c>
      <c r="C2519" s="69">
        <v>27.320267495189285</v>
      </c>
    </row>
    <row r="2520">
      <c r="A2520" s="62" t="s">
        <v>159</v>
      </c>
      <c r="B2520" s="63">
        <v>44400.0</v>
      </c>
      <c r="C2520" s="69">
        <v>27.31324315926198</v>
      </c>
    </row>
    <row r="2521">
      <c r="A2521" s="62" t="s">
        <v>3731</v>
      </c>
      <c r="B2521" s="63">
        <v>44244.0</v>
      </c>
      <c r="C2521" s="69">
        <v>27.311309222638744</v>
      </c>
    </row>
    <row r="2522">
      <c r="A2522" s="62" t="s">
        <v>5082</v>
      </c>
      <c r="B2522" s="63">
        <v>44286.0</v>
      </c>
      <c r="C2522" s="69">
        <v>27.30853321310513</v>
      </c>
    </row>
    <row r="2523">
      <c r="A2523" s="62" t="s">
        <v>3475</v>
      </c>
      <c r="B2523" s="63">
        <v>44176.0</v>
      </c>
      <c r="C2523" s="69">
        <v>27.308320089386804</v>
      </c>
    </row>
    <row r="2524">
      <c r="A2524" s="62" t="s">
        <v>2588</v>
      </c>
      <c r="B2524" s="63">
        <v>44380.0</v>
      </c>
      <c r="C2524" s="69">
        <v>27.301921619493502</v>
      </c>
    </row>
    <row r="2525">
      <c r="A2525" s="62" t="s">
        <v>3915</v>
      </c>
      <c r="B2525" s="63">
        <v>44223.0</v>
      </c>
      <c r="C2525" s="69">
        <v>27.3006838906161</v>
      </c>
    </row>
    <row r="2526">
      <c r="A2526" s="62" t="s">
        <v>5453</v>
      </c>
      <c r="B2526" s="63">
        <v>44341.0</v>
      </c>
      <c r="C2526" s="69">
        <v>27.298066990681534</v>
      </c>
    </row>
    <row r="2527">
      <c r="A2527" s="62" t="s">
        <v>5430</v>
      </c>
      <c r="B2527" s="63">
        <v>44376.0</v>
      </c>
      <c r="C2527" s="69">
        <v>27.29516491955537</v>
      </c>
    </row>
    <row r="2528">
      <c r="A2528" s="62" t="s">
        <v>6622</v>
      </c>
      <c r="B2528" s="63">
        <v>44376.0</v>
      </c>
      <c r="C2528" s="69">
        <v>27.292731844630072</v>
      </c>
    </row>
    <row r="2529">
      <c r="A2529" s="62" t="s">
        <v>2642</v>
      </c>
      <c r="B2529" s="63">
        <v>44203.0</v>
      </c>
      <c r="C2529" s="69">
        <v>27.28670370579858</v>
      </c>
    </row>
    <row r="2530">
      <c r="A2530" s="62" t="s">
        <v>2817</v>
      </c>
      <c r="B2530" s="63">
        <v>44141.0</v>
      </c>
      <c r="C2530" s="69">
        <v>27.276553665435518</v>
      </c>
    </row>
    <row r="2531">
      <c r="A2531" s="62" t="s">
        <v>2233</v>
      </c>
      <c r="B2531" s="63">
        <v>44063.0</v>
      </c>
      <c r="C2531" s="69">
        <v>27.27651520781789</v>
      </c>
    </row>
    <row r="2532">
      <c r="A2532" s="62" t="s">
        <v>4435</v>
      </c>
      <c r="B2532" s="63">
        <v>44270.0</v>
      </c>
      <c r="C2532" s="69">
        <v>27.275200244995517</v>
      </c>
    </row>
    <row r="2533">
      <c r="A2533" s="62" t="s">
        <v>5451</v>
      </c>
      <c r="B2533" s="63">
        <v>44336.0</v>
      </c>
      <c r="C2533" s="69">
        <v>27.274786965431893</v>
      </c>
    </row>
    <row r="2534">
      <c r="A2534" s="62" t="s">
        <v>1289</v>
      </c>
      <c r="B2534" s="63">
        <v>44084.0</v>
      </c>
      <c r="C2534" s="69">
        <v>27.274647588777743</v>
      </c>
    </row>
    <row r="2535">
      <c r="A2535" s="62" t="s">
        <v>2270</v>
      </c>
      <c r="B2535" s="63">
        <v>44380.0</v>
      </c>
      <c r="C2535" s="69">
        <v>27.273818086329733</v>
      </c>
    </row>
    <row r="2536">
      <c r="A2536" s="62" t="s">
        <v>5192</v>
      </c>
      <c r="B2536" s="63">
        <v>44312.0</v>
      </c>
      <c r="C2536" s="69">
        <v>27.271086917893257</v>
      </c>
    </row>
    <row r="2537">
      <c r="A2537" s="62" t="s">
        <v>2944</v>
      </c>
      <c r="B2537" s="63">
        <v>44235.0</v>
      </c>
      <c r="C2537" s="69">
        <v>27.264407366367735</v>
      </c>
    </row>
    <row r="2538">
      <c r="A2538" s="62" t="s">
        <v>2941</v>
      </c>
      <c r="B2538" s="63">
        <v>44233.0</v>
      </c>
      <c r="C2538" s="69">
        <v>27.26131732993923</v>
      </c>
    </row>
    <row r="2539">
      <c r="A2539" s="62" t="s">
        <v>2720</v>
      </c>
      <c r="B2539" s="63">
        <v>44135.0</v>
      </c>
      <c r="C2539" s="69">
        <v>27.251527909845173</v>
      </c>
    </row>
    <row r="2540">
      <c r="A2540" s="62" t="s">
        <v>5446</v>
      </c>
      <c r="B2540" s="63">
        <v>44319.0</v>
      </c>
      <c r="C2540" s="69">
        <v>27.249197607885165</v>
      </c>
    </row>
    <row r="2541">
      <c r="A2541" s="62" t="s">
        <v>2830</v>
      </c>
      <c r="B2541" s="63">
        <v>44223.0</v>
      </c>
      <c r="C2541" s="69">
        <v>27.24392086702504</v>
      </c>
    </row>
    <row r="2542">
      <c r="A2542" s="62" t="s">
        <v>4106</v>
      </c>
      <c r="B2542" s="63">
        <v>44106.0</v>
      </c>
      <c r="C2542" s="69">
        <v>27.243404589270767</v>
      </c>
    </row>
    <row r="2543">
      <c r="A2543" s="62" t="s">
        <v>4671</v>
      </c>
      <c r="B2543" s="63">
        <v>44274.0</v>
      </c>
      <c r="C2543" s="69">
        <v>27.24020026937434</v>
      </c>
    </row>
    <row r="2544">
      <c r="A2544" s="62" t="s">
        <v>335</v>
      </c>
      <c r="B2544" s="63">
        <v>44237.0</v>
      </c>
      <c r="C2544" s="69">
        <v>27.229217112753133</v>
      </c>
    </row>
    <row r="2545">
      <c r="A2545" s="62" t="s">
        <v>1702</v>
      </c>
      <c r="B2545" s="63">
        <v>44256.0</v>
      </c>
      <c r="C2545" s="69">
        <v>27.224502738572607</v>
      </c>
    </row>
    <row r="2546">
      <c r="A2546" s="62" t="s">
        <v>2930</v>
      </c>
      <c r="B2546" s="63">
        <v>44104.0</v>
      </c>
      <c r="C2546" s="69">
        <v>27.224428207691002</v>
      </c>
    </row>
    <row r="2547">
      <c r="A2547" s="62" t="s">
        <v>4970</v>
      </c>
      <c r="B2547" s="63">
        <v>44271.0</v>
      </c>
      <c r="C2547" s="69">
        <v>27.222549266387205</v>
      </c>
    </row>
    <row r="2548">
      <c r="A2548" s="62" t="s">
        <v>5213</v>
      </c>
      <c r="B2548" s="63">
        <v>44284.0</v>
      </c>
      <c r="C2548" s="69">
        <v>27.216831075235852</v>
      </c>
    </row>
    <row r="2549">
      <c r="A2549" s="62" t="s">
        <v>6577</v>
      </c>
      <c r="B2549" s="63">
        <v>44372.0</v>
      </c>
      <c r="C2549" s="69">
        <v>27.214762213005734</v>
      </c>
    </row>
    <row r="2550">
      <c r="A2550" s="62" t="s">
        <v>3073</v>
      </c>
      <c r="B2550" s="63">
        <v>44223.0</v>
      </c>
      <c r="C2550" s="69">
        <v>27.211153745790526</v>
      </c>
    </row>
    <row r="2551">
      <c r="A2551" s="62" t="s">
        <v>2460</v>
      </c>
      <c r="B2551" s="63">
        <v>44399.0</v>
      </c>
      <c r="C2551" s="69">
        <v>27.210235693190334</v>
      </c>
    </row>
    <row r="2552">
      <c r="A2552" s="62" t="s">
        <v>4690</v>
      </c>
      <c r="B2552" s="63">
        <v>44281.0</v>
      </c>
      <c r="C2552" s="69">
        <v>27.201600685529613</v>
      </c>
    </row>
    <row r="2553">
      <c r="A2553" s="62" t="s">
        <v>4850</v>
      </c>
      <c r="B2553" s="63">
        <v>44280.0</v>
      </c>
      <c r="C2553" s="69">
        <v>27.199025017795556</v>
      </c>
    </row>
    <row r="2554">
      <c r="A2554" s="62" t="s">
        <v>5444</v>
      </c>
      <c r="B2554" s="63">
        <v>44347.0</v>
      </c>
      <c r="C2554" s="69">
        <v>27.197720456360482</v>
      </c>
    </row>
    <row r="2555">
      <c r="A2555" s="62" t="s">
        <v>5087</v>
      </c>
      <c r="B2555" s="63">
        <v>44308.0</v>
      </c>
      <c r="C2555" s="69">
        <v>27.194910455622868</v>
      </c>
    </row>
    <row r="2556">
      <c r="A2556" s="62" t="s">
        <v>2462</v>
      </c>
      <c r="B2556" s="63">
        <v>44396.0</v>
      </c>
      <c r="C2556" s="69">
        <v>27.194085589737455</v>
      </c>
    </row>
    <row r="2557">
      <c r="A2557" s="62" t="s">
        <v>2713</v>
      </c>
      <c r="B2557" s="63">
        <v>44225.0</v>
      </c>
      <c r="C2557" s="69">
        <v>27.193209585029567</v>
      </c>
    </row>
    <row r="2558">
      <c r="A2558" s="62" t="s">
        <v>2172</v>
      </c>
      <c r="B2558" s="63">
        <v>44070.0</v>
      </c>
      <c r="C2558" s="69">
        <v>27.1920236097967</v>
      </c>
    </row>
    <row r="2559">
      <c r="A2559" s="62" t="s">
        <v>6497</v>
      </c>
      <c r="B2559" s="63">
        <v>44348.0</v>
      </c>
      <c r="C2559" s="69">
        <v>27.180134524812253</v>
      </c>
    </row>
    <row r="2560">
      <c r="A2560" s="62" t="s">
        <v>3691</v>
      </c>
      <c r="B2560" s="63">
        <v>44091.0</v>
      </c>
      <c r="C2560" s="69">
        <v>27.175349328608085</v>
      </c>
    </row>
    <row r="2561">
      <c r="A2561" s="62" t="s">
        <v>489</v>
      </c>
      <c r="B2561" s="63">
        <v>44390.0</v>
      </c>
      <c r="C2561" s="69">
        <v>27.17272077703857</v>
      </c>
    </row>
    <row r="2562">
      <c r="A2562" s="62" t="s">
        <v>5441</v>
      </c>
      <c r="B2562" s="63">
        <v>44336.0</v>
      </c>
      <c r="C2562" s="69">
        <v>27.17072556932429</v>
      </c>
    </row>
    <row r="2563">
      <c r="A2563" s="62" t="s">
        <v>5440</v>
      </c>
      <c r="B2563" s="63">
        <v>44328.0</v>
      </c>
      <c r="C2563" s="69">
        <v>27.16984843147413</v>
      </c>
    </row>
    <row r="2564">
      <c r="A2564" s="62" t="s">
        <v>5209</v>
      </c>
      <c r="B2564" s="63">
        <v>44278.0</v>
      </c>
      <c r="C2564" s="69">
        <v>27.16796764926262</v>
      </c>
    </row>
    <row r="2565">
      <c r="A2565" s="62" t="s">
        <v>5347</v>
      </c>
      <c r="B2565" s="63">
        <v>44349.0</v>
      </c>
      <c r="C2565" s="69">
        <v>27.160151397099632</v>
      </c>
    </row>
    <row r="2566">
      <c r="A2566" s="62" t="s">
        <v>6183</v>
      </c>
      <c r="B2566" s="63">
        <v>44351.0</v>
      </c>
      <c r="C2566" s="69">
        <v>27.1586518355085</v>
      </c>
    </row>
    <row r="2567">
      <c r="A2567" s="62" t="s">
        <v>1019</v>
      </c>
      <c r="B2567" s="63">
        <v>44277.0</v>
      </c>
      <c r="C2567" s="69">
        <v>27.151464445192552</v>
      </c>
    </row>
    <row r="2568">
      <c r="A2568" s="62" t="s">
        <v>4412</v>
      </c>
      <c r="B2568" s="63">
        <v>44246.0</v>
      </c>
      <c r="C2568" s="69">
        <v>27.149323454475525</v>
      </c>
    </row>
    <row r="2569">
      <c r="A2569" s="62" t="s">
        <v>3687</v>
      </c>
      <c r="B2569" s="63">
        <v>44090.0</v>
      </c>
      <c r="C2569" s="69">
        <v>27.1477038745039</v>
      </c>
    </row>
    <row r="2570">
      <c r="A2570" s="62" t="s">
        <v>5439</v>
      </c>
      <c r="B2570" s="63">
        <v>44322.0</v>
      </c>
      <c r="C2570" s="69">
        <v>27.14463567117295</v>
      </c>
    </row>
    <row r="2571">
      <c r="A2571" s="62" t="s">
        <v>4729</v>
      </c>
      <c r="B2571" s="63">
        <v>44281.0</v>
      </c>
      <c r="C2571" s="69">
        <v>27.143437888089565</v>
      </c>
    </row>
    <row r="2572">
      <c r="A2572" s="62" t="s">
        <v>6646</v>
      </c>
      <c r="B2572" s="63">
        <v>44369.0</v>
      </c>
      <c r="C2572" s="69">
        <v>27.143244839705602</v>
      </c>
    </row>
    <row r="2573">
      <c r="A2573" s="62" t="s">
        <v>2911</v>
      </c>
      <c r="B2573" s="63">
        <v>44249.0</v>
      </c>
      <c r="C2573" s="69">
        <v>27.14102309816745</v>
      </c>
    </row>
    <row r="2574">
      <c r="A2574" s="62" t="s">
        <v>6555</v>
      </c>
      <c r="B2574" s="63">
        <v>44349.0</v>
      </c>
      <c r="C2574" s="69">
        <v>27.138597872650266</v>
      </c>
    </row>
    <row r="2575">
      <c r="A2575" s="62" t="s">
        <v>5380</v>
      </c>
      <c r="B2575" s="63">
        <v>44376.0</v>
      </c>
      <c r="C2575" s="69">
        <v>27.135468725111988</v>
      </c>
    </row>
    <row r="2576">
      <c r="A2576" s="62" t="s">
        <v>3624</v>
      </c>
      <c r="B2576" s="63">
        <v>44231.0</v>
      </c>
      <c r="C2576" s="69">
        <v>27.131004809767024</v>
      </c>
    </row>
    <row r="2577">
      <c r="A2577" s="62" t="s">
        <v>1075</v>
      </c>
      <c r="B2577" s="63">
        <v>44375.0</v>
      </c>
      <c r="C2577" s="69">
        <v>27.12969837438914</v>
      </c>
    </row>
    <row r="2578">
      <c r="A2578" s="62" t="s">
        <v>5217</v>
      </c>
      <c r="B2578" s="63">
        <v>44287.0</v>
      </c>
      <c r="C2578" s="69">
        <v>27.1260187484066</v>
      </c>
    </row>
    <row r="2579">
      <c r="A2579" s="62" t="s">
        <v>3478</v>
      </c>
      <c r="B2579" s="63">
        <v>44203.0</v>
      </c>
      <c r="C2579" s="69">
        <v>27.122790409003787</v>
      </c>
    </row>
    <row r="2580">
      <c r="A2580" s="62" t="s">
        <v>5901</v>
      </c>
      <c r="B2580" s="63">
        <v>44375.0</v>
      </c>
      <c r="C2580" s="69">
        <v>27.11772098308966</v>
      </c>
    </row>
    <row r="2581">
      <c r="A2581" s="62" t="s">
        <v>6171</v>
      </c>
      <c r="B2581" s="63">
        <v>44354.0</v>
      </c>
      <c r="C2581" s="69">
        <v>27.10779722033198</v>
      </c>
    </row>
    <row r="2582">
      <c r="A2582" s="62" t="s">
        <v>3943</v>
      </c>
      <c r="B2582" s="63">
        <v>44153.0</v>
      </c>
      <c r="C2582" s="69">
        <v>27.10700163627898</v>
      </c>
    </row>
    <row r="2583">
      <c r="A2583" s="62" t="s">
        <v>6498</v>
      </c>
      <c r="B2583" s="63">
        <v>44375.0</v>
      </c>
      <c r="C2583" s="69">
        <v>27.106756276313337</v>
      </c>
    </row>
    <row r="2584">
      <c r="A2584" s="62" t="s">
        <v>4024</v>
      </c>
      <c r="B2584" s="63">
        <v>44223.0</v>
      </c>
      <c r="C2584" s="69">
        <v>27.106726538660215</v>
      </c>
    </row>
    <row r="2585">
      <c r="A2585" s="62" t="s">
        <v>1026</v>
      </c>
      <c r="B2585" s="63">
        <v>44074.0</v>
      </c>
      <c r="C2585" s="69">
        <v>27.097916492626773</v>
      </c>
    </row>
    <row r="2586">
      <c r="A2586" s="62" t="s">
        <v>5505</v>
      </c>
      <c r="B2586" s="63">
        <v>44365.0</v>
      </c>
      <c r="C2586" s="69">
        <v>27.09187064228857</v>
      </c>
    </row>
    <row r="2587">
      <c r="A2587" s="62" t="s">
        <v>413</v>
      </c>
      <c r="B2587" s="63">
        <v>44361.0</v>
      </c>
      <c r="C2587" s="69">
        <v>27.08745301692141</v>
      </c>
    </row>
    <row r="2588">
      <c r="A2588" s="62" t="s">
        <v>144</v>
      </c>
      <c r="B2588" s="63">
        <v>44393.0</v>
      </c>
      <c r="C2588" s="69">
        <v>27.086923946529573</v>
      </c>
    </row>
    <row r="2589">
      <c r="A2589" s="62" t="s">
        <v>3229</v>
      </c>
      <c r="B2589" s="63">
        <v>44082.0</v>
      </c>
      <c r="C2589" s="69">
        <v>27.085886737711057</v>
      </c>
    </row>
    <row r="2590">
      <c r="A2590" s="62" t="s">
        <v>304</v>
      </c>
      <c r="B2590" s="63">
        <v>44313.0</v>
      </c>
      <c r="C2590" s="69">
        <v>27.083607079369276</v>
      </c>
    </row>
    <row r="2591">
      <c r="A2591" s="62" t="s">
        <v>6483</v>
      </c>
      <c r="B2591" s="63">
        <v>44348.0</v>
      </c>
      <c r="C2591" s="69">
        <v>27.081962280980285</v>
      </c>
    </row>
    <row r="2592">
      <c r="A2592" s="62" t="s">
        <v>4153</v>
      </c>
      <c r="B2592" s="63">
        <v>44223.0</v>
      </c>
      <c r="C2592" s="69">
        <v>27.076611487356224</v>
      </c>
    </row>
    <row r="2593">
      <c r="A2593" s="62" t="s">
        <v>5915</v>
      </c>
      <c r="B2593" s="63">
        <v>44350.0</v>
      </c>
      <c r="C2593" s="69">
        <v>27.071665811626314</v>
      </c>
    </row>
    <row r="2594">
      <c r="A2594" s="62" t="s">
        <v>6647</v>
      </c>
      <c r="B2594" s="63">
        <v>44364.0</v>
      </c>
      <c r="C2594" s="69">
        <v>27.06999384395632</v>
      </c>
    </row>
    <row r="2595">
      <c r="A2595" s="62" t="s">
        <v>6620</v>
      </c>
      <c r="B2595" s="63">
        <v>44350.0</v>
      </c>
      <c r="C2595" s="69">
        <v>27.067900508040506</v>
      </c>
    </row>
    <row r="2596">
      <c r="A2596" s="62" t="s">
        <v>238</v>
      </c>
      <c r="B2596" s="63">
        <v>44392.0</v>
      </c>
      <c r="C2596" s="69">
        <v>27.066605035864324</v>
      </c>
    </row>
    <row r="2597">
      <c r="A2597" s="62" t="s">
        <v>5989</v>
      </c>
      <c r="B2597" s="63">
        <v>44377.0</v>
      </c>
      <c r="C2597" s="69">
        <v>27.064216118486325</v>
      </c>
    </row>
    <row r="2598">
      <c r="A2598" s="62" t="s">
        <v>4025</v>
      </c>
      <c r="B2598" s="63">
        <v>44235.0</v>
      </c>
      <c r="C2598" s="69">
        <v>27.06008652008642</v>
      </c>
    </row>
    <row r="2599">
      <c r="A2599" s="62" t="s">
        <v>2164</v>
      </c>
      <c r="B2599" s="63">
        <v>44064.0</v>
      </c>
      <c r="C2599" s="69">
        <v>27.056367292218507</v>
      </c>
    </row>
    <row r="2600">
      <c r="A2600" s="62" t="s">
        <v>5437</v>
      </c>
      <c r="B2600" s="63">
        <v>44327.0</v>
      </c>
      <c r="C2600" s="69">
        <v>27.05559422104423</v>
      </c>
    </row>
    <row r="2601">
      <c r="A2601" s="62" t="s">
        <v>4081</v>
      </c>
      <c r="B2601" s="63">
        <v>44151.0</v>
      </c>
      <c r="C2601" s="69">
        <v>27.048587246175263</v>
      </c>
    </row>
    <row r="2602">
      <c r="A2602" s="62" t="s">
        <v>3288</v>
      </c>
      <c r="B2602" s="63">
        <v>44204.0</v>
      </c>
      <c r="C2602" s="69">
        <v>27.039756917991795</v>
      </c>
    </row>
    <row r="2603">
      <c r="A2603" s="62" t="s">
        <v>4537</v>
      </c>
      <c r="B2603" s="63">
        <v>44309.0</v>
      </c>
      <c r="C2603" s="69">
        <v>27.035671590432035</v>
      </c>
    </row>
    <row r="2604">
      <c r="A2604" s="62" t="s">
        <v>3934</v>
      </c>
      <c r="B2604" s="63">
        <v>44085.0</v>
      </c>
      <c r="C2604" s="69">
        <v>27.030404164973305</v>
      </c>
    </row>
    <row r="2605">
      <c r="A2605" s="62" t="s">
        <v>6135</v>
      </c>
      <c r="B2605" s="63">
        <v>44377.0</v>
      </c>
      <c r="C2605" s="69">
        <v>27.02953639015311</v>
      </c>
    </row>
    <row r="2606">
      <c r="A2606" s="62" t="s">
        <v>2572</v>
      </c>
      <c r="B2606" s="63">
        <v>44381.0</v>
      </c>
      <c r="C2606" s="69">
        <v>27.029476172192574</v>
      </c>
    </row>
    <row r="2607">
      <c r="A2607" s="62" t="s">
        <v>5436</v>
      </c>
      <c r="B2607" s="63">
        <v>44320.0</v>
      </c>
      <c r="C2607" s="69">
        <v>27.026198518517482</v>
      </c>
    </row>
    <row r="2608">
      <c r="A2608" s="62" t="s">
        <v>6471</v>
      </c>
      <c r="B2608" s="63">
        <v>44365.0</v>
      </c>
      <c r="C2608" s="69">
        <v>27.026093152501616</v>
      </c>
    </row>
    <row r="2609">
      <c r="A2609" s="62" t="s">
        <v>3424</v>
      </c>
      <c r="B2609" s="63">
        <v>44194.0</v>
      </c>
      <c r="C2609" s="69">
        <v>27.014612787222347</v>
      </c>
    </row>
    <row r="2610">
      <c r="A2610" s="62" t="s">
        <v>1476</v>
      </c>
      <c r="B2610" s="63">
        <v>44266.0</v>
      </c>
      <c r="C2610" s="69">
        <v>27.01152107514669</v>
      </c>
    </row>
    <row r="2611">
      <c r="A2611" s="62" t="s">
        <v>6189</v>
      </c>
      <c r="B2611" s="63">
        <v>44376.0</v>
      </c>
      <c r="C2611" s="69">
        <v>27.00641038303187</v>
      </c>
    </row>
    <row r="2612">
      <c r="A2612" s="62" t="s">
        <v>374</v>
      </c>
      <c r="B2612" s="63">
        <v>44232.0</v>
      </c>
      <c r="C2612" s="69">
        <v>27.00634821002176</v>
      </c>
    </row>
    <row r="2613">
      <c r="A2613" s="62" t="s">
        <v>4465</v>
      </c>
      <c r="B2613" s="63">
        <v>44279.0</v>
      </c>
      <c r="C2613" s="69">
        <v>26.990209896111217</v>
      </c>
    </row>
    <row r="2614">
      <c r="A2614" s="62" t="s">
        <v>2300</v>
      </c>
      <c r="B2614" s="63">
        <v>44395.0</v>
      </c>
      <c r="C2614" s="69">
        <v>26.98963757726096</v>
      </c>
    </row>
    <row r="2615">
      <c r="A2615" s="62" t="s">
        <v>3903</v>
      </c>
      <c r="B2615" s="63">
        <v>44224.0</v>
      </c>
      <c r="C2615" s="69">
        <v>26.98944638038366</v>
      </c>
    </row>
    <row r="2616">
      <c r="A2616" s="62" t="s">
        <v>5465</v>
      </c>
      <c r="B2616" s="63">
        <v>44356.0</v>
      </c>
      <c r="C2616" s="69">
        <v>26.98674810716119</v>
      </c>
    </row>
    <row r="2617">
      <c r="A2617" s="62" t="s">
        <v>2836</v>
      </c>
      <c r="B2617" s="63">
        <v>44200.0</v>
      </c>
      <c r="C2617" s="69">
        <v>26.981950697927125</v>
      </c>
    </row>
    <row r="2618">
      <c r="A2618" s="62" t="s">
        <v>3499</v>
      </c>
      <c r="B2618" s="63">
        <v>44240.0</v>
      </c>
      <c r="C2618" s="69">
        <v>26.96913428814916</v>
      </c>
    </row>
    <row r="2619">
      <c r="A2619" s="62" t="s">
        <v>3143</v>
      </c>
      <c r="B2619" s="63">
        <v>44201.0</v>
      </c>
      <c r="C2619" s="69">
        <v>26.96882420881472</v>
      </c>
    </row>
    <row r="2620">
      <c r="A2620" s="62" t="s">
        <v>3682</v>
      </c>
      <c r="B2620" s="63">
        <v>44078.0</v>
      </c>
      <c r="C2620" s="69">
        <v>26.968675362404085</v>
      </c>
    </row>
    <row r="2621">
      <c r="A2621" s="62" t="s">
        <v>733</v>
      </c>
      <c r="B2621" s="63">
        <v>44119.0</v>
      </c>
      <c r="C2621" s="69">
        <v>26.963188524473377</v>
      </c>
    </row>
    <row r="2622">
      <c r="A2622" s="62" t="s">
        <v>5140</v>
      </c>
      <c r="B2622" s="63">
        <v>44279.0</v>
      </c>
      <c r="C2622" s="69">
        <v>26.962844764155367</v>
      </c>
    </row>
    <row r="2623">
      <c r="A2623" s="62" t="s">
        <v>6156</v>
      </c>
      <c r="B2623" s="63">
        <v>44377.0</v>
      </c>
      <c r="C2623" s="69">
        <v>26.961458751465393</v>
      </c>
    </row>
    <row r="2624">
      <c r="A2624" s="62" t="s">
        <v>1727</v>
      </c>
      <c r="B2624" s="63">
        <v>44269.0</v>
      </c>
      <c r="C2624" s="69">
        <v>26.959485608436296</v>
      </c>
    </row>
    <row r="2625">
      <c r="A2625" s="62" t="s">
        <v>2502</v>
      </c>
      <c r="B2625" s="63">
        <v>44392.0</v>
      </c>
      <c r="C2625" s="69">
        <v>26.95786321399798</v>
      </c>
    </row>
    <row r="2626">
      <c r="A2626" s="62" t="s">
        <v>5434</v>
      </c>
      <c r="B2626" s="63">
        <v>44329.0</v>
      </c>
      <c r="C2626" s="69">
        <v>26.95541938506734</v>
      </c>
    </row>
    <row r="2627">
      <c r="A2627" s="62" t="s">
        <v>2415</v>
      </c>
      <c r="B2627" s="63">
        <v>44387.0</v>
      </c>
      <c r="C2627" s="69">
        <v>26.952537813898584</v>
      </c>
    </row>
    <row r="2628">
      <c r="A2628" s="62" t="s">
        <v>3029</v>
      </c>
      <c r="B2628" s="63">
        <v>44239.0</v>
      </c>
      <c r="C2628" s="69">
        <v>26.95077793117811</v>
      </c>
    </row>
    <row r="2629">
      <c r="A2629" s="62" t="s">
        <v>2803</v>
      </c>
      <c r="B2629" s="63">
        <v>44211.0</v>
      </c>
      <c r="C2629" s="69">
        <v>26.948640399854057</v>
      </c>
    </row>
    <row r="2630">
      <c r="A2630" s="62" t="s">
        <v>3963</v>
      </c>
      <c r="B2630" s="63">
        <v>44240.0</v>
      </c>
      <c r="C2630" s="69">
        <v>26.947622860726746</v>
      </c>
    </row>
    <row r="2631">
      <c r="A2631" s="62" t="s">
        <v>5433</v>
      </c>
      <c r="B2631" s="63">
        <v>44331.0</v>
      </c>
      <c r="C2631" s="69">
        <v>26.944873798329</v>
      </c>
    </row>
    <row r="2632">
      <c r="A2632" s="62" t="s">
        <v>1469</v>
      </c>
      <c r="B2632" s="63">
        <v>44098.0</v>
      </c>
      <c r="C2632" s="69">
        <v>26.94117016979532</v>
      </c>
    </row>
    <row r="2633">
      <c r="A2633" s="62" t="s">
        <v>5428</v>
      </c>
      <c r="B2633" s="63">
        <v>44335.0</v>
      </c>
      <c r="C2633" s="69">
        <v>26.93174557332734</v>
      </c>
    </row>
    <row r="2634">
      <c r="A2634" s="62" t="s">
        <v>2332</v>
      </c>
      <c r="B2634" s="63">
        <v>44396.0</v>
      </c>
      <c r="C2634" s="69">
        <v>26.9289275904308</v>
      </c>
    </row>
    <row r="2635">
      <c r="A2635" s="62" t="s">
        <v>4570</v>
      </c>
      <c r="B2635" s="63">
        <v>44266.0</v>
      </c>
      <c r="C2635" s="69">
        <v>26.928154222592656</v>
      </c>
    </row>
    <row r="2636">
      <c r="A2636" s="62" t="s">
        <v>5002</v>
      </c>
      <c r="B2636" s="63">
        <v>44266.0</v>
      </c>
      <c r="C2636" s="69">
        <v>26.922897245777477</v>
      </c>
    </row>
    <row r="2637">
      <c r="A2637" s="62" t="s">
        <v>4943</v>
      </c>
      <c r="B2637" s="63">
        <v>44279.0</v>
      </c>
      <c r="C2637" s="69">
        <v>26.91603592329296</v>
      </c>
    </row>
    <row r="2638">
      <c r="A2638" s="62" t="s">
        <v>2386</v>
      </c>
      <c r="B2638" s="63">
        <v>44384.0</v>
      </c>
      <c r="C2638" s="69">
        <v>26.91475878595933</v>
      </c>
    </row>
    <row r="2639">
      <c r="A2639" s="62" t="s">
        <v>2459</v>
      </c>
      <c r="B2639" s="63">
        <v>44379.0</v>
      </c>
      <c r="C2639" s="69">
        <v>26.911124760085734</v>
      </c>
    </row>
    <row r="2640">
      <c r="A2640" s="62" t="s">
        <v>4649</v>
      </c>
      <c r="B2640" s="63">
        <v>44286.0</v>
      </c>
      <c r="C2640" s="69">
        <v>26.90869503508608</v>
      </c>
    </row>
    <row r="2641">
      <c r="A2641" s="62" t="s">
        <v>3923</v>
      </c>
      <c r="B2641" s="63">
        <v>44181.0</v>
      </c>
      <c r="C2641" s="69">
        <v>26.908464003633856</v>
      </c>
    </row>
    <row r="2642">
      <c r="A2642" s="62" t="s">
        <v>5427</v>
      </c>
      <c r="B2642" s="63">
        <v>44330.0</v>
      </c>
      <c r="C2642" s="69">
        <v>26.900114542347467</v>
      </c>
    </row>
    <row r="2643">
      <c r="A2643" s="62" t="s">
        <v>5161</v>
      </c>
      <c r="B2643" s="63">
        <v>44259.0</v>
      </c>
      <c r="C2643" s="69">
        <v>26.8998161280312</v>
      </c>
    </row>
    <row r="2644">
      <c r="A2644" s="62" t="s">
        <v>3187</v>
      </c>
      <c r="B2644" s="63">
        <v>44151.0</v>
      </c>
      <c r="C2644" s="69">
        <v>26.896980759046706</v>
      </c>
    </row>
    <row r="2645">
      <c r="A2645" s="62" t="s">
        <v>4230</v>
      </c>
      <c r="B2645" s="63">
        <v>44179.0</v>
      </c>
      <c r="C2645" s="69">
        <v>26.894921938385803</v>
      </c>
    </row>
    <row r="2646">
      <c r="A2646" s="62" t="s">
        <v>6375</v>
      </c>
      <c r="B2646" s="63">
        <v>44370.0</v>
      </c>
      <c r="C2646" s="69">
        <v>26.89428245620433</v>
      </c>
    </row>
    <row r="2647">
      <c r="A2647" s="62" t="s">
        <v>3699</v>
      </c>
      <c r="B2647" s="63">
        <v>44228.0</v>
      </c>
      <c r="C2647" s="69">
        <v>26.89165169496971</v>
      </c>
    </row>
    <row r="2648">
      <c r="A2648" s="62" t="s">
        <v>5764</v>
      </c>
      <c r="B2648" s="63">
        <v>44358.0</v>
      </c>
      <c r="C2648" s="69">
        <v>26.891399702660532</v>
      </c>
    </row>
    <row r="2649">
      <c r="A2649" s="62" t="s">
        <v>2434</v>
      </c>
      <c r="B2649" s="63">
        <v>44378.0</v>
      </c>
      <c r="C2649" s="69">
        <v>26.888119733212612</v>
      </c>
    </row>
    <row r="2650">
      <c r="A2650" s="62" t="s">
        <v>3917</v>
      </c>
      <c r="B2650" s="63">
        <v>44090.0</v>
      </c>
      <c r="C2650" s="69">
        <v>26.877315731198937</v>
      </c>
    </row>
    <row r="2651">
      <c r="A2651" s="62" t="s">
        <v>5938</v>
      </c>
      <c r="B2651" s="63">
        <v>44376.0</v>
      </c>
      <c r="C2651" s="69">
        <v>26.87156243422492</v>
      </c>
    </row>
    <row r="2652">
      <c r="A2652" s="62" t="s">
        <v>769</v>
      </c>
      <c r="B2652" s="63">
        <v>44208.0</v>
      </c>
      <c r="C2652" s="69">
        <v>26.864557760853263</v>
      </c>
    </row>
    <row r="2653">
      <c r="A2653" s="62" t="s">
        <v>157</v>
      </c>
      <c r="B2653" s="63">
        <v>44383.0</v>
      </c>
      <c r="C2653" s="69">
        <v>26.858622003183523</v>
      </c>
    </row>
    <row r="2654">
      <c r="A2654" s="62" t="s">
        <v>5422</v>
      </c>
      <c r="B2654" s="63">
        <v>44319.0</v>
      </c>
      <c r="C2654" s="69">
        <v>26.853402096109814</v>
      </c>
    </row>
    <row r="2655">
      <c r="A2655" s="62" t="s">
        <v>4955</v>
      </c>
      <c r="B2655" s="63">
        <v>44288.0</v>
      </c>
      <c r="C2655" s="69">
        <v>26.84968312163365</v>
      </c>
    </row>
    <row r="2656">
      <c r="A2656" s="62" t="s">
        <v>5421</v>
      </c>
      <c r="B2656" s="63">
        <v>44341.0</v>
      </c>
      <c r="C2656" s="69">
        <v>26.83724018048241</v>
      </c>
    </row>
    <row r="2657">
      <c r="A2657" s="62" t="s">
        <v>5418</v>
      </c>
      <c r="B2657" s="63">
        <v>44326.0</v>
      </c>
      <c r="C2657" s="69">
        <v>26.836302329483658</v>
      </c>
    </row>
    <row r="2658">
      <c r="A2658" s="62" t="s">
        <v>5417</v>
      </c>
      <c r="B2658" s="63">
        <v>44336.0</v>
      </c>
      <c r="C2658" s="69">
        <v>26.835672361963322</v>
      </c>
    </row>
    <row r="2659">
      <c r="A2659" s="62" t="s">
        <v>5991</v>
      </c>
      <c r="B2659" s="63">
        <v>44349.0</v>
      </c>
      <c r="C2659" s="69">
        <v>26.83220416820039</v>
      </c>
    </row>
    <row r="2660">
      <c r="A2660" s="62" t="s">
        <v>4524</v>
      </c>
      <c r="B2660" s="63">
        <v>44279.0</v>
      </c>
      <c r="C2660" s="69">
        <v>26.824402059427936</v>
      </c>
    </row>
    <row r="2661">
      <c r="A2661" s="62" t="s">
        <v>6709</v>
      </c>
      <c r="B2661" s="63">
        <v>44375.0</v>
      </c>
      <c r="C2661" s="69">
        <v>26.822869355234324</v>
      </c>
    </row>
    <row r="2662">
      <c r="A2662" s="62" t="s">
        <v>5416</v>
      </c>
      <c r="B2662" s="63">
        <v>44345.0</v>
      </c>
      <c r="C2662" s="69">
        <v>26.818091991412615</v>
      </c>
    </row>
    <row r="2663">
      <c r="A2663" s="62" t="s">
        <v>3444</v>
      </c>
      <c r="B2663" s="63">
        <v>44166.0</v>
      </c>
      <c r="C2663" s="69">
        <v>26.816383495787885</v>
      </c>
    </row>
    <row r="2664">
      <c r="A2664" s="62" t="s">
        <v>3041</v>
      </c>
      <c r="B2664" s="63">
        <v>44196.0</v>
      </c>
      <c r="C2664" s="69">
        <v>26.814004511948788</v>
      </c>
    </row>
    <row r="2665">
      <c r="A2665" s="62" t="s">
        <v>4674</v>
      </c>
      <c r="B2665" s="63">
        <v>44257.0</v>
      </c>
      <c r="C2665" s="69">
        <v>26.809133722140906</v>
      </c>
    </row>
    <row r="2666">
      <c r="A2666" s="62" t="s">
        <v>2889</v>
      </c>
      <c r="B2666" s="63">
        <v>44239.0</v>
      </c>
      <c r="C2666" s="69">
        <v>26.80799808019205</v>
      </c>
    </row>
    <row r="2667">
      <c r="A2667" s="62" t="s">
        <v>3753</v>
      </c>
      <c r="B2667" s="63">
        <v>44081.0</v>
      </c>
      <c r="C2667" s="69">
        <v>26.804232853810845</v>
      </c>
    </row>
    <row r="2668">
      <c r="A2668" s="62" t="s">
        <v>5415</v>
      </c>
      <c r="B2668" s="63">
        <v>44320.0</v>
      </c>
      <c r="C2668" s="69">
        <v>26.799250182631788</v>
      </c>
    </row>
    <row r="2669">
      <c r="A2669" s="62" t="s">
        <v>4503</v>
      </c>
      <c r="B2669" s="63">
        <v>44268.0</v>
      </c>
      <c r="C2669" s="69">
        <v>26.794358475470524</v>
      </c>
    </row>
    <row r="2670">
      <c r="A2670" s="62" t="s">
        <v>3765</v>
      </c>
      <c r="B2670" s="63">
        <v>44209.0</v>
      </c>
      <c r="C2670" s="69">
        <v>26.79135240134721</v>
      </c>
    </row>
    <row r="2671">
      <c r="A2671" s="62" t="s">
        <v>1423</v>
      </c>
      <c r="B2671" s="63">
        <v>44356.0</v>
      </c>
      <c r="C2671" s="69">
        <v>26.78713233801384</v>
      </c>
    </row>
    <row r="2672">
      <c r="A2672" s="62" t="s">
        <v>3170</v>
      </c>
      <c r="B2672" s="63">
        <v>44084.0</v>
      </c>
      <c r="C2672" s="69">
        <v>26.787075539403304</v>
      </c>
    </row>
    <row r="2673">
      <c r="A2673" s="62" t="s">
        <v>2317</v>
      </c>
      <c r="B2673" s="63">
        <v>44379.0</v>
      </c>
      <c r="C2673" s="69">
        <v>26.785195521997792</v>
      </c>
    </row>
    <row r="2674">
      <c r="A2674" s="62" t="s">
        <v>5958</v>
      </c>
      <c r="B2674" s="63">
        <v>44376.0</v>
      </c>
      <c r="C2674" s="69">
        <v>26.7777935960161</v>
      </c>
    </row>
    <row r="2675">
      <c r="A2675" s="62" t="s">
        <v>4257</v>
      </c>
      <c r="B2675" s="63">
        <v>44251.0</v>
      </c>
      <c r="C2675" s="69">
        <v>26.772414638693604</v>
      </c>
    </row>
    <row r="2676">
      <c r="A2676" s="62" t="s">
        <v>2790</v>
      </c>
      <c r="B2676" s="63">
        <v>44221.0</v>
      </c>
      <c r="C2676" s="69">
        <v>26.770703753483083</v>
      </c>
    </row>
    <row r="2677">
      <c r="A2677" s="62" t="s">
        <v>3854</v>
      </c>
      <c r="B2677" s="63">
        <v>44218.0</v>
      </c>
      <c r="C2677" s="69">
        <v>26.76392347164354</v>
      </c>
    </row>
    <row r="2678">
      <c r="A2678" s="62" t="s">
        <v>3214</v>
      </c>
      <c r="B2678" s="63">
        <v>44173.0</v>
      </c>
      <c r="C2678" s="69">
        <v>26.762052937680025</v>
      </c>
    </row>
    <row r="2679">
      <c r="A2679" s="62" t="s">
        <v>3310</v>
      </c>
      <c r="B2679" s="63">
        <v>44158.0</v>
      </c>
      <c r="C2679" s="69">
        <v>26.75934271083395</v>
      </c>
    </row>
    <row r="2680">
      <c r="A2680" s="62" t="s">
        <v>4615</v>
      </c>
      <c r="B2680" s="63">
        <v>44287.0</v>
      </c>
      <c r="C2680" s="69">
        <v>26.759234592312527</v>
      </c>
    </row>
    <row r="2681">
      <c r="A2681" s="62" t="s">
        <v>2142</v>
      </c>
      <c r="B2681" s="63">
        <v>44068.0</v>
      </c>
      <c r="C2681" s="69">
        <v>26.747050318609162</v>
      </c>
    </row>
    <row r="2682">
      <c r="A2682" s="62" t="s">
        <v>4744</v>
      </c>
      <c r="B2682" s="63">
        <v>44267.0</v>
      </c>
      <c r="C2682" s="69">
        <v>26.746730936998418</v>
      </c>
    </row>
    <row r="2683">
      <c r="A2683" s="62" t="s">
        <v>4135</v>
      </c>
      <c r="B2683" s="63">
        <v>44075.0</v>
      </c>
      <c r="C2683" s="69">
        <v>26.735916986806323</v>
      </c>
    </row>
    <row r="2684">
      <c r="A2684" s="62" t="s">
        <v>4353</v>
      </c>
      <c r="B2684" s="63">
        <v>44098.0</v>
      </c>
      <c r="C2684" s="69">
        <v>26.731498290087174</v>
      </c>
    </row>
    <row r="2685">
      <c r="A2685" s="62" t="s">
        <v>1642</v>
      </c>
      <c r="B2685" s="63">
        <v>44236.0</v>
      </c>
      <c r="C2685" s="69">
        <v>26.730846142082658</v>
      </c>
    </row>
    <row r="2686">
      <c r="A2686" s="62" t="s">
        <v>3439</v>
      </c>
      <c r="B2686" s="63">
        <v>44207.0</v>
      </c>
      <c r="C2686" s="69">
        <v>26.724588422894676</v>
      </c>
    </row>
    <row r="2687">
      <c r="A2687" s="62" t="s">
        <v>2340</v>
      </c>
      <c r="B2687" s="63">
        <v>44378.0</v>
      </c>
      <c r="C2687" s="69">
        <v>26.723277869776695</v>
      </c>
    </row>
    <row r="2688">
      <c r="A2688" s="62" t="s">
        <v>3105</v>
      </c>
      <c r="B2688" s="63">
        <v>44152.0</v>
      </c>
      <c r="C2688" s="69">
        <v>26.717629816126383</v>
      </c>
    </row>
    <row r="2689">
      <c r="A2689" s="62" t="s">
        <v>5414</v>
      </c>
      <c r="B2689" s="63">
        <v>44333.0</v>
      </c>
      <c r="C2689" s="69">
        <v>26.713350085059247</v>
      </c>
    </row>
    <row r="2690">
      <c r="A2690" s="62" t="s">
        <v>3538</v>
      </c>
      <c r="B2690" s="63">
        <v>44109.0</v>
      </c>
      <c r="C2690" s="69">
        <v>26.711517621291932</v>
      </c>
    </row>
    <row r="2691">
      <c r="A2691" s="62" t="s">
        <v>4912</v>
      </c>
      <c r="B2691" s="63">
        <v>44306.0</v>
      </c>
      <c r="C2691" s="69">
        <v>26.710041064452437</v>
      </c>
    </row>
    <row r="2692">
      <c r="A2692" s="62" t="s">
        <v>2245</v>
      </c>
      <c r="B2692" s="63">
        <v>44062.0</v>
      </c>
      <c r="C2692" s="69">
        <v>26.70988073783952</v>
      </c>
    </row>
    <row r="2693">
      <c r="A2693" s="62" t="s">
        <v>4454</v>
      </c>
      <c r="B2693" s="63">
        <v>44263.0</v>
      </c>
      <c r="C2693" s="69">
        <v>26.70899078090865</v>
      </c>
    </row>
    <row r="2694">
      <c r="A2694" s="62" t="s">
        <v>3297</v>
      </c>
      <c r="B2694" s="63">
        <v>44217.0</v>
      </c>
      <c r="C2694" s="69">
        <v>26.708290461862262</v>
      </c>
    </row>
    <row r="2695">
      <c r="A2695" s="62" t="s">
        <v>4017</v>
      </c>
      <c r="B2695" s="63">
        <v>44201.0</v>
      </c>
      <c r="C2695" s="69">
        <v>26.707922591387415</v>
      </c>
    </row>
    <row r="2696">
      <c r="A2696" s="62" t="s">
        <v>5920</v>
      </c>
      <c r="B2696" s="63">
        <v>44356.0</v>
      </c>
      <c r="C2696" s="69">
        <v>26.707536624213827</v>
      </c>
    </row>
    <row r="2697">
      <c r="A2697" s="62" t="s">
        <v>2486</v>
      </c>
      <c r="B2697" s="63">
        <v>44397.0</v>
      </c>
      <c r="C2697" s="69">
        <v>26.704252447371026</v>
      </c>
    </row>
    <row r="2698">
      <c r="A2698" s="62" t="s">
        <v>2330</v>
      </c>
      <c r="B2698" s="63">
        <v>44378.0</v>
      </c>
      <c r="C2698" s="69">
        <v>26.697927038984275</v>
      </c>
    </row>
    <row r="2699">
      <c r="A2699" s="62" t="s">
        <v>2749</v>
      </c>
      <c r="B2699" s="63">
        <v>44161.0</v>
      </c>
      <c r="C2699" s="69">
        <v>26.69563925647166</v>
      </c>
    </row>
    <row r="2700">
      <c r="A2700" s="62" t="s">
        <v>2559</v>
      </c>
      <c r="B2700" s="63">
        <v>44394.0</v>
      </c>
      <c r="C2700" s="69">
        <v>26.687813412663935</v>
      </c>
    </row>
    <row r="2701">
      <c r="A2701" s="62" t="s">
        <v>3464</v>
      </c>
      <c r="B2701" s="63">
        <v>44217.0</v>
      </c>
      <c r="C2701" s="69">
        <v>26.684056032283408</v>
      </c>
    </row>
    <row r="2702">
      <c r="A2702" s="62" t="s">
        <v>4880</v>
      </c>
      <c r="B2702" s="63">
        <v>44258.0</v>
      </c>
      <c r="C2702" s="69">
        <v>26.67288618511371</v>
      </c>
    </row>
    <row r="2703">
      <c r="A2703" s="62" t="s">
        <v>2162</v>
      </c>
      <c r="B2703" s="63">
        <v>44068.0</v>
      </c>
      <c r="C2703" s="69">
        <v>26.669572876608214</v>
      </c>
    </row>
    <row r="2704">
      <c r="A2704" s="62" t="s">
        <v>5412</v>
      </c>
      <c r="B2704" s="63">
        <v>44331.0</v>
      </c>
      <c r="C2704" s="69">
        <v>26.668594199560676</v>
      </c>
    </row>
    <row r="2705">
      <c r="A2705" s="62" t="s">
        <v>5409</v>
      </c>
      <c r="B2705" s="63">
        <v>44328.0</v>
      </c>
      <c r="C2705" s="69">
        <v>26.666797279025246</v>
      </c>
    </row>
    <row r="2706">
      <c r="A2706" s="62" t="s">
        <v>3344</v>
      </c>
      <c r="B2706" s="63">
        <v>44078.0</v>
      </c>
      <c r="C2706" s="69">
        <v>26.665484905763414</v>
      </c>
    </row>
    <row r="2707">
      <c r="A2707" s="62" t="s">
        <v>3803</v>
      </c>
      <c r="B2707" s="63">
        <v>44237.0</v>
      </c>
      <c r="C2707" s="69">
        <v>26.662326780927394</v>
      </c>
    </row>
    <row r="2708">
      <c r="A2708" s="62" t="s">
        <v>5408</v>
      </c>
      <c r="B2708" s="63">
        <v>44337.0</v>
      </c>
      <c r="C2708" s="69">
        <v>26.660659596775833</v>
      </c>
    </row>
    <row r="2709">
      <c r="A2709" s="62" t="s">
        <v>5407</v>
      </c>
      <c r="B2709" s="63">
        <v>44327.0</v>
      </c>
      <c r="C2709" s="69">
        <v>26.65985493575856</v>
      </c>
    </row>
    <row r="2710">
      <c r="A2710" s="62" t="s">
        <v>4610</v>
      </c>
      <c r="B2710" s="63">
        <v>44298.0</v>
      </c>
      <c r="C2710" s="69">
        <v>26.65846324271247</v>
      </c>
    </row>
    <row r="2711">
      <c r="A2711" s="62" t="s">
        <v>5406</v>
      </c>
      <c r="B2711" s="63">
        <v>44323.0</v>
      </c>
      <c r="C2711" s="69">
        <v>26.648148420746814</v>
      </c>
    </row>
    <row r="2712">
      <c r="A2712" s="62" t="s">
        <v>5245</v>
      </c>
      <c r="B2712" s="63">
        <v>44284.0</v>
      </c>
      <c r="C2712" s="69">
        <v>26.64488912372367</v>
      </c>
    </row>
    <row r="2713">
      <c r="A2713" s="62" t="s">
        <v>2867</v>
      </c>
      <c r="B2713" s="63">
        <v>44083.0</v>
      </c>
      <c r="C2713" s="69">
        <v>26.64024600389192</v>
      </c>
    </row>
    <row r="2714">
      <c r="A2714" s="62" t="s">
        <v>3544</v>
      </c>
      <c r="B2714" s="63">
        <v>44088.0</v>
      </c>
      <c r="C2714" s="69">
        <v>26.63972601695059</v>
      </c>
    </row>
    <row r="2715">
      <c r="A2715" s="62" t="s">
        <v>3120</v>
      </c>
      <c r="B2715" s="63">
        <v>44195.0</v>
      </c>
      <c r="C2715" s="69">
        <v>26.636382181612813</v>
      </c>
    </row>
    <row r="2716">
      <c r="A2716" s="62" t="s">
        <v>4019</v>
      </c>
      <c r="B2716" s="63">
        <v>44217.0</v>
      </c>
      <c r="C2716" s="69">
        <v>26.63265810253071</v>
      </c>
    </row>
    <row r="2717">
      <c r="A2717" s="62" t="s">
        <v>5403</v>
      </c>
      <c r="B2717" s="63">
        <v>44334.0</v>
      </c>
      <c r="C2717" s="69">
        <v>26.631239893101704</v>
      </c>
    </row>
    <row r="2718">
      <c r="A2718" s="62" t="s">
        <v>3493</v>
      </c>
      <c r="B2718" s="63">
        <v>44240.0</v>
      </c>
      <c r="C2718" s="69">
        <v>26.6259398700746</v>
      </c>
    </row>
    <row r="2719">
      <c r="A2719" s="62" t="s">
        <v>5400</v>
      </c>
      <c r="B2719" s="63">
        <v>44328.0</v>
      </c>
      <c r="C2719" s="69">
        <v>26.61570136970799</v>
      </c>
    </row>
    <row r="2720">
      <c r="A2720" s="62" t="s">
        <v>3445</v>
      </c>
      <c r="B2720" s="63">
        <v>44210.0</v>
      </c>
      <c r="C2720" s="69">
        <v>26.610831399565864</v>
      </c>
    </row>
    <row r="2721">
      <c r="A2721" s="62" t="s">
        <v>5976</v>
      </c>
      <c r="B2721" s="63">
        <v>44365.0</v>
      </c>
      <c r="C2721" s="69">
        <v>26.604366125810675</v>
      </c>
    </row>
    <row r="2722">
      <c r="A2722" s="62" t="s">
        <v>5399</v>
      </c>
      <c r="B2722" s="63">
        <v>44342.0</v>
      </c>
      <c r="C2722" s="69">
        <v>26.602645446160395</v>
      </c>
    </row>
    <row r="2723">
      <c r="A2723" s="62" t="s">
        <v>5717</v>
      </c>
      <c r="B2723" s="63">
        <v>44355.0</v>
      </c>
      <c r="C2723" s="69">
        <v>26.599783989734842</v>
      </c>
    </row>
    <row r="2724">
      <c r="A2724" s="62" t="s">
        <v>4795</v>
      </c>
      <c r="B2724" s="63">
        <v>44286.0</v>
      </c>
      <c r="C2724" s="69">
        <v>26.59786062798424</v>
      </c>
    </row>
    <row r="2725">
      <c r="A2725" s="62" t="s">
        <v>4882</v>
      </c>
      <c r="B2725" s="63">
        <v>44281.0</v>
      </c>
      <c r="C2725" s="69">
        <v>26.593708465602678</v>
      </c>
    </row>
    <row r="2726">
      <c r="A2726" s="62" t="s">
        <v>5628</v>
      </c>
      <c r="B2726" s="63">
        <v>44356.0</v>
      </c>
      <c r="C2726" s="69">
        <v>26.593507323802783</v>
      </c>
    </row>
    <row r="2727">
      <c r="A2727" s="62" t="s">
        <v>6307</v>
      </c>
      <c r="B2727" s="63">
        <v>44350.0</v>
      </c>
      <c r="C2727" s="69">
        <v>26.589592305362714</v>
      </c>
    </row>
    <row r="2728">
      <c r="A2728" s="62" t="s">
        <v>5125</v>
      </c>
      <c r="B2728" s="63">
        <v>44278.0</v>
      </c>
      <c r="C2728" s="69">
        <v>26.587472875487578</v>
      </c>
    </row>
    <row r="2729">
      <c r="A2729" s="62" t="s">
        <v>2919</v>
      </c>
      <c r="B2729" s="63">
        <v>44114.0</v>
      </c>
      <c r="C2729" s="69">
        <v>26.58403633633244</v>
      </c>
    </row>
    <row r="2730">
      <c r="A2730" s="62" t="s">
        <v>4062</v>
      </c>
      <c r="B2730" s="63">
        <v>44235.0</v>
      </c>
      <c r="C2730" s="69">
        <v>26.582398141213588</v>
      </c>
    </row>
    <row r="2731">
      <c r="A2731" s="62" t="s">
        <v>3465</v>
      </c>
      <c r="B2731" s="63">
        <v>44172.0</v>
      </c>
      <c r="C2731" s="69">
        <v>26.582085129048025</v>
      </c>
    </row>
    <row r="2732">
      <c r="A2732" s="62" t="s">
        <v>5662</v>
      </c>
      <c r="B2732" s="63">
        <v>44372.0</v>
      </c>
      <c r="C2732" s="69">
        <v>26.579554971793172</v>
      </c>
    </row>
    <row r="2733">
      <c r="A2733" s="62" t="s">
        <v>4444</v>
      </c>
      <c r="B2733" s="63">
        <v>44315.0</v>
      </c>
      <c r="C2733" s="69">
        <v>26.574239790402956</v>
      </c>
    </row>
    <row r="2734">
      <c r="A2734" s="62" t="s">
        <v>5276</v>
      </c>
      <c r="B2734" s="63">
        <v>44305.0</v>
      </c>
      <c r="C2734" s="69">
        <v>26.573494493883143</v>
      </c>
    </row>
    <row r="2735">
      <c r="A2735" s="62" t="s">
        <v>5395</v>
      </c>
      <c r="B2735" s="63">
        <v>44341.0</v>
      </c>
      <c r="C2735" s="69">
        <v>26.57270653310601</v>
      </c>
    </row>
    <row r="2736">
      <c r="A2736" s="62" t="s">
        <v>2795</v>
      </c>
      <c r="B2736" s="63">
        <v>44211.0</v>
      </c>
      <c r="C2736" s="69">
        <v>26.571723376215417</v>
      </c>
    </row>
    <row r="2737">
      <c r="A2737" s="62" t="s">
        <v>4896</v>
      </c>
      <c r="B2737" s="63">
        <v>44274.0</v>
      </c>
      <c r="C2737" s="69">
        <v>26.571016500277462</v>
      </c>
    </row>
    <row r="2738">
      <c r="A2738" s="62" t="s">
        <v>5394</v>
      </c>
      <c r="B2738" s="63">
        <v>44326.0</v>
      </c>
      <c r="C2738" s="69">
        <v>26.563739682019794</v>
      </c>
    </row>
    <row r="2739">
      <c r="A2739" s="62" t="s">
        <v>1168</v>
      </c>
      <c r="B2739" s="63">
        <v>44206.0</v>
      </c>
      <c r="C2739" s="69">
        <v>26.563455483859908</v>
      </c>
    </row>
    <row r="2740">
      <c r="A2740" s="62" t="s">
        <v>4285</v>
      </c>
      <c r="B2740" s="63">
        <v>44168.0</v>
      </c>
      <c r="C2740" s="69">
        <v>26.553626701851634</v>
      </c>
    </row>
    <row r="2741">
      <c r="A2741" s="62" t="s">
        <v>6150</v>
      </c>
      <c r="B2741" s="63">
        <v>44348.0</v>
      </c>
      <c r="C2741" s="69">
        <v>26.54038345126117</v>
      </c>
    </row>
    <row r="2742">
      <c r="A2742" s="62" t="s">
        <v>4621</v>
      </c>
      <c r="B2742" s="63">
        <v>44272.0</v>
      </c>
      <c r="C2742" s="69">
        <v>26.53376066289932</v>
      </c>
    </row>
    <row r="2743">
      <c r="A2743" s="62" t="s">
        <v>5391</v>
      </c>
      <c r="B2743" s="63">
        <v>44319.0</v>
      </c>
      <c r="C2743" s="69">
        <v>26.53102061132643</v>
      </c>
    </row>
    <row r="2744">
      <c r="A2744" s="62" t="s">
        <v>959</v>
      </c>
      <c r="B2744" s="63">
        <v>44366.0</v>
      </c>
      <c r="C2744" s="69">
        <v>26.528167818899952</v>
      </c>
    </row>
    <row r="2745">
      <c r="A2745" s="62" t="s">
        <v>5450</v>
      </c>
      <c r="B2745" s="63">
        <v>44364.0</v>
      </c>
      <c r="C2745" s="69">
        <v>26.525210692438428</v>
      </c>
    </row>
    <row r="2746">
      <c r="A2746" s="62" t="s">
        <v>2698</v>
      </c>
      <c r="B2746" s="63">
        <v>44129.0</v>
      </c>
      <c r="C2746" s="69">
        <v>26.51737089109293</v>
      </c>
    </row>
    <row r="2747">
      <c r="A2747" s="62" t="s">
        <v>1655</v>
      </c>
      <c r="B2747" s="63">
        <v>44356.0</v>
      </c>
      <c r="C2747" s="69">
        <v>26.516833945639334</v>
      </c>
    </row>
    <row r="2748">
      <c r="A2748" s="62" t="s">
        <v>6213</v>
      </c>
      <c r="B2748" s="63">
        <v>44366.0</v>
      </c>
      <c r="C2748" s="69">
        <v>26.51580575628076</v>
      </c>
    </row>
    <row r="2749">
      <c r="A2749" s="62" t="s">
        <v>5479</v>
      </c>
      <c r="B2749" s="63">
        <v>44364.0</v>
      </c>
      <c r="C2749" s="69">
        <v>26.50980269370688</v>
      </c>
    </row>
    <row r="2750">
      <c r="A2750" s="62" t="s">
        <v>4424</v>
      </c>
      <c r="B2750" s="63">
        <v>44161.0</v>
      </c>
      <c r="C2750" s="69">
        <v>26.50619983728773</v>
      </c>
    </row>
    <row r="2751">
      <c r="A2751" s="62" t="s">
        <v>3745</v>
      </c>
      <c r="B2751" s="63">
        <v>44236.0</v>
      </c>
      <c r="C2751" s="69">
        <v>26.50202909018887</v>
      </c>
    </row>
    <row r="2752">
      <c r="A2752" s="62" t="s">
        <v>6128</v>
      </c>
      <c r="B2752" s="63">
        <v>44376.0</v>
      </c>
      <c r="C2752" s="69">
        <v>26.498378880943577</v>
      </c>
    </row>
    <row r="2753">
      <c r="A2753" s="62" t="s">
        <v>5333</v>
      </c>
      <c r="B2753" s="63">
        <v>44375.0</v>
      </c>
      <c r="C2753" s="69">
        <v>26.49789938971422</v>
      </c>
    </row>
    <row r="2754">
      <c r="A2754" s="62" t="s">
        <v>4517</v>
      </c>
      <c r="B2754" s="63">
        <v>44273.0</v>
      </c>
      <c r="C2754" s="69">
        <v>26.496590699928472</v>
      </c>
    </row>
    <row r="2755">
      <c r="A2755" s="62" t="s">
        <v>5597</v>
      </c>
      <c r="B2755" s="63">
        <v>44373.0</v>
      </c>
      <c r="C2755" s="69">
        <v>26.495550525247822</v>
      </c>
    </row>
    <row r="2756">
      <c r="A2756" s="62" t="s">
        <v>2948</v>
      </c>
      <c r="B2756" s="63">
        <v>44245.0</v>
      </c>
      <c r="C2756" s="69">
        <v>26.49346710659706</v>
      </c>
    </row>
    <row r="2757">
      <c r="A2757" s="62" t="s">
        <v>2829</v>
      </c>
      <c r="B2757" s="63">
        <v>44166.0</v>
      </c>
      <c r="C2757" s="69">
        <v>26.48948554343348</v>
      </c>
    </row>
    <row r="2758">
      <c r="A2758" s="62" t="s">
        <v>3547</v>
      </c>
      <c r="B2758" s="63">
        <v>44089.0</v>
      </c>
      <c r="C2758" s="69">
        <v>26.485713059843153</v>
      </c>
    </row>
    <row r="2759">
      <c r="A2759" s="62" t="s">
        <v>5390</v>
      </c>
      <c r="B2759" s="63">
        <v>44332.0</v>
      </c>
      <c r="C2759" s="69">
        <v>26.483987241568308</v>
      </c>
    </row>
    <row r="2760">
      <c r="A2760" s="62" t="s">
        <v>281</v>
      </c>
      <c r="B2760" s="63">
        <v>44398.0</v>
      </c>
      <c r="C2760" s="69">
        <v>26.48008965219384</v>
      </c>
    </row>
    <row r="2761">
      <c r="A2761" s="62" t="s">
        <v>4542</v>
      </c>
      <c r="B2761" s="63">
        <v>44274.0</v>
      </c>
      <c r="C2761" s="69">
        <v>26.476534346696546</v>
      </c>
    </row>
    <row r="2762">
      <c r="A2762" s="62" t="s">
        <v>3609</v>
      </c>
      <c r="B2762" s="63">
        <v>44203.0</v>
      </c>
      <c r="C2762" s="69">
        <v>26.47382331006665</v>
      </c>
    </row>
    <row r="2763">
      <c r="A2763" s="62" t="s">
        <v>2193</v>
      </c>
      <c r="B2763" s="63">
        <v>44071.0</v>
      </c>
      <c r="C2763" s="69">
        <v>26.469976644885563</v>
      </c>
    </row>
    <row r="2764">
      <c r="A2764" s="62" t="s">
        <v>3233</v>
      </c>
      <c r="B2764" s="63">
        <v>44188.0</v>
      </c>
      <c r="C2764" s="69">
        <v>26.46538440578645</v>
      </c>
    </row>
    <row r="2765">
      <c r="A2765" s="62" t="s">
        <v>3521</v>
      </c>
      <c r="B2765" s="63">
        <v>44113.0</v>
      </c>
      <c r="C2765" s="69">
        <v>26.457027417981948</v>
      </c>
    </row>
    <row r="2766">
      <c r="A2766" s="62" t="s">
        <v>2778</v>
      </c>
      <c r="B2766" s="63">
        <v>44096.0</v>
      </c>
      <c r="C2766" s="69">
        <v>26.456643237699524</v>
      </c>
    </row>
    <row r="2767">
      <c r="A2767" s="62" t="s">
        <v>6331</v>
      </c>
      <c r="B2767" s="63">
        <v>44351.0</v>
      </c>
      <c r="C2767" s="69">
        <v>26.451608778957244</v>
      </c>
    </row>
    <row r="2768">
      <c r="A2768" s="62" t="s">
        <v>4643</v>
      </c>
      <c r="B2768" s="63">
        <v>44291.0</v>
      </c>
      <c r="C2768" s="69">
        <v>26.4498096722286</v>
      </c>
    </row>
    <row r="2769">
      <c r="A2769" s="62" t="s">
        <v>857</v>
      </c>
      <c r="B2769" s="63">
        <v>44363.0</v>
      </c>
      <c r="C2769" s="69">
        <v>26.445108174078197</v>
      </c>
    </row>
    <row r="2770">
      <c r="A2770" s="62" t="s">
        <v>1411</v>
      </c>
      <c r="B2770" s="63">
        <v>44151.0</v>
      </c>
      <c r="C2770" s="69">
        <v>26.441128748090943</v>
      </c>
    </row>
    <row r="2771">
      <c r="A2771" s="62" t="s">
        <v>4684</v>
      </c>
      <c r="B2771" s="63">
        <v>44277.0</v>
      </c>
      <c r="C2771" s="69">
        <v>26.435889595242855</v>
      </c>
    </row>
    <row r="2772">
      <c r="A2772" s="62" t="s">
        <v>5387</v>
      </c>
      <c r="B2772" s="63">
        <v>44329.0</v>
      </c>
      <c r="C2772" s="69">
        <v>26.429067173456005</v>
      </c>
    </row>
    <row r="2773">
      <c r="A2773" s="62" t="s">
        <v>5089</v>
      </c>
      <c r="B2773" s="63">
        <v>44293.0</v>
      </c>
      <c r="C2773" s="69">
        <v>26.422770977824456</v>
      </c>
    </row>
    <row r="2774">
      <c r="A2774" s="62" t="s">
        <v>754</v>
      </c>
      <c r="B2774" s="63">
        <v>44267.0</v>
      </c>
      <c r="C2774" s="69">
        <v>26.42273619141158</v>
      </c>
    </row>
    <row r="2775">
      <c r="A2775" s="62" t="s">
        <v>5385</v>
      </c>
      <c r="B2775" s="63">
        <v>44341.0</v>
      </c>
      <c r="C2775" s="69">
        <v>26.42095542071404</v>
      </c>
    </row>
    <row r="2776">
      <c r="A2776" s="62" t="s">
        <v>1520</v>
      </c>
      <c r="B2776" s="63">
        <v>44376.0</v>
      </c>
      <c r="C2776" s="69">
        <v>26.413212463975505</v>
      </c>
    </row>
    <row r="2777">
      <c r="A2777" s="62" t="s">
        <v>5083</v>
      </c>
      <c r="B2777" s="63">
        <v>44294.0</v>
      </c>
      <c r="C2777" s="69">
        <v>26.407288436642396</v>
      </c>
    </row>
    <row r="2778">
      <c r="A2778" s="62" t="s">
        <v>1123</v>
      </c>
      <c r="B2778" s="63">
        <v>44172.0</v>
      </c>
      <c r="C2778" s="69">
        <v>26.404687297420224</v>
      </c>
    </row>
    <row r="2779">
      <c r="A2779" s="62" t="s">
        <v>3315</v>
      </c>
      <c r="B2779" s="63">
        <v>44221.0</v>
      </c>
      <c r="C2779" s="69">
        <v>26.403431900750025</v>
      </c>
    </row>
    <row r="2780">
      <c r="A2780" s="62" t="s">
        <v>2369</v>
      </c>
      <c r="B2780" s="63">
        <v>44383.0</v>
      </c>
      <c r="C2780" s="69">
        <v>26.393672340718677</v>
      </c>
    </row>
    <row r="2781">
      <c r="A2781" s="62" t="s">
        <v>5290</v>
      </c>
      <c r="B2781" s="63">
        <v>44365.0</v>
      </c>
      <c r="C2781" s="69">
        <v>26.39270971183422</v>
      </c>
    </row>
    <row r="2782">
      <c r="A2782" s="62" t="s">
        <v>5231</v>
      </c>
      <c r="B2782" s="63">
        <v>44258.0</v>
      </c>
      <c r="C2782" s="69">
        <v>26.390291907629646</v>
      </c>
    </row>
    <row r="2783">
      <c r="A2783" s="62" t="s">
        <v>6575</v>
      </c>
      <c r="B2783" s="63">
        <v>44354.0</v>
      </c>
      <c r="C2783" s="69">
        <v>26.38393897590023</v>
      </c>
    </row>
    <row r="2784">
      <c r="A2784" s="62" t="s">
        <v>5972</v>
      </c>
      <c r="B2784" s="63">
        <v>44354.0</v>
      </c>
      <c r="C2784" s="69">
        <v>26.379185529418248</v>
      </c>
    </row>
    <row r="2785">
      <c r="A2785" s="62" t="s">
        <v>4480</v>
      </c>
      <c r="B2785" s="63">
        <v>44309.0</v>
      </c>
      <c r="C2785" s="69">
        <v>26.36620758998734</v>
      </c>
    </row>
    <row r="2786">
      <c r="A2786" s="62" t="s">
        <v>5383</v>
      </c>
      <c r="B2786" s="63">
        <v>44333.0</v>
      </c>
      <c r="C2786" s="69">
        <v>26.36441435328592</v>
      </c>
    </row>
    <row r="2787">
      <c r="A2787" s="62" t="s">
        <v>2859</v>
      </c>
      <c r="B2787" s="63">
        <v>44076.0</v>
      </c>
      <c r="C2787" s="69">
        <v>26.362599739187445</v>
      </c>
    </row>
    <row r="2788">
      <c r="A2788" s="62" t="s">
        <v>1990</v>
      </c>
      <c r="B2788" s="63">
        <v>44222.0</v>
      </c>
      <c r="C2788" s="69">
        <v>26.36204165009865</v>
      </c>
    </row>
    <row r="2789">
      <c r="A2789" s="62" t="s">
        <v>5381</v>
      </c>
      <c r="B2789" s="63">
        <v>44340.0</v>
      </c>
      <c r="C2789" s="69">
        <v>26.359641947419785</v>
      </c>
    </row>
    <row r="2790">
      <c r="A2790" s="62" t="s">
        <v>5648</v>
      </c>
      <c r="B2790" s="63">
        <v>44365.0</v>
      </c>
      <c r="C2790" s="69">
        <v>26.356428195139134</v>
      </c>
    </row>
    <row r="2791">
      <c r="A2791" s="62" t="s">
        <v>5379</v>
      </c>
      <c r="B2791" s="63">
        <v>44335.0</v>
      </c>
      <c r="C2791" s="69">
        <v>26.346407086132093</v>
      </c>
    </row>
    <row r="2792">
      <c r="A2792" s="62" t="s">
        <v>5378</v>
      </c>
      <c r="B2792" s="63">
        <v>44340.0</v>
      </c>
      <c r="C2792" s="69">
        <v>26.334314814173165</v>
      </c>
    </row>
    <row r="2793">
      <c r="A2793" s="62" t="s">
        <v>1674</v>
      </c>
      <c r="B2793" s="63">
        <v>44278.0</v>
      </c>
      <c r="C2793" s="69">
        <v>26.33426887856851</v>
      </c>
    </row>
    <row r="2794">
      <c r="A2794" s="62" t="s">
        <v>5376</v>
      </c>
      <c r="B2794" s="63">
        <v>44336.0</v>
      </c>
      <c r="C2794" s="69">
        <v>26.328073700643113</v>
      </c>
    </row>
    <row r="2795">
      <c r="A2795" s="62" t="s">
        <v>3964</v>
      </c>
      <c r="B2795" s="63">
        <v>44216.0</v>
      </c>
      <c r="C2795" s="69">
        <v>26.32031709324751</v>
      </c>
    </row>
    <row r="2796">
      <c r="A2796" s="62" t="s">
        <v>187</v>
      </c>
      <c r="B2796" s="63">
        <v>44390.0</v>
      </c>
      <c r="C2796" s="69">
        <v>26.313691169302608</v>
      </c>
    </row>
    <row r="2797">
      <c r="A2797" s="62" t="s">
        <v>5375</v>
      </c>
      <c r="B2797" s="63">
        <v>44342.0</v>
      </c>
      <c r="C2797" s="69">
        <v>26.306940113337074</v>
      </c>
    </row>
    <row r="2798">
      <c r="A2798" s="62" t="s">
        <v>3580</v>
      </c>
      <c r="B2798" s="63">
        <v>44208.0</v>
      </c>
      <c r="C2798" s="69">
        <v>26.2983571087736</v>
      </c>
    </row>
    <row r="2799">
      <c r="A2799" s="62" t="s">
        <v>6502</v>
      </c>
      <c r="B2799" s="63">
        <v>44369.0</v>
      </c>
      <c r="C2799" s="69">
        <v>26.293237196289702</v>
      </c>
    </row>
    <row r="2800">
      <c r="A2800" s="62" t="s">
        <v>4374</v>
      </c>
      <c r="B2800" s="63">
        <v>44162.0</v>
      </c>
      <c r="C2800" s="69">
        <v>26.292784096597416</v>
      </c>
    </row>
    <row r="2801">
      <c r="A2801" s="62" t="s">
        <v>4868</v>
      </c>
      <c r="B2801" s="63">
        <v>44258.0</v>
      </c>
      <c r="C2801" s="69">
        <v>26.292554244685796</v>
      </c>
    </row>
    <row r="2802">
      <c r="A2802" s="62" t="s">
        <v>2721</v>
      </c>
      <c r="B2802" s="63">
        <v>44246.0</v>
      </c>
      <c r="C2802" s="69">
        <v>26.287440484657772</v>
      </c>
    </row>
    <row r="2803">
      <c r="A2803" s="62" t="s">
        <v>5190</v>
      </c>
      <c r="B2803" s="63">
        <v>44274.0</v>
      </c>
      <c r="C2803" s="69">
        <v>26.28721278736315</v>
      </c>
    </row>
    <row r="2804">
      <c r="A2804" s="62" t="s">
        <v>5374</v>
      </c>
      <c r="B2804" s="63">
        <v>44326.0</v>
      </c>
      <c r="C2804" s="69">
        <v>26.28462377515018</v>
      </c>
    </row>
    <row r="2805">
      <c r="A2805" s="62" t="s">
        <v>3502</v>
      </c>
      <c r="B2805" s="63">
        <v>44148.0</v>
      </c>
      <c r="C2805" s="69">
        <v>26.283809959332146</v>
      </c>
    </row>
    <row r="2806">
      <c r="A2806" s="62" t="s">
        <v>5219</v>
      </c>
      <c r="B2806" s="63">
        <v>44262.0</v>
      </c>
      <c r="C2806" s="69">
        <v>26.281156724766348</v>
      </c>
    </row>
    <row r="2807">
      <c r="A2807" s="62" t="s">
        <v>4828</v>
      </c>
      <c r="B2807" s="63">
        <v>44287.0</v>
      </c>
      <c r="C2807" s="69">
        <v>26.27957542286382</v>
      </c>
    </row>
    <row r="2808">
      <c r="A2808" s="62" t="s">
        <v>4765</v>
      </c>
      <c r="B2808" s="63">
        <v>44281.0</v>
      </c>
      <c r="C2808" s="69">
        <v>26.278987802058637</v>
      </c>
    </row>
    <row r="2809">
      <c r="A2809" s="62" t="s">
        <v>3270</v>
      </c>
      <c r="B2809" s="63">
        <v>44077.0</v>
      </c>
      <c r="C2809" s="69">
        <v>26.26879216243072</v>
      </c>
    </row>
    <row r="2810">
      <c r="A2810" s="62" t="s">
        <v>4710</v>
      </c>
      <c r="B2810" s="63">
        <v>44265.0</v>
      </c>
      <c r="C2810" s="69">
        <v>26.255652589557204</v>
      </c>
    </row>
    <row r="2811">
      <c r="A2811" s="62" t="s">
        <v>5885</v>
      </c>
      <c r="B2811" s="63">
        <v>44356.0</v>
      </c>
      <c r="C2811" s="69">
        <v>26.25162232117244</v>
      </c>
    </row>
    <row r="2812">
      <c r="A2812" s="62" t="s">
        <v>1374</v>
      </c>
      <c r="B2812" s="63">
        <v>44111.0</v>
      </c>
      <c r="C2812" s="69">
        <v>26.250144575451543</v>
      </c>
    </row>
    <row r="2813">
      <c r="A2813" s="62" t="s">
        <v>4911</v>
      </c>
      <c r="B2813" s="63">
        <v>44313.0</v>
      </c>
      <c r="C2813" s="69">
        <v>26.24379213423034</v>
      </c>
    </row>
    <row r="2814">
      <c r="A2814" s="62" t="s">
        <v>4410</v>
      </c>
      <c r="B2814" s="63">
        <v>44240.0</v>
      </c>
      <c r="C2814" s="69">
        <v>26.24098178389844</v>
      </c>
    </row>
    <row r="2815">
      <c r="A2815" s="62" t="s">
        <v>308</v>
      </c>
      <c r="B2815" s="63">
        <v>44223.0</v>
      </c>
      <c r="C2815" s="69">
        <v>26.238513361251236</v>
      </c>
    </row>
    <row r="2816">
      <c r="A2816" s="62" t="s">
        <v>1812</v>
      </c>
      <c r="B2816" s="63">
        <v>44286.0</v>
      </c>
      <c r="C2816" s="69">
        <v>26.23819517499306</v>
      </c>
    </row>
    <row r="2817">
      <c r="A2817" s="62" t="s">
        <v>4360</v>
      </c>
      <c r="B2817" s="63">
        <v>44178.0</v>
      </c>
      <c r="C2817" s="69">
        <v>26.227993400799846</v>
      </c>
    </row>
    <row r="2818">
      <c r="A2818" s="62" t="s">
        <v>2663</v>
      </c>
      <c r="B2818" s="63">
        <v>44116.0</v>
      </c>
      <c r="C2818" s="69">
        <v>26.22043213310539</v>
      </c>
    </row>
    <row r="2819">
      <c r="A2819" s="62" t="s">
        <v>3423</v>
      </c>
      <c r="B2819" s="63">
        <v>44237.0</v>
      </c>
      <c r="C2819" s="69">
        <v>26.21911600307236</v>
      </c>
    </row>
    <row r="2820">
      <c r="A2820" s="62" t="s">
        <v>2252</v>
      </c>
      <c r="B2820" s="63">
        <v>44064.0</v>
      </c>
      <c r="C2820" s="69">
        <v>26.219004955528717</v>
      </c>
    </row>
    <row r="2821">
      <c r="A2821" s="62" t="s">
        <v>6405</v>
      </c>
      <c r="B2821" s="63">
        <v>44363.0</v>
      </c>
      <c r="C2821" s="69">
        <v>26.218036252651086</v>
      </c>
    </row>
    <row r="2822">
      <c r="A2822" s="62" t="s">
        <v>5372</v>
      </c>
      <c r="B2822" s="63">
        <v>44340.0</v>
      </c>
      <c r="C2822" s="69">
        <v>26.20803582280846</v>
      </c>
    </row>
    <row r="2823">
      <c r="A2823" s="62" t="s">
        <v>1404</v>
      </c>
      <c r="B2823" s="63">
        <v>44193.0</v>
      </c>
      <c r="C2823" s="69">
        <v>26.205815717105644</v>
      </c>
    </row>
    <row r="2824">
      <c r="A2824" s="62" t="s">
        <v>5371</v>
      </c>
      <c r="B2824" s="63">
        <v>44340.0</v>
      </c>
      <c r="C2824" s="69">
        <v>26.191092465935583</v>
      </c>
    </row>
    <row r="2825">
      <c r="A2825" s="62" t="s">
        <v>4129</v>
      </c>
      <c r="B2825" s="63">
        <v>44235.0</v>
      </c>
      <c r="C2825" s="69">
        <v>26.1889525778317</v>
      </c>
    </row>
    <row r="2826">
      <c r="A2826" s="62" t="s">
        <v>5691</v>
      </c>
      <c r="B2826" s="63">
        <v>44370.0</v>
      </c>
      <c r="C2826" s="69">
        <v>26.188113544238824</v>
      </c>
    </row>
    <row r="2827">
      <c r="A2827" s="62" t="s">
        <v>3203</v>
      </c>
      <c r="B2827" s="63">
        <v>44158.0</v>
      </c>
      <c r="C2827" s="69">
        <v>26.186038799621834</v>
      </c>
    </row>
    <row r="2828">
      <c r="A2828" s="62" t="s">
        <v>321</v>
      </c>
      <c r="B2828" s="63">
        <v>44292.0</v>
      </c>
      <c r="C2828" s="69">
        <v>26.18400290851757</v>
      </c>
    </row>
    <row r="2829">
      <c r="A2829" s="62" t="s">
        <v>5370</v>
      </c>
      <c r="B2829" s="63">
        <v>44335.0</v>
      </c>
      <c r="C2829" s="69">
        <v>26.182519302980445</v>
      </c>
    </row>
    <row r="2830">
      <c r="A2830" s="62" t="s">
        <v>5368</v>
      </c>
      <c r="B2830" s="63">
        <v>44330.0</v>
      </c>
      <c r="C2830" s="69">
        <v>26.181925510497827</v>
      </c>
    </row>
    <row r="2831">
      <c r="A2831" s="62" t="s">
        <v>5367</v>
      </c>
      <c r="B2831" s="63">
        <v>44341.0</v>
      </c>
      <c r="C2831" s="69">
        <v>26.181333573565304</v>
      </c>
    </row>
    <row r="2832">
      <c r="A2832" s="62" t="s">
        <v>3225</v>
      </c>
      <c r="B2832" s="63">
        <v>44091.0</v>
      </c>
      <c r="C2832" s="69">
        <v>26.177514839851817</v>
      </c>
    </row>
    <row r="2833">
      <c r="A2833" s="62" t="s">
        <v>1171</v>
      </c>
      <c r="B2833" s="63">
        <v>44064.0</v>
      </c>
      <c r="C2833" s="69">
        <v>26.17656620117032</v>
      </c>
    </row>
    <row r="2834">
      <c r="A2834" s="62" t="s">
        <v>5364</v>
      </c>
      <c r="B2834" s="63">
        <v>44334.0</v>
      </c>
      <c r="C2834" s="69">
        <v>26.172435175220187</v>
      </c>
    </row>
    <row r="2835">
      <c r="A2835" s="62" t="s">
        <v>250</v>
      </c>
      <c r="B2835" s="63">
        <v>44393.0</v>
      </c>
      <c r="C2835" s="69">
        <v>26.16932610548268</v>
      </c>
    </row>
    <row r="2836">
      <c r="A2836" s="62" t="s">
        <v>1751</v>
      </c>
      <c r="B2836" s="63">
        <v>44377.0</v>
      </c>
      <c r="C2836" s="69">
        <v>26.16926489470146</v>
      </c>
    </row>
    <row r="2837">
      <c r="A2837" s="62" t="s">
        <v>3595</v>
      </c>
      <c r="B2837" s="63">
        <v>44235.0</v>
      </c>
      <c r="C2837" s="69">
        <v>26.16674069658909</v>
      </c>
    </row>
    <row r="2838">
      <c r="A2838" s="62" t="s">
        <v>2715</v>
      </c>
      <c r="B2838" s="63">
        <v>44129.0</v>
      </c>
      <c r="C2838" s="69">
        <v>26.165338003728905</v>
      </c>
    </row>
    <row r="2839">
      <c r="A2839" s="62" t="s">
        <v>3284</v>
      </c>
      <c r="B2839" s="63">
        <v>44130.0</v>
      </c>
      <c r="C2839" s="69">
        <v>26.159624125223612</v>
      </c>
    </row>
    <row r="2840">
      <c r="A2840" s="62" t="s">
        <v>4960</v>
      </c>
      <c r="B2840" s="63">
        <v>44258.0</v>
      </c>
      <c r="C2840" s="69">
        <v>26.15197124237758</v>
      </c>
    </row>
    <row r="2841">
      <c r="A2841" s="62" t="s">
        <v>2761</v>
      </c>
      <c r="B2841" s="63">
        <v>44232.0</v>
      </c>
      <c r="C2841" s="69">
        <v>26.147493051313635</v>
      </c>
    </row>
    <row r="2842">
      <c r="A2842" s="62" t="s">
        <v>6719</v>
      </c>
      <c r="B2842" s="63">
        <v>44372.0</v>
      </c>
      <c r="C2842" s="69">
        <v>26.144066795870458</v>
      </c>
    </row>
    <row r="2843">
      <c r="A2843" s="62" t="s">
        <v>1421</v>
      </c>
      <c r="B2843" s="63">
        <v>44119.0</v>
      </c>
      <c r="C2843" s="69">
        <v>26.142297794173757</v>
      </c>
    </row>
    <row r="2844">
      <c r="A2844" s="62" t="s">
        <v>3986</v>
      </c>
      <c r="B2844" s="63">
        <v>44117.0</v>
      </c>
      <c r="C2844" s="69">
        <v>26.141709916236398</v>
      </c>
    </row>
    <row r="2845">
      <c r="A2845" s="62" t="s">
        <v>3594</v>
      </c>
      <c r="B2845" s="63">
        <v>44141.0</v>
      </c>
      <c r="C2845" s="69">
        <v>26.14107129078565</v>
      </c>
    </row>
    <row r="2846">
      <c r="A2846" s="62" t="s">
        <v>5820</v>
      </c>
      <c r="B2846" s="63">
        <v>44356.0</v>
      </c>
      <c r="C2846" s="69">
        <v>26.137820251054876</v>
      </c>
    </row>
    <row r="2847">
      <c r="A2847" s="62" t="s">
        <v>6311</v>
      </c>
      <c r="B2847" s="63">
        <v>44357.0</v>
      </c>
      <c r="C2847" s="69">
        <v>26.136327030626227</v>
      </c>
    </row>
    <row r="2848">
      <c r="A2848" s="62" t="s">
        <v>552</v>
      </c>
      <c r="B2848" s="63">
        <v>44357.0</v>
      </c>
      <c r="C2848" s="69">
        <v>26.13507114838127</v>
      </c>
    </row>
    <row r="2849">
      <c r="A2849" s="62" t="s">
        <v>6374</v>
      </c>
      <c r="B2849" s="63">
        <v>44376.0</v>
      </c>
      <c r="C2849" s="69">
        <v>26.13392436498109</v>
      </c>
    </row>
    <row r="2850">
      <c r="A2850" s="62" t="s">
        <v>3535</v>
      </c>
      <c r="B2850" s="63">
        <v>44119.0</v>
      </c>
      <c r="C2850" s="69">
        <v>26.13076834284501</v>
      </c>
    </row>
    <row r="2851">
      <c r="A2851" s="62" t="s">
        <v>2760</v>
      </c>
      <c r="B2851" s="63">
        <v>44229.0</v>
      </c>
      <c r="C2851" s="69">
        <v>26.123683648075897</v>
      </c>
    </row>
    <row r="2852">
      <c r="A2852" s="62" t="s">
        <v>3850</v>
      </c>
      <c r="B2852" s="63">
        <v>44208.0</v>
      </c>
      <c r="C2852" s="69">
        <v>26.12273109482336</v>
      </c>
    </row>
    <row r="2853">
      <c r="A2853" s="62" t="s">
        <v>4240</v>
      </c>
      <c r="B2853" s="63">
        <v>44244.0</v>
      </c>
      <c r="C2853" s="69">
        <v>26.120433406917787</v>
      </c>
    </row>
    <row r="2854">
      <c r="A2854" s="62" t="s">
        <v>5458</v>
      </c>
      <c r="B2854" s="63">
        <v>44348.0</v>
      </c>
      <c r="C2854" s="69">
        <v>26.11465322658585</v>
      </c>
    </row>
    <row r="2855">
      <c r="A2855" s="62" t="s">
        <v>3587</v>
      </c>
      <c r="B2855" s="63">
        <v>44203.0</v>
      </c>
      <c r="C2855" s="69">
        <v>26.11234092589126</v>
      </c>
    </row>
    <row r="2856">
      <c r="A2856" s="62" t="s">
        <v>6550</v>
      </c>
      <c r="B2856" s="63">
        <v>44350.0</v>
      </c>
      <c r="C2856" s="69">
        <v>26.1099586246534</v>
      </c>
    </row>
    <row r="2857">
      <c r="A2857" s="62" t="s">
        <v>5363</v>
      </c>
      <c r="B2857" s="63">
        <v>44340.0</v>
      </c>
      <c r="C2857" s="69">
        <v>26.10928812500825</v>
      </c>
    </row>
    <row r="2858">
      <c r="A2858" s="62" t="s">
        <v>4335</v>
      </c>
      <c r="B2858" s="63">
        <v>44120.0</v>
      </c>
      <c r="C2858" s="69">
        <v>26.108268980012767</v>
      </c>
    </row>
    <row r="2859">
      <c r="A2859" s="62" t="s">
        <v>279</v>
      </c>
      <c r="B2859" s="63">
        <v>44393.0</v>
      </c>
      <c r="C2859" s="69">
        <v>26.099349624359867</v>
      </c>
    </row>
    <row r="2860">
      <c r="A2860" s="62" t="s">
        <v>5361</v>
      </c>
      <c r="B2860" s="63">
        <v>44323.0</v>
      </c>
      <c r="C2860" s="69">
        <v>26.097219998344414</v>
      </c>
    </row>
    <row r="2861">
      <c r="A2861" s="62" t="s">
        <v>5360</v>
      </c>
      <c r="B2861" s="63">
        <v>44330.0</v>
      </c>
      <c r="C2861" s="69">
        <v>26.089298678293687</v>
      </c>
    </row>
    <row r="2862">
      <c r="A2862" s="62" t="s">
        <v>5359</v>
      </c>
      <c r="B2862" s="63">
        <v>44343.0</v>
      </c>
      <c r="C2862" s="69">
        <v>26.087630589075367</v>
      </c>
    </row>
    <row r="2863">
      <c r="A2863" s="62" t="s">
        <v>5358</v>
      </c>
      <c r="B2863" s="63">
        <v>44328.0</v>
      </c>
      <c r="C2863" s="69">
        <v>26.08646677123813</v>
      </c>
    </row>
    <row r="2864">
      <c r="A2864" s="62" t="s">
        <v>5682</v>
      </c>
      <c r="B2864" s="63">
        <v>44356.0</v>
      </c>
      <c r="C2864" s="69">
        <v>26.08628317278282</v>
      </c>
    </row>
    <row r="2865">
      <c r="A2865" s="62" t="s">
        <v>3051</v>
      </c>
      <c r="B2865" s="63">
        <v>44126.0</v>
      </c>
      <c r="C2865" s="69">
        <v>26.084277645600515</v>
      </c>
    </row>
    <row r="2866">
      <c r="A2866" s="62" t="s">
        <v>4327</v>
      </c>
      <c r="B2866" s="63">
        <v>44223.0</v>
      </c>
      <c r="C2866" s="69">
        <v>26.083410979352703</v>
      </c>
    </row>
    <row r="2867">
      <c r="A2867" s="62" t="s">
        <v>5357</v>
      </c>
      <c r="B2867" s="63">
        <v>44337.0</v>
      </c>
      <c r="C2867" s="69">
        <v>26.077978860905695</v>
      </c>
    </row>
    <row r="2868">
      <c r="A2868" s="62" t="s">
        <v>5092</v>
      </c>
      <c r="B2868" s="63">
        <v>44284.0</v>
      </c>
      <c r="C2868" s="69">
        <v>26.07619850425944</v>
      </c>
    </row>
    <row r="2869">
      <c r="A2869" s="62" t="s">
        <v>2622</v>
      </c>
      <c r="B2869" s="63">
        <v>44395.0</v>
      </c>
      <c r="C2869" s="69">
        <v>26.075769430117628</v>
      </c>
    </row>
    <row r="2870">
      <c r="A2870" s="62" t="s">
        <v>4596</v>
      </c>
      <c r="B2870" s="63">
        <v>44315.0</v>
      </c>
      <c r="C2870" s="69">
        <v>26.07368336069962</v>
      </c>
    </row>
    <row r="2871">
      <c r="A2871" s="62" t="s">
        <v>200</v>
      </c>
      <c r="B2871" s="63">
        <v>44074.0</v>
      </c>
      <c r="C2871" s="69">
        <v>26.06788798055056</v>
      </c>
    </row>
    <row r="2872">
      <c r="A2872" s="62" t="s">
        <v>3756</v>
      </c>
      <c r="B2872" s="63">
        <v>44236.0</v>
      </c>
      <c r="C2872" s="69">
        <v>26.065454746992884</v>
      </c>
    </row>
    <row r="2873">
      <c r="A2873" s="62" t="s">
        <v>2662</v>
      </c>
      <c r="B2873" s="63">
        <v>44202.0</v>
      </c>
      <c r="C2873" s="69">
        <v>26.063098718185152</v>
      </c>
    </row>
    <row r="2874">
      <c r="A2874" s="62" t="s">
        <v>2403</v>
      </c>
      <c r="B2874" s="63">
        <v>44384.0</v>
      </c>
      <c r="C2874" s="69">
        <v>26.056786024844108</v>
      </c>
    </row>
    <row r="2875">
      <c r="A2875" s="62" t="s">
        <v>3784</v>
      </c>
      <c r="B2875" s="63">
        <v>44222.0</v>
      </c>
      <c r="C2875" s="69">
        <v>26.04548506085342</v>
      </c>
    </row>
    <row r="2876">
      <c r="A2876" s="62" t="s">
        <v>2827</v>
      </c>
      <c r="B2876" s="63">
        <v>44236.0</v>
      </c>
      <c r="C2876" s="69">
        <v>26.04526735559725</v>
      </c>
    </row>
    <row r="2877">
      <c r="A2877" s="62" t="s">
        <v>3074</v>
      </c>
      <c r="B2877" s="63">
        <v>44174.0</v>
      </c>
      <c r="C2877" s="69">
        <v>26.040449441172306</v>
      </c>
    </row>
    <row r="2878">
      <c r="A2878" s="62" t="s">
        <v>3570</v>
      </c>
      <c r="B2878" s="63">
        <v>44222.0</v>
      </c>
      <c r="C2878" s="69">
        <v>26.039745412650348</v>
      </c>
    </row>
    <row r="2879">
      <c r="A2879" s="62" t="s">
        <v>616</v>
      </c>
      <c r="B2879" s="63">
        <v>44113.0</v>
      </c>
      <c r="C2879" s="69">
        <v>26.02958835467236</v>
      </c>
    </row>
    <row r="2880">
      <c r="A2880" s="62" t="s">
        <v>3861</v>
      </c>
      <c r="B2880" s="63">
        <v>44211.0</v>
      </c>
      <c r="C2880" s="69">
        <v>26.02463378961766</v>
      </c>
    </row>
    <row r="2881">
      <c r="A2881" s="62" t="s">
        <v>5356</v>
      </c>
      <c r="B2881" s="63">
        <v>44335.0</v>
      </c>
      <c r="C2881" s="69">
        <v>26.021765185958905</v>
      </c>
    </row>
    <row r="2882">
      <c r="A2882" s="62" t="s">
        <v>4053</v>
      </c>
      <c r="B2882" s="63">
        <v>44208.0</v>
      </c>
      <c r="C2882" s="69">
        <v>26.018113102394473</v>
      </c>
    </row>
    <row r="2883">
      <c r="A2883" s="62" t="s">
        <v>3818</v>
      </c>
      <c r="B2883" s="63">
        <v>44155.0</v>
      </c>
      <c r="C2883" s="69">
        <v>26.01333333092132</v>
      </c>
    </row>
    <row r="2884">
      <c r="A2884" s="62" t="s">
        <v>5043</v>
      </c>
      <c r="B2884" s="63">
        <v>44287.0</v>
      </c>
      <c r="C2884" s="69">
        <v>26.010533285612226</v>
      </c>
    </row>
    <row r="2885">
      <c r="A2885" s="62" t="s">
        <v>3550</v>
      </c>
      <c r="B2885" s="63">
        <v>44229.0</v>
      </c>
      <c r="C2885" s="69">
        <v>26.01050704871527</v>
      </c>
    </row>
    <row r="2886">
      <c r="A2886" s="62" t="s">
        <v>2703</v>
      </c>
      <c r="B2886" s="63">
        <v>44221.0</v>
      </c>
      <c r="C2886" s="69">
        <v>26.00864386172882</v>
      </c>
    </row>
    <row r="2887">
      <c r="A2887" s="62" t="s">
        <v>3367</v>
      </c>
      <c r="B2887" s="63">
        <v>44109.0</v>
      </c>
      <c r="C2887" s="69">
        <v>26.007408405144528</v>
      </c>
    </row>
    <row r="2888">
      <c r="A2888" s="62" t="s">
        <v>2259</v>
      </c>
      <c r="B2888" s="63">
        <v>44378.0</v>
      </c>
      <c r="C2888" s="69">
        <v>26.004030396531135</v>
      </c>
    </row>
    <row r="2889">
      <c r="A2889" s="62" t="s">
        <v>2677</v>
      </c>
      <c r="B2889" s="63">
        <v>44097.0</v>
      </c>
      <c r="C2889" s="69">
        <v>25.999614016755537</v>
      </c>
    </row>
    <row r="2890">
      <c r="A2890" s="62" t="s">
        <v>1490</v>
      </c>
      <c r="B2890" s="63">
        <v>44211.0</v>
      </c>
      <c r="C2890" s="69">
        <v>25.99534763148526</v>
      </c>
    </row>
    <row r="2891">
      <c r="A2891" s="62" t="s">
        <v>5492</v>
      </c>
      <c r="B2891" s="63">
        <v>44377.0</v>
      </c>
      <c r="C2891" s="69">
        <v>25.983361480925147</v>
      </c>
    </row>
    <row r="2892">
      <c r="A2892" s="62" t="s">
        <v>5355</v>
      </c>
      <c r="B2892" s="63">
        <v>44320.0</v>
      </c>
      <c r="C2892" s="69">
        <v>25.974409211432047</v>
      </c>
    </row>
    <row r="2893">
      <c r="A2893" s="62" t="s">
        <v>4495</v>
      </c>
      <c r="B2893" s="63">
        <v>44278.0</v>
      </c>
      <c r="C2893" s="69">
        <v>25.97322852125496</v>
      </c>
    </row>
    <row r="2894">
      <c r="A2894" s="62" t="s">
        <v>5171</v>
      </c>
      <c r="B2894" s="63">
        <v>44314.0</v>
      </c>
      <c r="C2894" s="69">
        <v>25.972871233601143</v>
      </c>
    </row>
    <row r="2895">
      <c r="A2895" s="62" t="s">
        <v>6507</v>
      </c>
      <c r="B2895" s="63">
        <v>44376.0</v>
      </c>
      <c r="C2895" s="69">
        <v>25.967277926667055</v>
      </c>
    </row>
    <row r="2896">
      <c r="A2896" s="62" t="s">
        <v>181</v>
      </c>
      <c r="B2896" s="63">
        <v>44071.0</v>
      </c>
      <c r="C2896" s="69">
        <v>25.965944537987834</v>
      </c>
    </row>
    <row r="2897">
      <c r="A2897" s="62" t="s">
        <v>3063</v>
      </c>
      <c r="B2897" s="63">
        <v>44254.0</v>
      </c>
      <c r="C2897" s="69">
        <v>25.959561950194097</v>
      </c>
    </row>
    <row r="2898">
      <c r="A2898" s="62" t="s">
        <v>5349</v>
      </c>
      <c r="B2898" s="63">
        <v>44320.0</v>
      </c>
      <c r="C2898" s="69">
        <v>25.95672816206886</v>
      </c>
    </row>
    <row r="2899">
      <c r="A2899" s="62" t="s">
        <v>5829</v>
      </c>
      <c r="B2899" s="63">
        <v>44376.0</v>
      </c>
      <c r="C2899" s="69">
        <v>25.954962660208388</v>
      </c>
    </row>
    <row r="2900">
      <c r="A2900" s="62" t="s">
        <v>5348</v>
      </c>
      <c r="B2900" s="63">
        <v>44341.0</v>
      </c>
      <c r="C2900" s="69">
        <v>25.953600858482876</v>
      </c>
    </row>
    <row r="2901">
      <c r="A2901" s="62" t="s">
        <v>589</v>
      </c>
      <c r="B2901" s="63">
        <v>44072.0</v>
      </c>
      <c r="C2901" s="69">
        <v>25.950502144798847</v>
      </c>
    </row>
    <row r="2902">
      <c r="A2902" s="62" t="s">
        <v>5344</v>
      </c>
      <c r="B2902" s="63">
        <v>44334.0</v>
      </c>
      <c r="C2902" s="69">
        <v>25.94837353771735</v>
      </c>
    </row>
    <row r="2903">
      <c r="A2903" s="62" t="s">
        <v>4755</v>
      </c>
      <c r="B2903" s="63">
        <v>44293.0</v>
      </c>
      <c r="C2903" s="69">
        <v>25.946451280249892</v>
      </c>
    </row>
    <row r="2904">
      <c r="A2904" s="62" t="s">
        <v>2239</v>
      </c>
      <c r="B2904" s="63">
        <v>44073.0</v>
      </c>
      <c r="C2904" s="69">
        <v>25.94623066820668</v>
      </c>
    </row>
    <row r="2905">
      <c r="A2905" s="62" t="s">
        <v>2440</v>
      </c>
      <c r="B2905" s="63">
        <v>44378.0</v>
      </c>
      <c r="C2905" s="69">
        <v>25.94288346509229</v>
      </c>
    </row>
    <row r="2906">
      <c r="A2906" s="62" t="s">
        <v>4189</v>
      </c>
      <c r="B2906" s="63">
        <v>44204.0</v>
      </c>
      <c r="C2906" s="69">
        <v>25.93696160974669</v>
      </c>
    </row>
    <row r="2907">
      <c r="A2907" s="62" t="s">
        <v>4283</v>
      </c>
      <c r="B2907" s="63">
        <v>44223.0</v>
      </c>
      <c r="C2907" s="69">
        <v>25.93531089819773</v>
      </c>
    </row>
    <row r="2908">
      <c r="A2908" s="62" t="s">
        <v>3584</v>
      </c>
      <c r="B2908" s="63">
        <v>44215.0</v>
      </c>
      <c r="C2908" s="69">
        <v>25.932965952713435</v>
      </c>
    </row>
    <row r="2909">
      <c r="A2909" s="62" t="s">
        <v>3232</v>
      </c>
      <c r="B2909" s="63">
        <v>44179.0</v>
      </c>
      <c r="C2909" s="69">
        <v>25.92786447408664</v>
      </c>
    </row>
    <row r="2910">
      <c r="A2910" s="62" t="s">
        <v>3927</v>
      </c>
      <c r="B2910" s="63">
        <v>44183.0</v>
      </c>
      <c r="C2910" s="69">
        <v>25.924573072604012</v>
      </c>
    </row>
    <row r="2911">
      <c r="A2911" s="62" t="s">
        <v>3713</v>
      </c>
      <c r="B2911" s="63">
        <v>44119.0</v>
      </c>
      <c r="C2911" s="69">
        <v>25.91796776302744</v>
      </c>
    </row>
    <row r="2912">
      <c r="A2912" s="62" t="s">
        <v>3663</v>
      </c>
      <c r="B2912" s="63">
        <v>44207.0</v>
      </c>
      <c r="C2912" s="69">
        <v>25.915178628516315</v>
      </c>
    </row>
    <row r="2913">
      <c r="A2913" s="62" t="s">
        <v>4831</v>
      </c>
      <c r="B2913" s="63">
        <v>44266.0</v>
      </c>
      <c r="C2913" s="69">
        <v>25.912300002684198</v>
      </c>
    </row>
    <row r="2914">
      <c r="A2914" s="62" t="s">
        <v>579</v>
      </c>
      <c r="B2914" s="63">
        <v>44315.0</v>
      </c>
      <c r="C2914" s="69">
        <v>25.911377143732516</v>
      </c>
    </row>
    <row r="2915">
      <c r="A2915" s="62" t="s">
        <v>1759</v>
      </c>
      <c r="B2915" s="63">
        <v>44359.0</v>
      </c>
      <c r="C2915" s="69">
        <v>25.904601010186244</v>
      </c>
    </row>
    <row r="2916">
      <c r="A2916" s="62" t="s">
        <v>2480</v>
      </c>
      <c r="B2916" s="63">
        <v>44382.0</v>
      </c>
      <c r="C2916" s="69">
        <v>25.902270348399625</v>
      </c>
    </row>
    <row r="2917">
      <c r="A2917" s="62" t="s">
        <v>3262</v>
      </c>
      <c r="B2917" s="63">
        <v>44235.0</v>
      </c>
      <c r="C2917" s="69">
        <v>25.89424028907346</v>
      </c>
    </row>
    <row r="2918">
      <c r="A2918" s="62" t="s">
        <v>3701</v>
      </c>
      <c r="B2918" s="63">
        <v>44144.0</v>
      </c>
      <c r="C2918" s="69">
        <v>25.887144513507728</v>
      </c>
    </row>
    <row r="2919">
      <c r="A2919" s="62" t="s">
        <v>5040</v>
      </c>
      <c r="B2919" s="63">
        <v>44316.0</v>
      </c>
      <c r="C2919" s="69">
        <v>25.88137854793426</v>
      </c>
    </row>
    <row r="2920">
      <c r="A2920" s="62" t="s">
        <v>2161</v>
      </c>
      <c r="B2920" s="63">
        <v>44060.0</v>
      </c>
      <c r="C2920" s="69">
        <v>25.878403015824176</v>
      </c>
    </row>
    <row r="2921">
      <c r="A2921" s="62" t="s">
        <v>4800</v>
      </c>
      <c r="B2921" s="63">
        <v>44277.0</v>
      </c>
      <c r="C2921" s="69">
        <v>25.875665940139676</v>
      </c>
    </row>
    <row r="2922">
      <c r="A2922" s="62" t="s">
        <v>2828</v>
      </c>
      <c r="B2922" s="63">
        <v>44151.0</v>
      </c>
      <c r="C2922" s="69">
        <v>25.8719367617781</v>
      </c>
    </row>
    <row r="2923">
      <c r="A2923" s="62" t="s">
        <v>4607</v>
      </c>
      <c r="B2923" s="63">
        <v>44265.0</v>
      </c>
      <c r="C2923" s="69">
        <v>25.865875299107586</v>
      </c>
    </row>
    <row r="2924">
      <c r="A2924" s="62" t="s">
        <v>3913</v>
      </c>
      <c r="B2924" s="63">
        <v>44109.0</v>
      </c>
      <c r="C2924" s="69">
        <v>25.86498902110951</v>
      </c>
    </row>
    <row r="2925">
      <c r="A2925" s="62" t="s">
        <v>5170</v>
      </c>
      <c r="B2925" s="63">
        <v>44273.0</v>
      </c>
      <c r="C2925" s="69">
        <v>25.862694383206826</v>
      </c>
    </row>
    <row r="2926">
      <c r="A2926" s="62" t="s">
        <v>3630</v>
      </c>
      <c r="B2926" s="63">
        <v>44112.0</v>
      </c>
      <c r="C2926" s="69">
        <v>25.847794198746556</v>
      </c>
    </row>
    <row r="2927">
      <c r="A2927" s="62" t="s">
        <v>5591</v>
      </c>
      <c r="B2927" s="63">
        <v>44371.0</v>
      </c>
      <c r="C2927" s="69">
        <v>25.844848695985043</v>
      </c>
    </row>
    <row r="2928">
      <c r="A2928" s="62" t="s">
        <v>2516</v>
      </c>
      <c r="B2928" s="63">
        <v>44393.0</v>
      </c>
      <c r="C2928" s="69">
        <v>25.843737073256328</v>
      </c>
    </row>
    <row r="2929">
      <c r="A2929" s="62" t="s">
        <v>2082</v>
      </c>
      <c r="B2929" s="63">
        <v>44270.0</v>
      </c>
      <c r="C2929" s="69">
        <v>25.843250595243955</v>
      </c>
    </row>
    <row r="2930">
      <c r="A2930" s="62" t="s">
        <v>5419</v>
      </c>
      <c r="B2930" s="63">
        <v>44363.0</v>
      </c>
      <c r="C2930" s="69">
        <v>25.83733831329633</v>
      </c>
    </row>
    <row r="2931">
      <c r="A2931" s="62" t="s">
        <v>2475</v>
      </c>
      <c r="B2931" s="63">
        <v>44380.0</v>
      </c>
      <c r="C2931" s="69">
        <v>25.827987165540996</v>
      </c>
    </row>
    <row r="2932">
      <c r="A2932" s="62" t="s">
        <v>3104</v>
      </c>
      <c r="B2932" s="63">
        <v>44179.0</v>
      </c>
      <c r="C2932" s="69">
        <v>25.824762934078585</v>
      </c>
    </row>
    <row r="2933">
      <c r="A2933" s="62" t="s">
        <v>3819</v>
      </c>
      <c r="B2933" s="63">
        <v>44251.0</v>
      </c>
      <c r="C2933" s="69">
        <v>25.81889667891234</v>
      </c>
    </row>
    <row r="2934">
      <c r="A2934" s="62" t="s">
        <v>4394</v>
      </c>
      <c r="B2934" s="63">
        <v>44204.0</v>
      </c>
      <c r="C2934" s="69">
        <v>25.818358587919157</v>
      </c>
    </row>
    <row r="2935">
      <c r="A2935" s="62" t="s">
        <v>5693</v>
      </c>
      <c r="B2935" s="63">
        <v>44375.0</v>
      </c>
      <c r="C2935" s="69">
        <v>25.81696318878268</v>
      </c>
    </row>
    <row r="2936">
      <c r="A2936" s="62" t="s">
        <v>3634</v>
      </c>
      <c r="B2936" s="63">
        <v>44225.0</v>
      </c>
      <c r="C2936" s="69">
        <v>25.815673898158217</v>
      </c>
    </row>
    <row r="2937">
      <c r="A2937" s="62" t="s">
        <v>5198</v>
      </c>
      <c r="B2937" s="63">
        <v>44271.0</v>
      </c>
      <c r="C2937" s="69">
        <v>25.80957934294854</v>
      </c>
    </row>
    <row r="2938">
      <c r="A2938" s="62" t="s">
        <v>3184</v>
      </c>
      <c r="B2938" s="63">
        <v>44181.0</v>
      </c>
      <c r="C2938" s="69">
        <v>25.791962569797384</v>
      </c>
    </row>
    <row r="2939">
      <c r="A2939" s="62" t="s">
        <v>4288</v>
      </c>
      <c r="B2939" s="63">
        <v>44204.0</v>
      </c>
      <c r="C2939" s="69">
        <v>25.79166638769592</v>
      </c>
    </row>
    <row r="2940">
      <c r="A2940" s="62" t="s">
        <v>4877</v>
      </c>
      <c r="B2940" s="63">
        <v>44278.0</v>
      </c>
      <c r="C2940" s="69">
        <v>25.78466116472892</v>
      </c>
    </row>
    <row r="2941">
      <c r="A2941" s="62" t="s">
        <v>6624</v>
      </c>
      <c r="B2941" s="63">
        <v>44356.0</v>
      </c>
      <c r="C2941" s="69">
        <v>25.766654476574086</v>
      </c>
    </row>
    <row r="2942">
      <c r="A2942" s="62" t="s">
        <v>4844</v>
      </c>
      <c r="B2942" s="63">
        <v>44265.0</v>
      </c>
      <c r="C2942" s="69">
        <v>25.764051273011685</v>
      </c>
    </row>
    <row r="2943">
      <c r="A2943" s="62" t="s">
        <v>2896</v>
      </c>
      <c r="B2943" s="63">
        <v>44173.0</v>
      </c>
      <c r="C2943" s="69">
        <v>25.7543362239552</v>
      </c>
    </row>
    <row r="2944">
      <c r="A2944" s="62" t="s">
        <v>5059</v>
      </c>
      <c r="B2944" s="63">
        <v>44264.0</v>
      </c>
      <c r="C2944" s="69">
        <v>25.74789580419929</v>
      </c>
    </row>
    <row r="2945">
      <c r="A2945" s="62" t="s">
        <v>3568</v>
      </c>
      <c r="B2945" s="63">
        <v>44236.0</v>
      </c>
      <c r="C2945" s="69">
        <v>25.744327588463673</v>
      </c>
    </row>
    <row r="2946">
      <c r="A2946" s="62" t="s">
        <v>2619</v>
      </c>
      <c r="B2946" s="63">
        <v>44390.0</v>
      </c>
      <c r="C2946" s="69">
        <v>25.74352157452513</v>
      </c>
    </row>
    <row r="2947">
      <c r="A2947" s="62" t="s">
        <v>3567</v>
      </c>
      <c r="B2947" s="63">
        <v>44203.0</v>
      </c>
      <c r="C2947" s="69">
        <v>25.740140249183003</v>
      </c>
    </row>
    <row r="2948">
      <c r="A2948" s="62" t="s">
        <v>2527</v>
      </c>
      <c r="B2948" s="63">
        <v>44399.0</v>
      </c>
      <c r="C2948" s="69">
        <v>25.739471955504403</v>
      </c>
    </row>
    <row r="2949">
      <c r="A2949" s="62" t="s">
        <v>5232</v>
      </c>
      <c r="B2949" s="63">
        <v>44288.0</v>
      </c>
      <c r="C2949" s="69">
        <v>25.735909972587248</v>
      </c>
    </row>
    <row r="2950">
      <c r="A2950" s="62" t="s">
        <v>5074</v>
      </c>
      <c r="B2950" s="63">
        <v>44273.0</v>
      </c>
      <c r="C2950" s="69">
        <v>25.728782467544917</v>
      </c>
    </row>
    <row r="2951">
      <c r="A2951" s="62" t="s">
        <v>191</v>
      </c>
      <c r="B2951" s="63">
        <v>44389.0</v>
      </c>
      <c r="C2951" s="69">
        <v>25.725168005997926</v>
      </c>
    </row>
    <row r="2952">
      <c r="A2952" s="62" t="s">
        <v>5343</v>
      </c>
      <c r="B2952" s="63">
        <v>44328.0</v>
      </c>
      <c r="C2952" s="69">
        <v>25.724831393405676</v>
      </c>
    </row>
    <row r="2953">
      <c r="A2953" s="62" t="s">
        <v>3828</v>
      </c>
      <c r="B2953" s="63">
        <v>44110.0</v>
      </c>
      <c r="C2953" s="69">
        <v>25.718970733468723</v>
      </c>
    </row>
    <row r="2954">
      <c r="A2954" s="62" t="s">
        <v>3056</v>
      </c>
      <c r="B2954" s="63">
        <v>44120.0</v>
      </c>
      <c r="C2954" s="69">
        <v>25.714539077219097</v>
      </c>
    </row>
    <row r="2955">
      <c r="A2955" s="62" t="s">
        <v>658</v>
      </c>
      <c r="B2955" s="63">
        <v>44229.0</v>
      </c>
      <c r="C2955" s="69">
        <v>25.71188909952778</v>
      </c>
    </row>
    <row r="2956">
      <c r="A2956" s="62" t="s">
        <v>5542</v>
      </c>
      <c r="B2956" s="63">
        <v>44348.0</v>
      </c>
      <c r="C2956" s="69">
        <v>25.708576629325172</v>
      </c>
    </row>
    <row r="2957">
      <c r="A2957" s="62" t="s">
        <v>3645</v>
      </c>
      <c r="B2957" s="63">
        <v>44104.0</v>
      </c>
      <c r="C2957" s="69">
        <v>25.708211091828332</v>
      </c>
    </row>
    <row r="2958">
      <c r="A2958" s="62" t="s">
        <v>869</v>
      </c>
      <c r="B2958" s="63">
        <v>44141.0</v>
      </c>
      <c r="C2958" s="69">
        <v>25.703833787232067</v>
      </c>
    </row>
    <row r="2959">
      <c r="A2959" s="62" t="s">
        <v>4328</v>
      </c>
      <c r="B2959" s="63">
        <v>44166.0</v>
      </c>
      <c r="C2959" s="69">
        <v>25.69781366265396</v>
      </c>
    </row>
    <row r="2960">
      <c r="A2960" s="62" t="s">
        <v>4483</v>
      </c>
      <c r="B2960" s="63">
        <v>44270.0</v>
      </c>
      <c r="C2960" s="69">
        <v>25.688167420860918</v>
      </c>
    </row>
    <row r="2961">
      <c r="A2961" s="62" t="s">
        <v>3459</v>
      </c>
      <c r="B2961" s="63">
        <v>44249.0</v>
      </c>
      <c r="C2961" s="69">
        <v>25.679331354444024</v>
      </c>
    </row>
    <row r="2962">
      <c r="A2962" s="62" t="s">
        <v>5742</v>
      </c>
      <c r="B2962" s="63">
        <v>44349.0</v>
      </c>
      <c r="C2962" s="69">
        <v>25.67528833166407</v>
      </c>
    </row>
    <row r="2963">
      <c r="A2963" s="62" t="s">
        <v>197</v>
      </c>
      <c r="B2963" s="63">
        <v>44390.0</v>
      </c>
      <c r="C2963" s="69">
        <v>25.66878673967635</v>
      </c>
    </row>
    <row r="2964">
      <c r="A2964" s="62" t="s">
        <v>2525</v>
      </c>
      <c r="B2964" s="63">
        <v>44396.0</v>
      </c>
      <c r="C2964" s="69">
        <v>25.666472830803386</v>
      </c>
    </row>
    <row r="2965">
      <c r="A2965" s="62" t="s">
        <v>5148</v>
      </c>
      <c r="B2965" s="63">
        <v>44312.0</v>
      </c>
      <c r="C2965" s="69">
        <v>25.659067462926984</v>
      </c>
    </row>
    <row r="2966">
      <c r="A2966" s="62" t="s">
        <v>1327</v>
      </c>
      <c r="B2966" s="63">
        <v>44202.0</v>
      </c>
      <c r="C2966" s="69">
        <v>25.657040357230713</v>
      </c>
    </row>
    <row r="2967">
      <c r="A2967" s="62" t="s">
        <v>5042</v>
      </c>
      <c r="B2967" s="63">
        <v>44258.0</v>
      </c>
      <c r="C2967" s="69">
        <v>25.654000783646413</v>
      </c>
    </row>
    <row r="2968">
      <c r="A2968" s="62" t="s">
        <v>5341</v>
      </c>
      <c r="B2968" s="63">
        <v>44331.0</v>
      </c>
      <c r="C2968" s="69">
        <v>25.653696784427744</v>
      </c>
    </row>
    <row r="2969">
      <c r="A2969" s="62" t="s">
        <v>5337</v>
      </c>
      <c r="B2969" s="63">
        <v>44326.0</v>
      </c>
      <c r="C2969" s="69">
        <v>25.647137014248877</v>
      </c>
    </row>
    <row r="2970">
      <c r="A2970" s="62" t="s">
        <v>3072</v>
      </c>
      <c r="B2970" s="63">
        <v>44173.0</v>
      </c>
      <c r="C2970" s="69">
        <v>25.645930021143208</v>
      </c>
    </row>
    <row r="2971">
      <c r="A2971" s="62" t="s">
        <v>3241</v>
      </c>
      <c r="B2971" s="63">
        <v>44175.0</v>
      </c>
      <c r="C2971" s="69">
        <v>25.64419001814467</v>
      </c>
    </row>
    <row r="2972">
      <c r="A2972" s="62" t="s">
        <v>4619</v>
      </c>
      <c r="B2972" s="63">
        <v>44266.0</v>
      </c>
      <c r="C2972" s="69">
        <v>25.63802050070889</v>
      </c>
    </row>
    <row r="2973">
      <c r="A2973" s="62" t="s">
        <v>5336</v>
      </c>
      <c r="B2973" s="63">
        <v>44343.0</v>
      </c>
      <c r="C2973" s="69">
        <v>25.637745111470846</v>
      </c>
    </row>
    <row r="2974">
      <c r="A2974" s="62" t="s">
        <v>4733</v>
      </c>
      <c r="B2974" s="63">
        <v>44259.0</v>
      </c>
      <c r="C2974" s="69">
        <v>25.637081522430584</v>
      </c>
    </row>
    <row r="2975">
      <c r="A2975" s="62" t="s">
        <v>2261</v>
      </c>
      <c r="B2975" s="63">
        <v>44396.0</v>
      </c>
      <c r="C2975" s="69">
        <v>25.629403360894774</v>
      </c>
    </row>
    <row r="2976">
      <c r="A2976" s="62" t="s">
        <v>3825</v>
      </c>
      <c r="B2976" s="63">
        <v>44205.0</v>
      </c>
      <c r="C2976" s="69">
        <v>25.628431167015776</v>
      </c>
    </row>
    <row r="2977">
      <c r="A2977" s="62" t="s">
        <v>3588</v>
      </c>
      <c r="B2977" s="63">
        <v>44137.0</v>
      </c>
      <c r="C2977" s="69">
        <v>25.626020848694566</v>
      </c>
    </row>
    <row r="2978">
      <c r="A2978" s="62" t="s">
        <v>2679</v>
      </c>
      <c r="B2978" s="63">
        <v>44228.0</v>
      </c>
      <c r="C2978" s="69">
        <v>25.62584421292324</v>
      </c>
    </row>
    <row r="2979">
      <c r="A2979" s="62" t="s">
        <v>5332</v>
      </c>
      <c r="B2979" s="63">
        <v>44322.0</v>
      </c>
      <c r="C2979" s="69">
        <v>25.625418575016305</v>
      </c>
    </row>
    <row r="2980">
      <c r="A2980" s="62" t="s">
        <v>5131</v>
      </c>
      <c r="B2980" s="63">
        <v>44275.0</v>
      </c>
      <c r="C2980" s="69">
        <v>25.624567188674156</v>
      </c>
    </row>
    <row r="2981">
      <c r="A2981" s="62" t="s">
        <v>1973</v>
      </c>
      <c r="B2981" s="63">
        <v>44270.0</v>
      </c>
      <c r="C2981" s="69">
        <v>25.61662309505561</v>
      </c>
    </row>
    <row r="2982">
      <c r="A2982" s="62" t="s">
        <v>3639</v>
      </c>
      <c r="B2982" s="63">
        <v>44080.0</v>
      </c>
      <c r="C2982" s="69">
        <v>25.61511573346592</v>
      </c>
    </row>
    <row r="2983">
      <c r="A2983" s="62" t="s">
        <v>6360</v>
      </c>
      <c r="B2983" s="63">
        <v>44364.0</v>
      </c>
      <c r="C2983" s="69">
        <v>25.614008267731194</v>
      </c>
    </row>
    <row r="2984">
      <c r="A2984" s="62" t="s">
        <v>2450</v>
      </c>
      <c r="B2984" s="63">
        <v>44378.0</v>
      </c>
      <c r="C2984" s="69">
        <v>25.613168421998775</v>
      </c>
    </row>
    <row r="2985">
      <c r="A2985" s="62" t="s">
        <v>2359</v>
      </c>
      <c r="B2985" s="63">
        <v>44399.0</v>
      </c>
      <c r="C2985" s="69">
        <v>25.61210115288158</v>
      </c>
    </row>
    <row r="2986">
      <c r="A2986" s="62" t="s">
        <v>5331</v>
      </c>
      <c r="B2986" s="63">
        <v>44323.0</v>
      </c>
      <c r="C2986" s="69">
        <v>25.609442014528362</v>
      </c>
    </row>
    <row r="2987">
      <c r="A2987" s="62" t="s">
        <v>5225</v>
      </c>
      <c r="B2987" s="63">
        <v>44309.0</v>
      </c>
      <c r="C2987" s="69">
        <v>25.594857538468176</v>
      </c>
    </row>
    <row r="2988">
      <c r="A2988" s="62" t="s">
        <v>3325</v>
      </c>
      <c r="B2988" s="63">
        <v>44245.0</v>
      </c>
      <c r="C2988" s="69">
        <v>25.584887411819302</v>
      </c>
    </row>
    <row r="2989">
      <c r="A2989" s="62" t="s">
        <v>3089</v>
      </c>
      <c r="B2989" s="63">
        <v>44147.0</v>
      </c>
      <c r="C2989" s="69">
        <v>25.583334742058184</v>
      </c>
    </row>
    <row r="2990">
      <c r="A2990" s="62" t="s">
        <v>2469</v>
      </c>
      <c r="B2990" s="63">
        <v>44378.0</v>
      </c>
      <c r="C2990" s="69">
        <v>25.58009066470229</v>
      </c>
    </row>
    <row r="2991">
      <c r="A2991" s="62" t="s">
        <v>3893</v>
      </c>
      <c r="B2991" s="63">
        <v>44117.0</v>
      </c>
      <c r="C2991" s="69">
        <v>25.579892977185562</v>
      </c>
    </row>
    <row r="2992">
      <c r="A2992" s="62" t="s">
        <v>2246</v>
      </c>
      <c r="B2992" s="63">
        <v>44063.0</v>
      </c>
      <c r="C2992" s="69">
        <v>25.578464992013032</v>
      </c>
    </row>
    <row r="2993">
      <c r="A2993" s="62" t="s">
        <v>1489</v>
      </c>
      <c r="B2993" s="63">
        <v>44368.0</v>
      </c>
      <c r="C2993" s="69">
        <v>25.573123480916735</v>
      </c>
    </row>
    <row r="2994">
      <c r="A2994" s="62" t="s">
        <v>5329</v>
      </c>
      <c r="B2994" s="63">
        <v>44338.0</v>
      </c>
      <c r="C2994" s="69">
        <v>25.5705894837508</v>
      </c>
    </row>
    <row r="2995">
      <c r="A2995" s="62" t="s">
        <v>2504</v>
      </c>
      <c r="B2995" s="63">
        <v>44383.0</v>
      </c>
      <c r="C2995" s="69">
        <v>25.562265178689323</v>
      </c>
    </row>
    <row r="2996">
      <c r="A2996" s="62" t="s">
        <v>3560</v>
      </c>
      <c r="B2996" s="63">
        <v>44075.0</v>
      </c>
      <c r="C2996" s="69">
        <v>25.55788277833491</v>
      </c>
    </row>
    <row r="2997">
      <c r="A2997" s="62" t="s">
        <v>916</v>
      </c>
      <c r="B2997" s="63">
        <v>44358.0</v>
      </c>
      <c r="C2997" s="69">
        <v>25.554518461623008</v>
      </c>
    </row>
    <row r="2998">
      <c r="A2998" s="62" t="s">
        <v>2242</v>
      </c>
      <c r="B2998" s="63">
        <v>44064.0</v>
      </c>
      <c r="C2998" s="69">
        <v>25.554343788152956</v>
      </c>
    </row>
    <row r="2999">
      <c r="A2999" s="62" t="s">
        <v>5328</v>
      </c>
      <c r="B2999" s="63">
        <v>44319.0</v>
      </c>
      <c r="C2999" s="69">
        <v>25.552955074855284</v>
      </c>
    </row>
    <row r="3000">
      <c r="A3000" s="62" t="s">
        <v>4205</v>
      </c>
      <c r="B3000" s="63">
        <v>44211.0</v>
      </c>
      <c r="C3000" s="69">
        <v>25.546822596529523</v>
      </c>
    </row>
    <row r="3001">
      <c r="A3001" s="62" t="s">
        <v>5366</v>
      </c>
      <c r="B3001" s="63">
        <v>44371.0</v>
      </c>
      <c r="C3001" s="69">
        <v>25.5442019856195</v>
      </c>
    </row>
    <row r="3002">
      <c r="A3002" s="62" t="s">
        <v>3188</v>
      </c>
      <c r="B3002" s="63">
        <v>44232.0</v>
      </c>
      <c r="C3002" s="69">
        <v>25.543892072555234</v>
      </c>
    </row>
    <row r="3003">
      <c r="A3003" s="62" t="s">
        <v>4278</v>
      </c>
      <c r="B3003" s="63">
        <v>44224.0</v>
      </c>
      <c r="C3003" s="69">
        <v>25.540325945263362</v>
      </c>
    </row>
    <row r="3004">
      <c r="A3004" s="62" t="s">
        <v>5553</v>
      </c>
      <c r="B3004" s="63">
        <v>44354.0</v>
      </c>
      <c r="C3004" s="69">
        <v>25.539174382418096</v>
      </c>
    </row>
    <row r="3005">
      <c r="A3005" s="62" t="s">
        <v>5457</v>
      </c>
      <c r="B3005" s="63">
        <v>44370.0</v>
      </c>
      <c r="C3005" s="69">
        <v>25.530519486152627</v>
      </c>
    </row>
    <row r="3006">
      <c r="A3006" s="62" t="s">
        <v>2607</v>
      </c>
      <c r="B3006" s="63">
        <v>44398.0</v>
      </c>
      <c r="C3006" s="69">
        <v>25.529712311928982</v>
      </c>
    </row>
    <row r="3007">
      <c r="A3007" s="62" t="s">
        <v>4108</v>
      </c>
      <c r="B3007" s="63">
        <v>44116.0</v>
      </c>
      <c r="C3007" s="69">
        <v>25.525776744973353</v>
      </c>
    </row>
    <row r="3008">
      <c r="A3008" s="62" t="s">
        <v>5806</v>
      </c>
      <c r="B3008" s="63">
        <v>44361.0</v>
      </c>
      <c r="C3008" s="69">
        <v>25.52552344835633</v>
      </c>
    </row>
    <row r="3009">
      <c r="A3009" s="62" t="s">
        <v>2477</v>
      </c>
      <c r="B3009" s="63">
        <v>44390.0</v>
      </c>
      <c r="C3009" s="69">
        <v>25.518054115959515</v>
      </c>
    </row>
    <row r="3010">
      <c r="A3010" s="62" t="s">
        <v>1091</v>
      </c>
      <c r="B3010" s="63">
        <v>44358.0</v>
      </c>
      <c r="C3010" s="69">
        <v>25.515842386898278</v>
      </c>
    </row>
    <row r="3011">
      <c r="A3011" s="62" t="s">
        <v>5049</v>
      </c>
      <c r="B3011" s="63">
        <v>44308.0</v>
      </c>
      <c r="C3011" s="69">
        <v>25.51519804434472</v>
      </c>
    </row>
    <row r="3012">
      <c r="A3012" s="62" t="s">
        <v>4282</v>
      </c>
      <c r="B3012" s="63">
        <v>44232.0</v>
      </c>
      <c r="C3012" s="69">
        <v>25.51449516043908</v>
      </c>
    </row>
    <row r="3013">
      <c r="A3013" s="62" t="s">
        <v>757</v>
      </c>
      <c r="B3013" s="63">
        <v>44237.0</v>
      </c>
      <c r="C3013" s="69">
        <v>25.50739930009464</v>
      </c>
    </row>
    <row r="3014">
      <c r="A3014" s="62" t="s">
        <v>5369</v>
      </c>
      <c r="B3014" s="63">
        <v>44348.0</v>
      </c>
      <c r="C3014" s="69">
        <v>25.506246356562066</v>
      </c>
    </row>
    <row r="3015">
      <c r="A3015" s="62" t="s">
        <v>864</v>
      </c>
      <c r="B3015" s="63">
        <v>44299.0</v>
      </c>
      <c r="C3015" s="69">
        <v>25.501104707874838</v>
      </c>
    </row>
    <row r="3016">
      <c r="A3016" s="62" t="s">
        <v>2571</v>
      </c>
      <c r="B3016" s="63">
        <v>44387.0</v>
      </c>
      <c r="C3016" s="69">
        <v>25.49620324885922</v>
      </c>
    </row>
    <row r="3017">
      <c r="A3017" s="62" t="s">
        <v>2236</v>
      </c>
      <c r="B3017" s="63">
        <v>44067.0</v>
      </c>
      <c r="C3017" s="69">
        <v>25.495983100234277</v>
      </c>
    </row>
    <row r="3018">
      <c r="A3018" s="62" t="s">
        <v>5325</v>
      </c>
      <c r="B3018" s="63">
        <v>44334.0</v>
      </c>
      <c r="C3018" s="69">
        <v>25.486816255925806</v>
      </c>
    </row>
    <row r="3019">
      <c r="A3019" s="62" t="s">
        <v>3712</v>
      </c>
      <c r="B3019" s="63">
        <v>44111.0</v>
      </c>
      <c r="C3019" s="69">
        <v>25.485204327561878</v>
      </c>
    </row>
    <row r="3020">
      <c r="A3020" s="62" t="s">
        <v>2807</v>
      </c>
      <c r="B3020" s="63">
        <v>44174.0</v>
      </c>
      <c r="C3020" s="69">
        <v>25.482258889789982</v>
      </c>
    </row>
    <row r="3021">
      <c r="A3021" s="62" t="s">
        <v>6205</v>
      </c>
      <c r="B3021" s="63">
        <v>44371.0</v>
      </c>
      <c r="C3021" s="69">
        <v>25.480389561471725</v>
      </c>
    </row>
    <row r="3022">
      <c r="A3022" s="62" t="s">
        <v>3813</v>
      </c>
      <c r="B3022" s="63">
        <v>44168.0</v>
      </c>
      <c r="C3022" s="69">
        <v>25.478067155996207</v>
      </c>
    </row>
    <row r="3023">
      <c r="A3023" s="62" t="s">
        <v>2977</v>
      </c>
      <c r="B3023" s="63">
        <v>44123.0</v>
      </c>
      <c r="C3023" s="69">
        <v>25.46148814285777</v>
      </c>
    </row>
    <row r="3024">
      <c r="A3024" s="62" t="s">
        <v>3040</v>
      </c>
      <c r="B3024" s="63">
        <v>44237.0</v>
      </c>
      <c r="C3024" s="69">
        <v>25.45917278987187</v>
      </c>
    </row>
    <row r="3025">
      <c r="A3025" s="62" t="s">
        <v>233</v>
      </c>
      <c r="B3025" s="63">
        <v>44394.0</v>
      </c>
      <c r="C3025" s="69">
        <v>25.45407523879866</v>
      </c>
    </row>
    <row r="3026">
      <c r="A3026" s="62" t="s">
        <v>4693</v>
      </c>
      <c r="B3026" s="63">
        <v>44272.0</v>
      </c>
      <c r="C3026" s="69">
        <v>25.449293279117853</v>
      </c>
    </row>
    <row r="3027">
      <c r="A3027" s="62" t="s">
        <v>5323</v>
      </c>
      <c r="B3027" s="63">
        <v>44333.0</v>
      </c>
      <c r="C3027" s="69">
        <v>25.44727221133119</v>
      </c>
    </row>
    <row r="3028">
      <c r="A3028" s="62" t="s">
        <v>4429</v>
      </c>
      <c r="B3028" s="63">
        <v>44141.0</v>
      </c>
      <c r="C3028" s="69">
        <v>25.447010458580678</v>
      </c>
    </row>
    <row r="3029">
      <c r="A3029" s="62" t="s">
        <v>2938</v>
      </c>
      <c r="B3029" s="63">
        <v>44207.0</v>
      </c>
      <c r="C3029" s="69">
        <v>25.442701355068237</v>
      </c>
    </row>
    <row r="3030">
      <c r="A3030" s="62" t="s">
        <v>5919</v>
      </c>
      <c r="B3030" s="63">
        <v>44371.0</v>
      </c>
      <c r="C3030" s="69">
        <v>25.440260145677467</v>
      </c>
    </row>
    <row r="3031">
      <c r="A3031" s="62" t="s">
        <v>5813</v>
      </c>
      <c r="B3031" s="63">
        <v>44351.0</v>
      </c>
      <c r="C3031" s="69">
        <v>25.438956212012478</v>
      </c>
    </row>
    <row r="3032">
      <c r="A3032" s="62" t="s">
        <v>2377</v>
      </c>
      <c r="B3032" s="63">
        <v>44394.0</v>
      </c>
      <c r="C3032" s="69">
        <v>25.438236101867886</v>
      </c>
    </row>
    <row r="3033">
      <c r="A3033" s="62" t="s">
        <v>3920</v>
      </c>
      <c r="B3033" s="63">
        <v>44211.0</v>
      </c>
      <c r="C3033" s="69">
        <v>25.434842197879497</v>
      </c>
    </row>
    <row r="3034">
      <c r="A3034" s="62" t="s">
        <v>1112</v>
      </c>
      <c r="B3034" s="63">
        <v>44291.0</v>
      </c>
      <c r="C3034" s="69">
        <v>25.43375258675789</v>
      </c>
    </row>
    <row r="3035">
      <c r="A3035" s="62" t="s">
        <v>4122</v>
      </c>
      <c r="B3035" s="63">
        <v>44224.0</v>
      </c>
      <c r="C3035" s="69">
        <v>25.429435096177777</v>
      </c>
    </row>
    <row r="3036">
      <c r="A3036" s="62" t="s">
        <v>4181</v>
      </c>
      <c r="B3036" s="63">
        <v>44130.0</v>
      </c>
      <c r="C3036" s="69">
        <v>25.42166380332148</v>
      </c>
    </row>
    <row r="3037">
      <c r="A3037" s="62" t="s">
        <v>4640</v>
      </c>
      <c r="B3037" s="63">
        <v>44315.0</v>
      </c>
      <c r="C3037" s="69">
        <v>25.41303288703919</v>
      </c>
    </row>
    <row r="3038">
      <c r="A3038" s="62" t="s">
        <v>5639</v>
      </c>
      <c r="B3038" s="63">
        <v>44372.0</v>
      </c>
      <c r="C3038" s="69">
        <v>25.411722441358428</v>
      </c>
    </row>
    <row r="3039">
      <c r="A3039" s="62" t="s">
        <v>6679</v>
      </c>
      <c r="B3039" s="63">
        <v>44348.0</v>
      </c>
      <c r="C3039" s="69">
        <v>25.40504728256569</v>
      </c>
    </row>
    <row r="3040">
      <c r="A3040" s="62" t="s">
        <v>6699</v>
      </c>
      <c r="B3040" s="63">
        <v>44363.0</v>
      </c>
      <c r="C3040" s="69">
        <v>25.39568286792094</v>
      </c>
    </row>
    <row r="3041">
      <c r="A3041" s="62" t="s">
        <v>484</v>
      </c>
      <c r="B3041" s="63">
        <v>44209.0</v>
      </c>
      <c r="C3041" s="69">
        <v>25.387360401763598</v>
      </c>
    </row>
    <row r="3042">
      <c r="A3042" s="62" t="s">
        <v>1696</v>
      </c>
      <c r="B3042" s="63">
        <v>44103.0</v>
      </c>
      <c r="C3042" s="69">
        <v>25.380991205308405</v>
      </c>
    </row>
    <row r="3043">
      <c r="A3043" s="62" t="s">
        <v>5172</v>
      </c>
      <c r="B3043" s="63">
        <v>44313.0</v>
      </c>
      <c r="C3043" s="69">
        <v>25.37439934667846</v>
      </c>
    </row>
    <row r="3044">
      <c r="A3044" s="62" t="s">
        <v>3792</v>
      </c>
      <c r="B3044" s="63">
        <v>44210.0</v>
      </c>
      <c r="C3044" s="69">
        <v>25.372584616021147</v>
      </c>
    </row>
    <row r="3045">
      <c r="A3045" s="62" t="s">
        <v>1191</v>
      </c>
      <c r="B3045" s="63">
        <v>44362.0</v>
      </c>
      <c r="C3045" s="69">
        <v>25.364061508959704</v>
      </c>
    </row>
    <row r="3046">
      <c r="A3046" s="62" t="s">
        <v>1293</v>
      </c>
      <c r="B3046" s="63">
        <v>44313.0</v>
      </c>
      <c r="C3046" s="69">
        <v>25.349802657155838</v>
      </c>
    </row>
    <row r="3047">
      <c r="A3047" s="62" t="s">
        <v>3771</v>
      </c>
      <c r="B3047" s="63">
        <v>44132.0</v>
      </c>
      <c r="C3047" s="69">
        <v>25.348486191612846</v>
      </c>
    </row>
    <row r="3048">
      <c r="A3048" s="62" t="s">
        <v>3823</v>
      </c>
      <c r="B3048" s="63">
        <v>44125.0</v>
      </c>
      <c r="C3048" s="69">
        <v>25.346590585730013</v>
      </c>
    </row>
    <row r="3049">
      <c r="A3049" s="62" t="s">
        <v>3455</v>
      </c>
      <c r="B3049" s="63">
        <v>44105.0</v>
      </c>
      <c r="C3049" s="69">
        <v>25.345703571517582</v>
      </c>
    </row>
    <row r="3050">
      <c r="A3050" s="62" t="s">
        <v>3744</v>
      </c>
      <c r="B3050" s="63">
        <v>44090.0</v>
      </c>
      <c r="C3050" s="69">
        <v>25.332634400357144</v>
      </c>
    </row>
    <row r="3051">
      <c r="A3051" s="62" t="s">
        <v>3647</v>
      </c>
      <c r="B3051" s="63">
        <v>44087.0</v>
      </c>
      <c r="C3051" s="69">
        <v>25.320981367751784</v>
      </c>
    </row>
    <row r="3052">
      <c r="A3052" s="62" t="s">
        <v>6047</v>
      </c>
      <c r="B3052" s="63">
        <v>44349.0</v>
      </c>
      <c r="C3052" s="69">
        <v>25.316225000391498</v>
      </c>
    </row>
    <row r="3053">
      <c r="A3053" s="62" t="s">
        <v>4082</v>
      </c>
      <c r="B3053" s="63">
        <v>44203.0</v>
      </c>
      <c r="C3053" s="69">
        <v>25.31565298129557</v>
      </c>
    </row>
    <row r="3054">
      <c r="A3054" s="62" t="s">
        <v>5321</v>
      </c>
      <c r="B3054" s="63">
        <v>44336.0</v>
      </c>
      <c r="C3054" s="69">
        <v>25.305016362447354</v>
      </c>
    </row>
    <row r="3055">
      <c r="A3055" s="62" t="s">
        <v>3835</v>
      </c>
      <c r="B3055" s="63">
        <v>44145.0</v>
      </c>
      <c r="C3055" s="69">
        <v>25.3009378395341</v>
      </c>
    </row>
    <row r="3056">
      <c r="A3056" s="62" t="s">
        <v>1823</v>
      </c>
      <c r="B3056" s="63">
        <v>44351.0</v>
      </c>
      <c r="C3056" s="69">
        <v>25.298537510214395</v>
      </c>
    </row>
    <row r="3057">
      <c r="A3057" s="62" t="s">
        <v>4213</v>
      </c>
      <c r="B3057" s="63">
        <v>44214.0</v>
      </c>
      <c r="C3057" s="69">
        <v>25.297944468650833</v>
      </c>
    </row>
    <row r="3058">
      <c r="A3058" s="62" t="s">
        <v>975</v>
      </c>
      <c r="B3058" s="63">
        <v>44274.0</v>
      </c>
      <c r="C3058" s="69">
        <v>25.294889380156672</v>
      </c>
    </row>
    <row r="3059">
      <c r="A3059" s="62" t="s">
        <v>1529</v>
      </c>
      <c r="B3059" s="63">
        <v>44228.0</v>
      </c>
      <c r="C3059" s="69">
        <v>25.288499242400096</v>
      </c>
    </row>
    <row r="3060">
      <c r="A3060" s="62" t="s">
        <v>2299</v>
      </c>
      <c r="B3060" s="63">
        <v>44379.0</v>
      </c>
      <c r="C3060" s="69">
        <v>25.274439424119812</v>
      </c>
    </row>
    <row r="3061">
      <c r="A3061" s="62" t="s">
        <v>6452</v>
      </c>
      <c r="B3061" s="63">
        <v>44355.0</v>
      </c>
      <c r="C3061" s="69">
        <v>25.267277606002374</v>
      </c>
    </row>
    <row r="3062">
      <c r="A3062" s="62" t="s">
        <v>4102</v>
      </c>
      <c r="B3062" s="63">
        <v>44239.0</v>
      </c>
      <c r="C3062" s="69">
        <v>25.266056563867828</v>
      </c>
    </row>
    <row r="3063">
      <c r="A3063" s="62" t="s">
        <v>6373</v>
      </c>
      <c r="B3063" s="63">
        <v>44377.0</v>
      </c>
      <c r="C3063" s="69">
        <v>25.26291954095248</v>
      </c>
    </row>
    <row r="3064">
      <c r="A3064" s="62" t="s">
        <v>5320</v>
      </c>
      <c r="B3064" s="63">
        <v>44347.0</v>
      </c>
      <c r="C3064" s="69">
        <v>25.262426000696937</v>
      </c>
    </row>
    <row r="3065">
      <c r="A3065" s="62" t="s">
        <v>5275</v>
      </c>
      <c r="B3065" s="63">
        <v>44260.0</v>
      </c>
      <c r="C3065" s="69">
        <v>25.256254430770937</v>
      </c>
    </row>
    <row r="3066">
      <c r="A3066" s="62" t="s">
        <v>5210</v>
      </c>
      <c r="B3066" s="63">
        <v>44288.0</v>
      </c>
      <c r="C3066" s="69">
        <v>25.25497885652903</v>
      </c>
    </row>
    <row r="3067">
      <c r="A3067" s="62" t="s">
        <v>4323</v>
      </c>
      <c r="B3067" s="63">
        <v>44083.0</v>
      </c>
      <c r="C3067" s="69">
        <v>25.248873398683294</v>
      </c>
    </row>
    <row r="3068">
      <c r="A3068" s="62" t="s">
        <v>5594</v>
      </c>
      <c r="B3068" s="63">
        <v>44358.0</v>
      </c>
      <c r="C3068" s="69">
        <v>25.248322719853018</v>
      </c>
    </row>
    <row r="3069">
      <c r="A3069" s="62" t="s">
        <v>5319</v>
      </c>
      <c r="B3069" s="63">
        <v>44327.0</v>
      </c>
      <c r="C3069" s="69">
        <v>25.246831430241553</v>
      </c>
    </row>
    <row r="3070">
      <c r="A3070" s="62" t="s">
        <v>4585</v>
      </c>
      <c r="B3070" s="63">
        <v>44258.0</v>
      </c>
      <c r="C3070" s="69">
        <v>25.240686496199018</v>
      </c>
    </row>
    <row r="3071">
      <c r="A3071" s="62" t="s">
        <v>4302</v>
      </c>
      <c r="B3071" s="63">
        <v>44110.0</v>
      </c>
      <c r="C3071" s="69">
        <v>25.237581523685655</v>
      </c>
    </row>
    <row r="3072">
      <c r="A3072" s="62" t="s">
        <v>6093</v>
      </c>
      <c r="B3072" s="63">
        <v>44371.0</v>
      </c>
      <c r="C3072" s="69">
        <v>25.227505882528312</v>
      </c>
    </row>
    <row r="3073">
      <c r="A3073" s="62" t="s">
        <v>3843</v>
      </c>
      <c r="B3073" s="63">
        <v>44231.0</v>
      </c>
      <c r="C3073" s="69">
        <v>25.22696497642578</v>
      </c>
    </row>
    <row r="3074">
      <c r="A3074" s="62" t="s">
        <v>5318</v>
      </c>
      <c r="B3074" s="63">
        <v>44343.0</v>
      </c>
      <c r="C3074" s="69">
        <v>25.223906318055064</v>
      </c>
    </row>
    <row r="3075">
      <c r="A3075" s="62" t="s">
        <v>3034</v>
      </c>
      <c r="B3075" s="63">
        <v>44245.0</v>
      </c>
      <c r="C3075" s="69">
        <v>25.222245721604104</v>
      </c>
    </row>
    <row r="3076">
      <c r="A3076" s="62" t="s">
        <v>6181</v>
      </c>
      <c r="B3076" s="63">
        <v>44351.0</v>
      </c>
      <c r="C3076" s="69">
        <v>25.217976600037304</v>
      </c>
    </row>
    <row r="3077">
      <c r="A3077" s="62" t="s">
        <v>3095</v>
      </c>
      <c r="B3077" s="63">
        <v>44130.0</v>
      </c>
      <c r="C3077" s="69">
        <v>25.215755216366542</v>
      </c>
    </row>
    <row r="3078">
      <c r="A3078" s="62" t="s">
        <v>2914</v>
      </c>
      <c r="B3078" s="63">
        <v>44151.0</v>
      </c>
      <c r="C3078" s="69">
        <v>25.213715946939644</v>
      </c>
    </row>
    <row r="3079">
      <c r="A3079" s="62" t="s">
        <v>6648</v>
      </c>
      <c r="B3079" s="63">
        <v>44371.0</v>
      </c>
      <c r="C3079" s="69">
        <v>25.20991485802864</v>
      </c>
    </row>
    <row r="3080">
      <c r="A3080" s="62" t="s">
        <v>5317</v>
      </c>
      <c r="B3080" s="63">
        <v>44337.0</v>
      </c>
      <c r="C3080" s="69">
        <v>25.205394963247535</v>
      </c>
    </row>
    <row r="3081">
      <c r="A3081" s="62" t="s">
        <v>2422</v>
      </c>
      <c r="B3081" s="63">
        <v>44380.0</v>
      </c>
      <c r="C3081" s="69">
        <v>25.2008218550656</v>
      </c>
    </row>
    <row r="3082">
      <c r="A3082" s="62" t="s">
        <v>5315</v>
      </c>
      <c r="B3082" s="63">
        <v>44341.0</v>
      </c>
      <c r="C3082" s="69">
        <v>25.20051097944239</v>
      </c>
    </row>
    <row r="3083">
      <c r="A3083" s="62" t="s">
        <v>5314</v>
      </c>
      <c r="B3083" s="63">
        <v>44334.0</v>
      </c>
      <c r="C3083" s="69">
        <v>25.196614517853106</v>
      </c>
    </row>
    <row r="3084">
      <c r="A3084" s="62" t="s">
        <v>4349</v>
      </c>
      <c r="B3084" s="63">
        <v>44096.0</v>
      </c>
      <c r="C3084" s="69">
        <v>25.195992223158164</v>
      </c>
    </row>
    <row r="3085">
      <c r="A3085" s="62" t="s">
        <v>3849</v>
      </c>
      <c r="B3085" s="63">
        <v>44169.0</v>
      </c>
      <c r="C3085" s="69">
        <v>25.191748041984603</v>
      </c>
    </row>
    <row r="3086">
      <c r="A3086" s="62" t="s">
        <v>3537</v>
      </c>
      <c r="B3086" s="63">
        <v>44175.0</v>
      </c>
      <c r="C3086" s="69">
        <v>25.190508609656483</v>
      </c>
    </row>
    <row r="3087">
      <c r="A3087" s="62" t="s">
        <v>3532</v>
      </c>
      <c r="B3087" s="63">
        <v>44083.0</v>
      </c>
      <c r="C3087" s="69">
        <v>25.186852017565347</v>
      </c>
    </row>
    <row r="3088">
      <c r="A3088" s="62" t="s">
        <v>5311</v>
      </c>
      <c r="B3088" s="63">
        <v>44326.0</v>
      </c>
      <c r="C3088" s="69">
        <v>25.185285066286998</v>
      </c>
    </row>
    <row r="3089">
      <c r="A3089" s="62" t="s">
        <v>3300</v>
      </c>
      <c r="B3089" s="63">
        <v>44173.0</v>
      </c>
      <c r="C3089" s="69">
        <v>25.18151413649808</v>
      </c>
    </row>
    <row r="3090">
      <c r="A3090" s="62" t="s">
        <v>4604</v>
      </c>
      <c r="B3090" s="63">
        <v>44271.0</v>
      </c>
      <c r="C3090" s="69">
        <v>25.172601072080028</v>
      </c>
    </row>
    <row r="3091">
      <c r="A3091" s="62" t="s">
        <v>6208</v>
      </c>
      <c r="B3091" s="63">
        <v>44372.0</v>
      </c>
      <c r="C3091" s="69">
        <v>25.170719392782157</v>
      </c>
    </row>
    <row r="3092">
      <c r="A3092" s="62" t="s">
        <v>6285</v>
      </c>
      <c r="B3092" s="63">
        <v>44372.0</v>
      </c>
      <c r="C3092" s="69">
        <v>25.170419170644553</v>
      </c>
    </row>
    <row r="3093">
      <c r="A3093" s="62" t="s">
        <v>3485</v>
      </c>
      <c r="B3093" s="63">
        <v>44169.0</v>
      </c>
      <c r="C3093" s="69">
        <v>25.16859557823689</v>
      </c>
    </row>
    <row r="3094">
      <c r="A3094" s="62" t="s">
        <v>3053</v>
      </c>
      <c r="B3094" s="63">
        <v>44106.0</v>
      </c>
      <c r="C3094" s="69">
        <v>25.15927471412109</v>
      </c>
    </row>
    <row r="3095">
      <c r="A3095" s="62" t="s">
        <v>3820</v>
      </c>
      <c r="B3095" s="63">
        <v>44187.0</v>
      </c>
      <c r="C3095" s="69">
        <v>25.14810545447304</v>
      </c>
    </row>
    <row r="3096">
      <c r="A3096" s="62" t="s">
        <v>2617</v>
      </c>
      <c r="B3096" s="63">
        <v>44383.0</v>
      </c>
      <c r="C3096" s="69">
        <v>25.143112012465085</v>
      </c>
    </row>
    <row r="3097">
      <c r="A3097" s="62" t="s">
        <v>6747</v>
      </c>
      <c r="B3097" s="63">
        <v>44376.0</v>
      </c>
      <c r="C3097" s="69">
        <v>25.142572378526538</v>
      </c>
    </row>
    <row r="3098">
      <c r="A3098" s="62" t="s">
        <v>2177</v>
      </c>
      <c r="B3098" s="63">
        <v>44072.0</v>
      </c>
      <c r="C3098" s="69">
        <v>25.1400546854293</v>
      </c>
    </row>
    <row r="3099">
      <c r="A3099" s="62" t="s">
        <v>2202</v>
      </c>
      <c r="B3099" s="63">
        <v>44063.0</v>
      </c>
      <c r="C3099" s="69">
        <v>25.13262432392802</v>
      </c>
    </row>
    <row r="3100">
      <c r="A3100" s="62" t="s">
        <v>5309</v>
      </c>
      <c r="B3100" s="63">
        <v>44337.0</v>
      </c>
      <c r="C3100" s="69">
        <v>25.124439057591218</v>
      </c>
    </row>
    <row r="3101">
      <c r="A3101" s="62" t="s">
        <v>5307</v>
      </c>
      <c r="B3101" s="63">
        <v>44343.0</v>
      </c>
      <c r="C3101" s="69">
        <v>25.12388071483699</v>
      </c>
    </row>
    <row r="3102">
      <c r="A3102" s="62" t="s">
        <v>5306</v>
      </c>
      <c r="B3102" s="63">
        <v>44329.0</v>
      </c>
      <c r="C3102" s="69">
        <v>25.111395941376507</v>
      </c>
    </row>
    <row r="3103">
      <c r="A3103" s="62" t="s">
        <v>4265</v>
      </c>
      <c r="B3103" s="63">
        <v>44215.0</v>
      </c>
      <c r="C3103" s="69">
        <v>25.11005513237341</v>
      </c>
    </row>
    <row r="3104">
      <c r="A3104" s="62" t="s">
        <v>4066</v>
      </c>
      <c r="B3104" s="63">
        <v>44215.0</v>
      </c>
      <c r="C3104" s="69">
        <v>25.101043553828568</v>
      </c>
    </row>
    <row r="3105">
      <c r="A3105" s="62" t="s">
        <v>2953</v>
      </c>
      <c r="B3105" s="63">
        <v>44180.0</v>
      </c>
      <c r="C3105" s="69">
        <v>25.099570858278433</v>
      </c>
    </row>
    <row r="3106">
      <c r="A3106" s="62" t="s">
        <v>4974</v>
      </c>
      <c r="B3106" s="63">
        <v>44305.0</v>
      </c>
      <c r="C3106" s="69">
        <v>25.090013781012736</v>
      </c>
    </row>
    <row r="3107">
      <c r="A3107" s="62" t="s">
        <v>5305</v>
      </c>
      <c r="B3107" s="63">
        <v>44320.0</v>
      </c>
      <c r="C3107" s="69">
        <v>25.078138842310725</v>
      </c>
    </row>
    <row r="3108">
      <c r="A3108" s="62" t="s">
        <v>3135</v>
      </c>
      <c r="B3108" s="63">
        <v>44098.0</v>
      </c>
      <c r="C3108" s="69">
        <v>25.076445148097633</v>
      </c>
    </row>
    <row r="3109">
      <c r="A3109" s="62" t="s">
        <v>1772</v>
      </c>
      <c r="B3109" s="63">
        <v>44382.0</v>
      </c>
      <c r="C3109" s="69">
        <v>25.07504999263965</v>
      </c>
    </row>
    <row r="3110">
      <c r="A3110" s="62" t="s">
        <v>182</v>
      </c>
      <c r="B3110" s="63">
        <v>44380.0</v>
      </c>
      <c r="C3110" s="69">
        <v>25.070813746575837</v>
      </c>
    </row>
    <row r="3111">
      <c r="A3111" s="62" t="s">
        <v>3837</v>
      </c>
      <c r="B3111" s="63">
        <v>44091.0</v>
      </c>
      <c r="C3111" s="69">
        <v>25.063586702711337</v>
      </c>
    </row>
    <row r="3112">
      <c r="A3112" s="62" t="s">
        <v>5301</v>
      </c>
      <c r="B3112" s="63">
        <v>44342.0</v>
      </c>
      <c r="C3112" s="69">
        <v>25.06330740320683</v>
      </c>
    </row>
    <row r="3113">
      <c r="A3113" s="62" t="s">
        <v>3269</v>
      </c>
      <c r="B3113" s="63">
        <v>44214.0</v>
      </c>
      <c r="C3113" s="69">
        <v>25.063146789118957</v>
      </c>
    </row>
    <row r="3114">
      <c r="A3114" s="62" t="s">
        <v>2605</v>
      </c>
      <c r="B3114" s="63">
        <v>44384.0</v>
      </c>
      <c r="C3114" s="69">
        <v>25.0489354905679</v>
      </c>
    </row>
    <row r="3115">
      <c r="A3115" s="62" t="s">
        <v>3808</v>
      </c>
      <c r="B3115" s="63">
        <v>44161.0</v>
      </c>
      <c r="C3115" s="69">
        <v>25.04765267914098</v>
      </c>
    </row>
    <row r="3116">
      <c r="A3116" s="62" t="s">
        <v>3583</v>
      </c>
      <c r="B3116" s="63">
        <v>44161.0</v>
      </c>
      <c r="C3116" s="69">
        <v>25.041100509655564</v>
      </c>
    </row>
    <row r="3117">
      <c r="A3117" s="62" t="s">
        <v>5299</v>
      </c>
      <c r="B3117" s="63">
        <v>44323.0</v>
      </c>
      <c r="C3117" s="69">
        <v>25.035670626741535</v>
      </c>
    </row>
    <row r="3118">
      <c r="A3118" s="62" t="s">
        <v>5291</v>
      </c>
      <c r="B3118" s="63">
        <v>44331.0</v>
      </c>
      <c r="C3118" s="69">
        <v>25.034607563682975</v>
      </c>
    </row>
    <row r="3119">
      <c r="A3119" s="62" t="s">
        <v>1241</v>
      </c>
      <c r="B3119" s="63">
        <v>44376.0</v>
      </c>
      <c r="C3119" s="69">
        <v>25.026869229994624</v>
      </c>
    </row>
    <row r="3120">
      <c r="A3120" s="62" t="s">
        <v>3833</v>
      </c>
      <c r="B3120" s="63">
        <v>44112.0</v>
      </c>
      <c r="C3120" s="69">
        <v>25.021725997131487</v>
      </c>
    </row>
    <row r="3121">
      <c r="A3121" s="62" t="s">
        <v>6318</v>
      </c>
      <c r="B3121" s="63">
        <v>44356.0</v>
      </c>
      <c r="C3121" s="69">
        <v>25.020921615608323</v>
      </c>
    </row>
    <row r="3122">
      <c r="A3122" s="62" t="s">
        <v>1337</v>
      </c>
      <c r="B3122" s="63">
        <v>44232.0</v>
      </c>
      <c r="C3122" s="69">
        <v>25.017488068251414</v>
      </c>
    </row>
    <row r="3123">
      <c r="A3123" s="62" t="s">
        <v>3247</v>
      </c>
      <c r="B3123" s="63">
        <v>44223.0</v>
      </c>
      <c r="C3123" s="69">
        <v>25.015405503750028</v>
      </c>
    </row>
    <row r="3124">
      <c r="A3124" s="62" t="s">
        <v>4449</v>
      </c>
      <c r="B3124" s="63">
        <v>44316.0</v>
      </c>
      <c r="C3124" s="69">
        <v>25.012556578054014</v>
      </c>
    </row>
    <row r="3125">
      <c r="A3125" s="62" t="s">
        <v>3908</v>
      </c>
      <c r="B3125" s="63">
        <v>44175.0</v>
      </c>
      <c r="C3125" s="69">
        <v>25.01116532316054</v>
      </c>
    </row>
    <row r="3126">
      <c r="A3126" s="62" t="s">
        <v>5289</v>
      </c>
      <c r="B3126" s="63">
        <v>44330.0</v>
      </c>
      <c r="C3126" s="69">
        <v>25.00518054235515</v>
      </c>
    </row>
    <row r="3127">
      <c r="A3127" s="62" t="s">
        <v>4067</v>
      </c>
      <c r="B3127" s="63">
        <v>44137.0</v>
      </c>
      <c r="C3127" s="69">
        <v>25.004634218782023</v>
      </c>
    </row>
    <row r="3128">
      <c r="A3128" s="62" t="s">
        <v>2712</v>
      </c>
      <c r="B3128" s="63">
        <v>44090.0</v>
      </c>
      <c r="C3128" s="69">
        <v>25.00339957179294</v>
      </c>
    </row>
    <row r="3129">
      <c r="A3129" s="62" t="s">
        <v>2683</v>
      </c>
      <c r="B3129" s="63">
        <v>44098.0</v>
      </c>
      <c r="C3129" s="69">
        <v>25.00038149297157</v>
      </c>
    </row>
    <row r="3130">
      <c r="A3130" s="62" t="s">
        <v>4256</v>
      </c>
      <c r="B3130" s="63">
        <v>44111.0</v>
      </c>
      <c r="C3130" s="69">
        <v>24.99780037792707</v>
      </c>
    </row>
    <row r="3131">
      <c r="A3131" s="62" t="s">
        <v>5288</v>
      </c>
      <c r="B3131" s="63">
        <v>44334.0</v>
      </c>
      <c r="C3131" s="69">
        <v>24.99766174216386</v>
      </c>
    </row>
    <row r="3132">
      <c r="A3132" s="62" t="s">
        <v>1144</v>
      </c>
      <c r="B3132" s="63">
        <v>44361.0</v>
      </c>
      <c r="C3132" s="69">
        <v>24.995145433064934</v>
      </c>
    </row>
    <row r="3133">
      <c r="A3133" s="62" t="s">
        <v>4858</v>
      </c>
      <c r="B3133" s="63">
        <v>44263.0</v>
      </c>
      <c r="C3133" s="69">
        <v>24.991275797306894</v>
      </c>
    </row>
    <row r="3134">
      <c r="A3134" s="62" t="s">
        <v>3906</v>
      </c>
      <c r="B3134" s="63">
        <v>44229.0</v>
      </c>
      <c r="C3134" s="69">
        <v>24.99010964597324</v>
      </c>
    </row>
    <row r="3135">
      <c r="A3135" s="62" t="s">
        <v>3760</v>
      </c>
      <c r="B3135" s="63">
        <v>44239.0</v>
      </c>
      <c r="C3135" s="69">
        <v>24.980871440839508</v>
      </c>
    </row>
    <row r="3136">
      <c r="A3136" s="62" t="s">
        <v>5287</v>
      </c>
      <c r="B3136" s="63">
        <v>44334.0</v>
      </c>
      <c r="C3136" s="69">
        <v>24.980172540749862</v>
      </c>
    </row>
    <row r="3137">
      <c r="A3137" s="62" t="s">
        <v>2706</v>
      </c>
      <c r="B3137" s="63">
        <v>44235.0</v>
      </c>
      <c r="C3137" s="69">
        <v>24.979286910769012</v>
      </c>
    </row>
    <row r="3138">
      <c r="A3138" s="62" t="s">
        <v>5286</v>
      </c>
      <c r="B3138" s="63">
        <v>44329.0</v>
      </c>
      <c r="C3138" s="69">
        <v>24.97592762572699</v>
      </c>
    </row>
    <row r="3139">
      <c r="A3139" s="62" t="s">
        <v>5285</v>
      </c>
      <c r="B3139" s="63">
        <v>44342.0</v>
      </c>
      <c r="C3139" s="69">
        <v>24.974172236163106</v>
      </c>
    </row>
    <row r="3140">
      <c r="A3140" s="62" t="s">
        <v>5284</v>
      </c>
      <c r="B3140" s="63">
        <v>44320.0</v>
      </c>
      <c r="C3140" s="69">
        <v>24.960163415021157</v>
      </c>
    </row>
    <row r="3141">
      <c r="A3141" s="62" t="s">
        <v>2893</v>
      </c>
      <c r="B3141" s="63">
        <v>44165.0</v>
      </c>
      <c r="C3141" s="69">
        <v>24.951900644250745</v>
      </c>
    </row>
    <row r="3142">
      <c r="A3142" s="62" t="s">
        <v>1710</v>
      </c>
      <c r="B3142" s="63">
        <v>44375.0</v>
      </c>
      <c r="C3142" s="69">
        <v>24.94439411514597</v>
      </c>
    </row>
    <row r="3143">
      <c r="A3143" s="62" t="s">
        <v>1219</v>
      </c>
      <c r="B3143" s="63">
        <v>44176.0</v>
      </c>
      <c r="C3143" s="69">
        <v>24.943197998241185</v>
      </c>
    </row>
    <row r="3144">
      <c r="A3144" s="62" t="s">
        <v>5110</v>
      </c>
      <c r="B3144" s="63">
        <v>44264.0</v>
      </c>
      <c r="C3144" s="69">
        <v>24.939554612055993</v>
      </c>
    </row>
    <row r="3145">
      <c r="A3145" s="62" t="s">
        <v>4031</v>
      </c>
      <c r="B3145" s="63">
        <v>44096.0</v>
      </c>
      <c r="C3145" s="69">
        <v>24.93865291192423</v>
      </c>
    </row>
    <row r="3146">
      <c r="A3146" s="62" t="s">
        <v>3715</v>
      </c>
      <c r="B3146" s="63">
        <v>44231.0</v>
      </c>
      <c r="C3146" s="69">
        <v>24.93742048984986</v>
      </c>
    </row>
    <row r="3147">
      <c r="A3147" s="62" t="s">
        <v>3005</v>
      </c>
      <c r="B3147" s="63">
        <v>44253.0</v>
      </c>
      <c r="C3147" s="69">
        <v>24.929627376108613</v>
      </c>
    </row>
    <row r="3148">
      <c r="A3148" s="62" t="s">
        <v>4922</v>
      </c>
      <c r="B3148" s="63">
        <v>44315.0</v>
      </c>
      <c r="C3148" s="69">
        <v>24.928278644560365</v>
      </c>
    </row>
    <row r="3149">
      <c r="A3149" s="62" t="s">
        <v>4972</v>
      </c>
      <c r="B3149" s="63">
        <v>44313.0</v>
      </c>
      <c r="C3149" s="69">
        <v>24.92487064762205</v>
      </c>
    </row>
    <row r="3150">
      <c r="A3150" s="62" t="s">
        <v>6080</v>
      </c>
      <c r="B3150" s="63">
        <v>44352.0</v>
      </c>
      <c r="C3150" s="69">
        <v>24.924498251535066</v>
      </c>
    </row>
    <row r="3151">
      <c r="A3151" s="62" t="s">
        <v>1363</v>
      </c>
      <c r="B3151" s="63">
        <v>44195.0</v>
      </c>
      <c r="C3151" s="69">
        <v>24.914468864792173</v>
      </c>
    </row>
    <row r="3152">
      <c r="A3152" s="62" t="s">
        <v>5280</v>
      </c>
      <c r="B3152" s="63">
        <v>44335.0</v>
      </c>
      <c r="C3152" s="69">
        <v>24.91380524524082</v>
      </c>
    </row>
    <row r="3153">
      <c r="A3153" s="62" t="s">
        <v>2138</v>
      </c>
      <c r="B3153" s="63">
        <v>44326.0</v>
      </c>
      <c r="C3153" s="69">
        <v>24.908141150663987</v>
      </c>
    </row>
    <row r="3154">
      <c r="A3154" s="62" t="s">
        <v>2171</v>
      </c>
      <c r="B3154" s="63">
        <v>44062.0</v>
      </c>
      <c r="C3154" s="69">
        <v>24.9063171093796</v>
      </c>
    </row>
    <row r="3155">
      <c r="A3155" s="62" t="s">
        <v>4717</v>
      </c>
      <c r="B3155" s="63">
        <v>44280.0</v>
      </c>
      <c r="C3155" s="69">
        <v>24.888423754121337</v>
      </c>
    </row>
    <row r="3156">
      <c r="A3156" s="62" t="s">
        <v>2131</v>
      </c>
      <c r="B3156" s="63">
        <v>44334.0</v>
      </c>
      <c r="C3156" s="69">
        <v>24.88191617547195</v>
      </c>
    </row>
    <row r="3157">
      <c r="A3157" s="62" t="s">
        <v>4253</v>
      </c>
      <c r="B3157" s="63">
        <v>44146.0</v>
      </c>
      <c r="C3157" s="69">
        <v>24.87925900121111</v>
      </c>
    </row>
    <row r="3158">
      <c r="A3158" s="62" t="s">
        <v>4104</v>
      </c>
      <c r="B3158" s="63">
        <v>44109.0</v>
      </c>
      <c r="C3158" s="69">
        <v>24.863093031270594</v>
      </c>
    </row>
    <row r="3159">
      <c r="A3159" s="62" t="s">
        <v>4260</v>
      </c>
      <c r="B3159" s="63">
        <v>44083.0</v>
      </c>
      <c r="C3159" s="69">
        <v>24.860590144120213</v>
      </c>
    </row>
    <row r="3160">
      <c r="A3160" s="62" t="s">
        <v>3612</v>
      </c>
      <c r="B3160" s="63">
        <v>44204.0</v>
      </c>
      <c r="C3160" s="69">
        <v>24.858944959848245</v>
      </c>
    </row>
    <row r="3161">
      <c r="A3161" s="62" t="s">
        <v>2127</v>
      </c>
      <c r="B3161" s="63">
        <v>44343.0</v>
      </c>
      <c r="C3161" s="69">
        <v>24.85811905296547</v>
      </c>
    </row>
    <row r="3162">
      <c r="A3162" s="62" t="s">
        <v>2279</v>
      </c>
      <c r="B3162" s="63">
        <v>44386.0</v>
      </c>
      <c r="C3162" s="69">
        <v>24.85512744240525</v>
      </c>
    </row>
    <row r="3163">
      <c r="A3163" s="62" t="s">
        <v>6586</v>
      </c>
      <c r="B3163" s="63">
        <v>44357.0</v>
      </c>
      <c r="C3163" s="69">
        <v>24.849349929636514</v>
      </c>
    </row>
    <row r="3164">
      <c r="A3164" s="62" t="s">
        <v>4739</v>
      </c>
      <c r="B3164" s="63">
        <v>44312.0</v>
      </c>
      <c r="C3164" s="69">
        <v>24.846449514532285</v>
      </c>
    </row>
    <row r="3165">
      <c r="A3165" s="62" t="s">
        <v>3529</v>
      </c>
      <c r="B3165" s="63">
        <v>44144.0</v>
      </c>
      <c r="C3165" s="69">
        <v>24.84164383717601</v>
      </c>
    </row>
    <row r="3166">
      <c r="A3166" s="62" t="s">
        <v>2124</v>
      </c>
      <c r="B3166" s="63">
        <v>44326.0</v>
      </c>
      <c r="C3166" s="69">
        <v>24.84016751566548</v>
      </c>
    </row>
    <row r="3167">
      <c r="A3167" s="62" t="s">
        <v>2633</v>
      </c>
      <c r="B3167" s="63">
        <v>44124.0</v>
      </c>
      <c r="C3167" s="69">
        <v>24.837614284761198</v>
      </c>
    </row>
    <row r="3168">
      <c r="A3168" s="62" t="s">
        <v>5686</v>
      </c>
      <c r="B3168" s="63">
        <v>44362.0</v>
      </c>
      <c r="C3168" s="69">
        <v>24.831987844730925</v>
      </c>
    </row>
    <row r="3169">
      <c r="A3169" s="62" t="s">
        <v>2579</v>
      </c>
      <c r="B3169" s="63">
        <v>44397.0</v>
      </c>
      <c r="C3169" s="69">
        <v>24.8297700320189</v>
      </c>
    </row>
    <row r="3170">
      <c r="A3170" s="62" t="s">
        <v>3282</v>
      </c>
      <c r="B3170" s="63">
        <v>44097.0</v>
      </c>
      <c r="C3170" s="69">
        <v>24.82224436522452</v>
      </c>
    </row>
    <row r="3171">
      <c r="A3171" s="62" t="s">
        <v>5501</v>
      </c>
      <c r="B3171" s="63">
        <v>44377.0</v>
      </c>
      <c r="C3171" s="69">
        <v>24.816976521148575</v>
      </c>
    </row>
    <row r="3172">
      <c r="A3172" s="62" t="s">
        <v>3428</v>
      </c>
      <c r="B3172" s="63">
        <v>44252.0</v>
      </c>
      <c r="C3172" s="69">
        <v>24.808566999241656</v>
      </c>
    </row>
    <row r="3173">
      <c r="A3173" s="62" t="s">
        <v>2117</v>
      </c>
      <c r="B3173" s="63">
        <v>44342.0</v>
      </c>
      <c r="C3173" s="69">
        <v>24.80669051584982</v>
      </c>
    </row>
    <row r="3174">
      <c r="A3174" s="62" t="s">
        <v>2112</v>
      </c>
      <c r="B3174" s="63">
        <v>44323.0</v>
      </c>
      <c r="C3174" s="69">
        <v>24.802163739960026</v>
      </c>
    </row>
    <row r="3175">
      <c r="A3175" s="62" t="s">
        <v>6250</v>
      </c>
      <c r="B3175" s="63">
        <v>44361.0</v>
      </c>
      <c r="C3175" s="69">
        <v>24.799807351015883</v>
      </c>
    </row>
    <row r="3176">
      <c r="A3176" s="62" t="s">
        <v>4933</v>
      </c>
      <c r="B3176" s="63">
        <v>44308.0</v>
      </c>
      <c r="C3176" s="69">
        <v>24.793492875525995</v>
      </c>
    </row>
    <row r="3177">
      <c r="A3177" s="62" t="s">
        <v>2604</v>
      </c>
      <c r="B3177" s="63">
        <v>44378.0</v>
      </c>
      <c r="C3177" s="69">
        <v>24.7901514065865</v>
      </c>
    </row>
    <row r="3178">
      <c r="A3178" s="62" t="s">
        <v>2109</v>
      </c>
      <c r="B3178" s="63">
        <v>44328.0</v>
      </c>
      <c r="C3178" s="69">
        <v>24.77852867582577</v>
      </c>
    </row>
    <row r="3179">
      <c r="A3179" s="62" t="s">
        <v>3961</v>
      </c>
      <c r="B3179" s="63">
        <v>44160.0</v>
      </c>
      <c r="C3179" s="69">
        <v>24.77466413561608</v>
      </c>
    </row>
    <row r="3180">
      <c r="A3180" s="62" t="s">
        <v>4636</v>
      </c>
      <c r="B3180" s="63">
        <v>44298.0</v>
      </c>
      <c r="C3180" s="69">
        <v>24.77371646907247</v>
      </c>
    </row>
    <row r="3181">
      <c r="A3181" s="62" t="s">
        <v>125</v>
      </c>
      <c r="B3181" s="63">
        <v>44385.0</v>
      </c>
      <c r="C3181" s="69">
        <v>24.77179642870343</v>
      </c>
    </row>
    <row r="3182">
      <c r="A3182" s="62" t="s">
        <v>2257</v>
      </c>
      <c r="B3182" s="63">
        <v>44067.0</v>
      </c>
      <c r="C3182" s="69">
        <v>24.765471364551583</v>
      </c>
    </row>
    <row r="3183">
      <c r="A3183" s="62" t="s">
        <v>6073</v>
      </c>
      <c r="B3183" s="63">
        <v>44370.0</v>
      </c>
      <c r="C3183" s="69">
        <v>24.759659188282846</v>
      </c>
    </row>
    <row r="3184">
      <c r="A3184" s="62" t="s">
        <v>5455</v>
      </c>
      <c r="B3184" s="63">
        <v>44351.0</v>
      </c>
      <c r="C3184" s="69">
        <v>24.754897235292187</v>
      </c>
    </row>
    <row r="3185">
      <c r="A3185" s="62" t="s">
        <v>2494</v>
      </c>
      <c r="B3185" s="63">
        <v>44382.0</v>
      </c>
      <c r="C3185" s="69">
        <v>24.75363600118067</v>
      </c>
    </row>
    <row r="3186">
      <c r="A3186" s="62" t="s">
        <v>4997</v>
      </c>
      <c r="B3186" s="63">
        <v>44309.0</v>
      </c>
      <c r="C3186" s="69">
        <v>24.75248075643941</v>
      </c>
    </row>
    <row r="3187">
      <c r="A3187" s="62" t="s">
        <v>256</v>
      </c>
      <c r="B3187" s="63">
        <v>44396.0</v>
      </c>
      <c r="C3187" s="69">
        <v>24.74713915029151</v>
      </c>
    </row>
    <row r="3188">
      <c r="A3188" s="62" t="s">
        <v>2444</v>
      </c>
      <c r="B3188" s="63">
        <v>44382.0</v>
      </c>
      <c r="C3188" s="69">
        <v>24.744281440038137</v>
      </c>
    </row>
    <row r="3189">
      <c r="A3189" s="62" t="s">
        <v>3139</v>
      </c>
      <c r="B3189" s="63">
        <v>44225.0</v>
      </c>
      <c r="C3189" s="69">
        <v>24.74236999560719</v>
      </c>
    </row>
    <row r="3190">
      <c r="A3190" s="62" t="s">
        <v>3446</v>
      </c>
      <c r="B3190" s="63">
        <v>44245.0</v>
      </c>
      <c r="C3190" s="69">
        <v>24.739590469029586</v>
      </c>
    </row>
    <row r="3191">
      <c r="A3191" s="62" t="s">
        <v>2108</v>
      </c>
      <c r="B3191" s="63">
        <v>44319.0</v>
      </c>
      <c r="C3191" s="69">
        <v>24.73521510331448</v>
      </c>
    </row>
    <row r="3192">
      <c r="A3192" s="62" t="s">
        <v>6392</v>
      </c>
      <c r="B3192" s="63">
        <v>44377.0</v>
      </c>
      <c r="C3192" s="69">
        <v>24.733692945179392</v>
      </c>
    </row>
    <row r="3193">
      <c r="A3193" s="62" t="s">
        <v>3450</v>
      </c>
      <c r="B3193" s="63">
        <v>44093.0</v>
      </c>
      <c r="C3193" s="69">
        <v>24.72776828941905</v>
      </c>
    </row>
    <row r="3194">
      <c r="A3194" s="62" t="s">
        <v>5933</v>
      </c>
      <c r="B3194" s="63">
        <v>44365.0</v>
      </c>
      <c r="C3194" s="69">
        <v>24.72142150060578</v>
      </c>
    </row>
    <row r="3195">
      <c r="A3195" s="62" t="s">
        <v>3123</v>
      </c>
      <c r="B3195" s="63">
        <v>44092.0</v>
      </c>
      <c r="C3195" s="69">
        <v>24.721320192839915</v>
      </c>
    </row>
    <row r="3196">
      <c r="A3196" s="62" t="s">
        <v>2091</v>
      </c>
      <c r="B3196" s="63">
        <v>44326.0</v>
      </c>
      <c r="C3196" s="69">
        <v>24.71754234989424</v>
      </c>
    </row>
    <row r="3197">
      <c r="A3197" s="62" t="s">
        <v>4735</v>
      </c>
      <c r="B3197" s="63">
        <v>44306.0</v>
      </c>
      <c r="C3197" s="69">
        <v>24.71753512972183</v>
      </c>
    </row>
    <row r="3198">
      <c r="A3198" s="62" t="s">
        <v>318</v>
      </c>
      <c r="B3198" s="63">
        <v>44256.0</v>
      </c>
      <c r="C3198" s="69">
        <v>24.71199563057503</v>
      </c>
    </row>
    <row r="3199">
      <c r="A3199" s="62" t="s">
        <v>4281</v>
      </c>
      <c r="B3199" s="63">
        <v>44159.0</v>
      </c>
      <c r="C3199" s="69">
        <v>24.705709606750258</v>
      </c>
    </row>
    <row r="3200">
      <c r="A3200" s="62" t="s">
        <v>6580</v>
      </c>
      <c r="B3200" s="63">
        <v>44361.0</v>
      </c>
      <c r="C3200" s="69">
        <v>24.699771959997182</v>
      </c>
    </row>
    <row r="3201">
      <c r="A3201" s="62" t="s">
        <v>3512</v>
      </c>
      <c r="B3201" s="63">
        <v>44125.0</v>
      </c>
      <c r="C3201" s="69">
        <v>24.695445013005077</v>
      </c>
    </row>
    <row r="3202">
      <c r="A3202" s="62" t="s">
        <v>920</v>
      </c>
      <c r="B3202" s="63">
        <v>44116.0</v>
      </c>
      <c r="C3202" s="69">
        <v>24.69301623367789</v>
      </c>
    </row>
    <row r="3203">
      <c r="A3203" s="62" t="s">
        <v>2090</v>
      </c>
      <c r="B3203" s="63">
        <v>44342.0</v>
      </c>
      <c r="C3203" s="69">
        <v>24.69240371078334</v>
      </c>
    </row>
    <row r="3204">
      <c r="A3204" s="62" t="s">
        <v>6378</v>
      </c>
      <c r="B3204" s="63">
        <v>44351.0</v>
      </c>
      <c r="C3204" s="69">
        <v>24.6911560745274</v>
      </c>
    </row>
    <row r="3205">
      <c r="A3205" s="62" t="s">
        <v>186</v>
      </c>
      <c r="B3205" s="63">
        <v>44399.0</v>
      </c>
      <c r="C3205" s="69">
        <v>24.689867835661783</v>
      </c>
    </row>
    <row r="3206">
      <c r="A3206" s="62" t="s">
        <v>4330</v>
      </c>
      <c r="B3206" s="63">
        <v>44232.0</v>
      </c>
      <c r="C3206" s="69">
        <v>24.674261834189654</v>
      </c>
    </row>
    <row r="3207">
      <c r="A3207" s="62" t="s">
        <v>270</v>
      </c>
      <c r="B3207" s="63">
        <v>44067.0</v>
      </c>
      <c r="C3207" s="69">
        <v>24.673129493765963</v>
      </c>
    </row>
    <row r="3208">
      <c r="A3208" s="62" t="s">
        <v>2651</v>
      </c>
      <c r="B3208" s="63">
        <v>44111.0</v>
      </c>
      <c r="C3208" s="69">
        <v>24.672436451087517</v>
      </c>
    </row>
    <row r="3209">
      <c r="A3209" s="62" t="s">
        <v>1616</v>
      </c>
      <c r="B3209" s="63">
        <v>44069.0</v>
      </c>
      <c r="C3209" s="69">
        <v>24.667723270230084</v>
      </c>
    </row>
    <row r="3210">
      <c r="A3210" s="62" t="s">
        <v>258</v>
      </c>
      <c r="B3210" s="63">
        <v>44400.0</v>
      </c>
      <c r="C3210" s="69">
        <v>24.666199320259224</v>
      </c>
    </row>
    <row r="3211">
      <c r="A3211" s="62" t="s">
        <v>5099</v>
      </c>
      <c r="B3211" s="63">
        <v>44314.0</v>
      </c>
      <c r="C3211" s="69">
        <v>24.65725941442601</v>
      </c>
    </row>
    <row r="3212">
      <c r="A3212" s="62" t="s">
        <v>6640</v>
      </c>
      <c r="B3212" s="63">
        <v>44361.0</v>
      </c>
      <c r="C3212" s="69">
        <v>24.656890815155045</v>
      </c>
    </row>
    <row r="3213">
      <c r="A3213" s="62" t="s">
        <v>2395</v>
      </c>
      <c r="B3213" s="63">
        <v>44383.0</v>
      </c>
      <c r="C3213" s="69">
        <v>24.65599181681457</v>
      </c>
    </row>
    <row r="3214">
      <c r="A3214" s="62" t="s">
        <v>2083</v>
      </c>
      <c r="B3214" s="63">
        <v>44347.0</v>
      </c>
      <c r="C3214" s="69">
        <v>24.655685050957523</v>
      </c>
    </row>
    <row r="3215">
      <c r="A3215" s="62" t="s">
        <v>4144</v>
      </c>
      <c r="B3215" s="63">
        <v>44114.0</v>
      </c>
      <c r="C3215" s="69">
        <v>24.652830707371297</v>
      </c>
    </row>
    <row r="3216">
      <c r="A3216" s="62" t="s">
        <v>2073</v>
      </c>
      <c r="B3216" s="63">
        <v>44330.0</v>
      </c>
      <c r="C3216" s="69">
        <v>24.643992646343726</v>
      </c>
    </row>
    <row r="3217">
      <c r="A3217" s="62" t="s">
        <v>911</v>
      </c>
      <c r="B3217" s="63">
        <v>44358.0</v>
      </c>
      <c r="C3217" s="69">
        <v>24.642322415419848</v>
      </c>
    </row>
    <row r="3218">
      <c r="A3218" s="62" t="s">
        <v>129</v>
      </c>
      <c r="B3218" s="63">
        <v>44390.0</v>
      </c>
      <c r="C3218" s="69">
        <v>24.641921214070493</v>
      </c>
    </row>
    <row r="3219">
      <c r="A3219" s="62" t="s">
        <v>2170</v>
      </c>
      <c r="B3219" s="63">
        <v>44062.0</v>
      </c>
      <c r="C3219" s="69">
        <v>24.629345798326845</v>
      </c>
    </row>
    <row r="3220">
      <c r="A3220" s="62" t="s">
        <v>4280</v>
      </c>
      <c r="B3220" s="63">
        <v>44089.0</v>
      </c>
      <c r="C3220" s="69">
        <v>24.620975423407018</v>
      </c>
    </row>
    <row r="3221">
      <c r="A3221" s="62" t="s">
        <v>5928</v>
      </c>
      <c r="B3221" s="63">
        <v>44368.0</v>
      </c>
      <c r="C3221" s="69">
        <v>24.620557425194093</v>
      </c>
    </row>
    <row r="3222">
      <c r="A3222" s="62" t="s">
        <v>2653</v>
      </c>
      <c r="B3222" s="63">
        <v>44090.0</v>
      </c>
      <c r="C3222" s="69">
        <v>24.61643125069496</v>
      </c>
    </row>
    <row r="3223">
      <c r="A3223" s="62" t="s">
        <v>2184</v>
      </c>
      <c r="B3223" s="63">
        <v>44070.0</v>
      </c>
      <c r="C3223" s="69">
        <v>24.61274078562522</v>
      </c>
    </row>
    <row r="3224">
      <c r="A3224" s="62" t="s">
        <v>172</v>
      </c>
      <c r="B3224" s="63">
        <v>44386.0</v>
      </c>
      <c r="C3224" s="69">
        <v>24.61215962952147</v>
      </c>
    </row>
    <row r="3225">
      <c r="A3225" s="62" t="s">
        <v>4637</v>
      </c>
      <c r="B3225" s="63">
        <v>44285.0</v>
      </c>
      <c r="C3225" s="69">
        <v>24.60639673237405</v>
      </c>
    </row>
    <row r="3226">
      <c r="A3226" s="62" t="s">
        <v>6231</v>
      </c>
      <c r="B3226" s="63">
        <v>44376.0</v>
      </c>
      <c r="C3226" s="69">
        <v>24.59946640261492</v>
      </c>
    </row>
    <row r="3227">
      <c r="A3227" s="62" t="s">
        <v>6334</v>
      </c>
      <c r="B3227" s="63">
        <v>44362.0</v>
      </c>
      <c r="C3227" s="69">
        <v>24.595708665746713</v>
      </c>
    </row>
    <row r="3228">
      <c r="A3228" s="62" t="s">
        <v>3596</v>
      </c>
      <c r="B3228" s="63">
        <v>44242.0</v>
      </c>
      <c r="C3228" s="69">
        <v>24.592795075276808</v>
      </c>
    </row>
    <row r="3229">
      <c r="A3229" s="62" t="s">
        <v>3413</v>
      </c>
      <c r="B3229" s="63">
        <v>44238.0</v>
      </c>
      <c r="C3229" s="69">
        <v>24.59148611973959</v>
      </c>
    </row>
    <row r="3230">
      <c r="A3230" s="62" t="s">
        <v>5836</v>
      </c>
      <c r="B3230" s="63">
        <v>44355.0</v>
      </c>
      <c r="C3230" s="69">
        <v>24.591459914354687</v>
      </c>
    </row>
    <row r="3231">
      <c r="A3231" s="62" t="s">
        <v>2878</v>
      </c>
      <c r="B3231" s="63">
        <v>44210.0</v>
      </c>
      <c r="C3231" s="69">
        <v>24.588582992314176</v>
      </c>
    </row>
    <row r="3232">
      <c r="A3232" s="62" t="s">
        <v>643</v>
      </c>
      <c r="B3232" s="63">
        <v>44092.0</v>
      </c>
      <c r="C3232" s="69">
        <v>24.581822549875557</v>
      </c>
    </row>
    <row r="3233">
      <c r="A3233" s="62" t="s">
        <v>4009</v>
      </c>
      <c r="B3233" s="63">
        <v>44223.0</v>
      </c>
      <c r="C3233" s="69">
        <v>24.580247909674206</v>
      </c>
    </row>
    <row r="3234">
      <c r="A3234" s="62" t="s">
        <v>5193</v>
      </c>
      <c r="B3234" s="63">
        <v>44299.0</v>
      </c>
      <c r="C3234" s="69">
        <v>24.578356045727986</v>
      </c>
    </row>
    <row r="3235">
      <c r="A3235" s="62" t="s">
        <v>5484</v>
      </c>
      <c r="B3235" s="63">
        <v>44352.0</v>
      </c>
      <c r="C3235" s="69">
        <v>24.57642882937312</v>
      </c>
    </row>
    <row r="3236">
      <c r="A3236" s="62" t="s">
        <v>770</v>
      </c>
      <c r="B3236" s="63">
        <v>44358.0</v>
      </c>
      <c r="C3236" s="69">
        <v>24.572372695599284</v>
      </c>
    </row>
    <row r="3237">
      <c r="A3237" s="62" t="s">
        <v>2067</v>
      </c>
      <c r="B3237" s="63">
        <v>44324.0</v>
      </c>
      <c r="C3237" s="69">
        <v>24.568924108861587</v>
      </c>
    </row>
    <row r="3238">
      <c r="A3238" s="62" t="s">
        <v>2657</v>
      </c>
      <c r="B3238" s="63">
        <v>44181.0</v>
      </c>
      <c r="C3238" s="69">
        <v>24.567200359137004</v>
      </c>
    </row>
    <row r="3239">
      <c r="A3239" s="62" t="s">
        <v>4647</v>
      </c>
      <c r="B3239" s="63">
        <v>44302.0</v>
      </c>
      <c r="C3239" s="69">
        <v>24.563375987453338</v>
      </c>
    </row>
    <row r="3240">
      <c r="A3240" s="62" t="s">
        <v>209</v>
      </c>
      <c r="B3240" s="63">
        <v>44060.0</v>
      </c>
      <c r="C3240" s="69">
        <v>24.5631599194845</v>
      </c>
    </row>
    <row r="3241">
      <c r="A3241" s="62" t="s">
        <v>3637</v>
      </c>
      <c r="B3241" s="63">
        <v>44216.0</v>
      </c>
      <c r="C3241" s="69">
        <v>24.55732221889885</v>
      </c>
    </row>
    <row r="3242">
      <c r="A3242" s="62" t="s">
        <v>6627</v>
      </c>
      <c r="B3242" s="63">
        <v>44365.0</v>
      </c>
      <c r="C3242" s="69">
        <v>24.551000718105552</v>
      </c>
    </row>
    <row r="3243">
      <c r="A3243" s="62" t="s">
        <v>2080</v>
      </c>
      <c r="B3243" s="63">
        <v>44368.0</v>
      </c>
      <c r="C3243" s="69">
        <v>24.54209557934387</v>
      </c>
    </row>
    <row r="3244">
      <c r="A3244" s="62" t="s">
        <v>2361</v>
      </c>
      <c r="B3244" s="63">
        <v>44383.0</v>
      </c>
      <c r="C3244" s="69">
        <v>24.541833505749615</v>
      </c>
    </row>
    <row r="3245">
      <c r="A3245" s="62" t="s">
        <v>5279</v>
      </c>
      <c r="B3245" s="63">
        <v>44256.0</v>
      </c>
      <c r="C3245" s="69">
        <v>24.53527779807342</v>
      </c>
    </row>
    <row r="3246">
      <c r="A3246" s="62" t="s">
        <v>3921</v>
      </c>
      <c r="B3246" s="63">
        <v>44236.0</v>
      </c>
      <c r="C3246" s="69">
        <v>24.53379097445039</v>
      </c>
    </row>
    <row r="3247">
      <c r="A3247" s="62" t="s">
        <v>2065</v>
      </c>
      <c r="B3247" s="63">
        <v>44328.0</v>
      </c>
      <c r="C3247" s="69">
        <v>24.5193068416263</v>
      </c>
    </row>
    <row r="3248">
      <c r="A3248" s="62" t="s">
        <v>2059</v>
      </c>
      <c r="B3248" s="63">
        <v>44330.0</v>
      </c>
      <c r="C3248" s="69">
        <v>24.51631396606418</v>
      </c>
    </row>
    <row r="3249">
      <c r="A3249" s="62" t="s">
        <v>6275</v>
      </c>
      <c r="B3249" s="63">
        <v>44372.0</v>
      </c>
      <c r="C3249" s="69">
        <v>24.49068327627781</v>
      </c>
    </row>
    <row r="3250">
      <c r="A3250" s="62" t="s">
        <v>5153</v>
      </c>
      <c r="B3250" s="63">
        <v>44286.0</v>
      </c>
      <c r="C3250" s="69">
        <v>24.480835869183544</v>
      </c>
    </row>
    <row r="3251">
      <c r="A3251" s="62" t="s">
        <v>401</v>
      </c>
      <c r="B3251" s="63">
        <v>44354.0</v>
      </c>
      <c r="C3251" s="69">
        <v>24.47733224543507</v>
      </c>
    </row>
    <row r="3252">
      <c r="A3252" s="62" t="s">
        <v>4698</v>
      </c>
      <c r="B3252" s="63">
        <v>44275.0</v>
      </c>
      <c r="C3252" s="69">
        <v>24.462870459672217</v>
      </c>
    </row>
    <row r="3253">
      <c r="A3253" s="62" t="s">
        <v>3511</v>
      </c>
      <c r="B3253" s="63">
        <v>44218.0</v>
      </c>
      <c r="C3253" s="69">
        <v>24.459409947504433</v>
      </c>
    </row>
    <row r="3254">
      <c r="A3254" s="62" t="s">
        <v>2457</v>
      </c>
      <c r="B3254" s="63">
        <v>44380.0</v>
      </c>
      <c r="C3254" s="69">
        <v>24.45100112352089</v>
      </c>
    </row>
    <row r="3255">
      <c r="A3255" s="62" t="s">
        <v>4885</v>
      </c>
      <c r="B3255" s="63">
        <v>44301.0</v>
      </c>
      <c r="C3255" s="69">
        <v>24.450414338339193</v>
      </c>
    </row>
    <row r="3256">
      <c r="A3256" s="62" t="s">
        <v>2054</v>
      </c>
      <c r="B3256" s="63">
        <v>44341.0</v>
      </c>
      <c r="C3256" s="69">
        <v>24.44285384707961</v>
      </c>
    </row>
    <row r="3257">
      <c r="A3257" s="62" t="s">
        <v>5841</v>
      </c>
      <c r="B3257" s="63">
        <v>44362.0</v>
      </c>
      <c r="C3257" s="69">
        <v>24.442035617721373</v>
      </c>
    </row>
    <row r="3258">
      <c r="A3258" s="62" t="s">
        <v>3192</v>
      </c>
      <c r="B3258" s="63">
        <v>44182.0</v>
      </c>
      <c r="C3258" s="69">
        <v>24.439558139389824</v>
      </c>
    </row>
    <row r="3259">
      <c r="A3259" s="62" t="s">
        <v>4966</v>
      </c>
      <c r="B3259" s="63">
        <v>44292.0</v>
      </c>
      <c r="C3259" s="69">
        <v>24.437396146304287</v>
      </c>
    </row>
    <row r="3260">
      <c r="A3260" s="62" t="s">
        <v>3523</v>
      </c>
      <c r="B3260" s="63">
        <v>44205.0</v>
      </c>
      <c r="C3260" s="69">
        <v>24.436026346165644</v>
      </c>
    </row>
    <row r="3261">
      <c r="A3261" s="62" t="s">
        <v>2583</v>
      </c>
      <c r="B3261" s="63">
        <v>44378.0</v>
      </c>
      <c r="C3261" s="69">
        <v>24.433128035075473</v>
      </c>
    </row>
    <row r="3262">
      <c r="A3262" s="62" t="s">
        <v>3082</v>
      </c>
      <c r="B3262" s="63">
        <v>44235.0</v>
      </c>
      <c r="C3262" s="69">
        <v>24.432561598862538</v>
      </c>
    </row>
    <row r="3263">
      <c r="A3263" s="62" t="s">
        <v>4180</v>
      </c>
      <c r="B3263" s="63">
        <v>44132.0</v>
      </c>
      <c r="C3263" s="69">
        <v>24.428326846398395</v>
      </c>
    </row>
    <row r="3264">
      <c r="A3264" s="62" t="s">
        <v>6678</v>
      </c>
      <c r="B3264" s="63">
        <v>44357.0</v>
      </c>
      <c r="C3264" s="69">
        <v>24.42730393816629</v>
      </c>
    </row>
    <row r="3265">
      <c r="A3265" s="62" t="s">
        <v>2343</v>
      </c>
      <c r="B3265" s="63">
        <v>44383.0</v>
      </c>
      <c r="C3265" s="69">
        <v>24.426711266210503</v>
      </c>
    </row>
    <row r="3266">
      <c r="A3266" s="62" t="s">
        <v>3023</v>
      </c>
      <c r="B3266" s="63">
        <v>44075.0</v>
      </c>
      <c r="C3266" s="69">
        <v>24.42635051340773</v>
      </c>
    </row>
    <row r="3267">
      <c r="A3267" s="62" t="s">
        <v>3036</v>
      </c>
      <c r="B3267" s="63">
        <v>44084.0</v>
      </c>
      <c r="C3267" s="69">
        <v>24.425979783587902</v>
      </c>
    </row>
    <row r="3268">
      <c r="A3268" s="62" t="s">
        <v>4673</v>
      </c>
      <c r="B3268" s="63">
        <v>44300.0</v>
      </c>
      <c r="C3268" s="69">
        <v>24.42151747913805</v>
      </c>
    </row>
    <row r="3269">
      <c r="A3269" s="62" t="s">
        <v>2053</v>
      </c>
      <c r="B3269" s="63">
        <v>44327.0</v>
      </c>
      <c r="C3269" s="69">
        <v>24.416245494705624</v>
      </c>
    </row>
    <row r="3270">
      <c r="A3270" s="62" t="s">
        <v>3121</v>
      </c>
      <c r="B3270" s="63">
        <v>44137.0</v>
      </c>
      <c r="C3270" s="69">
        <v>24.411008393996735</v>
      </c>
    </row>
    <row r="3271">
      <c r="A3271" s="62" t="s">
        <v>2598</v>
      </c>
      <c r="B3271" s="63">
        <v>44382.0</v>
      </c>
      <c r="C3271" s="69">
        <v>24.408198153301342</v>
      </c>
    </row>
    <row r="3272">
      <c r="A3272" s="62" t="s">
        <v>5236</v>
      </c>
      <c r="B3272" s="63">
        <v>44315.0</v>
      </c>
      <c r="C3272" s="69">
        <v>24.399640106759655</v>
      </c>
    </row>
    <row r="3273">
      <c r="A3273" s="62" t="s">
        <v>3003</v>
      </c>
      <c r="B3273" s="63">
        <v>44203.0</v>
      </c>
      <c r="C3273" s="69">
        <v>24.399182714016504</v>
      </c>
    </row>
    <row r="3274">
      <c r="A3274" s="62" t="s">
        <v>2616</v>
      </c>
      <c r="B3274" s="63">
        <v>44390.0</v>
      </c>
      <c r="C3274" s="69">
        <v>24.398874006549157</v>
      </c>
    </row>
    <row r="3275">
      <c r="A3275" s="62" t="s">
        <v>2626</v>
      </c>
      <c r="B3275" s="63">
        <v>44391.0</v>
      </c>
      <c r="C3275" s="69">
        <v>24.38911059653862</v>
      </c>
    </row>
    <row r="3276">
      <c r="A3276" s="62" t="s">
        <v>5887</v>
      </c>
      <c r="B3276" s="63">
        <v>44376.0</v>
      </c>
      <c r="C3276" s="69">
        <v>24.38580603676769</v>
      </c>
    </row>
    <row r="3277">
      <c r="A3277" s="62" t="s">
        <v>2045</v>
      </c>
      <c r="B3277" s="63">
        <v>44337.0</v>
      </c>
      <c r="C3277" s="69">
        <v>24.38472581239025</v>
      </c>
    </row>
    <row r="3278">
      <c r="A3278" s="62" t="s">
        <v>2040</v>
      </c>
      <c r="B3278" s="63">
        <v>44320.0</v>
      </c>
      <c r="C3278" s="69">
        <v>24.382809576607293</v>
      </c>
    </row>
    <row r="3279">
      <c r="A3279" s="62" t="s">
        <v>1300</v>
      </c>
      <c r="B3279" s="63">
        <v>44375.0</v>
      </c>
      <c r="C3279" s="69">
        <v>24.382428567853694</v>
      </c>
    </row>
    <row r="3280">
      <c r="A3280" s="62" t="s">
        <v>2037</v>
      </c>
      <c r="B3280" s="63">
        <v>44337.0</v>
      </c>
      <c r="C3280" s="69">
        <v>24.380134356943035</v>
      </c>
    </row>
    <row r="3281">
      <c r="A3281" s="62" t="s">
        <v>1890</v>
      </c>
      <c r="B3281" s="63">
        <v>44222.0</v>
      </c>
      <c r="C3281" s="69">
        <v>24.37450793355896</v>
      </c>
    </row>
    <row r="3282">
      <c r="A3282" s="62" t="s">
        <v>3536</v>
      </c>
      <c r="B3282" s="63">
        <v>44236.0</v>
      </c>
      <c r="C3282" s="69">
        <v>24.374373685236918</v>
      </c>
    </row>
    <row r="3283">
      <c r="A3283" s="62" t="s">
        <v>4261</v>
      </c>
      <c r="B3283" s="63">
        <v>44077.0</v>
      </c>
      <c r="C3283" s="69">
        <v>24.37194073449347</v>
      </c>
    </row>
    <row r="3284">
      <c r="A3284" s="62" t="s">
        <v>1937</v>
      </c>
      <c r="B3284" s="63">
        <v>44064.0</v>
      </c>
      <c r="C3284" s="69">
        <v>24.371209247841115</v>
      </c>
    </row>
    <row r="3285">
      <c r="A3285" s="62" t="s">
        <v>2036</v>
      </c>
      <c r="B3285" s="63">
        <v>44327.0</v>
      </c>
      <c r="C3285" s="69">
        <v>24.34997802829278</v>
      </c>
    </row>
    <row r="3286">
      <c r="A3286" s="62" t="s">
        <v>6182</v>
      </c>
      <c r="B3286" s="63">
        <v>44371.0</v>
      </c>
      <c r="C3286" s="69">
        <v>24.34674455692704</v>
      </c>
    </row>
    <row r="3287">
      <c r="A3287" s="62" t="s">
        <v>4319</v>
      </c>
      <c r="B3287" s="63">
        <v>44170.0</v>
      </c>
      <c r="C3287" s="69">
        <v>24.342259839772062</v>
      </c>
    </row>
    <row r="3288">
      <c r="A3288" s="62" t="s">
        <v>2034</v>
      </c>
      <c r="B3288" s="63">
        <v>44320.0</v>
      </c>
      <c r="C3288" s="69">
        <v>24.34203686331802</v>
      </c>
    </row>
    <row r="3289">
      <c r="A3289" s="62" t="s">
        <v>4670</v>
      </c>
      <c r="B3289" s="63">
        <v>44281.0</v>
      </c>
      <c r="C3289" s="69">
        <v>24.33614359737866</v>
      </c>
    </row>
    <row r="3290">
      <c r="A3290" s="62" t="s">
        <v>5454</v>
      </c>
      <c r="B3290" s="63">
        <v>44355.0</v>
      </c>
      <c r="C3290" s="69">
        <v>24.33479815943578</v>
      </c>
    </row>
    <row r="3291">
      <c r="A3291" s="62" t="s">
        <v>1754</v>
      </c>
      <c r="B3291" s="63">
        <v>44368.0</v>
      </c>
      <c r="C3291" s="69">
        <v>24.334568858245106</v>
      </c>
    </row>
    <row r="3292">
      <c r="A3292" s="62" t="s">
        <v>2016</v>
      </c>
      <c r="B3292" s="63">
        <v>44323.0</v>
      </c>
      <c r="C3292" s="69">
        <v>24.334390475072432</v>
      </c>
    </row>
    <row r="3293">
      <c r="A3293" s="62" t="s">
        <v>6721</v>
      </c>
      <c r="B3293" s="63">
        <v>44373.0</v>
      </c>
      <c r="C3293" s="69">
        <v>24.33183705782095</v>
      </c>
    </row>
    <row r="3294">
      <c r="A3294" s="62" t="s">
        <v>2141</v>
      </c>
      <c r="B3294" s="63">
        <v>44071.0</v>
      </c>
      <c r="C3294" s="69">
        <v>24.33029402587012</v>
      </c>
    </row>
    <row r="3295">
      <c r="A3295" s="62" t="s">
        <v>1827</v>
      </c>
      <c r="B3295" s="63">
        <v>44377.0</v>
      </c>
      <c r="C3295" s="69">
        <v>24.326923390664557</v>
      </c>
    </row>
    <row r="3296">
      <c r="A3296" s="62" t="s">
        <v>4200</v>
      </c>
      <c r="B3296" s="63">
        <v>44229.0</v>
      </c>
      <c r="C3296" s="69">
        <v>24.324782386991846</v>
      </c>
    </row>
    <row r="3297">
      <c r="A3297" s="62" t="s">
        <v>1949</v>
      </c>
      <c r="B3297" s="63">
        <v>44308.0</v>
      </c>
      <c r="C3297" s="69">
        <v>24.32238559682464</v>
      </c>
    </row>
    <row r="3298">
      <c r="A3298" s="62" t="s">
        <v>1634</v>
      </c>
      <c r="B3298" s="63">
        <v>44389.0</v>
      </c>
      <c r="C3298" s="69">
        <v>24.321540640716922</v>
      </c>
    </row>
    <row r="3299">
      <c r="A3299" s="62" t="s">
        <v>3110</v>
      </c>
      <c r="B3299" s="63">
        <v>44211.0</v>
      </c>
      <c r="C3299" s="69">
        <v>24.309129678309095</v>
      </c>
    </row>
    <row r="3300">
      <c r="A3300" s="62" t="s">
        <v>5925</v>
      </c>
      <c r="B3300" s="63">
        <v>44364.0</v>
      </c>
      <c r="C3300" s="69">
        <v>24.306775361356678</v>
      </c>
    </row>
    <row r="3301">
      <c r="A3301" s="62" t="s">
        <v>2012</v>
      </c>
      <c r="B3301" s="63">
        <v>44335.0</v>
      </c>
      <c r="C3301" s="69">
        <v>24.29727081038626</v>
      </c>
    </row>
    <row r="3302">
      <c r="A3302" s="62" t="s">
        <v>6740</v>
      </c>
      <c r="B3302" s="63">
        <v>44364.0</v>
      </c>
      <c r="C3302" s="69">
        <v>24.296552533516483</v>
      </c>
    </row>
    <row r="3303">
      <c r="A3303" s="62" t="s">
        <v>2547</v>
      </c>
      <c r="B3303" s="63">
        <v>44385.0</v>
      </c>
      <c r="C3303" s="69">
        <v>24.287459356266936</v>
      </c>
    </row>
    <row r="3304">
      <c r="A3304" s="62" t="s">
        <v>196</v>
      </c>
      <c r="B3304" s="63">
        <v>44396.0</v>
      </c>
      <c r="C3304" s="69">
        <v>24.287309175384433</v>
      </c>
    </row>
    <row r="3305">
      <c r="A3305" s="62" t="s">
        <v>5845</v>
      </c>
      <c r="B3305" s="63">
        <v>44363.0</v>
      </c>
      <c r="C3305" s="69">
        <v>24.280299725994734</v>
      </c>
    </row>
    <row r="3306">
      <c r="A3306" s="62" t="s">
        <v>3175</v>
      </c>
      <c r="B3306" s="63">
        <v>44111.0</v>
      </c>
      <c r="C3306" s="69">
        <v>24.277167300765736</v>
      </c>
    </row>
    <row r="3307">
      <c r="A3307" s="62" t="s">
        <v>4076</v>
      </c>
      <c r="B3307" s="63">
        <v>44228.0</v>
      </c>
      <c r="C3307" s="69">
        <v>24.272275028499134</v>
      </c>
    </row>
    <row r="3308">
      <c r="A3308" s="62" t="s">
        <v>3158</v>
      </c>
      <c r="B3308" s="63">
        <v>44109.0</v>
      </c>
      <c r="C3308" s="69">
        <v>24.261908850209956</v>
      </c>
    </row>
    <row r="3309">
      <c r="A3309" s="62" t="s">
        <v>3117</v>
      </c>
      <c r="B3309" s="63">
        <v>44176.0</v>
      </c>
      <c r="C3309" s="69">
        <v>24.257600757003587</v>
      </c>
    </row>
    <row r="3310">
      <c r="A3310" s="62" t="s">
        <v>3669</v>
      </c>
      <c r="B3310" s="63">
        <v>44241.0</v>
      </c>
      <c r="C3310" s="69">
        <v>24.257492253213663</v>
      </c>
    </row>
    <row r="3311">
      <c r="A3311" s="62" t="s">
        <v>2994</v>
      </c>
      <c r="B3311" s="63">
        <v>44150.0</v>
      </c>
      <c r="C3311" s="69">
        <v>24.25730737186147</v>
      </c>
    </row>
    <row r="3312">
      <c r="A3312" s="62" t="s">
        <v>6145</v>
      </c>
      <c r="B3312" s="63">
        <v>44351.0</v>
      </c>
      <c r="C3312" s="69">
        <v>24.254247285689313</v>
      </c>
    </row>
    <row r="3313">
      <c r="A3313" s="62" t="s">
        <v>4980</v>
      </c>
      <c r="B3313" s="63">
        <v>44259.0</v>
      </c>
      <c r="C3313" s="69">
        <v>24.247685635799904</v>
      </c>
    </row>
    <row r="3314">
      <c r="A3314" s="62" t="s">
        <v>1597</v>
      </c>
      <c r="B3314" s="63">
        <v>44267.0</v>
      </c>
      <c r="C3314" s="69">
        <v>24.246211586786444</v>
      </c>
    </row>
    <row r="3315">
      <c r="A3315" s="62" t="s">
        <v>3331</v>
      </c>
      <c r="B3315" s="63">
        <v>44204.0</v>
      </c>
      <c r="C3315" s="69">
        <v>24.24251554669794</v>
      </c>
    </row>
    <row r="3316">
      <c r="A3316" s="62" t="s">
        <v>3992</v>
      </c>
      <c r="B3316" s="63">
        <v>44216.0</v>
      </c>
      <c r="C3316" s="69">
        <v>24.236622364587745</v>
      </c>
    </row>
    <row r="3317">
      <c r="A3317" s="62" t="s">
        <v>3083</v>
      </c>
      <c r="B3317" s="63">
        <v>44223.0</v>
      </c>
      <c r="C3317" s="69">
        <v>24.234919324787143</v>
      </c>
    </row>
    <row r="3318">
      <c r="A3318" s="62" t="s">
        <v>494</v>
      </c>
      <c r="B3318" s="63">
        <v>44214.0</v>
      </c>
      <c r="C3318" s="69">
        <v>24.234426084687723</v>
      </c>
    </row>
    <row r="3319">
      <c r="A3319" s="62" t="s">
        <v>2006</v>
      </c>
      <c r="B3319" s="63">
        <v>44330.0</v>
      </c>
      <c r="C3319" s="69">
        <v>24.231991735408243</v>
      </c>
    </row>
    <row r="3320">
      <c r="A3320" s="62" t="s">
        <v>4696</v>
      </c>
      <c r="B3320" s="63">
        <v>44295.0</v>
      </c>
      <c r="C3320" s="69">
        <v>24.227821973817363</v>
      </c>
    </row>
    <row r="3321">
      <c r="A3321" s="62" t="s">
        <v>3737</v>
      </c>
      <c r="B3321" s="63">
        <v>44117.0</v>
      </c>
      <c r="C3321" s="69">
        <v>24.226000332079266</v>
      </c>
    </row>
    <row r="3322">
      <c r="A3322" s="62" t="s">
        <v>2176</v>
      </c>
      <c r="B3322" s="63">
        <v>44062.0</v>
      </c>
      <c r="C3322" s="69">
        <v>24.224791386004835</v>
      </c>
    </row>
    <row r="3323">
      <c r="A3323" s="62" t="s">
        <v>3505</v>
      </c>
      <c r="B3323" s="63">
        <v>44225.0</v>
      </c>
      <c r="C3323" s="69">
        <v>24.22242871778963</v>
      </c>
    </row>
    <row r="3324">
      <c r="A3324" s="62" t="s">
        <v>3881</v>
      </c>
      <c r="B3324" s="63">
        <v>44253.0</v>
      </c>
      <c r="C3324" s="69">
        <v>24.217443752268302</v>
      </c>
    </row>
    <row r="3325">
      <c r="A3325" s="62" t="s">
        <v>4005</v>
      </c>
      <c r="B3325" s="63">
        <v>44090.0</v>
      </c>
      <c r="C3325" s="69">
        <v>24.215015983285802</v>
      </c>
    </row>
    <row r="3326">
      <c r="A3326" s="62" t="s">
        <v>2003</v>
      </c>
      <c r="B3326" s="63">
        <v>44341.0</v>
      </c>
      <c r="C3326" s="69">
        <v>24.211219742269776</v>
      </c>
    </row>
    <row r="3327">
      <c r="A3327" s="62" t="s">
        <v>207</v>
      </c>
      <c r="B3327" s="63">
        <v>44399.0</v>
      </c>
      <c r="C3327" s="69">
        <v>24.20842311375143</v>
      </c>
    </row>
    <row r="3328">
      <c r="A3328" s="62" t="s">
        <v>6282</v>
      </c>
      <c r="B3328" s="63">
        <v>44376.0</v>
      </c>
      <c r="C3328" s="69">
        <v>24.1932783867372</v>
      </c>
    </row>
    <row r="3329">
      <c r="A3329" s="62" t="s">
        <v>4806</v>
      </c>
      <c r="B3329" s="63">
        <v>44313.0</v>
      </c>
      <c r="C3329" s="69">
        <v>24.182350065541684</v>
      </c>
    </row>
    <row r="3330">
      <c r="A3330" s="62" t="s">
        <v>3130</v>
      </c>
      <c r="B3330" s="63">
        <v>44249.0</v>
      </c>
      <c r="C3330" s="69">
        <v>24.18222651197005</v>
      </c>
    </row>
    <row r="3331">
      <c r="A3331" s="62" t="s">
        <v>5057</v>
      </c>
      <c r="B3331" s="63">
        <v>44264.0</v>
      </c>
      <c r="C3331" s="69">
        <v>24.171949401112908</v>
      </c>
    </row>
    <row r="3332">
      <c r="A3332" s="62" t="s">
        <v>2717</v>
      </c>
      <c r="B3332" s="63">
        <v>44228.0</v>
      </c>
      <c r="C3332" s="69">
        <v>24.16754966373685</v>
      </c>
    </row>
    <row r="3333">
      <c r="A3333" s="62" t="s">
        <v>4550</v>
      </c>
      <c r="B3333" s="63">
        <v>44280.0</v>
      </c>
      <c r="C3333" s="69">
        <v>24.16522577619899</v>
      </c>
    </row>
    <row r="3334">
      <c r="A3334" s="62" t="s">
        <v>2811</v>
      </c>
      <c r="B3334" s="63">
        <v>44141.0</v>
      </c>
      <c r="C3334" s="69">
        <v>24.163804186240696</v>
      </c>
    </row>
    <row r="3335">
      <c r="A3335" s="62" t="s">
        <v>3977</v>
      </c>
      <c r="B3335" s="63">
        <v>44101.0</v>
      </c>
      <c r="C3335" s="69">
        <v>24.158429962358667</v>
      </c>
    </row>
    <row r="3336">
      <c r="A3336" s="62" t="s">
        <v>5262</v>
      </c>
      <c r="B3336" s="63">
        <v>44270.0</v>
      </c>
      <c r="C3336" s="69">
        <v>24.157156847127297</v>
      </c>
    </row>
    <row r="3337">
      <c r="A3337" s="62" t="s">
        <v>5443</v>
      </c>
      <c r="B3337" s="63">
        <v>44361.0</v>
      </c>
      <c r="C3337" s="69">
        <v>24.15406011675255</v>
      </c>
    </row>
    <row r="3338">
      <c r="A3338" s="62" t="s">
        <v>2729</v>
      </c>
      <c r="B3338" s="63">
        <v>44130.0</v>
      </c>
      <c r="C3338" s="69">
        <v>24.149764321395683</v>
      </c>
    </row>
    <row r="3339">
      <c r="A3339" s="62" t="s">
        <v>6598</v>
      </c>
      <c r="B3339" s="63">
        <v>44356.0</v>
      </c>
      <c r="C3339" s="69">
        <v>24.146884328211375</v>
      </c>
    </row>
    <row r="3340">
      <c r="A3340" s="62" t="s">
        <v>1994</v>
      </c>
      <c r="B3340" s="63">
        <v>44333.0</v>
      </c>
      <c r="C3340" s="69">
        <v>24.14184855333795</v>
      </c>
    </row>
    <row r="3341">
      <c r="A3341" s="62" t="s">
        <v>1178</v>
      </c>
      <c r="B3341" s="63">
        <v>44202.0</v>
      </c>
      <c r="C3341" s="69">
        <v>24.14170882064458</v>
      </c>
    </row>
    <row r="3342">
      <c r="A3342" s="62" t="s">
        <v>4753</v>
      </c>
      <c r="B3342" s="63">
        <v>44277.0</v>
      </c>
      <c r="C3342" s="69">
        <v>24.133469211679323</v>
      </c>
    </row>
    <row r="3343">
      <c r="A3343" s="62" t="s">
        <v>1988</v>
      </c>
      <c r="B3343" s="63">
        <v>44347.0</v>
      </c>
      <c r="C3343" s="69">
        <v>24.13230364115863</v>
      </c>
    </row>
    <row r="3344">
      <c r="A3344" s="62" t="s">
        <v>4815</v>
      </c>
      <c r="B3344" s="63">
        <v>44270.0</v>
      </c>
      <c r="C3344" s="69">
        <v>24.130070683352677</v>
      </c>
    </row>
    <row r="3345">
      <c r="A3345" s="62" t="s">
        <v>4741</v>
      </c>
      <c r="B3345" s="63">
        <v>44309.0</v>
      </c>
      <c r="C3345" s="69">
        <v>24.116145862695294</v>
      </c>
    </row>
    <row r="3346">
      <c r="A3346" s="62" t="s">
        <v>4073</v>
      </c>
      <c r="B3346" s="63">
        <v>44251.0</v>
      </c>
      <c r="C3346" s="69">
        <v>24.109423210943216</v>
      </c>
    </row>
    <row r="3347">
      <c r="A3347" s="62" t="s">
        <v>2624</v>
      </c>
      <c r="B3347" s="63">
        <v>44385.0</v>
      </c>
      <c r="C3347" s="69">
        <v>24.106628170297423</v>
      </c>
    </row>
    <row r="3348">
      <c r="A3348" s="62" t="s">
        <v>469</v>
      </c>
      <c r="B3348" s="63">
        <v>44277.0</v>
      </c>
      <c r="C3348" s="69">
        <v>24.096041549986946</v>
      </c>
    </row>
    <row r="3349">
      <c r="A3349" s="62" t="s">
        <v>3076</v>
      </c>
      <c r="B3349" s="63">
        <v>44245.0</v>
      </c>
      <c r="C3349" s="69">
        <v>24.095468913846222</v>
      </c>
    </row>
    <row r="3350">
      <c r="A3350" s="62" t="s">
        <v>2839</v>
      </c>
      <c r="B3350" s="63">
        <v>44225.0</v>
      </c>
      <c r="C3350" s="69">
        <v>24.094603068989272</v>
      </c>
    </row>
    <row r="3351">
      <c r="A3351" s="62" t="s">
        <v>5045</v>
      </c>
      <c r="B3351" s="63">
        <v>44294.0</v>
      </c>
      <c r="C3351" s="69">
        <v>24.094243033815825</v>
      </c>
    </row>
    <row r="3352">
      <c r="A3352" s="62" t="s">
        <v>232</v>
      </c>
      <c r="B3352" s="63">
        <v>44382.0</v>
      </c>
      <c r="C3352" s="69">
        <v>24.093891929393834</v>
      </c>
    </row>
    <row r="3353">
      <c r="A3353" s="62" t="s">
        <v>2481</v>
      </c>
      <c r="B3353" s="63">
        <v>44387.0</v>
      </c>
      <c r="C3353" s="69">
        <v>24.09251407282771</v>
      </c>
    </row>
    <row r="3354">
      <c r="A3354" s="62" t="s">
        <v>2174</v>
      </c>
      <c r="B3354" s="63">
        <v>44071.0</v>
      </c>
      <c r="C3354" s="69">
        <v>24.087990763516697</v>
      </c>
    </row>
    <row r="3355">
      <c r="A3355" s="62" t="s">
        <v>3198</v>
      </c>
      <c r="B3355" s="63">
        <v>44237.0</v>
      </c>
      <c r="C3355" s="69">
        <v>24.08244011893526</v>
      </c>
    </row>
    <row r="3356">
      <c r="A3356" s="62" t="s">
        <v>5735</v>
      </c>
      <c r="B3356" s="63">
        <v>44373.0</v>
      </c>
      <c r="C3356" s="69">
        <v>24.07510405824508</v>
      </c>
    </row>
    <row r="3357">
      <c r="A3357" s="62" t="s">
        <v>3559</v>
      </c>
      <c r="B3357" s="63">
        <v>44242.0</v>
      </c>
      <c r="C3357" s="69">
        <v>24.070244105370993</v>
      </c>
    </row>
    <row r="3358">
      <c r="A3358" s="62" t="s">
        <v>1617</v>
      </c>
      <c r="B3358" s="63">
        <v>44358.0</v>
      </c>
      <c r="C3358" s="69">
        <v>24.069150109275235</v>
      </c>
    </row>
    <row r="3359">
      <c r="A3359" s="62" t="s">
        <v>264</v>
      </c>
      <c r="B3359" s="63">
        <v>44383.0</v>
      </c>
      <c r="C3359" s="69">
        <v>24.04987022107783</v>
      </c>
    </row>
    <row r="3360">
      <c r="A3360" s="62" t="s">
        <v>3151</v>
      </c>
      <c r="B3360" s="63">
        <v>44136.0</v>
      </c>
      <c r="C3360" s="69">
        <v>24.046037747052313</v>
      </c>
    </row>
    <row r="3361">
      <c r="A3361" s="62" t="s">
        <v>2821</v>
      </c>
      <c r="B3361" s="63">
        <v>44242.0</v>
      </c>
      <c r="C3361" s="69">
        <v>24.041698452926234</v>
      </c>
    </row>
    <row r="3362">
      <c r="A3362" s="62" t="s">
        <v>4049</v>
      </c>
      <c r="B3362" s="63">
        <v>44209.0</v>
      </c>
      <c r="C3362" s="69">
        <v>24.040420234392776</v>
      </c>
    </row>
    <row r="3363">
      <c r="A3363" s="62" t="s">
        <v>1980</v>
      </c>
      <c r="B3363" s="63">
        <v>44333.0</v>
      </c>
      <c r="C3363" s="69">
        <v>24.032073388648094</v>
      </c>
    </row>
    <row r="3364">
      <c r="A3364" s="62" t="s">
        <v>6064</v>
      </c>
      <c r="B3364" s="63">
        <v>44349.0</v>
      </c>
      <c r="C3364" s="69">
        <v>24.030912336026027</v>
      </c>
    </row>
    <row r="3365">
      <c r="A3365" s="62" t="s">
        <v>2391</v>
      </c>
      <c r="B3365" s="63">
        <v>44383.0</v>
      </c>
      <c r="C3365" s="69">
        <v>24.02275558204799</v>
      </c>
    </row>
    <row r="3366">
      <c r="A3366" s="62" t="s">
        <v>3352</v>
      </c>
      <c r="B3366" s="63">
        <v>44223.0</v>
      </c>
      <c r="C3366" s="69">
        <v>24.016302163682184</v>
      </c>
    </row>
    <row r="3367">
      <c r="A3367" s="62" t="s">
        <v>1976</v>
      </c>
      <c r="B3367" s="63">
        <v>44338.0</v>
      </c>
      <c r="C3367" s="69">
        <v>24.014790236204743</v>
      </c>
    </row>
    <row r="3368">
      <c r="A3368" s="62" t="s">
        <v>3340</v>
      </c>
      <c r="B3368" s="63">
        <v>44163.0</v>
      </c>
      <c r="C3368" s="69">
        <v>24.013692415364062</v>
      </c>
    </row>
    <row r="3369">
      <c r="A3369" s="62" t="s">
        <v>3524</v>
      </c>
      <c r="B3369" s="63">
        <v>44243.0</v>
      </c>
      <c r="C3369" s="69">
        <v>24.010961439672684</v>
      </c>
    </row>
    <row r="3370">
      <c r="A3370" s="62" t="s">
        <v>3370</v>
      </c>
      <c r="B3370" s="63">
        <v>44249.0</v>
      </c>
      <c r="C3370" s="69">
        <v>24.00420790426365</v>
      </c>
    </row>
    <row r="3371">
      <c r="A3371" s="62" t="s">
        <v>1681</v>
      </c>
      <c r="B3371" s="63">
        <v>44258.0</v>
      </c>
      <c r="C3371" s="69">
        <v>23.998355750090084</v>
      </c>
    </row>
    <row r="3372">
      <c r="A3372" s="62" t="s">
        <v>1968</v>
      </c>
      <c r="B3372" s="63">
        <v>44322.0</v>
      </c>
      <c r="C3372" s="69">
        <v>23.993314797965066</v>
      </c>
    </row>
    <row r="3373">
      <c r="A3373" s="62" t="s">
        <v>2201</v>
      </c>
      <c r="B3373" s="63">
        <v>44071.0</v>
      </c>
      <c r="C3373" s="69">
        <v>23.99104324300722</v>
      </c>
    </row>
    <row r="3374">
      <c r="A3374" s="62" t="s">
        <v>5292</v>
      </c>
      <c r="B3374" s="63">
        <v>44364.0</v>
      </c>
      <c r="C3374" s="69">
        <v>23.98527937234747</v>
      </c>
    </row>
    <row r="3375">
      <c r="A3375" s="62" t="s">
        <v>2577</v>
      </c>
      <c r="B3375" s="63">
        <v>44383.0</v>
      </c>
      <c r="C3375" s="69">
        <v>23.9852290352206</v>
      </c>
    </row>
    <row r="3376">
      <c r="A3376" s="62" t="s">
        <v>6116</v>
      </c>
      <c r="B3376" s="63">
        <v>44348.0</v>
      </c>
      <c r="C3376" s="69">
        <v>23.973802161475053</v>
      </c>
    </row>
    <row r="3377">
      <c r="A3377" s="62" t="s">
        <v>5560</v>
      </c>
      <c r="B3377" s="63">
        <v>44357.0</v>
      </c>
      <c r="C3377" s="69">
        <v>23.972886378161213</v>
      </c>
    </row>
    <row r="3378">
      <c r="A3378" s="62" t="s">
        <v>5468</v>
      </c>
      <c r="B3378" s="63">
        <v>44355.0</v>
      </c>
      <c r="C3378" s="69">
        <v>23.971902180299672</v>
      </c>
    </row>
    <row r="3379">
      <c r="A3379" s="62" t="s">
        <v>1311</v>
      </c>
      <c r="B3379" s="63">
        <v>44288.0</v>
      </c>
      <c r="C3379" s="69">
        <v>23.97177089261785</v>
      </c>
    </row>
    <row r="3380">
      <c r="A3380" s="62" t="s">
        <v>1955</v>
      </c>
      <c r="B3380" s="63">
        <v>44342.0</v>
      </c>
      <c r="C3380" s="69">
        <v>23.970360565417295</v>
      </c>
    </row>
    <row r="3381">
      <c r="A3381" s="62" t="s">
        <v>3472</v>
      </c>
      <c r="B3381" s="63">
        <v>44138.0</v>
      </c>
      <c r="C3381" s="69">
        <v>23.968706971011514</v>
      </c>
    </row>
    <row r="3382">
      <c r="A3382" s="62" t="s">
        <v>5244</v>
      </c>
      <c r="B3382" s="63">
        <v>44299.0</v>
      </c>
      <c r="C3382" s="69">
        <v>23.96840620332</v>
      </c>
    </row>
    <row r="3383">
      <c r="A3383" s="62" t="s">
        <v>5223</v>
      </c>
      <c r="B3383" s="63">
        <v>44314.0</v>
      </c>
      <c r="C3383" s="69">
        <v>23.955815140431977</v>
      </c>
    </row>
    <row r="3384">
      <c r="A3384" s="62" t="s">
        <v>3807</v>
      </c>
      <c r="B3384" s="63">
        <v>44204.0</v>
      </c>
      <c r="C3384" s="69">
        <v>23.954340866420466</v>
      </c>
    </row>
    <row r="3385">
      <c r="A3385" s="62" t="s">
        <v>3995</v>
      </c>
      <c r="B3385" s="63">
        <v>44201.0</v>
      </c>
      <c r="C3385" s="69">
        <v>23.954036793968953</v>
      </c>
    </row>
    <row r="3386">
      <c r="A3386" s="62" t="s">
        <v>3880</v>
      </c>
      <c r="B3386" s="63">
        <v>44137.0</v>
      </c>
      <c r="C3386" s="69">
        <v>23.95040755037096</v>
      </c>
    </row>
    <row r="3387">
      <c r="A3387" s="62" t="s">
        <v>5114</v>
      </c>
      <c r="B3387" s="63">
        <v>44307.0</v>
      </c>
      <c r="C3387" s="69">
        <v>23.94962522347231</v>
      </c>
    </row>
    <row r="3388">
      <c r="A3388" s="62" t="s">
        <v>1384</v>
      </c>
      <c r="B3388" s="63">
        <v>44354.0</v>
      </c>
      <c r="C3388" s="69">
        <v>23.946850789919047</v>
      </c>
    </row>
    <row r="3389">
      <c r="A3389" s="62" t="s">
        <v>5573</v>
      </c>
      <c r="B3389" s="63">
        <v>44349.0</v>
      </c>
      <c r="C3389" s="69">
        <v>23.939680214840745</v>
      </c>
    </row>
    <row r="3390">
      <c r="A3390" s="62" t="s">
        <v>6071</v>
      </c>
      <c r="B3390" s="63">
        <v>44375.0</v>
      </c>
      <c r="C3390" s="69">
        <v>23.939434908149003</v>
      </c>
    </row>
    <row r="3391">
      <c r="A3391" s="62" t="s">
        <v>6238</v>
      </c>
      <c r="B3391" s="63">
        <v>44376.0</v>
      </c>
      <c r="C3391" s="69">
        <v>23.935033622992876</v>
      </c>
    </row>
    <row r="3392">
      <c r="A3392" s="62" t="s">
        <v>1860</v>
      </c>
      <c r="B3392" s="63">
        <v>44231.0</v>
      </c>
      <c r="C3392" s="69">
        <v>23.933601169401022</v>
      </c>
    </row>
    <row r="3393">
      <c r="A3393" s="62" t="s">
        <v>222</v>
      </c>
      <c r="B3393" s="63">
        <v>44399.0</v>
      </c>
      <c r="C3393" s="69">
        <v>23.921828223742516</v>
      </c>
    </row>
    <row r="3394">
      <c r="A3394" s="62" t="s">
        <v>4206</v>
      </c>
      <c r="B3394" s="63">
        <v>44224.0</v>
      </c>
      <c r="C3394" s="69">
        <v>23.919960191809558</v>
      </c>
    </row>
    <row r="3395">
      <c r="A3395" s="62" t="s">
        <v>282</v>
      </c>
      <c r="B3395" s="63">
        <v>44393.0</v>
      </c>
      <c r="C3395" s="69">
        <v>23.917838939635054</v>
      </c>
    </row>
    <row r="3396">
      <c r="A3396" s="62" t="s">
        <v>2280</v>
      </c>
      <c r="B3396" s="63">
        <v>44384.0</v>
      </c>
      <c r="C3396" s="69">
        <v>23.917387490092686</v>
      </c>
    </row>
    <row r="3397">
      <c r="A3397" s="62" t="s">
        <v>1935</v>
      </c>
      <c r="B3397" s="63">
        <v>44330.0</v>
      </c>
      <c r="C3397" s="69">
        <v>23.916211308616656</v>
      </c>
    </row>
    <row r="3398">
      <c r="A3398" s="62" t="s">
        <v>6512</v>
      </c>
      <c r="B3398" s="63">
        <v>44350.0</v>
      </c>
      <c r="C3398" s="69">
        <v>23.912906997440615</v>
      </c>
    </row>
    <row r="3399">
      <c r="A3399" s="62" t="s">
        <v>2920</v>
      </c>
      <c r="B3399" s="63">
        <v>44237.0</v>
      </c>
      <c r="C3399" s="69">
        <v>23.90687102484894</v>
      </c>
    </row>
    <row r="3400">
      <c r="A3400" s="62" t="s">
        <v>6293</v>
      </c>
      <c r="B3400" s="63">
        <v>44362.0</v>
      </c>
      <c r="C3400" s="69">
        <v>23.903860631437862</v>
      </c>
    </row>
    <row r="3401">
      <c r="A3401" s="62" t="s">
        <v>6276</v>
      </c>
      <c r="B3401" s="63">
        <v>44376.0</v>
      </c>
      <c r="C3401" s="69">
        <v>23.902182096756235</v>
      </c>
    </row>
    <row r="3402">
      <c r="A3402" s="62" t="s">
        <v>5296</v>
      </c>
      <c r="B3402" s="63">
        <v>44375.0</v>
      </c>
      <c r="C3402" s="69">
        <v>23.891999390632527</v>
      </c>
    </row>
    <row r="3403">
      <c r="A3403" s="62" t="s">
        <v>1922</v>
      </c>
      <c r="B3403" s="63">
        <v>44335.0</v>
      </c>
      <c r="C3403" s="69">
        <v>23.891254270203813</v>
      </c>
    </row>
    <row r="3404">
      <c r="A3404" s="62" t="s">
        <v>1921</v>
      </c>
      <c r="B3404" s="63">
        <v>44326.0</v>
      </c>
      <c r="C3404" s="69">
        <v>23.88528615027782</v>
      </c>
    </row>
    <row r="3405">
      <c r="A3405" s="62" t="s">
        <v>1906</v>
      </c>
      <c r="B3405" s="63">
        <v>44333.0</v>
      </c>
      <c r="C3405" s="69">
        <v>23.87877592409042</v>
      </c>
    </row>
    <row r="3406">
      <c r="A3406" s="62" t="s">
        <v>5893</v>
      </c>
      <c r="B3406" s="63">
        <v>44377.0</v>
      </c>
      <c r="C3406" s="69">
        <v>23.878064912503888</v>
      </c>
    </row>
    <row r="3407">
      <c r="A3407" s="62" t="s">
        <v>1905</v>
      </c>
      <c r="B3407" s="63">
        <v>44331.0</v>
      </c>
      <c r="C3407" s="69">
        <v>23.87758099759196</v>
      </c>
    </row>
    <row r="3408">
      <c r="A3408" s="62" t="s">
        <v>1897</v>
      </c>
      <c r="B3408" s="63">
        <v>44334.0</v>
      </c>
      <c r="C3408" s="69">
        <v>23.87510112260881</v>
      </c>
    </row>
    <row r="3409">
      <c r="A3409" s="62" t="s">
        <v>2674</v>
      </c>
      <c r="B3409" s="63">
        <v>44120.0</v>
      </c>
      <c r="C3409" s="69">
        <v>23.874990888545963</v>
      </c>
    </row>
    <row r="3410">
      <c r="A3410" s="62" t="s">
        <v>4554</v>
      </c>
      <c r="B3410" s="63">
        <v>44305.0</v>
      </c>
      <c r="C3410" s="69">
        <v>23.87400384929932</v>
      </c>
    </row>
    <row r="3411">
      <c r="A3411" s="62" t="s">
        <v>2267</v>
      </c>
      <c r="B3411" s="63">
        <v>44392.0</v>
      </c>
      <c r="C3411" s="69">
        <v>23.867921789049692</v>
      </c>
    </row>
    <row r="3412">
      <c r="A3412" s="62" t="s">
        <v>2230</v>
      </c>
      <c r="B3412" s="63">
        <v>44070.0</v>
      </c>
      <c r="C3412" s="69">
        <v>23.862153036654714</v>
      </c>
    </row>
    <row r="3413">
      <c r="A3413" s="62" t="s">
        <v>4295</v>
      </c>
      <c r="B3413" s="63">
        <v>44225.0</v>
      </c>
      <c r="C3413" s="69">
        <v>23.861514627779144</v>
      </c>
    </row>
    <row r="3414">
      <c r="A3414" s="62" t="s">
        <v>2099</v>
      </c>
      <c r="B3414" s="63">
        <v>44233.0</v>
      </c>
      <c r="C3414" s="69">
        <v>23.854681383804817</v>
      </c>
    </row>
    <row r="3415">
      <c r="A3415" s="62" t="s">
        <v>5404</v>
      </c>
      <c r="B3415" s="63">
        <v>44357.0</v>
      </c>
      <c r="C3415" s="69">
        <v>23.8505534659417</v>
      </c>
    </row>
    <row r="3416">
      <c r="A3416" s="62" t="s">
        <v>3061</v>
      </c>
      <c r="B3416" s="63">
        <v>44182.0</v>
      </c>
      <c r="C3416" s="69">
        <v>23.847646770459082</v>
      </c>
    </row>
    <row r="3417">
      <c r="A3417" s="62" t="s">
        <v>4724</v>
      </c>
      <c r="B3417" s="63">
        <v>44265.0</v>
      </c>
      <c r="C3417" s="69">
        <v>23.84345121917037</v>
      </c>
    </row>
    <row r="3418">
      <c r="A3418" s="62" t="s">
        <v>2344</v>
      </c>
      <c r="B3418" s="63">
        <v>44382.0</v>
      </c>
      <c r="C3418" s="69">
        <v>23.82911301137976</v>
      </c>
    </row>
    <row r="3419">
      <c r="A3419" s="62" t="s">
        <v>3357</v>
      </c>
      <c r="B3419" s="63">
        <v>44103.0</v>
      </c>
      <c r="C3419" s="69">
        <v>23.82906578013543</v>
      </c>
    </row>
    <row r="3420">
      <c r="A3420" s="62" t="s">
        <v>3299</v>
      </c>
      <c r="B3420" s="63">
        <v>44204.0</v>
      </c>
      <c r="C3420" s="69">
        <v>23.828149662985346</v>
      </c>
    </row>
    <row r="3421">
      <c r="A3421" s="62" t="s">
        <v>5076</v>
      </c>
      <c r="B3421" s="63">
        <v>44294.0</v>
      </c>
      <c r="C3421" s="69">
        <v>23.82492777854765</v>
      </c>
    </row>
    <row r="3422">
      <c r="A3422" s="62" t="s">
        <v>4991</v>
      </c>
      <c r="B3422" s="63">
        <v>44274.0</v>
      </c>
      <c r="C3422" s="69">
        <v>23.82306016519263</v>
      </c>
    </row>
    <row r="3423">
      <c r="A3423" s="62" t="s">
        <v>2374</v>
      </c>
      <c r="B3423" s="63">
        <v>44379.0</v>
      </c>
      <c r="C3423" s="69">
        <v>23.816192771364562</v>
      </c>
    </row>
    <row r="3424">
      <c r="A3424" s="62" t="s">
        <v>4127</v>
      </c>
      <c r="B3424" s="63">
        <v>44111.0</v>
      </c>
      <c r="C3424" s="69">
        <v>23.81409765426755</v>
      </c>
    </row>
    <row r="3425">
      <c r="A3425" s="62" t="s">
        <v>3690</v>
      </c>
      <c r="B3425" s="63">
        <v>44252.0</v>
      </c>
      <c r="C3425" s="69">
        <v>23.811146319941603</v>
      </c>
    </row>
    <row r="3426">
      <c r="A3426" s="62" t="s">
        <v>1896</v>
      </c>
      <c r="B3426" s="63">
        <v>44347.0</v>
      </c>
      <c r="C3426" s="69">
        <v>23.81018462187823</v>
      </c>
    </row>
    <row r="3427">
      <c r="A3427" s="62" t="s">
        <v>1882</v>
      </c>
      <c r="B3427" s="63">
        <v>44323.0</v>
      </c>
      <c r="C3427" s="69">
        <v>23.8074170750742</v>
      </c>
    </row>
    <row r="3428">
      <c r="A3428" s="62" t="s">
        <v>1877</v>
      </c>
      <c r="B3428" s="63">
        <v>44327.0</v>
      </c>
      <c r="C3428" s="69">
        <v>23.80646742563909</v>
      </c>
    </row>
    <row r="3429">
      <c r="A3429" s="62" t="s">
        <v>2552</v>
      </c>
      <c r="B3429" s="63">
        <v>44386.0</v>
      </c>
      <c r="C3429" s="69">
        <v>23.806026355163297</v>
      </c>
    </row>
    <row r="3430">
      <c r="A3430" s="62" t="s">
        <v>4700</v>
      </c>
      <c r="B3430" s="63">
        <v>44259.0</v>
      </c>
      <c r="C3430" s="69">
        <v>23.803879258894035</v>
      </c>
    </row>
    <row r="3431">
      <c r="A3431" s="62" t="s">
        <v>5159</v>
      </c>
      <c r="B3431" s="63">
        <v>44270.0</v>
      </c>
      <c r="C3431" s="69">
        <v>23.79803523011325</v>
      </c>
    </row>
    <row r="3432">
      <c r="A3432" s="62" t="s">
        <v>1874</v>
      </c>
      <c r="B3432" s="63">
        <v>44326.0</v>
      </c>
      <c r="C3432" s="69">
        <v>23.792887715916127</v>
      </c>
    </row>
    <row r="3433">
      <c r="A3433" s="62" t="s">
        <v>4340</v>
      </c>
      <c r="B3433" s="63">
        <v>44162.0</v>
      </c>
      <c r="C3433" s="69">
        <v>23.783862954196046</v>
      </c>
    </row>
    <row r="3434">
      <c r="A3434" s="62" t="s">
        <v>2723</v>
      </c>
      <c r="B3434" s="63">
        <v>44079.0</v>
      </c>
      <c r="C3434" s="69">
        <v>23.78337730952317</v>
      </c>
    </row>
    <row r="3435">
      <c r="A3435" s="62" t="s">
        <v>5267</v>
      </c>
      <c r="B3435" s="63">
        <v>44258.0</v>
      </c>
      <c r="C3435" s="69">
        <v>23.777507101168</v>
      </c>
    </row>
    <row r="3436">
      <c r="A3436" s="62" t="s">
        <v>3049</v>
      </c>
      <c r="B3436" s="63">
        <v>44253.0</v>
      </c>
      <c r="C3436" s="69">
        <v>23.770342512805232</v>
      </c>
    </row>
    <row r="3437">
      <c r="A3437" s="62" t="s">
        <v>4436</v>
      </c>
      <c r="B3437" s="63">
        <v>44292.0</v>
      </c>
      <c r="C3437" s="69">
        <v>23.757224262948323</v>
      </c>
    </row>
    <row r="3438">
      <c r="A3438" s="62" t="s">
        <v>6016</v>
      </c>
      <c r="B3438" s="63">
        <v>44376.0</v>
      </c>
      <c r="C3438" s="69">
        <v>23.757077279528325</v>
      </c>
    </row>
    <row r="3439">
      <c r="A3439" s="62" t="s">
        <v>2225</v>
      </c>
      <c r="B3439" s="63">
        <v>44060.0</v>
      </c>
      <c r="C3439" s="69">
        <v>23.75655411719292</v>
      </c>
    </row>
    <row r="3440">
      <c r="A3440" s="62" t="s">
        <v>4778</v>
      </c>
      <c r="B3440" s="63">
        <v>44279.0</v>
      </c>
      <c r="C3440" s="69">
        <v>23.75414071362377</v>
      </c>
    </row>
    <row r="3441">
      <c r="A3441" s="62" t="s">
        <v>1867</v>
      </c>
      <c r="B3441" s="63">
        <v>44333.0</v>
      </c>
      <c r="C3441" s="69">
        <v>23.75396526245951</v>
      </c>
    </row>
    <row r="3442">
      <c r="A3442" s="62" t="s">
        <v>4567</v>
      </c>
      <c r="B3442" s="63">
        <v>44273.0</v>
      </c>
      <c r="C3442" s="69">
        <v>23.751269483337563</v>
      </c>
    </row>
    <row r="3443">
      <c r="A3443" s="62" t="s">
        <v>2498</v>
      </c>
      <c r="B3443" s="63">
        <v>44396.0</v>
      </c>
      <c r="C3443" s="69">
        <v>23.751180374704</v>
      </c>
    </row>
    <row r="3444">
      <c r="A3444" s="62" t="s">
        <v>214</v>
      </c>
      <c r="B3444" s="63">
        <v>44390.0</v>
      </c>
      <c r="C3444" s="69">
        <v>23.737728682488175</v>
      </c>
    </row>
    <row r="3445">
      <c r="A3445" s="62" t="s">
        <v>4496</v>
      </c>
      <c r="B3445" s="63">
        <v>44277.0</v>
      </c>
      <c r="C3445" s="69">
        <v>23.735097057408623</v>
      </c>
    </row>
    <row r="3446">
      <c r="A3446" s="62" t="s">
        <v>6434</v>
      </c>
      <c r="B3446" s="63">
        <v>44349.0</v>
      </c>
      <c r="C3446" s="69">
        <v>23.718518599190457</v>
      </c>
    </row>
    <row r="3447">
      <c r="A3447" s="62" t="s">
        <v>3244</v>
      </c>
      <c r="B3447" s="63">
        <v>44134.0</v>
      </c>
      <c r="C3447" s="69">
        <v>23.71596690749871</v>
      </c>
    </row>
    <row r="3448">
      <c r="A3448" s="62" t="s">
        <v>2383</v>
      </c>
      <c r="B3448" s="63">
        <v>44398.0</v>
      </c>
      <c r="C3448" s="69">
        <v>23.714519190197592</v>
      </c>
    </row>
    <row r="3449">
      <c r="A3449" s="62" t="s">
        <v>1858</v>
      </c>
      <c r="B3449" s="63">
        <v>44335.0</v>
      </c>
      <c r="C3449" s="69">
        <v>23.708637524015323</v>
      </c>
    </row>
    <row r="3450">
      <c r="A3450" s="62" t="s">
        <v>2968</v>
      </c>
      <c r="B3450" s="63">
        <v>44232.0</v>
      </c>
      <c r="C3450" s="69">
        <v>23.69494503394074</v>
      </c>
    </row>
    <row r="3451">
      <c r="A3451" s="62" t="s">
        <v>5174</v>
      </c>
      <c r="B3451" s="63">
        <v>44260.0</v>
      </c>
      <c r="C3451" s="69">
        <v>23.69434667529259</v>
      </c>
    </row>
    <row r="3452">
      <c r="A3452" s="62" t="s">
        <v>2982</v>
      </c>
      <c r="B3452" s="63">
        <v>44130.0</v>
      </c>
      <c r="C3452" s="69">
        <v>23.682995165627617</v>
      </c>
    </row>
    <row r="3453">
      <c r="A3453" s="62" t="s">
        <v>1856</v>
      </c>
      <c r="B3453" s="63">
        <v>44336.0</v>
      </c>
      <c r="C3453" s="69">
        <v>23.67720533190557</v>
      </c>
    </row>
    <row r="3454">
      <c r="A3454" s="62" t="s">
        <v>3364</v>
      </c>
      <c r="B3454" s="63">
        <v>44244.0</v>
      </c>
      <c r="C3454" s="69">
        <v>23.676386017530962</v>
      </c>
    </row>
    <row r="3455">
      <c r="A3455" s="62" t="s">
        <v>1436</v>
      </c>
      <c r="B3455" s="63">
        <v>44370.0</v>
      </c>
      <c r="C3455" s="69">
        <v>23.66438652353196</v>
      </c>
    </row>
    <row r="3456">
      <c r="A3456" s="62" t="s">
        <v>2443</v>
      </c>
      <c r="B3456" s="63">
        <v>44384.0</v>
      </c>
      <c r="C3456" s="69">
        <v>23.661706733440244</v>
      </c>
    </row>
    <row r="3457">
      <c r="A3457" s="62" t="s">
        <v>6689</v>
      </c>
      <c r="B3457" s="63">
        <v>44366.0</v>
      </c>
      <c r="C3457" s="69">
        <v>23.65980542260282</v>
      </c>
    </row>
    <row r="3458">
      <c r="A3458" s="62" t="s">
        <v>2899</v>
      </c>
      <c r="B3458" s="63">
        <v>44228.0</v>
      </c>
      <c r="C3458" s="69">
        <v>23.643878021246763</v>
      </c>
    </row>
    <row r="3459">
      <c r="A3459" s="62" t="s">
        <v>1849</v>
      </c>
      <c r="B3459" s="63">
        <v>44340.0</v>
      </c>
      <c r="C3459" s="69">
        <v>23.64167713488015</v>
      </c>
    </row>
    <row r="3460">
      <c r="A3460" s="62" t="s">
        <v>576</v>
      </c>
      <c r="B3460" s="63">
        <v>44375.0</v>
      </c>
      <c r="C3460" s="69">
        <v>23.63927895480834</v>
      </c>
    </row>
    <row r="3461">
      <c r="A3461" s="62" t="s">
        <v>6055</v>
      </c>
      <c r="B3461" s="63">
        <v>44355.0</v>
      </c>
      <c r="C3461" s="69">
        <v>23.638670570068857</v>
      </c>
    </row>
    <row r="3462">
      <c r="A3462" s="62" t="s">
        <v>3839</v>
      </c>
      <c r="B3462" s="63">
        <v>44214.0</v>
      </c>
      <c r="C3462" s="69">
        <v>23.63864988780879</v>
      </c>
    </row>
    <row r="3463">
      <c r="A3463" s="62" t="s">
        <v>2197</v>
      </c>
      <c r="B3463" s="63">
        <v>44072.0</v>
      </c>
      <c r="C3463" s="69">
        <v>23.638649075438217</v>
      </c>
    </row>
    <row r="3464">
      <c r="A3464" s="62" t="s">
        <v>1334</v>
      </c>
      <c r="B3464" s="63">
        <v>44376.0</v>
      </c>
      <c r="C3464" s="69">
        <v>23.634727146009187</v>
      </c>
    </row>
    <row r="3465">
      <c r="A3465" s="62" t="s">
        <v>2615</v>
      </c>
      <c r="B3465" s="63">
        <v>44385.0</v>
      </c>
      <c r="C3465" s="69">
        <v>23.63033440640752</v>
      </c>
    </row>
    <row r="3466">
      <c r="A3466" s="62" t="s">
        <v>4663</v>
      </c>
      <c r="B3466" s="63">
        <v>44268.0</v>
      </c>
      <c r="C3466" s="69">
        <v>23.628462078331864</v>
      </c>
    </row>
    <row r="3467">
      <c r="A3467" s="62" t="s">
        <v>1839</v>
      </c>
      <c r="B3467" s="63">
        <v>44333.0</v>
      </c>
      <c r="C3467" s="69">
        <v>23.61311938498578</v>
      </c>
    </row>
    <row r="3468">
      <c r="A3468" s="62" t="s">
        <v>4264</v>
      </c>
      <c r="B3468" s="63">
        <v>44145.0</v>
      </c>
      <c r="C3468" s="69">
        <v>23.60818680288441</v>
      </c>
    </row>
    <row r="3469">
      <c r="A3469" s="62" t="s">
        <v>4262</v>
      </c>
      <c r="B3469" s="63">
        <v>44127.0</v>
      </c>
      <c r="C3469" s="69">
        <v>23.607746791232238</v>
      </c>
    </row>
    <row r="3470">
      <c r="A3470" s="62" t="s">
        <v>1832</v>
      </c>
      <c r="B3470" s="63">
        <v>44341.0</v>
      </c>
      <c r="C3470" s="69">
        <v>23.606133909906145</v>
      </c>
    </row>
    <row r="3471">
      <c r="A3471" s="62" t="s">
        <v>1006</v>
      </c>
      <c r="B3471" s="63">
        <v>44112.0</v>
      </c>
      <c r="C3471" s="69">
        <v>23.605754988510505</v>
      </c>
    </row>
    <row r="3472">
      <c r="A3472" s="62" t="s">
        <v>4197</v>
      </c>
      <c r="B3472" s="63">
        <v>44180.0</v>
      </c>
      <c r="C3472" s="69">
        <v>23.602089154775996</v>
      </c>
    </row>
    <row r="3473">
      <c r="A3473" s="62" t="s">
        <v>4242</v>
      </c>
      <c r="B3473" s="63">
        <v>44092.0</v>
      </c>
      <c r="C3473" s="69">
        <v>23.586433487851906</v>
      </c>
    </row>
    <row r="3474">
      <c r="A3474" s="62" t="s">
        <v>5254</v>
      </c>
      <c r="B3474" s="63">
        <v>44258.0</v>
      </c>
      <c r="C3474" s="69">
        <v>23.586122280407107</v>
      </c>
    </row>
    <row r="3475">
      <c r="A3475" s="62" t="s">
        <v>2346</v>
      </c>
      <c r="B3475" s="63">
        <v>44385.0</v>
      </c>
      <c r="C3475" s="69">
        <v>23.579742826854407</v>
      </c>
    </row>
    <row r="3476">
      <c r="A3476" s="62" t="s">
        <v>3697</v>
      </c>
      <c r="B3476" s="63">
        <v>44085.0</v>
      </c>
      <c r="C3476" s="69">
        <v>23.578434143426893</v>
      </c>
    </row>
    <row r="3477">
      <c r="A3477" s="62" t="s">
        <v>4398</v>
      </c>
      <c r="B3477" s="63">
        <v>44104.0</v>
      </c>
      <c r="C3477" s="69">
        <v>23.55623057842793</v>
      </c>
    </row>
    <row r="3478">
      <c r="A3478" s="62" t="s">
        <v>3012</v>
      </c>
      <c r="B3478" s="63">
        <v>44127.0</v>
      </c>
      <c r="C3478" s="69">
        <v>23.55066767206422</v>
      </c>
    </row>
    <row r="3479">
      <c r="A3479" s="62" t="s">
        <v>6075</v>
      </c>
      <c r="B3479" s="63">
        <v>44349.0</v>
      </c>
      <c r="C3479" s="69">
        <v>23.549750936820715</v>
      </c>
    </row>
    <row r="3480">
      <c r="A3480" s="62" t="s">
        <v>4069</v>
      </c>
      <c r="B3480" s="63">
        <v>44197.0</v>
      </c>
      <c r="C3480" s="69">
        <v>23.54800125981327</v>
      </c>
    </row>
    <row r="3481">
      <c r="A3481" s="62" t="s">
        <v>4631</v>
      </c>
      <c r="B3481" s="63">
        <v>44278.0</v>
      </c>
      <c r="C3481" s="69">
        <v>23.543165281430383</v>
      </c>
    </row>
    <row r="3482">
      <c r="A3482" s="62" t="s">
        <v>3864</v>
      </c>
      <c r="B3482" s="63">
        <v>44165.0</v>
      </c>
      <c r="C3482" s="69">
        <v>23.542798398157714</v>
      </c>
    </row>
    <row r="3483">
      <c r="A3483" s="62" t="s">
        <v>1831</v>
      </c>
      <c r="B3483" s="63">
        <v>44347.0</v>
      </c>
      <c r="C3483" s="69">
        <v>23.538711971719426</v>
      </c>
    </row>
    <row r="3484">
      <c r="A3484" s="62" t="s">
        <v>4830</v>
      </c>
      <c r="B3484" s="63">
        <v>44273.0</v>
      </c>
      <c r="C3484" s="69">
        <v>23.531992390542868</v>
      </c>
    </row>
    <row r="3485">
      <c r="A3485" s="62" t="s">
        <v>1825</v>
      </c>
      <c r="B3485" s="63">
        <v>44336.0</v>
      </c>
      <c r="C3485" s="69">
        <v>23.531501576389182</v>
      </c>
    </row>
    <row r="3486">
      <c r="A3486" s="62" t="s">
        <v>6353</v>
      </c>
      <c r="B3486" s="63">
        <v>44377.0</v>
      </c>
      <c r="C3486" s="69">
        <v>23.5259667691657</v>
      </c>
    </row>
    <row r="3487">
      <c r="A3487" s="62" t="s">
        <v>1824</v>
      </c>
      <c r="B3487" s="63">
        <v>44328.0</v>
      </c>
      <c r="C3487" s="69">
        <v>23.523762896425175</v>
      </c>
    </row>
    <row r="3488">
      <c r="A3488" s="62" t="s">
        <v>5128</v>
      </c>
      <c r="B3488" s="63">
        <v>44280.0</v>
      </c>
      <c r="C3488" s="69">
        <v>23.52023461860878</v>
      </c>
    </row>
    <row r="3489">
      <c r="A3489" s="62" t="s">
        <v>6185</v>
      </c>
      <c r="B3489" s="63">
        <v>44362.0</v>
      </c>
      <c r="C3489" s="69">
        <v>23.51610749733733</v>
      </c>
    </row>
    <row r="3490">
      <c r="A3490" s="62" t="s">
        <v>4423</v>
      </c>
      <c r="B3490" s="63">
        <v>44182.0</v>
      </c>
      <c r="C3490" s="69">
        <v>23.51589353928957</v>
      </c>
    </row>
    <row r="3491">
      <c r="A3491" s="62" t="s">
        <v>1657</v>
      </c>
      <c r="B3491" s="63">
        <v>44246.0</v>
      </c>
      <c r="C3491" s="69">
        <v>23.51584994141616</v>
      </c>
    </row>
    <row r="3492">
      <c r="A3492" s="62" t="s">
        <v>1821</v>
      </c>
      <c r="B3492" s="63">
        <v>44342.0</v>
      </c>
      <c r="C3492" s="69">
        <v>23.51507981589708</v>
      </c>
    </row>
    <row r="3493">
      <c r="A3493" s="62" t="s">
        <v>4635</v>
      </c>
      <c r="B3493" s="63">
        <v>44280.0</v>
      </c>
      <c r="C3493" s="69">
        <v>23.51405969642269</v>
      </c>
    </row>
    <row r="3494">
      <c r="A3494" s="62" t="s">
        <v>4314</v>
      </c>
      <c r="B3494" s="63">
        <v>44176.0</v>
      </c>
      <c r="C3494" s="69">
        <v>23.505707476475646</v>
      </c>
    </row>
    <row r="3495">
      <c r="A3495" s="62" t="s">
        <v>1816</v>
      </c>
      <c r="B3495" s="63">
        <v>44343.0</v>
      </c>
      <c r="C3495" s="69">
        <v>23.505248710916653</v>
      </c>
    </row>
    <row r="3496">
      <c r="A3496" s="62" t="s">
        <v>2693</v>
      </c>
      <c r="B3496" s="63">
        <v>44203.0</v>
      </c>
      <c r="C3496" s="69">
        <v>23.50113757411499</v>
      </c>
    </row>
    <row r="3497">
      <c r="A3497" s="62" t="s">
        <v>4915</v>
      </c>
      <c r="B3497" s="63">
        <v>44292.0</v>
      </c>
      <c r="C3497" s="69">
        <v>23.499233709558666</v>
      </c>
    </row>
    <row r="3498">
      <c r="A3498" s="62" t="s">
        <v>2255</v>
      </c>
      <c r="B3498" s="63">
        <v>44073.0</v>
      </c>
      <c r="C3498" s="69">
        <v>23.49664100092868</v>
      </c>
    </row>
    <row r="3499">
      <c r="A3499" s="62" t="s">
        <v>6582</v>
      </c>
      <c r="B3499" s="63">
        <v>44357.0</v>
      </c>
      <c r="C3499" s="69">
        <v>23.47539634055783</v>
      </c>
    </row>
    <row r="3500">
      <c r="A3500" s="62" t="s">
        <v>4182</v>
      </c>
      <c r="B3500" s="63">
        <v>44129.0</v>
      </c>
      <c r="C3500" s="69">
        <v>23.471885965542878</v>
      </c>
    </row>
    <row r="3501">
      <c r="A3501" s="62" t="s">
        <v>1794</v>
      </c>
      <c r="B3501" s="63">
        <v>44326.0</v>
      </c>
      <c r="C3501" s="69">
        <v>23.470933376426974</v>
      </c>
    </row>
    <row r="3502">
      <c r="A3502" s="62" t="s">
        <v>1540</v>
      </c>
      <c r="B3502" s="63">
        <v>44267.0</v>
      </c>
      <c r="C3502" s="69">
        <v>23.469760017100647</v>
      </c>
    </row>
    <row r="3503">
      <c r="A3503" s="62" t="s">
        <v>4060</v>
      </c>
      <c r="B3503" s="63">
        <v>44124.0</v>
      </c>
      <c r="C3503" s="69">
        <v>23.46961297776142</v>
      </c>
    </row>
    <row r="3504">
      <c r="A3504" s="62" t="s">
        <v>2318</v>
      </c>
      <c r="B3504" s="63">
        <v>44386.0</v>
      </c>
      <c r="C3504" s="69">
        <v>23.45322831058713</v>
      </c>
    </row>
    <row r="3505">
      <c r="A3505" s="62" t="s">
        <v>1786</v>
      </c>
      <c r="B3505" s="63">
        <v>44340.0</v>
      </c>
      <c r="C3505" s="69">
        <v>23.45049413098311</v>
      </c>
    </row>
    <row r="3506">
      <c r="A3506" s="62" t="s">
        <v>4357</v>
      </c>
      <c r="B3506" s="63">
        <v>44176.0</v>
      </c>
      <c r="C3506" s="69">
        <v>23.44866492417923</v>
      </c>
    </row>
    <row r="3507">
      <c r="A3507" s="62" t="s">
        <v>4796</v>
      </c>
      <c r="B3507" s="63">
        <v>44277.0</v>
      </c>
      <c r="C3507" s="69">
        <v>23.44626920105292</v>
      </c>
    </row>
    <row r="3508">
      <c r="A3508" s="62" t="s">
        <v>497</v>
      </c>
      <c r="B3508" s="63">
        <v>44284.0</v>
      </c>
      <c r="C3508" s="69">
        <v>23.446049889712015</v>
      </c>
    </row>
    <row r="3509">
      <c r="A3509" s="62" t="s">
        <v>2352</v>
      </c>
      <c r="B3509" s="63">
        <v>44382.0</v>
      </c>
      <c r="C3509" s="69">
        <v>23.443243875853966</v>
      </c>
    </row>
    <row r="3510">
      <c r="A3510" s="62" t="s">
        <v>4238</v>
      </c>
      <c r="B3510" s="63">
        <v>44122.0</v>
      </c>
      <c r="C3510" s="69">
        <v>23.442090734057047</v>
      </c>
    </row>
    <row r="3511">
      <c r="A3511" s="62" t="s">
        <v>2584</v>
      </c>
      <c r="B3511" s="63">
        <v>44385.0</v>
      </c>
      <c r="C3511" s="69">
        <v>23.441920834394445</v>
      </c>
    </row>
    <row r="3512">
      <c r="A3512" s="62" t="s">
        <v>6313</v>
      </c>
      <c r="B3512" s="63">
        <v>44350.0</v>
      </c>
      <c r="C3512" s="69">
        <v>23.440501323529443</v>
      </c>
    </row>
    <row r="3513">
      <c r="A3513" s="62" t="s">
        <v>3387</v>
      </c>
      <c r="B3513" s="63">
        <v>44202.0</v>
      </c>
      <c r="C3513" s="69">
        <v>23.43588600614276</v>
      </c>
    </row>
    <row r="3514">
      <c r="A3514" s="62" t="s">
        <v>3240</v>
      </c>
      <c r="B3514" s="63">
        <v>44232.0</v>
      </c>
      <c r="C3514" s="69">
        <v>23.4230503273174</v>
      </c>
    </row>
    <row r="3515">
      <c r="A3515" s="62" t="s">
        <v>4430</v>
      </c>
      <c r="B3515" s="63">
        <v>44203.0</v>
      </c>
      <c r="C3515" s="69">
        <v>23.421470113971207</v>
      </c>
    </row>
    <row r="3516">
      <c r="A3516" s="62" t="s">
        <v>1784</v>
      </c>
      <c r="B3516" s="63">
        <v>44334.0</v>
      </c>
      <c r="C3516" s="69">
        <v>23.4165349306718</v>
      </c>
    </row>
    <row r="3517">
      <c r="A3517" s="62" t="s">
        <v>2868</v>
      </c>
      <c r="B3517" s="63">
        <v>44237.0</v>
      </c>
      <c r="C3517" s="69">
        <v>23.412718019834273</v>
      </c>
    </row>
    <row r="3518">
      <c r="A3518" s="62" t="s">
        <v>4044</v>
      </c>
      <c r="B3518" s="63">
        <v>44216.0</v>
      </c>
      <c r="C3518" s="69">
        <v>23.4077967555101</v>
      </c>
    </row>
    <row r="3519">
      <c r="A3519" s="62" t="s">
        <v>2423</v>
      </c>
      <c r="B3519" s="63">
        <v>44383.0</v>
      </c>
      <c r="C3519" s="69">
        <v>23.402136719773132</v>
      </c>
    </row>
    <row r="3520">
      <c r="A3520" s="62" t="s">
        <v>225</v>
      </c>
      <c r="B3520" s="63">
        <v>44386.0</v>
      </c>
      <c r="C3520" s="69">
        <v>23.385475638603445</v>
      </c>
    </row>
    <row r="3521">
      <c r="A3521" s="62" t="s">
        <v>4450</v>
      </c>
      <c r="B3521" s="63">
        <v>44288.0</v>
      </c>
      <c r="C3521" s="69">
        <v>23.384270359440908</v>
      </c>
    </row>
    <row r="3522">
      <c r="A3522" s="62" t="s">
        <v>4658</v>
      </c>
      <c r="B3522" s="63">
        <v>44257.0</v>
      </c>
      <c r="C3522" s="69">
        <v>23.382556126979775</v>
      </c>
    </row>
    <row r="3523">
      <c r="A3523" s="62" t="s">
        <v>5922</v>
      </c>
      <c r="B3523" s="63">
        <v>44377.0</v>
      </c>
      <c r="C3523" s="69">
        <v>23.372111312365305</v>
      </c>
    </row>
    <row r="3524">
      <c r="A3524" s="62" t="s">
        <v>1439</v>
      </c>
      <c r="B3524" s="63">
        <v>44375.0</v>
      </c>
      <c r="C3524" s="69">
        <v>23.354272251711016</v>
      </c>
    </row>
    <row r="3525">
      <c r="A3525" s="62" t="s">
        <v>4342</v>
      </c>
      <c r="B3525" s="63">
        <v>44102.0</v>
      </c>
      <c r="C3525" s="69">
        <v>23.35406843781732</v>
      </c>
    </row>
    <row r="3526">
      <c r="A3526" s="62" t="s">
        <v>2776</v>
      </c>
      <c r="B3526" s="63">
        <v>44228.0</v>
      </c>
      <c r="C3526" s="69">
        <v>23.352995302808083</v>
      </c>
    </row>
    <row r="3527">
      <c r="A3527" s="62" t="s">
        <v>1582</v>
      </c>
      <c r="B3527" s="63">
        <v>44072.0</v>
      </c>
      <c r="C3527" s="69">
        <v>23.34994490482596</v>
      </c>
    </row>
    <row r="3528">
      <c r="A3528" s="62" t="s">
        <v>4812</v>
      </c>
      <c r="B3528" s="63">
        <v>44272.0</v>
      </c>
      <c r="C3528" s="69">
        <v>23.34856796723891</v>
      </c>
    </row>
    <row r="3529">
      <c r="A3529" s="62" t="s">
        <v>1778</v>
      </c>
      <c r="B3529" s="63">
        <v>44343.0</v>
      </c>
      <c r="C3529" s="69">
        <v>23.34664238093543</v>
      </c>
    </row>
    <row r="3530">
      <c r="A3530" s="62" t="s">
        <v>5911</v>
      </c>
      <c r="B3530" s="63">
        <v>44376.0</v>
      </c>
      <c r="C3530" s="69">
        <v>23.34491741292155</v>
      </c>
    </row>
    <row r="3531">
      <c r="A3531" s="62" t="s">
        <v>5253</v>
      </c>
      <c r="B3531" s="63">
        <v>44285.0</v>
      </c>
      <c r="C3531" s="69">
        <v>23.334423669491393</v>
      </c>
    </row>
    <row r="3532">
      <c r="A3532" s="62" t="s">
        <v>4461</v>
      </c>
      <c r="B3532" s="63">
        <v>44271.0</v>
      </c>
      <c r="C3532" s="69">
        <v>23.33144320776658</v>
      </c>
    </row>
    <row r="3533">
      <c r="A3533" s="62" t="s">
        <v>6003</v>
      </c>
      <c r="B3533" s="63">
        <v>44363.0</v>
      </c>
      <c r="C3533" s="69">
        <v>23.328090805972565</v>
      </c>
    </row>
    <row r="3534">
      <c r="A3534" s="62" t="s">
        <v>991</v>
      </c>
      <c r="B3534" s="63">
        <v>44358.0</v>
      </c>
      <c r="C3534" s="69">
        <v>23.32758617000689</v>
      </c>
    </row>
    <row r="3535">
      <c r="A3535" s="62" t="s">
        <v>5126</v>
      </c>
      <c r="B3535" s="63">
        <v>44279.0</v>
      </c>
      <c r="C3535" s="69">
        <v>23.32664253325428</v>
      </c>
    </row>
    <row r="3536">
      <c r="A3536" s="62" t="s">
        <v>1775</v>
      </c>
      <c r="B3536" s="63">
        <v>44344.0</v>
      </c>
      <c r="C3536" s="69">
        <v>23.324362178202843</v>
      </c>
    </row>
    <row r="3537">
      <c r="A3537" s="62" t="s">
        <v>387</v>
      </c>
      <c r="B3537" s="63">
        <v>44355.0</v>
      </c>
      <c r="C3537" s="69">
        <v>23.317329414644217</v>
      </c>
    </row>
    <row r="3538">
      <c r="A3538" s="62" t="s">
        <v>4018</v>
      </c>
      <c r="B3538" s="63">
        <v>44112.0</v>
      </c>
      <c r="C3538" s="69">
        <v>23.313513846977937</v>
      </c>
    </row>
    <row r="3539">
      <c r="A3539" s="62" t="s">
        <v>4119</v>
      </c>
      <c r="B3539" s="63">
        <v>44079.0</v>
      </c>
      <c r="C3539" s="69">
        <v>23.31215298809932</v>
      </c>
    </row>
    <row r="3540">
      <c r="A3540" s="62" t="s">
        <v>3206</v>
      </c>
      <c r="B3540" s="63">
        <v>44166.0</v>
      </c>
      <c r="C3540" s="69">
        <v>23.30728523700973</v>
      </c>
    </row>
    <row r="3541">
      <c r="A3541" s="62" t="s">
        <v>6322</v>
      </c>
      <c r="B3541" s="63">
        <v>44377.0</v>
      </c>
      <c r="C3541" s="69">
        <v>23.304901570039284</v>
      </c>
    </row>
    <row r="3542">
      <c r="A3542" s="62" t="s">
        <v>1769</v>
      </c>
      <c r="B3542" s="63">
        <v>44337.0</v>
      </c>
      <c r="C3542" s="69">
        <v>23.29456984727217</v>
      </c>
    </row>
    <row r="3543">
      <c r="A3543" s="62" t="s">
        <v>6744</v>
      </c>
      <c r="B3543" s="63">
        <v>44362.0</v>
      </c>
      <c r="C3543" s="69">
        <v>23.290063025738196</v>
      </c>
    </row>
    <row r="3544">
      <c r="A3544" s="62" t="s">
        <v>1762</v>
      </c>
      <c r="B3544" s="63">
        <v>44327.0</v>
      </c>
      <c r="C3544" s="69">
        <v>23.28754915488666</v>
      </c>
    </row>
    <row r="3545">
      <c r="A3545" s="62" t="s">
        <v>1761</v>
      </c>
      <c r="B3545" s="63">
        <v>44330.0</v>
      </c>
      <c r="C3545" s="69">
        <v>23.284812705533668</v>
      </c>
    </row>
    <row r="3546">
      <c r="A3546" s="62" t="s">
        <v>6097</v>
      </c>
      <c r="B3546" s="63">
        <v>44375.0</v>
      </c>
      <c r="C3546" s="69">
        <v>23.280090730204755</v>
      </c>
    </row>
    <row r="3547">
      <c r="A3547" s="62" t="s">
        <v>4352</v>
      </c>
      <c r="B3547" s="63">
        <v>44249.0</v>
      </c>
      <c r="C3547" s="69">
        <v>23.279819461691623</v>
      </c>
    </row>
    <row r="3548">
      <c r="A3548" s="62" t="s">
        <v>1760</v>
      </c>
      <c r="B3548" s="63">
        <v>44347.0</v>
      </c>
      <c r="C3548" s="69">
        <v>23.2758020161962</v>
      </c>
    </row>
    <row r="3549">
      <c r="A3549" s="62" t="s">
        <v>2869</v>
      </c>
      <c r="B3549" s="63">
        <v>44098.0</v>
      </c>
      <c r="C3549" s="69">
        <v>23.254956426237477</v>
      </c>
    </row>
    <row r="3550">
      <c r="A3550" s="62" t="s">
        <v>4945</v>
      </c>
      <c r="B3550" s="63">
        <v>44281.0</v>
      </c>
      <c r="C3550" s="69">
        <v>23.24798461814323</v>
      </c>
    </row>
    <row r="3551">
      <c r="A3551" s="62" t="s">
        <v>1752</v>
      </c>
      <c r="B3551" s="63">
        <v>44342.0</v>
      </c>
      <c r="C3551" s="69">
        <v>23.241801658679346</v>
      </c>
    </row>
    <row r="3552">
      <c r="A3552" s="62" t="s">
        <v>2784</v>
      </c>
      <c r="B3552" s="63">
        <v>44142.0</v>
      </c>
      <c r="C3552" s="69">
        <v>23.238558336749946</v>
      </c>
    </row>
    <row r="3553">
      <c r="A3553" s="62" t="s">
        <v>5692</v>
      </c>
      <c r="B3553" s="63">
        <v>44376.0</v>
      </c>
      <c r="C3553" s="69">
        <v>23.23575238536437</v>
      </c>
    </row>
    <row r="3554">
      <c r="A3554" s="62" t="s">
        <v>2862</v>
      </c>
      <c r="B3554" s="63">
        <v>44174.0</v>
      </c>
      <c r="C3554" s="69">
        <v>23.23560580919619</v>
      </c>
    </row>
    <row r="3555">
      <c r="A3555" s="62" t="s">
        <v>3349</v>
      </c>
      <c r="B3555" s="63">
        <v>44100.0</v>
      </c>
      <c r="C3555" s="69">
        <v>23.228628424540485</v>
      </c>
    </row>
    <row r="3556">
      <c r="A3556" s="62" t="s">
        <v>2787</v>
      </c>
      <c r="B3556" s="63">
        <v>44080.0</v>
      </c>
      <c r="C3556" s="69">
        <v>23.22588375142887</v>
      </c>
    </row>
    <row r="3557">
      <c r="A3557" s="62" t="s">
        <v>1750</v>
      </c>
      <c r="B3557" s="63">
        <v>44336.0</v>
      </c>
      <c r="C3557" s="69">
        <v>23.212332348074288</v>
      </c>
    </row>
    <row r="3558">
      <c r="A3558" s="62" t="s">
        <v>5546</v>
      </c>
      <c r="B3558" s="63">
        <v>44377.0</v>
      </c>
      <c r="C3558" s="69">
        <v>23.210711931145166</v>
      </c>
    </row>
    <row r="3559">
      <c r="A3559" s="62" t="s">
        <v>2302</v>
      </c>
      <c r="B3559" s="63">
        <v>44384.0</v>
      </c>
      <c r="C3559" s="69">
        <v>23.202431415004657</v>
      </c>
    </row>
    <row r="3560">
      <c r="A3560" s="62" t="s">
        <v>2647</v>
      </c>
      <c r="B3560" s="63">
        <v>44088.0</v>
      </c>
      <c r="C3560" s="69">
        <v>23.199739855534208</v>
      </c>
    </row>
    <row r="3561">
      <c r="A3561" s="62" t="s">
        <v>1086</v>
      </c>
      <c r="B3561" s="63">
        <v>44350.0</v>
      </c>
      <c r="C3561" s="69">
        <v>23.198159310180372</v>
      </c>
    </row>
    <row r="3562">
      <c r="A3562" s="62" t="s">
        <v>5261</v>
      </c>
      <c r="B3562" s="63">
        <v>44273.0</v>
      </c>
      <c r="C3562" s="69">
        <v>23.197873028003126</v>
      </c>
    </row>
    <row r="3563">
      <c r="A3563" s="62" t="s">
        <v>3406</v>
      </c>
      <c r="B3563" s="63">
        <v>44154.0</v>
      </c>
      <c r="C3563" s="69">
        <v>23.196037012762005</v>
      </c>
    </row>
    <row r="3564">
      <c r="A3564" s="62" t="s">
        <v>3764</v>
      </c>
      <c r="B3564" s="63">
        <v>44099.0</v>
      </c>
      <c r="C3564" s="69">
        <v>23.194031527183338</v>
      </c>
    </row>
    <row r="3565">
      <c r="A3565" s="62" t="s">
        <v>1738</v>
      </c>
      <c r="B3565" s="63">
        <v>44330.0</v>
      </c>
      <c r="C3565" s="69">
        <v>23.191773424600797</v>
      </c>
    </row>
    <row r="3566">
      <c r="A3566" s="62" t="s">
        <v>1733</v>
      </c>
      <c r="B3566" s="63">
        <v>44321.0</v>
      </c>
      <c r="C3566" s="69">
        <v>23.191574723657975</v>
      </c>
    </row>
    <row r="3567">
      <c r="A3567" s="62" t="s">
        <v>2466</v>
      </c>
      <c r="B3567" s="63">
        <v>44396.0</v>
      </c>
      <c r="C3567" s="69">
        <v>23.18598333909287</v>
      </c>
    </row>
    <row r="3568">
      <c r="A3568" s="62" t="s">
        <v>2400</v>
      </c>
      <c r="B3568" s="63">
        <v>44384.0</v>
      </c>
      <c r="C3568" s="69">
        <v>23.18366474963057</v>
      </c>
    </row>
    <row r="3569">
      <c r="A3569" s="62" t="s">
        <v>2240</v>
      </c>
      <c r="B3569" s="63">
        <v>44074.0</v>
      </c>
      <c r="C3569" s="69">
        <v>23.180947630714904</v>
      </c>
    </row>
    <row r="3570">
      <c r="A3570" s="62" t="s">
        <v>6158</v>
      </c>
      <c r="B3570" s="63">
        <v>44357.0</v>
      </c>
      <c r="C3570" s="69">
        <v>23.17827903883807</v>
      </c>
    </row>
    <row r="3571">
      <c r="A3571" s="62" t="s">
        <v>1726</v>
      </c>
      <c r="B3571" s="63">
        <v>44335.0</v>
      </c>
      <c r="C3571" s="69">
        <v>23.17813663154918</v>
      </c>
    </row>
    <row r="3572">
      <c r="A3572" s="62" t="s">
        <v>2755</v>
      </c>
      <c r="B3572" s="63">
        <v>44075.0</v>
      </c>
      <c r="C3572" s="69">
        <v>23.17366932721343</v>
      </c>
    </row>
    <row r="3573">
      <c r="A3573" s="62" t="s">
        <v>6027</v>
      </c>
      <c r="B3573" s="63">
        <v>44356.0</v>
      </c>
      <c r="C3573" s="69">
        <v>23.171078570916627</v>
      </c>
    </row>
    <row r="3574">
      <c r="A3574" s="62" t="s">
        <v>4566</v>
      </c>
      <c r="B3574" s="63">
        <v>44308.0</v>
      </c>
      <c r="C3574" s="69">
        <v>23.169545821747</v>
      </c>
    </row>
    <row r="3575">
      <c r="A3575" s="62" t="s">
        <v>3879</v>
      </c>
      <c r="B3575" s="63">
        <v>44216.0</v>
      </c>
      <c r="C3575" s="69">
        <v>23.163325003209664</v>
      </c>
    </row>
    <row r="3576">
      <c r="A3576" s="62" t="s">
        <v>4294</v>
      </c>
      <c r="B3576" s="63">
        <v>44182.0</v>
      </c>
      <c r="C3576" s="69">
        <v>23.16156231058556</v>
      </c>
    </row>
    <row r="3577">
      <c r="A3577" s="62" t="s">
        <v>3929</v>
      </c>
      <c r="B3577" s="63">
        <v>44189.0</v>
      </c>
      <c r="C3577" s="69">
        <v>23.15920330064093</v>
      </c>
    </row>
    <row r="3578">
      <c r="A3578" s="62" t="s">
        <v>1050</v>
      </c>
      <c r="B3578" s="63">
        <v>44312.0</v>
      </c>
      <c r="C3578" s="69">
        <v>23.158172762273054</v>
      </c>
    </row>
    <row r="3579">
      <c r="A3579" s="62" t="s">
        <v>1711</v>
      </c>
      <c r="B3579" s="63">
        <v>44342.0</v>
      </c>
      <c r="C3579" s="69">
        <v>23.15464187600177</v>
      </c>
    </row>
    <row r="3580">
      <c r="A3580" s="62" t="s">
        <v>6379</v>
      </c>
      <c r="B3580" s="63">
        <v>44377.0</v>
      </c>
      <c r="C3580" s="69">
        <v>23.150541359233095</v>
      </c>
    </row>
    <row r="3581">
      <c r="A3581" s="62" t="s">
        <v>6221</v>
      </c>
      <c r="B3581" s="63">
        <v>44375.0</v>
      </c>
      <c r="C3581" s="69">
        <v>23.149481590846143</v>
      </c>
    </row>
    <row r="3582">
      <c r="A3582" s="62" t="s">
        <v>4935</v>
      </c>
      <c r="B3582" s="63">
        <v>44298.0</v>
      </c>
      <c r="C3582" s="69">
        <v>23.144606418090575</v>
      </c>
    </row>
    <row r="3583">
      <c r="A3583" s="62" t="s">
        <v>3038</v>
      </c>
      <c r="B3583" s="63">
        <v>44235.0</v>
      </c>
      <c r="C3583" s="69">
        <v>23.140362298329325</v>
      </c>
    </row>
    <row r="3584">
      <c r="A3584" s="62" t="s">
        <v>477</v>
      </c>
      <c r="B3584" s="63">
        <v>44348.0</v>
      </c>
      <c r="C3584" s="69">
        <v>23.13295645752648</v>
      </c>
    </row>
    <row r="3585">
      <c r="A3585" s="62" t="s">
        <v>4050</v>
      </c>
      <c r="B3585" s="63">
        <v>44236.0</v>
      </c>
      <c r="C3585" s="69">
        <v>23.1291862831886</v>
      </c>
    </row>
    <row r="3586">
      <c r="A3586" s="62" t="s">
        <v>3681</v>
      </c>
      <c r="B3586" s="63">
        <v>44207.0</v>
      </c>
      <c r="C3586" s="69">
        <v>23.12091462625625</v>
      </c>
    </row>
    <row r="3587">
      <c r="A3587" s="62" t="s">
        <v>1685</v>
      </c>
      <c r="B3587" s="63">
        <v>44342.0</v>
      </c>
      <c r="C3587" s="69">
        <v>23.118207152227228</v>
      </c>
    </row>
    <row r="3588">
      <c r="A3588" s="62" t="s">
        <v>3540</v>
      </c>
      <c r="B3588" s="63">
        <v>44120.0</v>
      </c>
      <c r="C3588" s="69">
        <v>23.11685785389608</v>
      </c>
    </row>
    <row r="3589">
      <c r="A3589" s="62" t="s">
        <v>4591</v>
      </c>
      <c r="B3589" s="63">
        <v>44305.0</v>
      </c>
      <c r="C3589" s="69">
        <v>23.10579119934442</v>
      </c>
    </row>
    <row r="3590">
      <c r="A3590" s="62" t="s">
        <v>2898</v>
      </c>
      <c r="B3590" s="63">
        <v>44116.0</v>
      </c>
      <c r="C3590" s="69">
        <v>23.102361679132635</v>
      </c>
    </row>
    <row r="3591">
      <c r="A3591" s="62" t="s">
        <v>4375</v>
      </c>
      <c r="B3591" s="63">
        <v>44209.0</v>
      </c>
      <c r="C3591" s="69">
        <v>23.10201630805591</v>
      </c>
    </row>
    <row r="3592">
      <c r="A3592" s="62" t="s">
        <v>5185</v>
      </c>
      <c r="B3592" s="63">
        <v>44313.0</v>
      </c>
      <c r="C3592" s="69">
        <v>23.1002934850409</v>
      </c>
    </row>
    <row r="3593">
      <c r="A3593" s="62" t="s">
        <v>4318</v>
      </c>
      <c r="B3593" s="63">
        <v>44246.0</v>
      </c>
      <c r="C3593" s="69">
        <v>23.098326071406056</v>
      </c>
    </row>
    <row r="3594">
      <c r="A3594" s="62" t="s">
        <v>3134</v>
      </c>
      <c r="B3594" s="63">
        <v>44209.0</v>
      </c>
      <c r="C3594" s="69">
        <v>23.091670026905263</v>
      </c>
    </row>
    <row r="3595">
      <c r="A3595" s="62" t="s">
        <v>151</v>
      </c>
      <c r="B3595" s="63">
        <v>44385.0</v>
      </c>
      <c r="C3595" s="69">
        <v>23.0883648076958</v>
      </c>
    </row>
    <row r="3596">
      <c r="A3596" s="62" t="s">
        <v>4130</v>
      </c>
      <c r="B3596" s="63">
        <v>44134.0</v>
      </c>
      <c r="C3596" s="69">
        <v>23.0760372573277</v>
      </c>
    </row>
    <row r="3597">
      <c r="A3597" s="62" t="s">
        <v>3001</v>
      </c>
      <c r="B3597" s="63">
        <v>44121.0</v>
      </c>
      <c r="C3597" s="69">
        <v>23.075590252284385</v>
      </c>
    </row>
    <row r="3598">
      <c r="A3598" s="62" t="s">
        <v>3351</v>
      </c>
      <c r="B3598" s="63">
        <v>44230.0</v>
      </c>
      <c r="C3598" s="69">
        <v>23.065740829527815</v>
      </c>
    </row>
    <row r="3599">
      <c r="A3599" s="62" t="s">
        <v>1677</v>
      </c>
      <c r="B3599" s="63">
        <v>44322.0</v>
      </c>
      <c r="C3599" s="69">
        <v>23.062173177046997</v>
      </c>
    </row>
    <row r="3600">
      <c r="A3600" s="62" t="s">
        <v>3090</v>
      </c>
      <c r="B3600" s="63">
        <v>44167.0</v>
      </c>
      <c r="C3600" s="69">
        <v>23.054839759631566</v>
      </c>
    </row>
    <row r="3601">
      <c r="A3601" s="62" t="s">
        <v>2181</v>
      </c>
      <c r="B3601" s="63">
        <v>44060.0</v>
      </c>
      <c r="C3601" s="69">
        <v>23.051792785878064</v>
      </c>
    </row>
    <row r="3602">
      <c r="A3602" s="62" t="s">
        <v>166</v>
      </c>
      <c r="B3602" s="63">
        <v>44064.0</v>
      </c>
      <c r="C3602" s="69">
        <v>23.051445430803685</v>
      </c>
    </row>
    <row r="3603">
      <c r="A3603" s="62" t="s">
        <v>3342</v>
      </c>
      <c r="B3603" s="63">
        <v>44105.0</v>
      </c>
      <c r="C3603" s="69">
        <v>23.045893720095098</v>
      </c>
    </row>
    <row r="3604">
      <c r="A3604" s="62" t="s">
        <v>2931</v>
      </c>
      <c r="B3604" s="63">
        <v>44251.0</v>
      </c>
      <c r="C3604" s="69">
        <v>23.04199113451226</v>
      </c>
    </row>
    <row r="3605">
      <c r="A3605" s="62" t="s">
        <v>4083</v>
      </c>
      <c r="B3605" s="63">
        <v>44201.0</v>
      </c>
      <c r="C3605" s="69">
        <v>23.040548263809523</v>
      </c>
    </row>
    <row r="3606">
      <c r="A3606" s="62" t="s">
        <v>2874</v>
      </c>
      <c r="B3606" s="63">
        <v>44124.0</v>
      </c>
      <c r="C3606" s="69">
        <v>23.039581498558167</v>
      </c>
    </row>
    <row r="3607">
      <c r="A3607" s="62" t="s">
        <v>165</v>
      </c>
      <c r="B3607" s="63">
        <v>44393.0</v>
      </c>
      <c r="C3607" s="69">
        <v>23.037590107059525</v>
      </c>
    </row>
    <row r="3608">
      <c r="A3608" s="62" t="s">
        <v>2886</v>
      </c>
      <c r="B3608" s="63">
        <v>44221.0</v>
      </c>
      <c r="C3608" s="69">
        <v>23.033831721795668</v>
      </c>
    </row>
    <row r="3609">
      <c r="A3609" s="62" t="s">
        <v>1676</v>
      </c>
      <c r="B3609" s="63">
        <v>44342.0</v>
      </c>
      <c r="C3609" s="69">
        <v>23.03330832430489</v>
      </c>
    </row>
    <row r="3610">
      <c r="A3610" s="62" t="s">
        <v>535</v>
      </c>
      <c r="B3610" s="63">
        <v>44231.0</v>
      </c>
      <c r="C3610" s="69">
        <v>23.03154478007456</v>
      </c>
    </row>
    <row r="3611">
      <c r="A3611" s="62" t="s">
        <v>5113</v>
      </c>
      <c r="B3611" s="63">
        <v>44277.0</v>
      </c>
      <c r="C3611" s="69">
        <v>23.022779824719418</v>
      </c>
    </row>
    <row r="3612">
      <c r="A3612" s="62" t="s">
        <v>4297</v>
      </c>
      <c r="B3612" s="63">
        <v>44172.0</v>
      </c>
      <c r="C3612" s="69">
        <v>23.021973732009666</v>
      </c>
    </row>
    <row r="3613">
      <c r="A3613" s="62" t="s">
        <v>1669</v>
      </c>
      <c r="B3613" s="63">
        <v>44333.0</v>
      </c>
      <c r="C3613" s="69">
        <v>23.021141962023826</v>
      </c>
    </row>
    <row r="3614">
      <c r="A3614" s="62" t="s">
        <v>5176</v>
      </c>
      <c r="B3614" s="63">
        <v>44314.0</v>
      </c>
      <c r="C3614" s="69">
        <v>23.020217099282476</v>
      </c>
    </row>
    <row r="3615">
      <c r="A3615" s="62" t="s">
        <v>4457</v>
      </c>
      <c r="B3615" s="63">
        <v>44298.0</v>
      </c>
      <c r="C3615" s="69">
        <v>23.019902470293438</v>
      </c>
    </row>
    <row r="3616">
      <c r="A3616" s="62" t="s">
        <v>6659</v>
      </c>
      <c r="B3616" s="63">
        <v>44363.0</v>
      </c>
      <c r="C3616" s="69">
        <v>23.019344447115348</v>
      </c>
    </row>
    <row r="3617">
      <c r="A3617" s="62" t="s">
        <v>4033</v>
      </c>
      <c r="B3617" s="63">
        <v>44231.0</v>
      </c>
      <c r="C3617" s="69">
        <v>23.015238654614627</v>
      </c>
    </row>
    <row r="3618">
      <c r="A3618" s="62" t="s">
        <v>4098</v>
      </c>
      <c r="B3618" s="63">
        <v>44095.0</v>
      </c>
      <c r="C3618" s="69">
        <v>23.011734342178105</v>
      </c>
    </row>
    <row r="3619">
      <c r="A3619" s="62" t="s">
        <v>1663</v>
      </c>
      <c r="B3619" s="63">
        <v>44340.0</v>
      </c>
      <c r="C3619" s="69">
        <v>23.01142896982268</v>
      </c>
    </row>
    <row r="3620">
      <c r="A3620" s="62" t="s">
        <v>2644</v>
      </c>
      <c r="B3620" s="63">
        <v>44253.0</v>
      </c>
      <c r="C3620" s="69">
        <v>23.00646888869139</v>
      </c>
    </row>
    <row r="3621">
      <c r="A3621" s="62" t="s">
        <v>1654</v>
      </c>
      <c r="B3621" s="63">
        <v>44343.0</v>
      </c>
      <c r="C3621" s="69">
        <v>23.00432501513496</v>
      </c>
    </row>
    <row r="3622">
      <c r="A3622" s="62" t="s">
        <v>5203</v>
      </c>
      <c r="B3622" s="63">
        <v>44313.0</v>
      </c>
      <c r="C3622" s="69">
        <v>23.003985934380573</v>
      </c>
    </row>
    <row r="3623">
      <c r="A3623" s="62" t="s">
        <v>3767</v>
      </c>
      <c r="B3623" s="63">
        <v>44215.0</v>
      </c>
      <c r="C3623" s="69">
        <v>23.002073785751357</v>
      </c>
    </row>
    <row r="3624">
      <c r="A3624" s="62" t="s">
        <v>4952</v>
      </c>
      <c r="B3624" s="63">
        <v>44278.0</v>
      </c>
      <c r="C3624" s="69">
        <v>22.999044456188358</v>
      </c>
    </row>
    <row r="3625">
      <c r="A3625" s="62" t="s">
        <v>5382</v>
      </c>
      <c r="B3625" s="63">
        <v>44363.0</v>
      </c>
      <c r="C3625" s="69">
        <v>22.998429444314226</v>
      </c>
    </row>
    <row r="3626">
      <c r="A3626" s="62" t="s">
        <v>3617</v>
      </c>
      <c r="B3626" s="63">
        <v>44150.0</v>
      </c>
      <c r="C3626" s="69">
        <v>22.993301001516073</v>
      </c>
    </row>
    <row r="3627">
      <c r="A3627" s="62" t="s">
        <v>2132</v>
      </c>
      <c r="B3627" s="63">
        <v>44377.0</v>
      </c>
      <c r="C3627" s="69">
        <v>22.98563271609519</v>
      </c>
    </row>
    <row r="3628">
      <c r="A3628" s="62" t="s">
        <v>3081</v>
      </c>
      <c r="B3628" s="63">
        <v>44160.0</v>
      </c>
      <c r="C3628" s="69">
        <v>22.980466353309417</v>
      </c>
    </row>
    <row r="3629">
      <c r="A3629" s="62" t="s">
        <v>4971</v>
      </c>
      <c r="B3629" s="63">
        <v>44287.0</v>
      </c>
      <c r="C3629" s="69">
        <v>22.975276191497308</v>
      </c>
    </row>
    <row r="3630">
      <c r="A3630" s="62" t="s">
        <v>1653</v>
      </c>
      <c r="B3630" s="63">
        <v>44337.0</v>
      </c>
      <c r="C3630" s="69">
        <v>22.974145184931665</v>
      </c>
    </row>
    <row r="3631">
      <c r="A3631" s="62" t="s">
        <v>1353</v>
      </c>
      <c r="B3631" s="63">
        <v>44141.0</v>
      </c>
      <c r="C3631" s="69">
        <v>22.973697735662448</v>
      </c>
    </row>
    <row r="3632">
      <c r="A3632" s="62" t="s">
        <v>2247</v>
      </c>
      <c r="B3632" s="63">
        <v>44074.0</v>
      </c>
      <c r="C3632" s="69">
        <v>22.95803886587254</v>
      </c>
    </row>
    <row r="3633">
      <c r="A3633" s="62" t="s">
        <v>3720</v>
      </c>
      <c r="B3633" s="63">
        <v>44120.0</v>
      </c>
      <c r="C3633" s="69">
        <v>22.95742979306265</v>
      </c>
    </row>
    <row r="3634">
      <c r="A3634" s="62" t="s">
        <v>1650</v>
      </c>
      <c r="B3634" s="63">
        <v>44343.0</v>
      </c>
      <c r="C3634" s="69">
        <v>22.956575919206127</v>
      </c>
    </row>
    <row r="3635">
      <c r="A3635" s="62" t="s">
        <v>2585</v>
      </c>
      <c r="B3635" s="63">
        <v>44385.0</v>
      </c>
      <c r="C3635" s="69">
        <v>22.954809968208423</v>
      </c>
    </row>
    <row r="3636">
      <c r="A3636" s="62" t="s">
        <v>3910</v>
      </c>
      <c r="B3636" s="63">
        <v>44217.0</v>
      </c>
      <c r="C3636" s="69">
        <v>22.953131760179293</v>
      </c>
    </row>
    <row r="3637">
      <c r="A3637" s="62" t="s">
        <v>3417</v>
      </c>
      <c r="B3637" s="63">
        <v>44174.0</v>
      </c>
      <c r="C3637" s="69">
        <v>22.945253791426513</v>
      </c>
    </row>
    <row r="3638">
      <c r="A3638" s="62" t="s">
        <v>5506</v>
      </c>
      <c r="B3638" s="63">
        <v>44349.0</v>
      </c>
      <c r="C3638" s="69">
        <v>22.940860018664864</v>
      </c>
    </row>
    <row r="3639">
      <c r="A3639" s="62" t="s">
        <v>3421</v>
      </c>
      <c r="B3639" s="63">
        <v>44082.0</v>
      </c>
      <c r="C3639" s="69">
        <v>22.928548941120596</v>
      </c>
    </row>
    <row r="3640">
      <c r="A3640" s="62" t="s">
        <v>2566</v>
      </c>
      <c r="B3640" s="63">
        <v>44392.0</v>
      </c>
      <c r="C3640" s="69">
        <v>22.924546017590337</v>
      </c>
    </row>
    <row r="3641">
      <c r="A3641" s="62" t="s">
        <v>3062</v>
      </c>
      <c r="B3641" s="63">
        <v>44203.0</v>
      </c>
      <c r="C3641" s="69">
        <v>22.91758332605657</v>
      </c>
    </row>
    <row r="3642">
      <c r="A3642" s="62" t="s">
        <v>4780</v>
      </c>
      <c r="B3642" s="63">
        <v>44266.0</v>
      </c>
      <c r="C3642" s="69">
        <v>22.91618814715358</v>
      </c>
    </row>
    <row r="3643">
      <c r="A3643" s="62" t="s">
        <v>1638</v>
      </c>
      <c r="B3643" s="63">
        <v>44330.0</v>
      </c>
      <c r="C3643" s="69">
        <v>22.912822054340825</v>
      </c>
    </row>
    <row r="3644">
      <c r="A3644" s="62" t="s">
        <v>241</v>
      </c>
      <c r="B3644" s="63">
        <v>44383.0</v>
      </c>
      <c r="C3644" s="69">
        <v>22.90715316723398</v>
      </c>
    </row>
    <row r="3645">
      <c r="A3645" s="62" t="s">
        <v>4612</v>
      </c>
      <c r="B3645" s="63">
        <v>44289.0</v>
      </c>
      <c r="C3645" s="69">
        <v>22.906437311615147</v>
      </c>
    </row>
    <row r="3646">
      <c r="A3646" s="62" t="s">
        <v>3212</v>
      </c>
      <c r="B3646" s="63">
        <v>44221.0</v>
      </c>
      <c r="C3646" s="69">
        <v>22.905965335343904</v>
      </c>
    </row>
    <row r="3647">
      <c r="A3647" s="62" t="s">
        <v>861</v>
      </c>
      <c r="B3647" s="63">
        <v>44173.0</v>
      </c>
      <c r="C3647" s="69">
        <v>22.902604685561975</v>
      </c>
    </row>
    <row r="3648">
      <c r="A3648" s="62" t="s">
        <v>1637</v>
      </c>
      <c r="B3648" s="63">
        <v>44320.0</v>
      </c>
      <c r="C3648" s="69">
        <v>22.891476655496593</v>
      </c>
    </row>
    <row r="3649">
      <c r="A3649" s="62" t="s">
        <v>122</v>
      </c>
      <c r="B3649" s="63">
        <v>44382.0</v>
      </c>
      <c r="C3649" s="69">
        <v>22.880264206606352</v>
      </c>
    </row>
    <row r="3650">
      <c r="A3650" s="62" t="s">
        <v>2499</v>
      </c>
      <c r="B3650" s="63">
        <v>44398.0</v>
      </c>
      <c r="C3650" s="69">
        <v>22.877056949007528</v>
      </c>
    </row>
    <row r="3651">
      <c r="A3651" s="62" t="s">
        <v>1635</v>
      </c>
      <c r="B3651" s="63">
        <v>44341.0</v>
      </c>
      <c r="C3651" s="69">
        <v>22.874964567303024</v>
      </c>
    </row>
    <row r="3652">
      <c r="A3652" s="62" t="s">
        <v>2873</v>
      </c>
      <c r="B3652" s="63">
        <v>44180.0</v>
      </c>
      <c r="C3652" s="69">
        <v>22.874471953221448</v>
      </c>
    </row>
    <row r="3653">
      <c r="A3653" s="62" t="s">
        <v>6028</v>
      </c>
      <c r="B3653" s="63">
        <v>44357.0</v>
      </c>
      <c r="C3653" s="69">
        <v>22.873790155918208</v>
      </c>
    </row>
    <row r="3654">
      <c r="A3654" s="62" t="s">
        <v>2191</v>
      </c>
      <c r="B3654" s="63">
        <v>44063.0</v>
      </c>
      <c r="C3654" s="69">
        <v>22.865022474185935</v>
      </c>
    </row>
    <row r="3655">
      <c r="A3655" s="62" t="s">
        <v>1627</v>
      </c>
      <c r="B3655" s="63">
        <v>44328.0</v>
      </c>
      <c r="C3655" s="69">
        <v>22.861703723723462</v>
      </c>
    </row>
    <row r="3656">
      <c r="A3656" s="62" t="s">
        <v>1065</v>
      </c>
      <c r="B3656" s="63">
        <v>44165.0</v>
      </c>
      <c r="C3656" s="69">
        <v>22.858886728026366</v>
      </c>
    </row>
    <row r="3657">
      <c r="A3657" s="62" t="s">
        <v>2700</v>
      </c>
      <c r="B3657" s="63">
        <v>44236.0</v>
      </c>
      <c r="C3657" s="69">
        <v>22.85705114647692</v>
      </c>
    </row>
    <row r="3658">
      <c r="A3658" s="62" t="s">
        <v>4672</v>
      </c>
      <c r="B3658" s="63">
        <v>44305.0</v>
      </c>
      <c r="C3658" s="69">
        <v>22.853874428006456</v>
      </c>
    </row>
    <row r="3659">
      <c r="A3659" s="62" t="s">
        <v>4618</v>
      </c>
      <c r="B3659" s="63">
        <v>44305.0</v>
      </c>
      <c r="C3659" s="69">
        <v>22.85354918689944</v>
      </c>
    </row>
    <row r="3660">
      <c r="A3660" s="62" t="s">
        <v>6670</v>
      </c>
      <c r="B3660" s="63">
        <v>44354.0</v>
      </c>
      <c r="C3660" s="69">
        <v>22.84966129077325</v>
      </c>
    </row>
    <row r="3661">
      <c r="A3661" s="62" t="s">
        <v>1626</v>
      </c>
      <c r="B3661" s="63">
        <v>44342.0</v>
      </c>
      <c r="C3661" s="69">
        <v>22.842995029911517</v>
      </c>
    </row>
    <row r="3662">
      <c r="A3662" s="62" t="s">
        <v>1622</v>
      </c>
      <c r="B3662" s="63">
        <v>44336.0</v>
      </c>
      <c r="C3662" s="69">
        <v>22.84028157000233</v>
      </c>
    </row>
    <row r="3663">
      <c r="A3663" s="62" t="s">
        <v>5971</v>
      </c>
      <c r="B3663" s="63">
        <v>44368.0</v>
      </c>
      <c r="C3663" s="69">
        <v>22.83197983656922</v>
      </c>
    </row>
    <row r="3664">
      <c r="A3664" s="62" t="s">
        <v>3144</v>
      </c>
      <c r="B3664" s="63">
        <v>44084.0</v>
      </c>
      <c r="C3664" s="69">
        <v>22.830922906949212</v>
      </c>
    </row>
    <row r="3665">
      <c r="A3665" s="62" t="s">
        <v>1606</v>
      </c>
      <c r="B3665" s="63">
        <v>44334.0</v>
      </c>
      <c r="C3665" s="69">
        <v>22.830323542658565</v>
      </c>
    </row>
    <row r="3666">
      <c r="A3666" s="62" t="s">
        <v>2831</v>
      </c>
      <c r="B3666" s="63">
        <v>44240.0</v>
      </c>
      <c r="C3666" s="69">
        <v>22.829930146199292</v>
      </c>
    </row>
    <row r="3667">
      <c r="A3667" s="62" t="s">
        <v>1721</v>
      </c>
      <c r="B3667" s="63">
        <v>44208.0</v>
      </c>
      <c r="C3667" s="69">
        <v>22.82464269195872</v>
      </c>
    </row>
    <row r="3668">
      <c r="A3668" s="62" t="s">
        <v>1594</v>
      </c>
      <c r="B3668" s="63">
        <v>44329.0</v>
      </c>
      <c r="C3668" s="69">
        <v>22.820671607730294</v>
      </c>
    </row>
    <row r="3669">
      <c r="A3669" s="62" t="s">
        <v>3419</v>
      </c>
      <c r="B3669" s="63">
        <v>44202.0</v>
      </c>
      <c r="C3669" s="69">
        <v>22.81770447443277</v>
      </c>
    </row>
    <row r="3670">
      <c r="A3670" s="62" t="s">
        <v>5646</v>
      </c>
      <c r="B3670" s="63">
        <v>44368.0</v>
      </c>
      <c r="C3670" s="69">
        <v>22.805010844020188</v>
      </c>
    </row>
    <row r="3671">
      <c r="A3671" s="62" t="s">
        <v>3140</v>
      </c>
      <c r="B3671" s="63">
        <v>44253.0</v>
      </c>
      <c r="C3671" s="69">
        <v>22.799944572602698</v>
      </c>
    </row>
    <row r="3672">
      <c r="A3672" s="62" t="s">
        <v>2897</v>
      </c>
      <c r="B3672" s="63">
        <v>44180.0</v>
      </c>
      <c r="C3672" s="69">
        <v>22.798916462458276</v>
      </c>
    </row>
    <row r="3673">
      <c r="A3673" s="62" t="s">
        <v>4937</v>
      </c>
      <c r="B3673" s="63">
        <v>44258.0</v>
      </c>
      <c r="C3673" s="69">
        <v>22.797559388241474</v>
      </c>
    </row>
    <row r="3674">
      <c r="A3674" s="62" t="s">
        <v>4322</v>
      </c>
      <c r="B3674" s="63">
        <v>44153.0</v>
      </c>
      <c r="C3674" s="69">
        <v>22.797039981890297</v>
      </c>
    </row>
    <row r="3675">
      <c r="A3675" s="62" t="s">
        <v>6533</v>
      </c>
      <c r="B3675" s="63">
        <v>44371.0</v>
      </c>
      <c r="C3675" s="69">
        <v>22.786450505677827</v>
      </c>
    </row>
    <row r="3676">
      <c r="A3676" s="62" t="s">
        <v>1593</v>
      </c>
      <c r="B3676" s="63">
        <v>44337.0</v>
      </c>
      <c r="C3676" s="69">
        <v>22.783399205544036</v>
      </c>
    </row>
    <row r="3677">
      <c r="A3677" s="62" t="s">
        <v>5411</v>
      </c>
      <c r="B3677" s="63">
        <v>44370.0</v>
      </c>
      <c r="C3677" s="69">
        <v>22.779975308739168</v>
      </c>
    </row>
    <row r="3678">
      <c r="A3678" s="62" t="s">
        <v>219</v>
      </c>
      <c r="B3678" s="63">
        <v>44071.0</v>
      </c>
      <c r="C3678" s="69">
        <v>22.764890700483818</v>
      </c>
    </row>
    <row r="3679">
      <c r="A3679" s="62" t="s">
        <v>3039</v>
      </c>
      <c r="B3679" s="63">
        <v>44161.0</v>
      </c>
      <c r="C3679" s="69">
        <v>22.763086075889973</v>
      </c>
    </row>
    <row r="3680">
      <c r="A3680" s="62" t="s">
        <v>3679</v>
      </c>
      <c r="B3680" s="63">
        <v>44176.0</v>
      </c>
      <c r="C3680" s="69">
        <v>22.76271690217555</v>
      </c>
    </row>
    <row r="3681">
      <c r="A3681" s="62" t="s">
        <v>4890</v>
      </c>
      <c r="B3681" s="63">
        <v>44278.0</v>
      </c>
      <c r="C3681" s="69">
        <v>22.762417054615668</v>
      </c>
    </row>
    <row r="3682">
      <c r="A3682" s="62" t="s">
        <v>4723</v>
      </c>
      <c r="B3682" s="63">
        <v>44256.0</v>
      </c>
      <c r="C3682" s="69">
        <v>22.741584064077124</v>
      </c>
    </row>
    <row r="3683">
      <c r="A3683" s="62" t="s">
        <v>4077</v>
      </c>
      <c r="B3683" s="63">
        <v>44222.0</v>
      </c>
      <c r="C3683" s="69">
        <v>22.737966035378605</v>
      </c>
    </row>
    <row r="3684">
      <c r="A3684" s="62" t="s">
        <v>3020</v>
      </c>
      <c r="B3684" s="63">
        <v>44237.0</v>
      </c>
      <c r="C3684" s="69">
        <v>22.72846034591708</v>
      </c>
    </row>
    <row r="3685">
      <c r="A3685" s="62" t="s">
        <v>2992</v>
      </c>
      <c r="B3685" s="63">
        <v>44174.0</v>
      </c>
      <c r="C3685" s="69">
        <v>22.724345886340572</v>
      </c>
    </row>
    <row r="3686">
      <c r="A3686" s="62" t="s">
        <v>5745</v>
      </c>
      <c r="B3686" s="63">
        <v>44364.0</v>
      </c>
      <c r="C3686" s="69">
        <v>22.721628538130524</v>
      </c>
    </row>
    <row r="3687">
      <c r="A3687" s="62" t="s">
        <v>2341</v>
      </c>
      <c r="B3687" s="63">
        <v>44382.0</v>
      </c>
      <c r="C3687" s="69">
        <v>22.709060912549205</v>
      </c>
    </row>
    <row r="3688">
      <c r="A3688" s="62" t="s">
        <v>4784</v>
      </c>
      <c r="B3688" s="63">
        <v>44298.0</v>
      </c>
      <c r="C3688" s="69">
        <v>22.706395052135196</v>
      </c>
    </row>
    <row r="3689">
      <c r="A3689" s="62" t="s">
        <v>2306</v>
      </c>
      <c r="B3689" s="63">
        <v>44382.0</v>
      </c>
      <c r="C3689" s="69">
        <v>22.701359300552983</v>
      </c>
    </row>
    <row r="3690">
      <c r="A3690" s="62" t="s">
        <v>4373</v>
      </c>
      <c r="B3690" s="63">
        <v>44252.0</v>
      </c>
      <c r="C3690" s="69">
        <v>22.694856754013944</v>
      </c>
    </row>
    <row r="3691">
      <c r="A3691" s="62" t="s">
        <v>3050</v>
      </c>
      <c r="B3691" s="63">
        <v>44225.0</v>
      </c>
      <c r="C3691" s="69">
        <v>22.691635255549013</v>
      </c>
    </row>
    <row r="3692">
      <c r="A3692" s="62" t="s">
        <v>6500</v>
      </c>
      <c r="B3692" s="63">
        <v>44363.0</v>
      </c>
      <c r="C3692" s="69">
        <v>22.68769883799436</v>
      </c>
    </row>
    <row r="3693">
      <c r="A3693" s="62" t="s">
        <v>4835</v>
      </c>
      <c r="B3693" s="63">
        <v>44274.0</v>
      </c>
      <c r="C3693" s="69">
        <v>22.686495258855324</v>
      </c>
    </row>
    <row r="3694">
      <c r="A3694" s="62" t="s">
        <v>3327</v>
      </c>
      <c r="B3694" s="63">
        <v>44208.0</v>
      </c>
      <c r="C3694" s="69">
        <v>22.686007037459625</v>
      </c>
    </row>
    <row r="3695">
      <c r="A3695" s="62" t="s">
        <v>3942</v>
      </c>
      <c r="B3695" s="63">
        <v>44124.0</v>
      </c>
      <c r="C3695" s="69">
        <v>22.68397560718553</v>
      </c>
    </row>
    <row r="3696">
      <c r="A3696" s="62" t="s">
        <v>4141</v>
      </c>
      <c r="B3696" s="63">
        <v>44221.0</v>
      </c>
      <c r="C3696" s="69">
        <v>22.683409434431468</v>
      </c>
    </row>
    <row r="3697">
      <c r="A3697" s="62" t="s">
        <v>2735</v>
      </c>
      <c r="B3697" s="63">
        <v>44223.0</v>
      </c>
      <c r="C3697" s="69">
        <v>22.68200233687584</v>
      </c>
    </row>
    <row r="3698">
      <c r="A3698" s="62" t="s">
        <v>6007</v>
      </c>
      <c r="B3698" s="63">
        <v>44362.0</v>
      </c>
      <c r="C3698" s="69">
        <v>22.68024380917391</v>
      </c>
    </row>
    <row r="3699">
      <c r="A3699" s="62" t="s">
        <v>4217</v>
      </c>
      <c r="B3699" s="63">
        <v>44187.0</v>
      </c>
      <c r="C3699" s="69">
        <v>22.680170328852878</v>
      </c>
    </row>
    <row r="3700">
      <c r="A3700" s="62" t="s">
        <v>5858</v>
      </c>
      <c r="B3700" s="63">
        <v>44355.0</v>
      </c>
      <c r="C3700" s="69">
        <v>22.676629273064442</v>
      </c>
    </row>
    <row r="3701">
      <c r="A3701" s="62" t="s">
        <v>1586</v>
      </c>
      <c r="B3701" s="63">
        <v>44342.0</v>
      </c>
      <c r="C3701" s="69">
        <v>22.671364450664807</v>
      </c>
    </row>
    <row r="3702">
      <c r="A3702" s="62" t="s">
        <v>6553</v>
      </c>
      <c r="B3702" s="63">
        <v>44357.0</v>
      </c>
      <c r="C3702" s="69">
        <v>22.67102754286227</v>
      </c>
    </row>
    <row r="3703">
      <c r="A3703" s="62" t="s">
        <v>5090</v>
      </c>
      <c r="B3703" s="63">
        <v>44271.0</v>
      </c>
      <c r="C3703" s="69">
        <v>22.667878663165798</v>
      </c>
    </row>
    <row r="3704">
      <c r="A3704" s="62" t="s">
        <v>4468</v>
      </c>
      <c r="B3704" s="63">
        <v>44267.0</v>
      </c>
      <c r="C3704" s="69">
        <v>22.661733859345922</v>
      </c>
    </row>
    <row r="3705">
      <c r="A3705" s="62" t="s">
        <v>2452</v>
      </c>
      <c r="B3705" s="63">
        <v>44397.0</v>
      </c>
      <c r="C3705" s="69">
        <v>22.65302008672763</v>
      </c>
    </row>
    <row r="3706">
      <c r="A3706" s="62" t="s">
        <v>1580</v>
      </c>
      <c r="B3706" s="63">
        <v>44334.0</v>
      </c>
      <c r="C3706" s="69">
        <v>22.645820483152242</v>
      </c>
    </row>
    <row r="3707">
      <c r="A3707" s="62" t="s">
        <v>3171</v>
      </c>
      <c r="B3707" s="63">
        <v>44117.0</v>
      </c>
      <c r="C3707" s="69">
        <v>22.63107274655166</v>
      </c>
    </row>
    <row r="3708">
      <c r="A3708" s="62" t="s">
        <v>1575</v>
      </c>
      <c r="B3708" s="63">
        <v>44336.0</v>
      </c>
      <c r="C3708" s="69">
        <v>22.626641097943846</v>
      </c>
    </row>
    <row r="3709">
      <c r="A3709" s="62" t="s">
        <v>3686</v>
      </c>
      <c r="B3709" s="63">
        <v>44128.0</v>
      </c>
      <c r="C3709" s="69">
        <v>22.623291934344117</v>
      </c>
    </row>
    <row r="3710">
      <c r="A3710" s="62" t="s">
        <v>2845</v>
      </c>
      <c r="B3710" s="63">
        <v>44223.0</v>
      </c>
      <c r="C3710" s="69">
        <v>22.622299655643253</v>
      </c>
    </row>
    <row r="3711">
      <c r="A3711" s="62" t="s">
        <v>3801</v>
      </c>
      <c r="B3711" s="63">
        <v>44128.0</v>
      </c>
      <c r="C3711" s="69">
        <v>22.618817517956153</v>
      </c>
    </row>
    <row r="3712">
      <c r="A3712" s="62" t="s">
        <v>1566</v>
      </c>
      <c r="B3712" s="63">
        <v>44343.0</v>
      </c>
      <c r="C3712" s="69">
        <v>22.616754677504517</v>
      </c>
    </row>
    <row r="3713">
      <c r="A3713" s="62" t="s">
        <v>5118</v>
      </c>
      <c r="B3713" s="63">
        <v>44313.0</v>
      </c>
      <c r="C3713" s="69">
        <v>22.615766258999837</v>
      </c>
    </row>
    <row r="3714">
      <c r="A3714" s="62" t="s">
        <v>5809</v>
      </c>
      <c r="B3714" s="63">
        <v>44377.0</v>
      </c>
      <c r="C3714" s="69">
        <v>22.61137593244126</v>
      </c>
    </row>
    <row r="3715">
      <c r="A3715" s="62" t="s">
        <v>2937</v>
      </c>
      <c r="B3715" s="63">
        <v>44228.0</v>
      </c>
      <c r="C3715" s="69">
        <v>22.60981947117786</v>
      </c>
    </row>
    <row r="3716">
      <c r="A3716" s="62" t="s">
        <v>2085</v>
      </c>
      <c r="B3716" s="63">
        <v>44168.0</v>
      </c>
      <c r="C3716" s="69">
        <v>22.609202826513666</v>
      </c>
    </row>
    <row r="3717">
      <c r="A3717" s="62" t="s">
        <v>1559</v>
      </c>
      <c r="B3717" s="63">
        <v>44336.0</v>
      </c>
      <c r="C3717" s="69">
        <v>22.6074832986963</v>
      </c>
    </row>
    <row r="3718">
      <c r="A3718" s="62" t="s">
        <v>2541</v>
      </c>
      <c r="B3718" s="63">
        <v>44392.0</v>
      </c>
      <c r="C3718" s="69">
        <v>22.607032120661582</v>
      </c>
    </row>
    <row r="3719">
      <c r="A3719" s="62" t="s">
        <v>5154</v>
      </c>
      <c r="B3719" s="63">
        <v>44308.0</v>
      </c>
      <c r="C3719" s="69">
        <v>22.60505628816297</v>
      </c>
    </row>
    <row r="3720">
      <c r="A3720" s="62" t="s">
        <v>3589</v>
      </c>
      <c r="B3720" s="63">
        <v>44120.0</v>
      </c>
      <c r="C3720" s="69">
        <v>22.598180968645526</v>
      </c>
    </row>
    <row r="3721">
      <c r="A3721" s="62" t="s">
        <v>223</v>
      </c>
      <c r="B3721" s="63">
        <v>44380.0</v>
      </c>
      <c r="C3721" s="69">
        <v>22.590555808253292</v>
      </c>
    </row>
    <row r="3722">
      <c r="A3722" s="62" t="s">
        <v>4350</v>
      </c>
      <c r="B3722" s="63">
        <v>44232.0</v>
      </c>
      <c r="C3722" s="69">
        <v>22.58935967150314</v>
      </c>
    </row>
    <row r="3723">
      <c r="A3723" s="62" t="s">
        <v>1569</v>
      </c>
      <c r="B3723" s="63">
        <v>44141.0</v>
      </c>
      <c r="C3723" s="69">
        <v>22.57689494194753</v>
      </c>
    </row>
    <row r="3724">
      <c r="A3724" s="62" t="s">
        <v>1553</v>
      </c>
      <c r="B3724" s="63">
        <v>44322.0</v>
      </c>
      <c r="C3724" s="69">
        <v>22.576562205274605</v>
      </c>
    </row>
    <row r="3725">
      <c r="A3725" s="62" t="s">
        <v>2608</v>
      </c>
      <c r="B3725" s="63">
        <v>44382.0</v>
      </c>
      <c r="C3725" s="69">
        <v>22.566273092469547</v>
      </c>
    </row>
    <row r="3726">
      <c r="A3726" s="62" t="s">
        <v>273</v>
      </c>
      <c r="B3726" s="63">
        <v>44070.0</v>
      </c>
      <c r="C3726" s="69">
        <v>22.56271807204684</v>
      </c>
    </row>
    <row r="3727">
      <c r="A3727" s="62" t="s">
        <v>5155</v>
      </c>
      <c r="B3727" s="63">
        <v>44312.0</v>
      </c>
      <c r="C3727" s="69">
        <v>22.550490915174542</v>
      </c>
    </row>
    <row r="3728">
      <c r="A3728" s="62" t="s">
        <v>4154</v>
      </c>
      <c r="B3728" s="63">
        <v>44148.0</v>
      </c>
      <c r="C3728" s="69">
        <v>22.545415427167978</v>
      </c>
    </row>
    <row r="3729">
      <c r="A3729" s="62" t="s">
        <v>4458</v>
      </c>
      <c r="B3729" s="63">
        <v>44295.0</v>
      </c>
      <c r="C3729" s="69">
        <v>22.53958425785327</v>
      </c>
    </row>
    <row r="3730">
      <c r="A3730" s="62" t="s">
        <v>4990</v>
      </c>
      <c r="B3730" s="63">
        <v>44306.0</v>
      </c>
      <c r="C3730" s="69">
        <v>22.537560088975187</v>
      </c>
    </row>
    <row r="3731">
      <c r="A3731" s="62" t="s">
        <v>1545</v>
      </c>
      <c r="B3731" s="63">
        <v>44328.0</v>
      </c>
      <c r="C3731" s="69">
        <v>22.53733970527519</v>
      </c>
    </row>
    <row r="3732">
      <c r="A3732" s="62" t="s">
        <v>6108</v>
      </c>
      <c r="B3732" s="63">
        <v>44370.0</v>
      </c>
      <c r="C3732" s="69">
        <v>22.536647789269605</v>
      </c>
    </row>
    <row r="3733">
      <c r="A3733" s="62" t="s">
        <v>1537</v>
      </c>
      <c r="B3733" s="63">
        <v>44332.0</v>
      </c>
      <c r="C3733" s="69">
        <v>22.535510558433174</v>
      </c>
    </row>
    <row r="3734">
      <c r="A3734" s="62" t="s">
        <v>4090</v>
      </c>
      <c r="B3734" s="63">
        <v>44137.0</v>
      </c>
      <c r="C3734" s="69">
        <v>22.525402367413776</v>
      </c>
    </row>
    <row r="3735">
      <c r="A3735" s="62" t="s">
        <v>1535</v>
      </c>
      <c r="B3735" s="63">
        <v>44335.0</v>
      </c>
      <c r="C3735" s="69">
        <v>22.5233604272581</v>
      </c>
    </row>
    <row r="3736">
      <c r="A3736" s="62" t="s">
        <v>2243</v>
      </c>
      <c r="B3736" s="63">
        <v>44062.0</v>
      </c>
      <c r="C3736" s="69">
        <v>22.52332996644215</v>
      </c>
    </row>
    <row r="3737">
      <c r="A3737" s="62" t="s">
        <v>3958</v>
      </c>
      <c r="B3737" s="63">
        <v>44131.0</v>
      </c>
      <c r="C3737" s="69">
        <v>22.52138685213535</v>
      </c>
    </row>
    <row r="3738">
      <c r="A3738" s="62" t="s">
        <v>1528</v>
      </c>
      <c r="B3738" s="63">
        <v>44336.0</v>
      </c>
      <c r="C3738" s="69">
        <v>22.52050557134072</v>
      </c>
    </row>
    <row r="3739">
      <c r="A3739" s="62" t="s">
        <v>2586</v>
      </c>
      <c r="B3739" s="63">
        <v>44380.0</v>
      </c>
      <c r="C3739" s="69">
        <v>22.514305415603143</v>
      </c>
    </row>
    <row r="3740">
      <c r="A3740" s="62" t="s">
        <v>431</v>
      </c>
      <c r="B3740" s="63">
        <v>44060.0</v>
      </c>
      <c r="C3740" s="69">
        <v>22.51069179432101</v>
      </c>
    </row>
    <row r="3741">
      <c r="A3741" s="62" t="s">
        <v>4478</v>
      </c>
      <c r="B3741" s="63">
        <v>44264.0</v>
      </c>
      <c r="C3741" s="69">
        <v>22.50876040921147</v>
      </c>
    </row>
    <row r="3742">
      <c r="A3742" s="62" t="s">
        <v>1683</v>
      </c>
      <c r="B3742" s="63">
        <v>44062.0</v>
      </c>
      <c r="C3742" s="69">
        <v>22.50869417874899</v>
      </c>
    </row>
    <row r="3743">
      <c r="A3743" s="62" t="s">
        <v>4681</v>
      </c>
      <c r="B3743" s="63">
        <v>44260.0</v>
      </c>
      <c r="C3743" s="69">
        <v>22.505152667906412</v>
      </c>
    </row>
    <row r="3744">
      <c r="A3744" s="62" t="s">
        <v>4482</v>
      </c>
      <c r="B3744" s="63">
        <v>44281.0</v>
      </c>
      <c r="C3744" s="69">
        <v>22.502780251806175</v>
      </c>
    </row>
    <row r="3745">
      <c r="A3745" s="62" t="s">
        <v>803</v>
      </c>
      <c r="B3745" s="63">
        <v>44236.0</v>
      </c>
      <c r="C3745" s="69">
        <v>22.501570467502848</v>
      </c>
    </row>
    <row r="3746">
      <c r="A3746" s="62" t="s">
        <v>4432</v>
      </c>
      <c r="B3746" s="63">
        <v>44274.0</v>
      </c>
      <c r="C3746" s="69">
        <v>22.496705033547016</v>
      </c>
    </row>
    <row r="3747">
      <c r="A3747" s="62" t="s">
        <v>2966</v>
      </c>
      <c r="B3747" s="63">
        <v>44179.0</v>
      </c>
      <c r="C3747" s="69">
        <v>22.493660555483928</v>
      </c>
    </row>
    <row r="3748">
      <c r="A3748" s="62" t="s">
        <v>4048</v>
      </c>
      <c r="B3748" s="63">
        <v>44223.0</v>
      </c>
      <c r="C3748" s="69">
        <v>22.481664067193567</v>
      </c>
    </row>
    <row r="3749">
      <c r="A3749" s="62" t="s">
        <v>1526</v>
      </c>
      <c r="B3749" s="63">
        <v>44327.0</v>
      </c>
      <c r="C3749" s="69">
        <v>22.477457311111152</v>
      </c>
    </row>
    <row r="3750">
      <c r="A3750" s="62" t="s">
        <v>6442</v>
      </c>
      <c r="B3750" s="63">
        <v>44376.0</v>
      </c>
      <c r="C3750" s="69">
        <v>22.47476726952182</v>
      </c>
    </row>
    <row r="3751">
      <c r="A3751" s="62" t="s">
        <v>2195</v>
      </c>
      <c r="B3751" s="63">
        <v>44071.0</v>
      </c>
      <c r="C3751" s="69">
        <v>22.461279926764163</v>
      </c>
    </row>
    <row r="3752">
      <c r="A3752" s="62" t="s">
        <v>1518</v>
      </c>
      <c r="B3752" s="63">
        <v>44347.0</v>
      </c>
      <c r="C3752" s="69">
        <v>22.44376679885974</v>
      </c>
    </row>
    <row r="3753">
      <c r="A3753" s="62" t="s">
        <v>1517</v>
      </c>
      <c r="B3753" s="63">
        <v>44347.0</v>
      </c>
      <c r="C3753" s="69">
        <v>22.442382226936903</v>
      </c>
    </row>
    <row r="3754">
      <c r="A3754" s="62" t="s">
        <v>2864</v>
      </c>
      <c r="B3754" s="63">
        <v>44173.0</v>
      </c>
      <c r="C3754" s="69">
        <v>22.440637358211738</v>
      </c>
    </row>
    <row r="3755">
      <c r="A3755" s="62" t="s">
        <v>2672</v>
      </c>
      <c r="B3755" s="63">
        <v>44125.0</v>
      </c>
      <c r="C3755" s="69">
        <v>22.428762944132103</v>
      </c>
    </row>
    <row r="3756">
      <c r="A3756" s="62" t="s">
        <v>2378</v>
      </c>
      <c r="B3756" s="63">
        <v>44378.0</v>
      </c>
      <c r="C3756" s="69">
        <v>22.42045981420273</v>
      </c>
    </row>
    <row r="3757">
      <c r="A3757" s="62" t="s">
        <v>4888</v>
      </c>
      <c r="B3757" s="63">
        <v>44307.0</v>
      </c>
      <c r="C3757" s="69">
        <v>22.409085447116688</v>
      </c>
    </row>
    <row r="3758">
      <c r="A3758" s="62" t="s">
        <v>4651</v>
      </c>
      <c r="B3758" s="63">
        <v>44274.0</v>
      </c>
      <c r="C3758" s="69">
        <v>22.408636256682833</v>
      </c>
    </row>
    <row r="3759">
      <c r="A3759" s="62" t="s">
        <v>6209</v>
      </c>
      <c r="B3759" s="63">
        <v>44356.0</v>
      </c>
      <c r="C3759" s="69">
        <v>22.404893786652625</v>
      </c>
    </row>
    <row r="3760">
      <c r="A3760" s="62" t="s">
        <v>4716</v>
      </c>
      <c r="B3760" s="63">
        <v>44272.0</v>
      </c>
      <c r="C3760" s="69">
        <v>22.402084789600643</v>
      </c>
    </row>
    <row r="3761">
      <c r="A3761" s="62" t="s">
        <v>3279</v>
      </c>
      <c r="B3761" s="63">
        <v>44131.0</v>
      </c>
      <c r="C3761" s="69">
        <v>22.40185976104168</v>
      </c>
    </row>
    <row r="3762">
      <c r="A3762" s="62" t="s">
        <v>6328</v>
      </c>
      <c r="B3762" s="63">
        <v>44370.0</v>
      </c>
      <c r="C3762" s="69">
        <v>22.396943363040215</v>
      </c>
    </row>
    <row r="3763">
      <c r="A3763" s="62" t="s">
        <v>6625</v>
      </c>
      <c r="B3763" s="63">
        <v>44376.0</v>
      </c>
      <c r="C3763" s="69">
        <v>22.39457344382306</v>
      </c>
    </row>
    <row r="3764">
      <c r="A3764" s="62" t="s">
        <v>4657</v>
      </c>
      <c r="B3764" s="63">
        <v>44302.0</v>
      </c>
      <c r="C3764" s="69">
        <v>22.392156641112727</v>
      </c>
    </row>
    <row r="3765">
      <c r="A3765" s="62" t="s">
        <v>2842</v>
      </c>
      <c r="B3765" s="63">
        <v>44199.0</v>
      </c>
      <c r="C3765" s="69">
        <v>22.38731609276698</v>
      </c>
    </row>
    <row r="3766">
      <c r="A3766" s="62" t="s">
        <v>5282</v>
      </c>
      <c r="B3766" s="63">
        <v>44369.0</v>
      </c>
      <c r="C3766" s="69">
        <v>22.385941076347244</v>
      </c>
    </row>
    <row r="3767">
      <c r="A3767" s="62" t="s">
        <v>1507</v>
      </c>
      <c r="B3767" s="63">
        <v>44336.0</v>
      </c>
      <c r="C3767" s="69">
        <v>22.385572402238367</v>
      </c>
    </row>
    <row r="3768">
      <c r="A3768" s="62" t="s">
        <v>5472</v>
      </c>
      <c r="B3768" s="63">
        <v>44371.0</v>
      </c>
      <c r="C3768" s="69">
        <v>22.384303351138925</v>
      </c>
    </row>
    <row r="3769">
      <c r="A3769" s="62" t="s">
        <v>4772</v>
      </c>
      <c r="B3769" s="63">
        <v>44273.0</v>
      </c>
      <c r="C3769" s="69">
        <v>22.38303510490157</v>
      </c>
    </row>
    <row r="3770">
      <c r="A3770" s="62" t="s">
        <v>6423</v>
      </c>
      <c r="B3770" s="63">
        <v>44366.0</v>
      </c>
      <c r="C3770" s="69">
        <v>22.37989292859968</v>
      </c>
    </row>
    <row r="3771">
      <c r="A3771" s="62" t="s">
        <v>1506</v>
      </c>
      <c r="B3771" s="63">
        <v>44343.0</v>
      </c>
      <c r="C3771" s="69">
        <v>22.37150177988355</v>
      </c>
    </row>
    <row r="3772">
      <c r="A3772" s="62" t="s">
        <v>6063</v>
      </c>
      <c r="B3772" s="63">
        <v>44361.0</v>
      </c>
      <c r="C3772" s="69">
        <v>22.369919712562073</v>
      </c>
    </row>
    <row r="3773">
      <c r="A3773" s="62" t="s">
        <v>3094</v>
      </c>
      <c r="B3773" s="63">
        <v>44233.0</v>
      </c>
      <c r="C3773" s="69">
        <v>22.367540088615108</v>
      </c>
    </row>
    <row r="3774">
      <c r="A3774" s="62" t="s">
        <v>4861</v>
      </c>
      <c r="B3774" s="63">
        <v>44277.0</v>
      </c>
      <c r="C3774" s="69">
        <v>22.364806017648075</v>
      </c>
    </row>
    <row r="3775">
      <c r="A3775" s="62" t="s">
        <v>1045</v>
      </c>
      <c r="B3775" s="63">
        <v>44091.0</v>
      </c>
      <c r="C3775" s="69">
        <v>22.356825607613658</v>
      </c>
    </row>
    <row r="3776">
      <c r="A3776" s="62" t="s">
        <v>1060</v>
      </c>
      <c r="B3776" s="63">
        <v>44119.0</v>
      </c>
      <c r="C3776" s="69">
        <v>22.356755967831667</v>
      </c>
    </row>
    <row r="3777">
      <c r="A3777" s="62" t="s">
        <v>3278</v>
      </c>
      <c r="B3777" s="63">
        <v>44224.0</v>
      </c>
      <c r="C3777" s="69">
        <v>22.34969264921917</v>
      </c>
    </row>
    <row r="3778">
      <c r="A3778" s="62" t="s">
        <v>3415</v>
      </c>
      <c r="B3778" s="63">
        <v>44207.0</v>
      </c>
      <c r="C3778" s="69">
        <v>22.349372371796797</v>
      </c>
    </row>
    <row r="3779">
      <c r="A3779" s="62" t="s">
        <v>1504</v>
      </c>
      <c r="B3779" s="63">
        <v>44340.0</v>
      </c>
      <c r="C3779" s="69">
        <v>22.348728281574715</v>
      </c>
    </row>
    <row r="3780">
      <c r="A3780" s="62" t="s">
        <v>2274</v>
      </c>
      <c r="B3780" s="63">
        <v>44391.0</v>
      </c>
      <c r="C3780" s="69">
        <v>22.347133567402487</v>
      </c>
    </row>
    <row r="3781">
      <c r="A3781" s="62" t="s">
        <v>4590</v>
      </c>
      <c r="B3781" s="63">
        <v>44280.0</v>
      </c>
      <c r="C3781" s="69">
        <v>22.345119936501806</v>
      </c>
    </row>
    <row r="3782">
      <c r="A3782" s="62" t="s">
        <v>1492</v>
      </c>
      <c r="B3782" s="63">
        <v>44344.0</v>
      </c>
      <c r="C3782" s="69">
        <v>22.337461522923114</v>
      </c>
    </row>
    <row r="3783">
      <c r="A3783" s="62" t="s">
        <v>4151</v>
      </c>
      <c r="B3783" s="63">
        <v>44160.0</v>
      </c>
      <c r="C3783" s="69">
        <v>22.331081151349863</v>
      </c>
    </row>
    <row r="3784">
      <c r="A3784" s="62" t="s">
        <v>2768</v>
      </c>
      <c r="B3784" s="63">
        <v>44190.0</v>
      </c>
      <c r="C3784" s="69">
        <v>22.33087805081738</v>
      </c>
    </row>
    <row r="3785">
      <c r="A3785" s="62" t="s">
        <v>4725</v>
      </c>
      <c r="B3785" s="63">
        <v>44272.0</v>
      </c>
      <c r="C3785" s="69">
        <v>22.3129852864071</v>
      </c>
    </row>
    <row r="3786">
      <c r="A3786" s="62" t="s">
        <v>3778</v>
      </c>
      <c r="B3786" s="63">
        <v>44223.0</v>
      </c>
      <c r="C3786" s="69">
        <v>22.310924520679936</v>
      </c>
    </row>
    <row r="3787">
      <c r="A3787" s="62" t="s">
        <v>1487</v>
      </c>
      <c r="B3787" s="63">
        <v>44343.0</v>
      </c>
      <c r="C3787" s="69">
        <v>22.31073958405588</v>
      </c>
    </row>
    <row r="3788">
      <c r="A3788" s="62" t="s">
        <v>4893</v>
      </c>
      <c r="B3788" s="63">
        <v>44278.0</v>
      </c>
      <c r="C3788" s="69">
        <v>22.303051393936446</v>
      </c>
    </row>
    <row r="3789">
      <c r="A3789" s="62" t="s">
        <v>2513</v>
      </c>
      <c r="B3789" s="63">
        <v>44390.0</v>
      </c>
      <c r="C3789" s="69">
        <v>22.300963105759195</v>
      </c>
    </row>
    <row r="3790">
      <c r="A3790" s="62" t="s">
        <v>4901</v>
      </c>
      <c r="B3790" s="63">
        <v>44262.0</v>
      </c>
      <c r="C3790" s="69">
        <v>22.294138435045937</v>
      </c>
    </row>
    <row r="3791">
      <c r="A3791" s="62" t="s">
        <v>2771</v>
      </c>
      <c r="B3791" s="63">
        <v>44236.0</v>
      </c>
      <c r="C3791" s="69">
        <v>22.291914248153795</v>
      </c>
    </row>
    <row r="3792">
      <c r="A3792" s="62" t="s">
        <v>6288</v>
      </c>
      <c r="B3792" s="63">
        <v>44376.0</v>
      </c>
      <c r="C3792" s="69">
        <v>22.284055404982563</v>
      </c>
    </row>
    <row r="3793">
      <c r="A3793" s="62" t="s">
        <v>5377</v>
      </c>
      <c r="B3793" s="63">
        <v>44371.0</v>
      </c>
      <c r="C3793" s="69">
        <v>22.28190170876371</v>
      </c>
    </row>
    <row r="3794">
      <c r="A3794" s="62" t="s">
        <v>1485</v>
      </c>
      <c r="B3794" s="63">
        <v>44337.0</v>
      </c>
      <c r="C3794" s="69">
        <v>22.279681554643275</v>
      </c>
    </row>
    <row r="3795">
      <c r="A3795" s="62" t="s">
        <v>1483</v>
      </c>
      <c r="B3795" s="63">
        <v>44333.0</v>
      </c>
      <c r="C3795" s="69">
        <v>22.27958956371567</v>
      </c>
    </row>
    <row r="3796">
      <c r="A3796" s="62" t="s">
        <v>6436</v>
      </c>
      <c r="B3796" s="63">
        <v>44364.0</v>
      </c>
      <c r="C3796" s="69">
        <v>22.27919801312105</v>
      </c>
    </row>
    <row r="3797">
      <c r="A3797" s="62" t="s">
        <v>4343</v>
      </c>
      <c r="B3797" s="63">
        <v>44243.0</v>
      </c>
      <c r="C3797" s="69">
        <v>22.27752043413311</v>
      </c>
    </row>
    <row r="3798">
      <c r="A3798" s="62" t="s">
        <v>3328</v>
      </c>
      <c r="B3798" s="63">
        <v>44097.0</v>
      </c>
      <c r="C3798" s="69">
        <v>22.275683796138107</v>
      </c>
    </row>
    <row r="3799">
      <c r="A3799" s="62" t="s">
        <v>2866</v>
      </c>
      <c r="B3799" s="63">
        <v>44231.0</v>
      </c>
      <c r="C3799" s="69">
        <v>22.268735788193847</v>
      </c>
    </row>
    <row r="3800">
      <c r="A3800" s="62" t="s">
        <v>1671</v>
      </c>
      <c r="B3800" s="63">
        <v>44374.0</v>
      </c>
      <c r="C3800" s="69">
        <v>22.26676420710446</v>
      </c>
    </row>
    <row r="3801">
      <c r="A3801" s="62" t="s">
        <v>6014</v>
      </c>
      <c r="B3801" s="63">
        <v>44376.0</v>
      </c>
      <c r="C3801" s="69">
        <v>22.264225563272074</v>
      </c>
    </row>
    <row r="3802">
      <c r="A3802" s="62" t="s">
        <v>3114</v>
      </c>
      <c r="B3802" s="63">
        <v>44173.0</v>
      </c>
      <c r="C3802" s="69">
        <v>22.25959954792772</v>
      </c>
    </row>
    <row r="3803">
      <c r="A3803" s="62" t="s">
        <v>4029</v>
      </c>
      <c r="B3803" s="63">
        <v>44221.0</v>
      </c>
      <c r="C3803" s="69">
        <v>22.258556037873785</v>
      </c>
    </row>
    <row r="3804">
      <c r="A3804" s="62" t="s">
        <v>4857</v>
      </c>
      <c r="B3804" s="63">
        <v>44271.0</v>
      </c>
      <c r="C3804" s="69">
        <v>22.25775573326013</v>
      </c>
    </row>
    <row r="3805">
      <c r="A3805" s="62" t="s">
        <v>6599</v>
      </c>
      <c r="B3805" s="63">
        <v>44376.0</v>
      </c>
      <c r="C3805" s="69">
        <v>22.257511389460227</v>
      </c>
    </row>
    <row r="3806">
      <c r="A3806" s="62" t="s">
        <v>1482</v>
      </c>
      <c r="B3806" s="63">
        <v>44328.0</v>
      </c>
      <c r="C3806" s="69">
        <v>22.25219331553353</v>
      </c>
    </row>
    <row r="3807">
      <c r="A3807" s="62" t="s">
        <v>6755</v>
      </c>
      <c r="B3807" s="63">
        <v>44362.0</v>
      </c>
      <c r="C3807" s="69">
        <v>22.24567621919526</v>
      </c>
    </row>
    <row r="3808">
      <c r="A3808" s="62" t="s">
        <v>4601</v>
      </c>
      <c r="B3808" s="63">
        <v>44315.0</v>
      </c>
      <c r="C3808" s="69">
        <v>22.244799160013944</v>
      </c>
    </row>
    <row r="3809">
      <c r="A3809" s="62" t="s">
        <v>3926</v>
      </c>
      <c r="B3809" s="63">
        <v>44159.0</v>
      </c>
      <c r="C3809" s="69">
        <v>22.244397256218832</v>
      </c>
    </row>
    <row r="3810">
      <c r="A3810" s="62" t="s">
        <v>3988</v>
      </c>
      <c r="B3810" s="63">
        <v>44222.0</v>
      </c>
      <c r="C3810" s="69">
        <v>22.241509554806353</v>
      </c>
    </row>
    <row r="3811">
      <c r="A3811" s="62" t="s">
        <v>1481</v>
      </c>
      <c r="B3811" s="63">
        <v>44322.0</v>
      </c>
      <c r="C3811" s="69">
        <v>22.228028843924623</v>
      </c>
    </row>
    <row r="3812">
      <c r="A3812" s="62" t="s">
        <v>2730</v>
      </c>
      <c r="B3812" s="63">
        <v>44176.0</v>
      </c>
      <c r="C3812" s="69">
        <v>22.227507664214194</v>
      </c>
    </row>
    <row r="3813">
      <c r="A3813" s="62" t="s">
        <v>2581</v>
      </c>
      <c r="B3813" s="63">
        <v>44392.0</v>
      </c>
      <c r="C3813" s="69">
        <v>22.223193623423697</v>
      </c>
    </row>
    <row r="3814">
      <c r="A3814" s="62" t="s">
        <v>1478</v>
      </c>
      <c r="B3814" s="63">
        <v>44347.0</v>
      </c>
      <c r="C3814" s="69">
        <v>22.22218459737444</v>
      </c>
    </row>
    <row r="3815">
      <c r="A3815" s="62" t="s">
        <v>2927</v>
      </c>
      <c r="B3815" s="63">
        <v>44160.0</v>
      </c>
      <c r="C3815" s="69">
        <v>22.21485049881531</v>
      </c>
    </row>
    <row r="3816">
      <c r="A3816" s="62" t="s">
        <v>2837</v>
      </c>
      <c r="B3816" s="63">
        <v>44208.0</v>
      </c>
      <c r="C3816" s="69">
        <v>22.213136737131315</v>
      </c>
    </row>
    <row r="3817">
      <c r="A3817" s="62" t="s">
        <v>3847</v>
      </c>
      <c r="B3817" s="63">
        <v>44222.0</v>
      </c>
      <c r="C3817" s="69">
        <v>22.21097768711495</v>
      </c>
    </row>
    <row r="3818">
      <c r="A3818" s="62" t="s">
        <v>2751</v>
      </c>
      <c r="B3818" s="63">
        <v>44237.0</v>
      </c>
      <c r="C3818" s="69">
        <v>22.210331581755383</v>
      </c>
    </row>
    <row r="3819">
      <c r="A3819" s="62" t="s">
        <v>5054</v>
      </c>
      <c r="B3819" s="63">
        <v>44287.0</v>
      </c>
      <c r="C3819" s="69">
        <v>22.203285256215434</v>
      </c>
    </row>
    <row r="3820">
      <c r="A3820" s="62" t="s">
        <v>1662</v>
      </c>
      <c r="B3820" s="63">
        <v>44229.0</v>
      </c>
      <c r="C3820" s="69">
        <v>22.19788584729311</v>
      </c>
    </row>
    <row r="3821">
      <c r="A3821" s="62" t="s">
        <v>3534</v>
      </c>
      <c r="B3821" s="63">
        <v>44232.0</v>
      </c>
      <c r="C3821" s="69">
        <v>22.190252969334075</v>
      </c>
    </row>
    <row r="3822">
      <c r="A3822" s="62" t="s">
        <v>5294</v>
      </c>
      <c r="B3822" s="63">
        <v>44358.0</v>
      </c>
      <c r="C3822" s="69">
        <v>22.187760408244387</v>
      </c>
    </row>
    <row r="3823">
      <c r="A3823" s="62" t="s">
        <v>1122</v>
      </c>
      <c r="B3823" s="63">
        <v>44158.0</v>
      </c>
      <c r="C3823" s="69">
        <v>22.186965611698042</v>
      </c>
    </row>
    <row r="3824">
      <c r="A3824" s="62" t="s">
        <v>5207</v>
      </c>
      <c r="B3824" s="63">
        <v>44305.0</v>
      </c>
      <c r="C3824" s="69">
        <v>22.183677723287364</v>
      </c>
    </row>
    <row r="3825">
      <c r="A3825" s="62" t="s">
        <v>2628</v>
      </c>
      <c r="B3825" s="63">
        <v>44121.0</v>
      </c>
      <c r="C3825" s="69">
        <v>22.17539946849094</v>
      </c>
    </row>
    <row r="3826">
      <c r="A3826" s="62" t="s">
        <v>1473</v>
      </c>
      <c r="B3826" s="63">
        <v>44341.0</v>
      </c>
      <c r="C3826" s="69">
        <v>22.174152979107365</v>
      </c>
    </row>
    <row r="3827">
      <c r="A3827" s="62" t="s">
        <v>1549</v>
      </c>
      <c r="B3827" s="63">
        <v>44377.0</v>
      </c>
      <c r="C3827" s="69">
        <v>22.17325050895839</v>
      </c>
    </row>
    <row r="3828">
      <c r="A3828" s="62" t="s">
        <v>3860</v>
      </c>
      <c r="B3828" s="63">
        <v>44235.0</v>
      </c>
      <c r="C3828" s="69">
        <v>22.169733562716786</v>
      </c>
    </row>
    <row r="3829">
      <c r="A3829" s="62" t="s">
        <v>5575</v>
      </c>
      <c r="B3829" s="63">
        <v>44377.0</v>
      </c>
      <c r="C3829" s="69">
        <v>22.169316533577565</v>
      </c>
    </row>
    <row r="3830">
      <c r="A3830" s="62" t="s">
        <v>6127</v>
      </c>
      <c r="B3830" s="63">
        <v>44349.0</v>
      </c>
      <c r="C3830" s="69">
        <v>22.16891554636248</v>
      </c>
    </row>
    <row r="3831">
      <c r="A3831" s="62" t="s">
        <v>4653</v>
      </c>
      <c r="B3831" s="63">
        <v>44307.0</v>
      </c>
      <c r="C3831" s="69">
        <v>22.16221935075239</v>
      </c>
    </row>
    <row r="3832">
      <c r="A3832" s="62" t="s">
        <v>4870</v>
      </c>
      <c r="B3832" s="63">
        <v>44256.0</v>
      </c>
      <c r="C3832" s="69">
        <v>22.15316636788274</v>
      </c>
    </row>
    <row r="3833">
      <c r="A3833" s="62" t="s">
        <v>4682</v>
      </c>
      <c r="B3833" s="63">
        <v>44272.0</v>
      </c>
      <c r="C3833" s="69">
        <v>22.15302951288806</v>
      </c>
    </row>
    <row r="3834">
      <c r="A3834" s="62" t="s">
        <v>6528</v>
      </c>
      <c r="B3834" s="63">
        <v>44376.0</v>
      </c>
      <c r="C3834" s="69">
        <v>22.1513583001669</v>
      </c>
    </row>
    <row r="3835">
      <c r="A3835" s="62" t="s">
        <v>1459</v>
      </c>
      <c r="B3835" s="63">
        <v>44343.0</v>
      </c>
      <c r="C3835" s="69">
        <v>22.151207034294703</v>
      </c>
    </row>
    <row r="3836">
      <c r="A3836" s="62" t="s">
        <v>4477</v>
      </c>
      <c r="B3836" s="63">
        <v>44313.0</v>
      </c>
      <c r="C3836" s="69">
        <v>22.144250367587873</v>
      </c>
    </row>
    <row r="3837">
      <c r="A3837" s="62" t="s">
        <v>1474</v>
      </c>
      <c r="B3837" s="63">
        <v>44127.0</v>
      </c>
      <c r="C3837" s="69">
        <v>22.142710629571162</v>
      </c>
    </row>
    <row r="3838">
      <c r="A3838" s="62" t="s">
        <v>1447</v>
      </c>
      <c r="B3838" s="63">
        <v>44336.0</v>
      </c>
      <c r="C3838" s="69">
        <v>22.13945359261797</v>
      </c>
    </row>
    <row r="3839">
      <c r="A3839" s="62" t="s">
        <v>4263</v>
      </c>
      <c r="B3839" s="63">
        <v>44216.0</v>
      </c>
      <c r="C3839" s="69">
        <v>22.13445825288346</v>
      </c>
    </row>
    <row r="3840">
      <c r="A3840" s="62" t="s">
        <v>5386</v>
      </c>
      <c r="B3840" s="63">
        <v>44372.0</v>
      </c>
      <c r="C3840" s="69">
        <v>22.132919392592672</v>
      </c>
    </row>
    <row r="3841">
      <c r="A3841" s="62" t="s">
        <v>4474</v>
      </c>
      <c r="B3841" s="63">
        <v>44281.0</v>
      </c>
      <c r="C3841" s="69">
        <v>22.130152077777467</v>
      </c>
    </row>
    <row r="3842">
      <c r="A3842" s="62" t="s">
        <v>2770</v>
      </c>
      <c r="B3842" s="63">
        <v>44162.0</v>
      </c>
      <c r="C3842" s="69">
        <v>22.127783458306162</v>
      </c>
    </row>
    <row r="3843">
      <c r="A3843" s="62" t="s">
        <v>600</v>
      </c>
      <c r="B3843" s="63">
        <v>44383.0</v>
      </c>
      <c r="C3843" s="69">
        <v>22.118807815636508</v>
      </c>
    </row>
    <row r="3844">
      <c r="A3844" s="62" t="s">
        <v>4650</v>
      </c>
      <c r="B3844" s="63">
        <v>44299.0</v>
      </c>
      <c r="C3844" s="69">
        <v>22.117015153832746</v>
      </c>
    </row>
    <row r="3845">
      <c r="A3845" s="62" t="s">
        <v>3301</v>
      </c>
      <c r="B3845" s="63">
        <v>44204.0</v>
      </c>
      <c r="C3845" s="69">
        <v>22.116428803634292</v>
      </c>
    </row>
    <row r="3846">
      <c r="A3846" s="62" t="s">
        <v>1440</v>
      </c>
      <c r="B3846" s="63">
        <v>44322.0</v>
      </c>
      <c r="C3846" s="69">
        <v>22.112960811781658</v>
      </c>
    </row>
    <row r="3847">
      <c r="A3847" s="62" t="s">
        <v>3937</v>
      </c>
      <c r="B3847" s="63">
        <v>44147.0</v>
      </c>
      <c r="C3847" s="69">
        <v>22.1117689202419</v>
      </c>
    </row>
    <row r="3848">
      <c r="A3848" s="62" t="s">
        <v>1429</v>
      </c>
      <c r="B3848" s="63">
        <v>44322.0</v>
      </c>
      <c r="C3848" s="69">
        <v>22.111268527845084</v>
      </c>
    </row>
    <row r="3849">
      <c r="A3849" s="62" t="s">
        <v>4414</v>
      </c>
      <c r="B3849" s="63">
        <v>44217.0</v>
      </c>
      <c r="C3849" s="69">
        <v>22.10362328971243</v>
      </c>
    </row>
    <row r="3850">
      <c r="A3850" s="62" t="s">
        <v>1422</v>
      </c>
      <c r="B3850" s="63">
        <v>44344.0</v>
      </c>
      <c r="C3850" s="69">
        <v>22.09913463888847</v>
      </c>
    </row>
    <row r="3851">
      <c r="A3851" s="62" t="s">
        <v>6532</v>
      </c>
      <c r="B3851" s="63">
        <v>44376.0</v>
      </c>
      <c r="C3851" s="69">
        <v>22.09677581807473</v>
      </c>
    </row>
    <row r="3852">
      <c r="A3852" s="62" t="s">
        <v>3182</v>
      </c>
      <c r="B3852" s="63">
        <v>44151.0</v>
      </c>
      <c r="C3852" s="69">
        <v>22.092697891259032</v>
      </c>
    </row>
    <row r="3853">
      <c r="A3853" s="62" t="s">
        <v>5233</v>
      </c>
      <c r="B3853" s="63">
        <v>44279.0</v>
      </c>
      <c r="C3853" s="69">
        <v>22.090144892310235</v>
      </c>
    </row>
    <row r="3854">
      <c r="A3854" s="62" t="s">
        <v>3156</v>
      </c>
      <c r="B3854" s="63">
        <v>44075.0</v>
      </c>
      <c r="C3854" s="69">
        <v>22.09003742243446</v>
      </c>
    </row>
    <row r="3855">
      <c r="A3855" s="62" t="s">
        <v>6446</v>
      </c>
      <c r="B3855" s="63">
        <v>44364.0</v>
      </c>
      <c r="C3855" s="69">
        <v>22.076578604517024</v>
      </c>
    </row>
    <row r="3856">
      <c r="A3856" s="62" t="s">
        <v>6506</v>
      </c>
      <c r="B3856" s="63">
        <v>44357.0</v>
      </c>
      <c r="C3856" s="69">
        <v>22.07635673789651</v>
      </c>
    </row>
    <row r="3857">
      <c r="A3857" s="62" t="s">
        <v>1420</v>
      </c>
      <c r="B3857" s="63">
        <v>44347.0</v>
      </c>
      <c r="C3857" s="69">
        <v>22.07431277278598</v>
      </c>
    </row>
    <row r="3858">
      <c r="A3858" s="62" t="s">
        <v>3098</v>
      </c>
      <c r="B3858" s="63">
        <v>44201.0</v>
      </c>
      <c r="C3858" s="69">
        <v>22.072678173592205</v>
      </c>
    </row>
    <row r="3859">
      <c r="A3859" s="62" t="s">
        <v>6018</v>
      </c>
      <c r="B3859" s="63">
        <v>44355.0</v>
      </c>
      <c r="C3859" s="69">
        <v>22.06940856787094</v>
      </c>
    </row>
    <row r="3860">
      <c r="A3860" s="62" t="s">
        <v>3810</v>
      </c>
      <c r="B3860" s="63">
        <v>44223.0</v>
      </c>
      <c r="C3860" s="69">
        <v>22.048989886916644</v>
      </c>
    </row>
    <row r="3861">
      <c r="A3861" s="62" t="s">
        <v>4149</v>
      </c>
      <c r="B3861" s="63">
        <v>44245.0</v>
      </c>
      <c r="C3861" s="69">
        <v>22.045375091377846</v>
      </c>
    </row>
    <row r="3862">
      <c r="A3862" s="62" t="s">
        <v>4071</v>
      </c>
      <c r="B3862" s="63">
        <v>44223.0</v>
      </c>
      <c r="C3862" s="69">
        <v>22.04459367685592</v>
      </c>
    </row>
    <row r="3863">
      <c r="A3863" s="62" t="s">
        <v>2726</v>
      </c>
      <c r="B3863" s="63">
        <v>44204.0</v>
      </c>
      <c r="C3863" s="69">
        <v>22.02976513594219</v>
      </c>
    </row>
    <row r="3864">
      <c r="A3864" s="62" t="s">
        <v>4320</v>
      </c>
      <c r="B3864" s="63">
        <v>44076.0</v>
      </c>
      <c r="C3864" s="69">
        <v>22.02702825976294</v>
      </c>
    </row>
    <row r="3865">
      <c r="A3865" s="62" t="s">
        <v>5577</v>
      </c>
      <c r="B3865" s="63">
        <v>44358.0</v>
      </c>
      <c r="C3865" s="69">
        <v>22.02657154672592</v>
      </c>
    </row>
    <row r="3866">
      <c r="A3866" s="62" t="s">
        <v>1003</v>
      </c>
      <c r="B3866" s="63">
        <v>44243.0</v>
      </c>
      <c r="C3866" s="69">
        <v>22.024676345876788</v>
      </c>
    </row>
    <row r="3867">
      <c r="A3867" s="62" t="s">
        <v>5297</v>
      </c>
      <c r="B3867" s="63">
        <v>44375.0</v>
      </c>
      <c r="C3867" s="69">
        <v>22.02397588789603</v>
      </c>
    </row>
    <row r="3868">
      <c r="A3868" s="62" t="s">
        <v>2780</v>
      </c>
      <c r="B3868" s="63">
        <v>44242.0</v>
      </c>
      <c r="C3868" s="69">
        <v>22.023248413745954</v>
      </c>
    </row>
    <row r="3869">
      <c r="A3869" s="62" t="s">
        <v>5604</v>
      </c>
      <c r="B3869" s="63">
        <v>44371.0</v>
      </c>
      <c r="C3869" s="69">
        <v>22.023247552763678</v>
      </c>
    </row>
    <row r="3870">
      <c r="A3870" s="62" t="s">
        <v>2271</v>
      </c>
      <c r="B3870" s="63">
        <v>44379.0</v>
      </c>
      <c r="C3870" s="69">
        <v>22.01126201829134</v>
      </c>
    </row>
    <row r="3871">
      <c r="A3871" s="62" t="s">
        <v>1416</v>
      </c>
      <c r="B3871" s="63">
        <v>44342.0</v>
      </c>
      <c r="C3871" s="69">
        <v>22.010288455295527</v>
      </c>
    </row>
    <row r="3872">
      <c r="A3872" s="62" t="s">
        <v>1412</v>
      </c>
      <c r="B3872" s="63">
        <v>44319.0</v>
      </c>
      <c r="C3872" s="69">
        <v>22.009420243848798</v>
      </c>
    </row>
    <row r="3873">
      <c r="A3873" s="62" t="s">
        <v>5710</v>
      </c>
      <c r="B3873" s="63">
        <v>44376.0</v>
      </c>
      <c r="C3873" s="69">
        <v>22.007589553980253</v>
      </c>
    </row>
    <row r="3874">
      <c r="A3874" s="62" t="s">
        <v>3470</v>
      </c>
      <c r="B3874" s="63">
        <v>44195.0</v>
      </c>
      <c r="C3874" s="69">
        <v>22.002126708804177</v>
      </c>
    </row>
    <row r="3875">
      <c r="A3875" s="62" t="s">
        <v>3956</v>
      </c>
      <c r="B3875" s="63">
        <v>44088.0</v>
      </c>
      <c r="C3875" s="69">
        <v>22.001772283631375</v>
      </c>
    </row>
    <row r="3876">
      <c r="A3876" s="62" t="s">
        <v>2567</v>
      </c>
      <c r="B3876" s="63">
        <v>44386.0</v>
      </c>
      <c r="C3876" s="69">
        <v>21.996633353471204</v>
      </c>
    </row>
    <row r="3877">
      <c r="A3877" s="62" t="s">
        <v>5046</v>
      </c>
      <c r="B3877" s="63">
        <v>44265.0</v>
      </c>
      <c r="C3877" s="69">
        <v>21.992950761495344</v>
      </c>
    </row>
    <row r="3878">
      <c r="A3878" s="62" t="s">
        <v>2786</v>
      </c>
      <c r="B3878" s="63">
        <v>44176.0</v>
      </c>
      <c r="C3878" s="69">
        <v>21.990036571175526</v>
      </c>
    </row>
    <row r="3879">
      <c r="A3879" s="62" t="s">
        <v>1401</v>
      </c>
      <c r="B3879" s="63">
        <v>44347.0</v>
      </c>
      <c r="C3879" s="69">
        <v>21.98491101985607</v>
      </c>
    </row>
    <row r="3880">
      <c r="A3880" s="62" t="s">
        <v>5637</v>
      </c>
      <c r="B3880" s="63">
        <v>44355.0</v>
      </c>
      <c r="C3880" s="69">
        <v>21.981142411871424</v>
      </c>
    </row>
    <row r="3881">
      <c r="A3881" s="62" t="s">
        <v>6520</v>
      </c>
      <c r="B3881" s="63">
        <v>44372.0</v>
      </c>
      <c r="C3881" s="69">
        <v>21.9754302737363</v>
      </c>
    </row>
    <row r="3882">
      <c r="A3882" s="62" t="s">
        <v>2600</v>
      </c>
      <c r="B3882" s="63">
        <v>44392.0</v>
      </c>
      <c r="C3882" s="69">
        <v>21.969888635546223</v>
      </c>
    </row>
    <row r="3883">
      <c r="A3883" s="62" t="s">
        <v>6644</v>
      </c>
      <c r="B3883" s="63">
        <v>44365.0</v>
      </c>
      <c r="C3883" s="69">
        <v>21.969473703811772</v>
      </c>
    </row>
    <row r="3884">
      <c r="A3884" s="62" t="s">
        <v>1392</v>
      </c>
      <c r="B3884" s="63">
        <v>44319.0</v>
      </c>
      <c r="C3884" s="69">
        <v>21.964587373447486</v>
      </c>
    </row>
    <row r="3885">
      <c r="A3885" s="62" t="s">
        <v>5613</v>
      </c>
      <c r="B3885" s="63">
        <v>44357.0</v>
      </c>
      <c r="C3885" s="69">
        <v>21.961891592025008</v>
      </c>
    </row>
    <row r="3886">
      <c r="A3886" s="62" t="s">
        <v>3840</v>
      </c>
      <c r="B3886" s="63">
        <v>44193.0</v>
      </c>
      <c r="C3886" s="69">
        <v>21.961154081648566</v>
      </c>
    </row>
    <row r="3887">
      <c r="A3887" s="62" t="s">
        <v>2273</v>
      </c>
      <c r="B3887" s="63">
        <v>44380.0</v>
      </c>
      <c r="C3887" s="69">
        <v>21.96029551187328</v>
      </c>
    </row>
    <row r="3888">
      <c r="A3888" s="62" t="s">
        <v>4491</v>
      </c>
      <c r="B3888" s="63">
        <v>44296.0</v>
      </c>
      <c r="C3888" s="69">
        <v>21.956015387454627</v>
      </c>
    </row>
    <row r="3889">
      <c r="A3889" s="62" t="s">
        <v>4164</v>
      </c>
      <c r="B3889" s="63">
        <v>44235.0</v>
      </c>
      <c r="C3889" s="69">
        <v>21.955191812489694</v>
      </c>
    </row>
    <row r="3890">
      <c r="A3890" s="62" t="s">
        <v>1380</v>
      </c>
      <c r="B3890" s="63">
        <v>44347.0</v>
      </c>
      <c r="C3890" s="69">
        <v>21.954319077355482</v>
      </c>
    </row>
    <row r="3891">
      <c r="A3891" s="62" t="s">
        <v>2857</v>
      </c>
      <c r="B3891" s="63">
        <v>44232.0</v>
      </c>
      <c r="C3891" s="69">
        <v>21.952119611202438</v>
      </c>
    </row>
    <row r="3892">
      <c r="A3892" s="62" t="s">
        <v>4790</v>
      </c>
      <c r="B3892" s="63">
        <v>44280.0</v>
      </c>
      <c r="C3892" s="69">
        <v>21.946816043150076</v>
      </c>
    </row>
    <row r="3893">
      <c r="A3893" s="62" t="s">
        <v>3763</v>
      </c>
      <c r="B3893" s="63">
        <v>44090.0</v>
      </c>
      <c r="C3893" s="69">
        <v>21.94196853297662</v>
      </c>
    </row>
    <row r="3894">
      <c r="A3894" s="62" t="s">
        <v>4296</v>
      </c>
      <c r="B3894" s="63">
        <v>44091.0</v>
      </c>
      <c r="C3894" s="69">
        <v>21.936456509873143</v>
      </c>
    </row>
    <row r="3895">
      <c r="A3895" s="62" t="s">
        <v>3337</v>
      </c>
      <c r="B3895" s="63">
        <v>44223.0</v>
      </c>
      <c r="C3895" s="69">
        <v>21.919283189772326</v>
      </c>
    </row>
    <row r="3896">
      <c r="A3896" s="62" t="s">
        <v>242</v>
      </c>
      <c r="B3896" s="63">
        <v>44392.0</v>
      </c>
      <c r="C3896" s="69">
        <v>21.916545891861247</v>
      </c>
    </row>
    <row r="3897">
      <c r="A3897" s="62" t="s">
        <v>1387</v>
      </c>
      <c r="B3897" s="63">
        <v>44228.0</v>
      </c>
      <c r="C3897" s="69">
        <v>21.91413183673985</v>
      </c>
    </row>
    <row r="3898">
      <c r="A3898" s="62" t="s">
        <v>4354</v>
      </c>
      <c r="B3898" s="63">
        <v>44181.0</v>
      </c>
      <c r="C3898" s="69">
        <v>21.902416839182592</v>
      </c>
    </row>
    <row r="3899">
      <c r="A3899" s="62" t="s">
        <v>287</v>
      </c>
      <c r="B3899" s="63">
        <v>44125.0</v>
      </c>
      <c r="C3899" s="69">
        <v>21.900823201683487</v>
      </c>
    </row>
    <row r="3900">
      <c r="A3900" s="62" t="s">
        <v>3974</v>
      </c>
      <c r="B3900" s="63">
        <v>44246.0</v>
      </c>
      <c r="C3900" s="69">
        <v>21.893056446495155</v>
      </c>
    </row>
    <row r="3901">
      <c r="A3901" s="62" t="s">
        <v>1371</v>
      </c>
      <c r="B3901" s="63">
        <v>44279.0</v>
      </c>
      <c r="C3901" s="69">
        <v>21.891960975375298</v>
      </c>
    </row>
    <row r="3902">
      <c r="A3902" s="62" t="s">
        <v>3614</v>
      </c>
      <c r="B3902" s="63">
        <v>44082.0</v>
      </c>
      <c r="C3902" s="69">
        <v>21.89047998441332</v>
      </c>
    </row>
    <row r="3903">
      <c r="A3903" s="62" t="s">
        <v>1764</v>
      </c>
      <c r="B3903" s="63">
        <v>44204.0</v>
      </c>
      <c r="C3903" s="69">
        <v>21.887377422461007</v>
      </c>
    </row>
    <row r="3904">
      <c r="A3904" s="62" t="s">
        <v>4728</v>
      </c>
      <c r="B3904" s="63">
        <v>44299.0</v>
      </c>
      <c r="C3904" s="69">
        <v>21.88512995089621</v>
      </c>
    </row>
    <row r="3905">
      <c r="A3905" s="62" t="s">
        <v>5504</v>
      </c>
      <c r="B3905" s="63">
        <v>44348.0</v>
      </c>
      <c r="C3905" s="69">
        <v>21.883130615232368</v>
      </c>
    </row>
    <row r="3906">
      <c r="A3906" s="62" t="s">
        <v>2935</v>
      </c>
      <c r="B3906" s="63">
        <v>44148.0</v>
      </c>
      <c r="C3906" s="69">
        <v>21.872076615788515</v>
      </c>
    </row>
    <row r="3907">
      <c r="A3907" s="62" t="s">
        <v>5220</v>
      </c>
      <c r="B3907" s="63">
        <v>44285.0</v>
      </c>
      <c r="C3907" s="69">
        <v>21.861788395127775</v>
      </c>
    </row>
    <row r="3908">
      <c r="A3908" s="62" t="s">
        <v>2942</v>
      </c>
      <c r="B3908" s="63">
        <v>44250.0</v>
      </c>
      <c r="C3908" s="69">
        <v>21.86178492039022</v>
      </c>
    </row>
    <row r="3909">
      <c r="A3909" s="62" t="s">
        <v>4988</v>
      </c>
      <c r="B3909" s="63">
        <v>44305.0</v>
      </c>
      <c r="C3909" s="69">
        <v>21.860240237831164</v>
      </c>
    </row>
    <row r="3910">
      <c r="A3910" s="62" t="s">
        <v>6197</v>
      </c>
      <c r="B3910" s="63">
        <v>44358.0</v>
      </c>
      <c r="C3910" s="69">
        <v>21.85968015924059</v>
      </c>
    </row>
    <row r="3911">
      <c r="A3911" s="62" t="s">
        <v>2670</v>
      </c>
      <c r="B3911" s="63">
        <v>44104.0</v>
      </c>
      <c r="C3911" s="69">
        <v>21.857937801679654</v>
      </c>
    </row>
    <row r="3912">
      <c r="A3912" s="62" t="s">
        <v>3862</v>
      </c>
      <c r="B3912" s="63">
        <v>44112.0</v>
      </c>
      <c r="C3912" s="69">
        <v>21.84639756730968</v>
      </c>
    </row>
    <row r="3913">
      <c r="A3913" s="62" t="s">
        <v>3416</v>
      </c>
      <c r="B3913" s="63">
        <v>44159.0</v>
      </c>
      <c r="C3913" s="69">
        <v>21.845956640977363</v>
      </c>
    </row>
    <row r="3914">
      <c r="A3914" s="62" t="s">
        <v>5127</v>
      </c>
      <c r="B3914" s="63">
        <v>44281.0</v>
      </c>
      <c r="C3914" s="69">
        <v>21.838185351978964</v>
      </c>
    </row>
    <row r="3915">
      <c r="A3915" s="62" t="s">
        <v>3497</v>
      </c>
      <c r="B3915" s="63">
        <v>44096.0</v>
      </c>
      <c r="C3915" s="69">
        <v>21.83542143734151</v>
      </c>
    </row>
    <row r="3916">
      <c r="A3916" s="62" t="s">
        <v>4732</v>
      </c>
      <c r="B3916" s="63">
        <v>44273.0</v>
      </c>
      <c r="C3916" s="69">
        <v>21.831042995740788</v>
      </c>
    </row>
    <row r="3917">
      <c r="A3917" s="62" t="s">
        <v>2419</v>
      </c>
      <c r="B3917" s="63">
        <v>44384.0</v>
      </c>
      <c r="C3917" s="69">
        <v>21.8303334046675</v>
      </c>
    </row>
    <row r="3918">
      <c r="A3918" s="62" t="s">
        <v>6010</v>
      </c>
      <c r="B3918" s="63">
        <v>44363.0</v>
      </c>
      <c r="C3918" s="69">
        <v>21.829286539707255</v>
      </c>
    </row>
    <row r="3919">
      <c r="A3919" s="62" t="s">
        <v>4783</v>
      </c>
      <c r="B3919" s="63">
        <v>44292.0</v>
      </c>
      <c r="C3919" s="69">
        <v>21.82303843331017</v>
      </c>
    </row>
    <row r="3920">
      <c r="A3920" s="62" t="s">
        <v>357</v>
      </c>
      <c r="B3920" s="63">
        <v>44355.0</v>
      </c>
      <c r="C3920" s="69">
        <v>21.82079047068408</v>
      </c>
    </row>
    <row r="3921">
      <c r="A3921" s="62" t="s">
        <v>1375</v>
      </c>
      <c r="B3921" s="63">
        <v>44331.0</v>
      </c>
      <c r="C3921" s="69">
        <v>21.816201810116354</v>
      </c>
    </row>
    <row r="3922">
      <c r="A3922" s="62" t="s">
        <v>3790</v>
      </c>
      <c r="B3922" s="63">
        <v>44215.0</v>
      </c>
      <c r="C3922" s="69">
        <v>21.81394635212677</v>
      </c>
    </row>
    <row r="3923">
      <c r="A3923" s="62" t="s">
        <v>1963</v>
      </c>
      <c r="B3923" s="63">
        <v>44228.0</v>
      </c>
      <c r="C3923" s="69">
        <v>21.810549378870977</v>
      </c>
    </row>
    <row r="3924">
      <c r="A3924" s="62" t="s">
        <v>3167</v>
      </c>
      <c r="B3924" s="63">
        <v>44122.0</v>
      </c>
      <c r="C3924" s="69">
        <v>21.80622524879776</v>
      </c>
    </row>
    <row r="3925">
      <c r="A3925" s="62" t="s">
        <v>1373</v>
      </c>
      <c r="B3925" s="63">
        <v>44319.0</v>
      </c>
      <c r="C3925" s="69">
        <v>21.8022763490966</v>
      </c>
    </row>
    <row r="3926">
      <c r="A3926" s="62" t="s">
        <v>5612</v>
      </c>
      <c r="B3926" s="63">
        <v>44376.0</v>
      </c>
      <c r="C3926" s="69">
        <v>21.801915796094878</v>
      </c>
    </row>
    <row r="3927">
      <c r="A3927" s="62" t="s">
        <v>1748</v>
      </c>
      <c r="B3927" s="63">
        <v>44245.0</v>
      </c>
      <c r="C3927" s="69">
        <v>21.79806881869115</v>
      </c>
    </row>
    <row r="3928">
      <c r="A3928" s="62" t="s">
        <v>2649</v>
      </c>
      <c r="B3928" s="63">
        <v>44148.0</v>
      </c>
      <c r="C3928" s="69">
        <v>21.798059167915845</v>
      </c>
    </row>
    <row r="3929">
      <c r="A3929" s="62" t="s">
        <v>1966</v>
      </c>
      <c r="B3929" s="63">
        <v>44200.0</v>
      </c>
      <c r="C3929" s="69">
        <v>21.79438944325119</v>
      </c>
    </row>
    <row r="3930">
      <c r="A3930" s="62" t="s">
        <v>2555</v>
      </c>
      <c r="B3930" s="63">
        <v>44379.0</v>
      </c>
      <c r="C3930" s="69">
        <v>21.794007903337484</v>
      </c>
    </row>
    <row r="3931">
      <c r="A3931" s="62" t="s">
        <v>5970</v>
      </c>
      <c r="B3931" s="63">
        <v>44354.0</v>
      </c>
      <c r="C3931" s="69">
        <v>21.786864103943813</v>
      </c>
    </row>
    <row r="3932">
      <c r="A3932" s="62" t="s">
        <v>4303</v>
      </c>
      <c r="B3932" s="63">
        <v>44236.0</v>
      </c>
      <c r="C3932" s="69">
        <v>21.78600128562732</v>
      </c>
    </row>
    <row r="3933">
      <c r="A3933" s="62" t="s">
        <v>2265</v>
      </c>
      <c r="B3933" s="63">
        <v>44382.0</v>
      </c>
      <c r="C3933" s="69">
        <v>21.781739481465515</v>
      </c>
    </row>
    <row r="3934">
      <c r="A3934" s="62" t="s">
        <v>5913</v>
      </c>
      <c r="B3934" s="63">
        <v>44370.0</v>
      </c>
      <c r="C3934" s="69">
        <v>21.779446913127284</v>
      </c>
    </row>
    <row r="3935">
      <c r="A3935" s="62" t="s">
        <v>6499</v>
      </c>
      <c r="B3935" s="63">
        <v>44364.0</v>
      </c>
      <c r="C3935" s="69">
        <v>21.777347151282598</v>
      </c>
    </row>
    <row r="3936">
      <c r="A3936" s="62" t="s">
        <v>5237</v>
      </c>
      <c r="B3936" s="63">
        <v>44293.0</v>
      </c>
      <c r="C3936" s="69">
        <v>21.77348538457179</v>
      </c>
    </row>
    <row r="3937">
      <c r="A3937" s="62" t="s">
        <v>997</v>
      </c>
      <c r="B3937" s="63">
        <v>44389.0</v>
      </c>
      <c r="C3937" s="69">
        <v>21.77313918374847</v>
      </c>
    </row>
    <row r="3938">
      <c r="A3938" s="62" t="s">
        <v>4292</v>
      </c>
      <c r="B3938" s="63">
        <v>44216.0</v>
      </c>
      <c r="C3938" s="69">
        <v>21.769929526537073</v>
      </c>
    </row>
    <row r="3939">
      <c r="A3939" s="62" t="s">
        <v>3581</v>
      </c>
      <c r="B3939" s="63">
        <v>44231.0</v>
      </c>
      <c r="C3939" s="69">
        <v>21.76936951495584</v>
      </c>
    </row>
    <row r="3940">
      <c r="A3940" s="62" t="s">
        <v>6398</v>
      </c>
      <c r="B3940" s="63">
        <v>44356.0</v>
      </c>
      <c r="C3940" s="69">
        <v>21.76297235555051</v>
      </c>
    </row>
    <row r="3941">
      <c r="A3941" s="62" t="s">
        <v>3259</v>
      </c>
      <c r="B3941" s="63">
        <v>44243.0</v>
      </c>
      <c r="C3941" s="69">
        <v>21.746798913755768</v>
      </c>
    </row>
    <row r="3942">
      <c r="A3942" s="62" t="s">
        <v>1361</v>
      </c>
      <c r="B3942" s="63">
        <v>44335.0</v>
      </c>
      <c r="C3942" s="69">
        <v>21.74005038573113</v>
      </c>
    </row>
    <row r="3943">
      <c r="A3943" s="62" t="s">
        <v>6611</v>
      </c>
      <c r="B3943" s="63">
        <v>44358.0</v>
      </c>
      <c r="C3943" s="69">
        <v>21.739657712404842</v>
      </c>
    </row>
    <row r="3944">
      <c r="A3944" s="62" t="s">
        <v>1359</v>
      </c>
      <c r="B3944" s="63">
        <v>44330.0</v>
      </c>
      <c r="C3944" s="69">
        <v>21.73792221329364</v>
      </c>
    </row>
    <row r="3945">
      <c r="A3945" s="62" t="s">
        <v>1351</v>
      </c>
      <c r="B3945" s="63">
        <v>44335.0</v>
      </c>
      <c r="C3945" s="69">
        <v>21.72874407014018</v>
      </c>
    </row>
    <row r="3946">
      <c r="A3946" s="62" t="s">
        <v>1350</v>
      </c>
      <c r="B3946" s="63">
        <v>44340.0</v>
      </c>
      <c r="C3946" s="69">
        <v>21.7222563344761</v>
      </c>
    </row>
    <row r="3947">
      <c r="A3947" s="62" t="s">
        <v>4936</v>
      </c>
      <c r="B3947" s="63">
        <v>44273.0</v>
      </c>
      <c r="C3947" s="69">
        <v>21.72002064365047</v>
      </c>
    </row>
    <row r="3948">
      <c r="A3948" s="62" t="s">
        <v>3805</v>
      </c>
      <c r="B3948" s="63">
        <v>44210.0</v>
      </c>
      <c r="C3948" s="69">
        <v>21.715898707130854</v>
      </c>
    </row>
    <row r="3949">
      <c r="A3949" s="62" t="s">
        <v>4648</v>
      </c>
      <c r="B3949" s="63">
        <v>44301.0</v>
      </c>
      <c r="C3949" s="69">
        <v>21.71456724385942</v>
      </c>
    </row>
    <row r="3950">
      <c r="A3950" s="62" t="s">
        <v>3055</v>
      </c>
      <c r="B3950" s="63">
        <v>44237.0</v>
      </c>
      <c r="C3950" s="69">
        <v>21.7142183155515</v>
      </c>
    </row>
    <row r="3951">
      <c r="A3951" s="62" t="s">
        <v>1647</v>
      </c>
      <c r="B3951" s="63">
        <v>44259.0</v>
      </c>
      <c r="C3951" s="69">
        <v>21.712703354039782</v>
      </c>
    </row>
    <row r="3952">
      <c r="A3952" s="62" t="s">
        <v>1343</v>
      </c>
      <c r="B3952" s="63">
        <v>44343.0</v>
      </c>
      <c r="C3952" s="69">
        <v>21.710331773933923</v>
      </c>
    </row>
    <row r="3953">
      <c r="A3953" s="62" t="s">
        <v>3246</v>
      </c>
      <c r="B3953" s="63">
        <v>44123.0</v>
      </c>
      <c r="C3953" s="69">
        <v>21.709703179655474</v>
      </c>
    </row>
    <row r="3954">
      <c r="A3954" s="62" t="s">
        <v>2394</v>
      </c>
      <c r="B3954" s="63">
        <v>44382.0</v>
      </c>
      <c r="C3954" s="69">
        <v>21.709099581958846</v>
      </c>
    </row>
    <row r="3955">
      <c r="A3955" s="62" t="s">
        <v>6676</v>
      </c>
      <c r="B3955" s="63">
        <v>44372.0</v>
      </c>
      <c r="C3955" s="69">
        <v>21.708861173970693</v>
      </c>
    </row>
    <row r="3956">
      <c r="A3956" s="62" t="s">
        <v>4525</v>
      </c>
      <c r="B3956" s="63">
        <v>44284.0</v>
      </c>
      <c r="C3956" s="69">
        <v>21.705892525149856</v>
      </c>
    </row>
    <row r="3957">
      <c r="A3957" s="62" t="s">
        <v>213</v>
      </c>
      <c r="B3957" s="63">
        <v>44393.0</v>
      </c>
      <c r="C3957" s="69">
        <v>21.705329125421407</v>
      </c>
    </row>
    <row r="3958">
      <c r="A3958" s="62" t="s">
        <v>1340</v>
      </c>
      <c r="B3958" s="63">
        <v>44342.0</v>
      </c>
      <c r="C3958" s="69">
        <v>21.70441583045776</v>
      </c>
    </row>
    <row r="3959">
      <c r="A3959" s="62" t="s">
        <v>2412</v>
      </c>
      <c r="B3959" s="63">
        <v>44382.0</v>
      </c>
      <c r="C3959" s="69">
        <v>21.691238489018243</v>
      </c>
    </row>
    <row r="3960">
      <c r="A3960" s="62" t="s">
        <v>4289</v>
      </c>
      <c r="B3960" s="63">
        <v>44209.0</v>
      </c>
      <c r="C3960" s="69">
        <v>21.684852896506985</v>
      </c>
    </row>
    <row r="3961">
      <c r="A3961" s="62" t="s">
        <v>2529</v>
      </c>
      <c r="B3961" s="63">
        <v>44378.0</v>
      </c>
      <c r="C3961" s="69">
        <v>21.676924589248397</v>
      </c>
    </row>
    <row r="3962">
      <c r="A3962" s="62" t="s">
        <v>3865</v>
      </c>
      <c r="B3962" s="63">
        <v>44147.0</v>
      </c>
      <c r="C3962" s="69">
        <v>21.674923109901627</v>
      </c>
    </row>
    <row r="3963">
      <c r="A3963" s="62" t="s">
        <v>2396</v>
      </c>
      <c r="B3963" s="63">
        <v>44378.0</v>
      </c>
      <c r="C3963" s="69">
        <v>21.673350820187117</v>
      </c>
    </row>
    <row r="3964">
      <c r="A3964" s="62" t="s">
        <v>691</v>
      </c>
      <c r="B3964" s="63">
        <v>44371.0</v>
      </c>
      <c r="C3964" s="69">
        <v>21.669547535277562</v>
      </c>
    </row>
    <row r="3965">
      <c r="A3965" s="62" t="s">
        <v>1917</v>
      </c>
      <c r="B3965" s="63">
        <v>44357.0</v>
      </c>
      <c r="C3965" s="69">
        <v>21.663772087743155</v>
      </c>
    </row>
    <row r="3966">
      <c r="A3966" s="62" t="s">
        <v>5139</v>
      </c>
      <c r="B3966" s="63">
        <v>44260.0</v>
      </c>
      <c r="C3966" s="69">
        <v>21.658704189848198</v>
      </c>
    </row>
    <row r="3967">
      <c r="A3967" s="62" t="s">
        <v>3335</v>
      </c>
      <c r="B3967" s="63">
        <v>44161.0</v>
      </c>
      <c r="C3967" s="69">
        <v>21.654693120935846</v>
      </c>
    </row>
    <row r="3968">
      <c r="A3968" s="62" t="s">
        <v>3774</v>
      </c>
      <c r="B3968" s="63">
        <v>44138.0</v>
      </c>
      <c r="C3968" s="69">
        <v>21.653039558206192</v>
      </c>
    </row>
    <row r="3969">
      <c r="A3969" s="62" t="s">
        <v>2741</v>
      </c>
      <c r="B3969" s="63">
        <v>44180.0</v>
      </c>
      <c r="C3969" s="69">
        <v>21.651048150876232</v>
      </c>
    </row>
    <row r="3970">
      <c r="A3970" s="62" t="s">
        <v>4820</v>
      </c>
      <c r="B3970" s="63">
        <v>44273.0</v>
      </c>
      <c r="C3970" s="69">
        <v>21.650898222629106</v>
      </c>
    </row>
    <row r="3971">
      <c r="A3971" s="62" t="s">
        <v>2456</v>
      </c>
      <c r="B3971" s="63">
        <v>44395.0</v>
      </c>
      <c r="C3971" s="69">
        <v>21.645907924795097</v>
      </c>
    </row>
    <row r="3972">
      <c r="A3972" s="62" t="s">
        <v>4161</v>
      </c>
      <c r="B3972" s="63">
        <v>44114.0</v>
      </c>
      <c r="C3972" s="69">
        <v>21.638850805488335</v>
      </c>
    </row>
    <row r="3973">
      <c r="A3973" s="62" t="s">
        <v>2018</v>
      </c>
      <c r="B3973" s="63">
        <v>44118.0</v>
      </c>
      <c r="C3973" s="69">
        <v>21.637766709659235</v>
      </c>
    </row>
    <row r="3974">
      <c r="A3974" s="62" t="s">
        <v>1338</v>
      </c>
      <c r="B3974" s="63">
        <v>44324.0</v>
      </c>
      <c r="C3974" s="69">
        <v>21.636056475384407</v>
      </c>
    </row>
    <row r="3975">
      <c r="A3975" s="62" t="s">
        <v>2461</v>
      </c>
      <c r="B3975" s="63">
        <v>44389.0</v>
      </c>
      <c r="C3975" s="69">
        <v>21.635935134029673</v>
      </c>
    </row>
    <row r="3976">
      <c r="A3976" s="62" t="s">
        <v>2595</v>
      </c>
      <c r="B3976" s="63">
        <v>44379.0</v>
      </c>
      <c r="C3976" s="69">
        <v>21.633237107866492</v>
      </c>
    </row>
    <row r="3977">
      <c r="A3977" s="62" t="s">
        <v>3902</v>
      </c>
      <c r="B3977" s="63">
        <v>44238.0</v>
      </c>
      <c r="C3977" s="69">
        <v>21.632772610970427</v>
      </c>
    </row>
    <row r="3978">
      <c r="A3978" s="62" t="s">
        <v>4274</v>
      </c>
      <c r="B3978" s="63">
        <v>44145.0</v>
      </c>
      <c r="C3978" s="69">
        <v>21.6322061958641</v>
      </c>
    </row>
    <row r="3979">
      <c r="A3979" s="62" t="s">
        <v>5243</v>
      </c>
      <c r="B3979" s="63">
        <v>44278.0</v>
      </c>
      <c r="C3979" s="69">
        <v>21.62881750643269</v>
      </c>
    </row>
    <row r="3980">
      <c r="A3980" s="62" t="s">
        <v>4166</v>
      </c>
      <c r="B3980" s="63">
        <v>44196.0</v>
      </c>
      <c r="C3980" s="69">
        <v>21.6247198627809</v>
      </c>
    </row>
    <row r="3981">
      <c r="A3981" s="62" t="s">
        <v>3161</v>
      </c>
      <c r="B3981" s="63">
        <v>44229.0</v>
      </c>
      <c r="C3981" s="69">
        <v>21.619565033876004</v>
      </c>
    </row>
    <row r="3982">
      <c r="A3982" s="62" t="s">
        <v>5064</v>
      </c>
      <c r="B3982" s="63">
        <v>44284.0</v>
      </c>
      <c r="C3982" s="69">
        <v>21.61639666031743</v>
      </c>
    </row>
    <row r="3983">
      <c r="A3983" s="62" t="s">
        <v>2520</v>
      </c>
      <c r="B3983" s="63">
        <v>44385.0</v>
      </c>
      <c r="C3983" s="69">
        <v>21.60689733348211</v>
      </c>
    </row>
    <row r="3984">
      <c r="A3984" s="62" t="s">
        <v>4779</v>
      </c>
      <c r="B3984" s="63">
        <v>44301.0</v>
      </c>
      <c r="C3984" s="69">
        <v>21.60687897250532</v>
      </c>
    </row>
    <row r="3985">
      <c r="A3985" s="62" t="s">
        <v>6287</v>
      </c>
      <c r="B3985" s="63">
        <v>44355.0</v>
      </c>
      <c r="C3985" s="69">
        <v>21.6014230606135</v>
      </c>
    </row>
    <row r="3986">
      <c r="A3986" s="62" t="s">
        <v>5112</v>
      </c>
      <c r="B3986" s="63">
        <v>44299.0</v>
      </c>
      <c r="C3986" s="69">
        <v>21.60119207548798</v>
      </c>
    </row>
    <row r="3987">
      <c r="A3987" s="62" t="s">
        <v>1322</v>
      </c>
      <c r="B3987" s="63">
        <v>44321.0</v>
      </c>
      <c r="C3987" s="69">
        <v>21.599191601562744</v>
      </c>
    </row>
    <row r="3988">
      <c r="A3988" s="62" t="s">
        <v>1319</v>
      </c>
      <c r="B3988" s="63">
        <v>44336.0</v>
      </c>
      <c r="C3988" s="69">
        <v>21.596959332374883</v>
      </c>
    </row>
    <row r="3989">
      <c r="A3989" s="62" t="s">
        <v>1307</v>
      </c>
      <c r="B3989" s="63">
        <v>44321.0</v>
      </c>
      <c r="C3989" s="69">
        <v>21.595339535531473</v>
      </c>
    </row>
    <row r="3990">
      <c r="A3990" s="62" t="s">
        <v>2940</v>
      </c>
      <c r="B3990" s="63">
        <v>44148.0</v>
      </c>
      <c r="C3990" s="69">
        <v>21.589487695637946</v>
      </c>
    </row>
    <row r="3991">
      <c r="A3991" s="62" t="s">
        <v>1304</v>
      </c>
      <c r="B3991" s="63">
        <v>44328.0</v>
      </c>
      <c r="C3991" s="69">
        <v>21.58938165571992</v>
      </c>
    </row>
    <row r="3992">
      <c r="A3992" s="62" t="s">
        <v>1301</v>
      </c>
      <c r="B3992" s="63">
        <v>44340.0</v>
      </c>
      <c r="C3992" s="69">
        <v>21.585230450358747</v>
      </c>
    </row>
    <row r="3993">
      <c r="A3993" s="62" t="s">
        <v>1297</v>
      </c>
      <c r="B3993" s="63">
        <v>44334.0</v>
      </c>
      <c r="C3993" s="69">
        <v>21.5844663072571</v>
      </c>
    </row>
    <row r="3994">
      <c r="A3994" s="62" t="s">
        <v>1283</v>
      </c>
      <c r="B3994" s="63">
        <v>44322.0</v>
      </c>
      <c r="C3994" s="69">
        <v>21.5746913576046</v>
      </c>
    </row>
    <row r="3995">
      <c r="A3995" s="62" t="s">
        <v>2187</v>
      </c>
      <c r="B3995" s="63">
        <v>44063.0</v>
      </c>
      <c r="C3995" s="69">
        <v>21.57461631685251</v>
      </c>
    </row>
    <row r="3996">
      <c r="A3996" s="62" t="s">
        <v>4707</v>
      </c>
      <c r="B3996" s="63">
        <v>44259.0</v>
      </c>
      <c r="C3996" s="69">
        <v>21.568985579871022</v>
      </c>
    </row>
    <row r="3997">
      <c r="A3997" s="62" t="s">
        <v>4845</v>
      </c>
      <c r="B3997" s="63">
        <v>44260.0</v>
      </c>
      <c r="C3997" s="69">
        <v>21.567078390852167</v>
      </c>
    </row>
    <row r="3998">
      <c r="A3998" s="62" t="s">
        <v>3779</v>
      </c>
      <c r="B3998" s="63">
        <v>44167.0</v>
      </c>
      <c r="C3998" s="69">
        <v>21.56156879484799</v>
      </c>
    </row>
    <row r="3999">
      <c r="A3999" s="62" t="s">
        <v>853</v>
      </c>
      <c r="B3999" s="63">
        <v>44368.0</v>
      </c>
      <c r="C3999" s="69">
        <v>21.55487726377678</v>
      </c>
    </row>
    <row r="4000">
      <c r="A4000" s="62" t="s">
        <v>156</v>
      </c>
      <c r="B4000" s="63">
        <v>44382.0</v>
      </c>
      <c r="C4000" s="69">
        <v>21.54452249947498</v>
      </c>
    </row>
    <row r="4001">
      <c r="A4001" s="62" t="s">
        <v>1140</v>
      </c>
      <c r="B4001" s="63">
        <v>44137.0</v>
      </c>
      <c r="C4001" s="69">
        <v>21.542910481881997</v>
      </c>
    </row>
    <row r="4002">
      <c r="A4002" s="62" t="s">
        <v>4241</v>
      </c>
      <c r="B4002" s="63">
        <v>44245.0</v>
      </c>
      <c r="C4002" s="69">
        <v>21.54289203810596</v>
      </c>
    </row>
    <row r="4003">
      <c r="A4003" s="62" t="s">
        <v>4055</v>
      </c>
      <c r="B4003" s="63">
        <v>44102.0</v>
      </c>
      <c r="C4003" s="69">
        <v>21.542620497104377</v>
      </c>
    </row>
    <row r="4004">
      <c r="A4004" s="62" t="s">
        <v>1272</v>
      </c>
      <c r="B4004" s="63">
        <v>44344.0</v>
      </c>
      <c r="C4004" s="69">
        <v>21.539266145215727</v>
      </c>
    </row>
    <row r="4005">
      <c r="A4005" s="62" t="s">
        <v>5149</v>
      </c>
      <c r="B4005" s="63">
        <v>44256.0</v>
      </c>
      <c r="C4005" s="69">
        <v>21.53920399431677</v>
      </c>
    </row>
    <row r="4006">
      <c r="A4006" s="62" t="s">
        <v>5184</v>
      </c>
      <c r="B4006" s="63">
        <v>44260.0</v>
      </c>
      <c r="C4006" s="69">
        <v>21.535337184313835</v>
      </c>
    </row>
    <row r="4007">
      <c r="A4007" s="62" t="s">
        <v>5145</v>
      </c>
      <c r="B4007" s="63">
        <v>44305.0</v>
      </c>
      <c r="C4007" s="69">
        <v>21.535009195249692</v>
      </c>
    </row>
    <row r="4008">
      <c r="A4008" s="62" t="s">
        <v>3873</v>
      </c>
      <c r="B4008" s="63">
        <v>44218.0</v>
      </c>
      <c r="C4008" s="69">
        <v>21.533572086941938</v>
      </c>
    </row>
    <row r="4009">
      <c r="A4009" s="62" t="s">
        <v>1261</v>
      </c>
      <c r="B4009" s="63">
        <v>44330.0</v>
      </c>
      <c r="C4009" s="69">
        <v>21.523076785297814</v>
      </c>
    </row>
    <row r="4010">
      <c r="A4010" s="62" t="s">
        <v>5249</v>
      </c>
      <c r="B4010" s="63">
        <v>44314.0</v>
      </c>
      <c r="C4010" s="69">
        <v>21.5224389513449</v>
      </c>
    </row>
    <row r="4011">
      <c r="A4011" s="62" t="s">
        <v>4368</v>
      </c>
      <c r="B4011" s="63">
        <v>44148.0</v>
      </c>
      <c r="C4011" s="69">
        <v>21.51809941270684</v>
      </c>
    </row>
    <row r="4012">
      <c r="A4012" s="62" t="s">
        <v>4777</v>
      </c>
      <c r="B4012" s="63">
        <v>44264.0</v>
      </c>
      <c r="C4012" s="69">
        <v>21.513467521311078</v>
      </c>
    </row>
    <row r="4013">
      <c r="A4013" s="62" t="s">
        <v>2645</v>
      </c>
      <c r="B4013" s="63">
        <v>44216.0</v>
      </c>
      <c r="C4013" s="69">
        <v>21.51147701982066</v>
      </c>
    </row>
    <row r="4014">
      <c r="A4014" s="62" t="s">
        <v>2814</v>
      </c>
      <c r="B4014" s="63">
        <v>44145.0</v>
      </c>
      <c r="C4014" s="69">
        <v>21.5095053916082</v>
      </c>
    </row>
    <row r="4015">
      <c r="A4015" s="62" t="s">
        <v>5462</v>
      </c>
      <c r="B4015" s="63">
        <v>44357.0</v>
      </c>
      <c r="C4015" s="69">
        <v>21.50016979577714</v>
      </c>
    </row>
    <row r="4016">
      <c r="A4016" s="62" t="s">
        <v>474</v>
      </c>
      <c r="B4016" s="63">
        <v>44230.0</v>
      </c>
      <c r="C4016" s="69">
        <v>21.496323646319553</v>
      </c>
    </row>
    <row r="4017">
      <c r="A4017" s="62" t="s">
        <v>3420</v>
      </c>
      <c r="B4017" s="63">
        <v>44158.0</v>
      </c>
      <c r="C4017" s="69">
        <v>21.494921840599936</v>
      </c>
    </row>
    <row r="4018">
      <c r="A4018" s="62" t="s">
        <v>5151</v>
      </c>
      <c r="B4018" s="63">
        <v>44298.0</v>
      </c>
      <c r="C4018" s="69">
        <v>21.493048605556186</v>
      </c>
    </row>
    <row r="4019">
      <c r="A4019" s="62" t="s">
        <v>3236</v>
      </c>
      <c r="B4019" s="63">
        <v>44244.0</v>
      </c>
      <c r="C4019" s="69">
        <v>21.49161277555098</v>
      </c>
    </row>
    <row r="4020">
      <c r="A4020" s="62" t="s">
        <v>2368</v>
      </c>
      <c r="B4020" s="63">
        <v>44378.0</v>
      </c>
      <c r="C4020" s="69">
        <v>21.48443432221873</v>
      </c>
    </row>
    <row r="4021">
      <c r="A4021" s="62" t="s">
        <v>3569</v>
      </c>
      <c r="B4021" s="63">
        <v>44091.0</v>
      </c>
      <c r="C4021" s="69">
        <v>21.48147217865972</v>
      </c>
    </row>
    <row r="4022">
      <c r="A4022" s="62" t="s">
        <v>1253</v>
      </c>
      <c r="B4022" s="63">
        <v>44341.0</v>
      </c>
      <c r="C4022" s="69">
        <v>21.477735668015285</v>
      </c>
    </row>
    <row r="4023">
      <c r="A4023" s="62" t="s">
        <v>3185</v>
      </c>
      <c r="B4023" s="63">
        <v>44169.0</v>
      </c>
      <c r="C4023" s="69">
        <v>21.477093543888216</v>
      </c>
    </row>
    <row r="4024">
      <c r="A4024" s="62" t="s">
        <v>5584</v>
      </c>
      <c r="B4024" s="63">
        <v>44358.0</v>
      </c>
      <c r="C4024" s="69">
        <v>21.467654435966384</v>
      </c>
    </row>
    <row r="4025">
      <c r="A4025" s="62" t="s">
        <v>3412</v>
      </c>
      <c r="B4025" s="63">
        <v>44104.0</v>
      </c>
      <c r="C4025" s="69">
        <v>21.466390336502524</v>
      </c>
    </row>
    <row r="4026">
      <c r="A4026" s="62" t="s">
        <v>5066</v>
      </c>
      <c r="B4026" s="63">
        <v>44294.0</v>
      </c>
      <c r="C4026" s="69">
        <v>21.46476668410978</v>
      </c>
    </row>
    <row r="4027">
      <c r="A4027" s="62" t="s">
        <v>1250</v>
      </c>
      <c r="B4027" s="63">
        <v>44329.0</v>
      </c>
      <c r="C4027" s="69">
        <v>21.460767042793396</v>
      </c>
    </row>
    <row r="4028">
      <c r="A4028" s="62" t="s">
        <v>3991</v>
      </c>
      <c r="B4028" s="63">
        <v>44233.0</v>
      </c>
      <c r="C4028" s="69">
        <v>21.459759392735478</v>
      </c>
    </row>
    <row r="4029">
      <c r="A4029" s="62" t="s">
        <v>4931</v>
      </c>
      <c r="B4029" s="63">
        <v>44272.0</v>
      </c>
      <c r="C4029" s="69">
        <v>21.45168957325825</v>
      </c>
    </row>
    <row r="4030">
      <c r="A4030" s="62" t="s">
        <v>4015</v>
      </c>
      <c r="B4030" s="63">
        <v>44187.0</v>
      </c>
      <c r="C4030" s="69">
        <v>21.448023722727577</v>
      </c>
    </row>
    <row r="4031">
      <c r="A4031" s="62" t="s">
        <v>3600</v>
      </c>
      <c r="B4031" s="63">
        <v>44223.0</v>
      </c>
      <c r="C4031" s="69">
        <v>21.447778415566678</v>
      </c>
    </row>
    <row r="4032">
      <c r="A4032" s="62" t="s">
        <v>4847</v>
      </c>
      <c r="B4032" s="63">
        <v>44295.0</v>
      </c>
      <c r="C4032" s="69">
        <v>21.43509073998083</v>
      </c>
    </row>
    <row r="4033">
      <c r="A4033" s="62" t="s">
        <v>5423</v>
      </c>
      <c r="B4033" s="63">
        <v>44377.0</v>
      </c>
      <c r="C4033" s="69">
        <v>21.431900087933613</v>
      </c>
    </row>
    <row r="4034">
      <c r="A4034" s="62" t="s">
        <v>4190</v>
      </c>
      <c r="B4034" s="63">
        <v>44231.0</v>
      </c>
      <c r="C4034" s="69">
        <v>21.42749245778449</v>
      </c>
    </row>
    <row r="4035">
      <c r="A4035" s="62" t="s">
        <v>4299</v>
      </c>
      <c r="B4035" s="63">
        <v>44125.0</v>
      </c>
      <c r="C4035" s="69">
        <v>21.424378217025264</v>
      </c>
    </row>
    <row r="4036">
      <c r="A4036" s="62" t="s">
        <v>4807</v>
      </c>
      <c r="B4036" s="63">
        <v>44273.0</v>
      </c>
      <c r="C4036" s="69">
        <v>21.422311400075852</v>
      </c>
    </row>
    <row r="4037">
      <c r="A4037" s="62" t="s">
        <v>4439</v>
      </c>
      <c r="B4037" s="63">
        <v>44267.0</v>
      </c>
      <c r="C4037" s="69">
        <v>21.413744669061646</v>
      </c>
    </row>
    <row r="4038">
      <c r="A4038" s="62" t="s">
        <v>5846</v>
      </c>
      <c r="B4038" s="63">
        <v>44351.0</v>
      </c>
      <c r="C4038" s="69">
        <v>21.413470528992235</v>
      </c>
    </row>
    <row r="4039">
      <c r="A4039" s="62" t="s">
        <v>340</v>
      </c>
      <c r="B4039" s="63">
        <v>44209.0</v>
      </c>
      <c r="C4039" s="69">
        <v>21.40695797010401</v>
      </c>
    </row>
    <row r="4040">
      <c r="A4040" s="62" t="s">
        <v>2465</v>
      </c>
      <c r="B4040" s="63">
        <v>44396.0</v>
      </c>
      <c r="C4040" s="69">
        <v>21.406608897904075</v>
      </c>
    </row>
    <row r="4041">
      <c r="A4041" s="62" t="s">
        <v>1248</v>
      </c>
      <c r="B4041" s="63">
        <v>44345.0</v>
      </c>
      <c r="C4041" s="69">
        <v>21.406178227276815</v>
      </c>
    </row>
    <row r="4042">
      <c r="A4042" s="62" t="s">
        <v>1246</v>
      </c>
      <c r="B4042" s="63">
        <v>44331.0</v>
      </c>
      <c r="C4042" s="69">
        <v>21.40613323814788</v>
      </c>
    </row>
    <row r="4043">
      <c r="A4043" s="62" t="s">
        <v>4212</v>
      </c>
      <c r="B4043" s="63">
        <v>44235.0</v>
      </c>
      <c r="C4043" s="69">
        <v>21.39300981869706</v>
      </c>
    </row>
    <row r="4044">
      <c r="A4044" s="62" t="s">
        <v>6349</v>
      </c>
      <c r="B4044" s="63">
        <v>44354.0</v>
      </c>
      <c r="C4044" s="69">
        <v>21.3908926972883</v>
      </c>
    </row>
    <row r="4045">
      <c r="A4045" s="62" t="s">
        <v>1332</v>
      </c>
      <c r="B4045" s="63">
        <v>44357.0</v>
      </c>
      <c r="C4045" s="69">
        <v>21.388022115544736</v>
      </c>
    </row>
    <row r="4046">
      <c r="A4046" s="62" t="s">
        <v>2387</v>
      </c>
      <c r="B4046" s="63">
        <v>44382.0</v>
      </c>
      <c r="C4046" s="69">
        <v>21.38798872538444</v>
      </c>
    </row>
    <row r="4047">
      <c r="A4047" s="62" t="s">
        <v>2026</v>
      </c>
      <c r="B4047" s="63">
        <v>44179.0</v>
      </c>
      <c r="C4047" s="69">
        <v>21.38569882371496</v>
      </c>
    </row>
    <row r="4048">
      <c r="A4048" s="62" t="s">
        <v>2772</v>
      </c>
      <c r="B4048" s="63">
        <v>44244.0</v>
      </c>
      <c r="C4048" s="69">
        <v>21.382824587966397</v>
      </c>
    </row>
    <row r="4049">
      <c r="A4049" s="62" t="s">
        <v>6617</v>
      </c>
      <c r="B4049" s="63">
        <v>44372.0</v>
      </c>
      <c r="C4049" s="69">
        <v>21.381924795211653</v>
      </c>
    </row>
    <row r="4050">
      <c r="A4050" s="62" t="s">
        <v>1866</v>
      </c>
      <c r="B4050" s="63">
        <v>44357.0</v>
      </c>
      <c r="C4050" s="69">
        <v>21.379919785765704</v>
      </c>
    </row>
    <row r="4051">
      <c r="A4051" s="62" t="s">
        <v>177</v>
      </c>
      <c r="B4051" s="63">
        <v>44393.0</v>
      </c>
      <c r="C4051" s="69">
        <v>21.37736195157412</v>
      </c>
    </row>
    <row r="4052">
      <c r="A4052" s="62" t="s">
        <v>4416</v>
      </c>
      <c r="B4052" s="63">
        <v>44175.0</v>
      </c>
      <c r="C4052" s="69">
        <v>21.376891336559147</v>
      </c>
    </row>
    <row r="4053">
      <c r="A4053" s="62" t="s">
        <v>1534</v>
      </c>
      <c r="B4053" s="63">
        <v>44093.0</v>
      </c>
      <c r="C4053" s="69">
        <v>21.370873919029204</v>
      </c>
    </row>
    <row r="4054">
      <c r="A4054" s="62" t="s">
        <v>3334</v>
      </c>
      <c r="B4054" s="63">
        <v>44207.0</v>
      </c>
      <c r="C4054" s="69">
        <v>21.365962870822976</v>
      </c>
    </row>
    <row r="4055">
      <c r="A4055" s="62" t="s">
        <v>1519</v>
      </c>
      <c r="B4055" s="63">
        <v>44165.0</v>
      </c>
      <c r="C4055" s="69">
        <v>21.364376075547227</v>
      </c>
    </row>
    <row r="4056">
      <c r="A4056" s="62" t="s">
        <v>4170</v>
      </c>
      <c r="B4056" s="63">
        <v>44251.0</v>
      </c>
      <c r="C4056" s="69">
        <v>21.360798720107347</v>
      </c>
    </row>
    <row r="4057">
      <c r="A4057" s="62" t="s">
        <v>4691</v>
      </c>
      <c r="B4057" s="63">
        <v>44265.0</v>
      </c>
      <c r="C4057" s="69">
        <v>21.359628882372917</v>
      </c>
    </row>
    <row r="4058">
      <c r="A4058" s="62" t="s">
        <v>3431</v>
      </c>
      <c r="B4058" s="63">
        <v>44194.0</v>
      </c>
      <c r="C4058" s="69">
        <v>21.350389027967907</v>
      </c>
    </row>
    <row r="4059">
      <c r="A4059" s="62" t="s">
        <v>5150</v>
      </c>
      <c r="B4059" s="63">
        <v>44315.0</v>
      </c>
      <c r="C4059" s="69">
        <v>21.35015254385046</v>
      </c>
    </row>
    <row r="4060">
      <c r="A4060" s="62" t="s">
        <v>5010</v>
      </c>
      <c r="B4060" s="63">
        <v>44305.0</v>
      </c>
      <c r="C4060" s="69">
        <v>21.34486384898638</v>
      </c>
    </row>
    <row r="4061">
      <c r="A4061" s="62" t="s">
        <v>1244</v>
      </c>
      <c r="B4061" s="63">
        <v>44321.0</v>
      </c>
      <c r="C4061" s="69">
        <v>21.343366870231264</v>
      </c>
    </row>
    <row r="4062">
      <c r="A4062" s="62" t="s">
        <v>2995</v>
      </c>
      <c r="B4062" s="63">
        <v>44128.0</v>
      </c>
      <c r="C4062" s="69">
        <v>21.33927045145953</v>
      </c>
    </row>
    <row r="4063">
      <c r="A4063" s="62" t="s">
        <v>3085</v>
      </c>
      <c r="B4063" s="63">
        <v>44181.0</v>
      </c>
      <c r="C4063" s="69">
        <v>21.333514475508828</v>
      </c>
    </row>
    <row r="4064">
      <c r="A4064" s="62" t="s">
        <v>2573</v>
      </c>
      <c r="B4064" s="63">
        <v>44383.0</v>
      </c>
      <c r="C4064" s="69">
        <v>21.331684438467676</v>
      </c>
    </row>
    <row r="4065">
      <c r="A4065" s="62" t="s">
        <v>6232</v>
      </c>
      <c r="B4065" s="63">
        <v>44361.0</v>
      </c>
      <c r="C4065" s="69">
        <v>21.331251784643634</v>
      </c>
    </row>
    <row r="4066">
      <c r="A4066" s="62" t="s">
        <v>3224</v>
      </c>
      <c r="B4066" s="63">
        <v>44112.0</v>
      </c>
      <c r="C4066" s="69">
        <v>21.32731303480695</v>
      </c>
    </row>
    <row r="4067">
      <c r="A4067" s="62" t="s">
        <v>1238</v>
      </c>
      <c r="B4067" s="63">
        <v>44329.0</v>
      </c>
      <c r="C4067" s="69">
        <v>21.302418114499222</v>
      </c>
    </row>
    <row r="4068">
      <c r="A4068" s="62" t="s">
        <v>3922</v>
      </c>
      <c r="B4068" s="63">
        <v>44201.0</v>
      </c>
      <c r="C4068" s="69">
        <v>21.290370339276166</v>
      </c>
    </row>
    <row r="4069">
      <c r="A4069" s="62" t="s">
        <v>449</v>
      </c>
      <c r="B4069" s="63">
        <v>44266.0</v>
      </c>
      <c r="C4069" s="69">
        <v>21.266939588408587</v>
      </c>
    </row>
    <row r="4070">
      <c r="A4070" s="62" t="s">
        <v>1942</v>
      </c>
      <c r="B4070" s="63">
        <v>44377.0</v>
      </c>
      <c r="C4070" s="69">
        <v>21.264151265330078</v>
      </c>
    </row>
    <row r="4071">
      <c r="A4071" s="62" t="s">
        <v>4792</v>
      </c>
      <c r="B4071" s="63">
        <v>44293.0</v>
      </c>
      <c r="C4071" s="69">
        <v>21.255129048800168</v>
      </c>
    </row>
    <row r="4072">
      <c r="A4072" s="62" t="s">
        <v>4301</v>
      </c>
      <c r="B4072" s="63">
        <v>44194.0</v>
      </c>
      <c r="C4072" s="69">
        <v>21.246853393061812</v>
      </c>
    </row>
    <row r="4073">
      <c r="A4073" s="62" t="s">
        <v>1237</v>
      </c>
      <c r="B4073" s="63">
        <v>44333.0</v>
      </c>
      <c r="C4073" s="69">
        <v>21.24547324516284</v>
      </c>
    </row>
    <row r="4074">
      <c r="A4074" s="62" t="s">
        <v>2625</v>
      </c>
      <c r="B4074" s="63">
        <v>44393.0</v>
      </c>
      <c r="C4074" s="69">
        <v>21.241932712411085</v>
      </c>
    </row>
    <row r="4075">
      <c r="A4075" s="62" t="s">
        <v>1211</v>
      </c>
      <c r="B4075" s="63">
        <v>44327.0</v>
      </c>
      <c r="C4075" s="69">
        <v>21.23656141255122</v>
      </c>
    </row>
    <row r="4076">
      <c r="A4076" s="62" t="s">
        <v>5000</v>
      </c>
      <c r="B4076" s="63">
        <v>44298.0</v>
      </c>
      <c r="C4076" s="69">
        <v>21.23252578519566</v>
      </c>
    </row>
    <row r="4077">
      <c r="A4077" s="62" t="s">
        <v>5241</v>
      </c>
      <c r="B4077" s="63">
        <v>44270.0</v>
      </c>
      <c r="C4077" s="69">
        <v>21.23197624200863</v>
      </c>
    </row>
    <row r="4078">
      <c r="A4078" s="62" t="s">
        <v>2928</v>
      </c>
      <c r="B4078" s="63">
        <v>44139.0</v>
      </c>
      <c r="C4078" s="69">
        <v>21.230981614762353</v>
      </c>
    </row>
    <row r="4079">
      <c r="A4079" s="62" t="s">
        <v>5240</v>
      </c>
      <c r="B4079" s="63">
        <v>44281.0</v>
      </c>
      <c r="C4079" s="69">
        <v>21.22368288304274</v>
      </c>
    </row>
    <row r="4080">
      <c r="A4080" s="62" t="s">
        <v>1201</v>
      </c>
      <c r="B4080" s="63">
        <v>44347.0</v>
      </c>
      <c r="C4080" s="69">
        <v>21.22226254587521</v>
      </c>
    </row>
    <row r="4081">
      <c r="A4081" s="62" t="s">
        <v>3605</v>
      </c>
      <c r="B4081" s="63">
        <v>44119.0</v>
      </c>
      <c r="C4081" s="69">
        <v>21.221865559016166</v>
      </c>
    </row>
    <row r="4082">
      <c r="A4082" s="62" t="s">
        <v>2370</v>
      </c>
      <c r="B4082" s="63">
        <v>44382.0</v>
      </c>
      <c r="C4082" s="69">
        <v>21.214252963406032</v>
      </c>
    </row>
    <row r="4083">
      <c r="A4083" s="62" t="s">
        <v>4940</v>
      </c>
      <c r="B4083" s="63">
        <v>44278.0</v>
      </c>
      <c r="C4083" s="69">
        <v>21.20013391428724</v>
      </c>
    </row>
    <row r="4084">
      <c r="A4084" s="62" t="s">
        <v>4378</v>
      </c>
      <c r="B4084" s="63">
        <v>44145.0</v>
      </c>
      <c r="C4084" s="69">
        <v>21.20004361997576</v>
      </c>
    </row>
    <row r="4085">
      <c r="A4085" s="62" t="s">
        <v>4976</v>
      </c>
      <c r="B4085" s="63">
        <v>44315.0</v>
      </c>
      <c r="C4085" s="69">
        <v>21.193926079555908</v>
      </c>
    </row>
    <row r="4086">
      <c r="A4086" s="62" t="s">
        <v>212</v>
      </c>
      <c r="B4086" s="63">
        <v>44069.0</v>
      </c>
      <c r="C4086" s="69">
        <v>21.193682543935676</v>
      </c>
    </row>
    <row r="4087">
      <c r="A4087" s="62" t="s">
        <v>4629</v>
      </c>
      <c r="B4087" s="63">
        <v>44284.0</v>
      </c>
      <c r="C4087" s="69">
        <v>21.19160057464846</v>
      </c>
    </row>
    <row r="4088">
      <c r="A4088" s="62" t="s">
        <v>3372</v>
      </c>
      <c r="B4088" s="63">
        <v>44164.0</v>
      </c>
      <c r="C4088" s="69">
        <v>21.191354630650736</v>
      </c>
    </row>
    <row r="4089">
      <c r="A4089" s="62" t="s">
        <v>3945</v>
      </c>
      <c r="B4089" s="63">
        <v>44076.0</v>
      </c>
      <c r="C4089" s="69">
        <v>21.19005332520281</v>
      </c>
    </row>
    <row r="4090">
      <c r="A4090" s="62" t="s">
        <v>1192</v>
      </c>
      <c r="B4090" s="63">
        <v>44333.0</v>
      </c>
      <c r="C4090" s="69">
        <v>21.178629190063685</v>
      </c>
    </row>
    <row r="4091">
      <c r="A4091" s="62" t="s">
        <v>5258</v>
      </c>
      <c r="B4091" s="63">
        <v>44267.0</v>
      </c>
      <c r="C4091" s="69">
        <v>21.177670105326776</v>
      </c>
    </row>
    <row r="4092">
      <c r="A4092" s="62" t="s">
        <v>1190</v>
      </c>
      <c r="B4092" s="63">
        <v>44328.0</v>
      </c>
      <c r="C4092" s="69">
        <v>21.17739039057861</v>
      </c>
    </row>
    <row r="4093">
      <c r="A4093" s="62" t="s">
        <v>3543</v>
      </c>
      <c r="B4093" s="63">
        <v>44252.0</v>
      </c>
      <c r="C4093" s="69">
        <v>21.17237912074536</v>
      </c>
    </row>
    <row r="4094">
      <c r="A4094" s="62" t="s">
        <v>486</v>
      </c>
      <c r="B4094" s="63">
        <v>44313.0</v>
      </c>
      <c r="C4094" s="69">
        <v>21.169765259338504</v>
      </c>
    </row>
    <row r="4095">
      <c r="A4095" s="62" t="s">
        <v>5674</v>
      </c>
      <c r="B4095" s="63">
        <v>44368.0</v>
      </c>
      <c r="C4095" s="69">
        <v>21.16937377516857</v>
      </c>
    </row>
    <row r="4096">
      <c r="A4096" s="62" t="s">
        <v>6432</v>
      </c>
      <c r="B4096" s="63">
        <v>44348.0</v>
      </c>
      <c r="C4096" s="69">
        <v>21.16280880042439</v>
      </c>
    </row>
    <row r="4097">
      <c r="A4097" s="62" t="s">
        <v>1189</v>
      </c>
      <c r="B4097" s="63">
        <v>44326.0</v>
      </c>
      <c r="C4097" s="69">
        <v>21.161028309002493</v>
      </c>
    </row>
    <row r="4098">
      <c r="A4098" s="62" t="s">
        <v>6478</v>
      </c>
      <c r="B4098" s="63">
        <v>44351.0</v>
      </c>
      <c r="C4098" s="69">
        <v>21.15546180761597</v>
      </c>
    </row>
    <row r="4099">
      <c r="A4099" s="62" t="s">
        <v>4118</v>
      </c>
      <c r="B4099" s="63">
        <v>44153.0</v>
      </c>
      <c r="C4099" s="69">
        <v>21.15040487071548</v>
      </c>
    </row>
    <row r="4100">
      <c r="A4100" s="62" t="s">
        <v>4781</v>
      </c>
      <c r="B4100" s="63">
        <v>44265.0</v>
      </c>
      <c r="C4100" s="69">
        <v>21.150108118914</v>
      </c>
    </row>
    <row r="4101">
      <c r="A4101" s="62" t="s">
        <v>3375</v>
      </c>
      <c r="B4101" s="63">
        <v>44160.0</v>
      </c>
      <c r="C4101" s="69">
        <v>21.146815316160716</v>
      </c>
    </row>
    <row r="4102">
      <c r="A4102" s="62" t="s">
        <v>987</v>
      </c>
      <c r="B4102" s="63">
        <v>44221.0</v>
      </c>
      <c r="C4102" s="69">
        <v>21.139996635762014</v>
      </c>
    </row>
    <row r="4103">
      <c r="A4103" s="62" t="s">
        <v>5259</v>
      </c>
      <c r="B4103" s="63">
        <v>44300.0</v>
      </c>
      <c r="C4103" s="69">
        <v>21.136019645142387</v>
      </c>
    </row>
    <row r="4104">
      <c r="A4104" s="62" t="s">
        <v>2606</v>
      </c>
      <c r="B4104" s="63">
        <v>44394.0</v>
      </c>
      <c r="C4104" s="69">
        <v>21.128870956954874</v>
      </c>
    </row>
    <row r="4105">
      <c r="A4105" s="62" t="s">
        <v>2702</v>
      </c>
      <c r="B4105" s="63">
        <v>44094.0</v>
      </c>
      <c r="C4105" s="69">
        <v>21.12882568619772</v>
      </c>
    </row>
    <row r="4106">
      <c r="A4106" s="62" t="s">
        <v>1188</v>
      </c>
      <c r="B4106" s="63">
        <v>44331.0</v>
      </c>
      <c r="C4106" s="69">
        <v>21.111627879607763</v>
      </c>
    </row>
    <row r="4107">
      <c r="A4107" s="62" t="s">
        <v>3989</v>
      </c>
      <c r="B4107" s="63">
        <v>44075.0</v>
      </c>
      <c r="C4107" s="69">
        <v>21.10152144189087</v>
      </c>
    </row>
    <row r="4108">
      <c r="A4108" s="62" t="s">
        <v>2708</v>
      </c>
      <c r="B4108" s="63">
        <v>44096.0</v>
      </c>
      <c r="C4108" s="69">
        <v>21.097624370388978</v>
      </c>
    </row>
    <row r="4109">
      <c r="A4109" s="62" t="s">
        <v>6406</v>
      </c>
      <c r="B4109" s="63">
        <v>44373.0</v>
      </c>
      <c r="C4109" s="69">
        <v>21.080548790950587</v>
      </c>
    </row>
    <row r="4110">
      <c r="A4110" s="62" t="s">
        <v>5768</v>
      </c>
      <c r="B4110" s="63">
        <v>44377.0</v>
      </c>
      <c r="C4110" s="69">
        <v>21.080449961283627</v>
      </c>
    </row>
    <row r="4111">
      <c r="A4111" s="62" t="s">
        <v>4504</v>
      </c>
      <c r="B4111" s="63">
        <v>44270.0</v>
      </c>
      <c r="C4111" s="69">
        <v>21.077261882913586</v>
      </c>
    </row>
    <row r="4112">
      <c r="A4112" s="62" t="s">
        <v>4403</v>
      </c>
      <c r="B4112" s="63">
        <v>44092.0</v>
      </c>
      <c r="C4112" s="69">
        <v>21.07711247609747</v>
      </c>
    </row>
    <row r="4113">
      <c r="A4113" s="62" t="s">
        <v>6693</v>
      </c>
      <c r="B4113" s="63">
        <v>44377.0</v>
      </c>
      <c r="C4113" s="69">
        <v>21.070089749180973</v>
      </c>
    </row>
    <row r="4114">
      <c r="A4114" s="62" t="s">
        <v>947</v>
      </c>
      <c r="B4114" s="63">
        <v>44260.0</v>
      </c>
      <c r="C4114" s="69">
        <v>21.06610680340699</v>
      </c>
    </row>
    <row r="4115">
      <c r="A4115" s="62" t="s">
        <v>2275</v>
      </c>
      <c r="B4115" s="63">
        <v>44392.0</v>
      </c>
      <c r="C4115" s="69">
        <v>21.064210857815475</v>
      </c>
    </row>
    <row r="4116">
      <c r="A4116" s="62" t="s">
        <v>3716</v>
      </c>
      <c r="B4116" s="63">
        <v>44134.0</v>
      </c>
      <c r="C4116" s="69">
        <v>21.057174061545805</v>
      </c>
    </row>
    <row r="4117">
      <c r="A4117" s="62" t="s">
        <v>1184</v>
      </c>
      <c r="B4117" s="63">
        <v>44337.0</v>
      </c>
      <c r="C4117" s="69">
        <v>21.057039108617822</v>
      </c>
    </row>
    <row r="4118">
      <c r="A4118" s="62" t="s">
        <v>3277</v>
      </c>
      <c r="B4118" s="63">
        <v>44222.0</v>
      </c>
      <c r="C4118" s="69">
        <v>21.052823602809212</v>
      </c>
    </row>
    <row r="4119">
      <c r="A4119" s="62" t="s">
        <v>2227</v>
      </c>
      <c r="B4119" s="63">
        <v>44065.0</v>
      </c>
      <c r="C4119" s="69">
        <v>21.05113110865365</v>
      </c>
    </row>
    <row r="4120">
      <c r="A4120" s="62" t="s">
        <v>1183</v>
      </c>
      <c r="B4120" s="63">
        <v>44342.0</v>
      </c>
      <c r="C4120" s="69">
        <v>21.04565654329027</v>
      </c>
    </row>
    <row r="4121">
      <c r="A4121" s="62" t="s">
        <v>3293</v>
      </c>
      <c r="B4121" s="63">
        <v>44169.0</v>
      </c>
      <c r="C4121" s="69">
        <v>21.044837864611793</v>
      </c>
    </row>
    <row r="4122">
      <c r="A4122" s="62" t="s">
        <v>6687</v>
      </c>
      <c r="B4122" s="63">
        <v>44356.0</v>
      </c>
      <c r="C4122" s="69">
        <v>21.043308529442</v>
      </c>
    </row>
    <row r="4123">
      <c r="A4123" s="62" t="s">
        <v>1167</v>
      </c>
      <c r="B4123" s="63">
        <v>44346.0</v>
      </c>
      <c r="C4123" s="69">
        <v>21.041925661783893</v>
      </c>
    </row>
    <row r="4124">
      <c r="A4124" s="62" t="s">
        <v>4235</v>
      </c>
      <c r="B4124" s="63">
        <v>44141.0</v>
      </c>
      <c r="C4124" s="69">
        <v>21.036868622140304</v>
      </c>
    </row>
    <row r="4125">
      <c r="A4125" s="62" t="s">
        <v>1043</v>
      </c>
      <c r="B4125" s="63">
        <v>44089.0</v>
      </c>
      <c r="C4125" s="69">
        <v>21.035544385419144</v>
      </c>
    </row>
    <row r="4126">
      <c r="A4126" s="62" t="s">
        <v>3389</v>
      </c>
      <c r="B4126" s="63">
        <v>44223.0</v>
      </c>
      <c r="C4126" s="69">
        <v>21.032178397947142</v>
      </c>
    </row>
    <row r="4127">
      <c r="A4127" s="62" t="s">
        <v>3752</v>
      </c>
      <c r="B4127" s="63">
        <v>44167.0</v>
      </c>
      <c r="C4127" s="69">
        <v>21.02947490943376</v>
      </c>
    </row>
    <row r="4128">
      <c r="A4128" s="62" t="s">
        <v>3990</v>
      </c>
      <c r="B4128" s="63">
        <v>44110.0</v>
      </c>
      <c r="C4128" s="69">
        <v>21.02095773340674</v>
      </c>
    </row>
    <row r="4129">
      <c r="A4129" s="62" t="s">
        <v>2447</v>
      </c>
      <c r="B4129" s="63">
        <v>44383.0</v>
      </c>
      <c r="C4129" s="69">
        <v>21.019598516425276</v>
      </c>
    </row>
    <row r="4130">
      <c r="A4130" s="62" t="s">
        <v>3938</v>
      </c>
      <c r="B4130" s="63">
        <v>44194.0</v>
      </c>
      <c r="C4130" s="69">
        <v>21.01516469980611</v>
      </c>
    </row>
    <row r="4131">
      <c r="A4131" s="62" t="s">
        <v>1160</v>
      </c>
      <c r="B4131" s="63">
        <v>44327.0</v>
      </c>
      <c r="C4131" s="69">
        <v>21.012816993289945</v>
      </c>
    </row>
    <row r="4132">
      <c r="A4132" s="62" t="s">
        <v>5095</v>
      </c>
      <c r="B4132" s="63">
        <v>44301.0</v>
      </c>
      <c r="C4132" s="69">
        <v>21.00907862271719</v>
      </c>
    </row>
    <row r="4133">
      <c r="A4133" s="62" t="s">
        <v>3734</v>
      </c>
      <c r="B4133" s="63">
        <v>44218.0</v>
      </c>
      <c r="C4133" s="69">
        <v>21.008405572707257</v>
      </c>
    </row>
    <row r="4134">
      <c r="A4134" s="62" t="s">
        <v>4873</v>
      </c>
      <c r="B4134" s="63">
        <v>44313.0</v>
      </c>
      <c r="C4134" s="69">
        <v>21.007471971185655</v>
      </c>
    </row>
    <row r="4135">
      <c r="A4135" s="62" t="s">
        <v>224</v>
      </c>
      <c r="B4135" s="63">
        <v>44382.0</v>
      </c>
      <c r="C4135" s="69">
        <v>21.004176024494736</v>
      </c>
    </row>
    <row r="4136">
      <c r="A4136" s="62" t="s">
        <v>2410</v>
      </c>
      <c r="B4136" s="63">
        <v>44378.0</v>
      </c>
      <c r="C4136" s="69">
        <v>20.998775118069272</v>
      </c>
    </row>
    <row r="4137">
      <c r="A4137" s="62" t="s">
        <v>1158</v>
      </c>
      <c r="B4137" s="63">
        <v>44322.0</v>
      </c>
      <c r="C4137" s="69">
        <v>20.98152856225662</v>
      </c>
    </row>
    <row r="4138">
      <c r="A4138" s="62" t="s">
        <v>3966</v>
      </c>
      <c r="B4138" s="63">
        <v>44126.0</v>
      </c>
      <c r="C4138" s="69">
        <v>20.977163906002932</v>
      </c>
    </row>
    <row r="4139">
      <c r="A4139" s="62" t="s">
        <v>6476</v>
      </c>
      <c r="B4139" s="63">
        <v>44365.0</v>
      </c>
      <c r="C4139" s="69">
        <v>20.973455663017013</v>
      </c>
    </row>
    <row r="4140">
      <c r="A4140" s="62" t="s">
        <v>1152</v>
      </c>
      <c r="B4140" s="63">
        <v>44327.0</v>
      </c>
      <c r="C4140" s="69">
        <v>20.969200398290106</v>
      </c>
    </row>
    <row r="4141">
      <c r="A4141" s="62" t="s">
        <v>1148</v>
      </c>
      <c r="B4141" s="63">
        <v>44337.0</v>
      </c>
      <c r="C4141" s="69">
        <v>20.968055961459484</v>
      </c>
    </row>
    <row r="4142">
      <c r="A4142" s="62" t="s">
        <v>3949</v>
      </c>
      <c r="B4142" s="63">
        <v>44123.0</v>
      </c>
      <c r="C4142" s="69">
        <v>20.964596874329025</v>
      </c>
    </row>
    <row r="4143">
      <c r="A4143" s="62" t="s">
        <v>6734</v>
      </c>
      <c r="B4143" s="63">
        <v>44354.0</v>
      </c>
      <c r="C4143" s="69">
        <v>20.961721119354472</v>
      </c>
    </row>
    <row r="4144">
      <c r="A4144" s="62" t="s">
        <v>5904</v>
      </c>
      <c r="B4144" s="63">
        <v>44356.0</v>
      </c>
      <c r="C4144" s="69">
        <v>20.961565013654827</v>
      </c>
    </row>
    <row r="4145">
      <c r="A4145" s="62" t="s">
        <v>1145</v>
      </c>
      <c r="B4145" s="63">
        <v>44342.0</v>
      </c>
      <c r="C4145" s="69">
        <v>20.9598053554621</v>
      </c>
    </row>
    <row r="4146">
      <c r="A4146" s="62" t="s">
        <v>1776</v>
      </c>
      <c r="B4146" s="63">
        <v>44359.0</v>
      </c>
      <c r="C4146" s="69">
        <v>20.954307994145516</v>
      </c>
    </row>
    <row r="4147">
      <c r="A4147" s="62" t="s">
        <v>2955</v>
      </c>
      <c r="B4147" s="63">
        <v>44104.0</v>
      </c>
      <c r="C4147" s="69">
        <v>20.952162632425498</v>
      </c>
    </row>
    <row r="4148">
      <c r="A4148" s="62" t="s">
        <v>3093</v>
      </c>
      <c r="B4148" s="63">
        <v>44245.0</v>
      </c>
      <c r="C4148" s="69">
        <v>20.95197536913863</v>
      </c>
    </row>
    <row r="4149">
      <c r="A4149" s="62" t="s">
        <v>2553</v>
      </c>
      <c r="B4149" s="63">
        <v>44393.0</v>
      </c>
      <c r="C4149" s="69">
        <v>20.949183854443145</v>
      </c>
    </row>
    <row r="4150">
      <c r="A4150" s="62" t="s">
        <v>4266</v>
      </c>
      <c r="B4150" s="63">
        <v>44236.0</v>
      </c>
      <c r="C4150" s="69">
        <v>20.946833386440126</v>
      </c>
    </row>
    <row r="4151">
      <c r="A4151" s="62" t="s">
        <v>1136</v>
      </c>
      <c r="B4151" s="63">
        <v>44320.0</v>
      </c>
      <c r="C4151" s="69">
        <v>20.943654017479147</v>
      </c>
    </row>
    <row r="4152">
      <c r="A4152" s="62" t="s">
        <v>1135</v>
      </c>
      <c r="B4152" s="63">
        <v>44337.0</v>
      </c>
      <c r="C4152" s="69">
        <v>20.941738987575086</v>
      </c>
    </row>
    <row r="4153">
      <c r="A4153" s="62" t="s">
        <v>5086</v>
      </c>
      <c r="B4153" s="63">
        <v>44273.0</v>
      </c>
      <c r="C4153" s="69">
        <v>20.938106176885583</v>
      </c>
    </row>
    <row r="4154">
      <c r="A4154" s="62" t="s">
        <v>1116</v>
      </c>
      <c r="B4154" s="63">
        <v>44165.0</v>
      </c>
      <c r="C4154" s="69">
        <v>20.9375537938775</v>
      </c>
    </row>
    <row r="4155">
      <c r="A4155" s="62" t="s">
        <v>5079</v>
      </c>
      <c r="B4155" s="63">
        <v>44302.0</v>
      </c>
      <c r="C4155" s="69">
        <v>20.936280002449145</v>
      </c>
    </row>
    <row r="4156">
      <c r="A4156" s="62" t="s">
        <v>6354</v>
      </c>
      <c r="B4156" s="63">
        <v>44356.0</v>
      </c>
      <c r="C4156" s="69">
        <v>20.933289672530236</v>
      </c>
    </row>
    <row r="4157">
      <c r="A4157" s="62" t="s">
        <v>1134</v>
      </c>
      <c r="B4157" s="63">
        <v>44340.0</v>
      </c>
      <c r="C4157" s="69">
        <v>20.923686597128995</v>
      </c>
    </row>
    <row r="4158">
      <c r="A4158" s="62" t="s">
        <v>5116</v>
      </c>
      <c r="B4158" s="63">
        <v>44287.0</v>
      </c>
      <c r="C4158" s="69">
        <v>20.920875985114634</v>
      </c>
    </row>
    <row r="4159">
      <c r="A4159" s="62" t="s">
        <v>3371</v>
      </c>
      <c r="B4159" s="63">
        <v>44174.0</v>
      </c>
      <c r="C4159" s="69">
        <v>20.91963103037624</v>
      </c>
    </row>
    <row r="4160">
      <c r="A4160" s="62" t="s">
        <v>4816</v>
      </c>
      <c r="B4160" s="63">
        <v>44298.0</v>
      </c>
      <c r="C4160" s="69">
        <v>20.91839754277157</v>
      </c>
    </row>
    <row r="4161">
      <c r="A4161" s="62" t="s">
        <v>3846</v>
      </c>
      <c r="B4161" s="63">
        <v>44239.0</v>
      </c>
      <c r="C4161" s="69">
        <v>20.911234908125714</v>
      </c>
    </row>
    <row r="4162">
      <c r="A4162" s="62" t="s">
        <v>6388</v>
      </c>
      <c r="B4162" s="63">
        <v>44376.0</v>
      </c>
      <c r="C4162" s="69">
        <v>20.9033145151985</v>
      </c>
    </row>
    <row r="4163">
      <c r="A4163" s="62" t="s">
        <v>4133</v>
      </c>
      <c r="B4163" s="63">
        <v>44229.0</v>
      </c>
      <c r="C4163" s="69">
        <v>20.89784165292439</v>
      </c>
    </row>
    <row r="4164">
      <c r="A4164" s="62" t="s">
        <v>3256</v>
      </c>
      <c r="B4164" s="63">
        <v>44245.0</v>
      </c>
      <c r="C4164" s="69">
        <v>20.89419790793397</v>
      </c>
    </row>
    <row r="4165">
      <c r="A4165" s="62" t="s">
        <v>988</v>
      </c>
      <c r="B4165" s="63">
        <v>44365.0</v>
      </c>
      <c r="C4165" s="69">
        <v>20.884061697729447</v>
      </c>
    </row>
    <row r="4166">
      <c r="A4166" s="62" t="s">
        <v>6087</v>
      </c>
      <c r="B4166" s="63">
        <v>44350.0</v>
      </c>
      <c r="C4166" s="69">
        <v>20.88133403279416</v>
      </c>
    </row>
    <row r="4167">
      <c r="A4167" s="62" t="s">
        <v>3296</v>
      </c>
      <c r="B4167" s="63">
        <v>44203.0</v>
      </c>
      <c r="C4167" s="69">
        <v>20.8783095110567</v>
      </c>
    </row>
    <row r="4168">
      <c r="A4168" s="62" t="s">
        <v>3500</v>
      </c>
      <c r="B4168" s="63">
        <v>44169.0</v>
      </c>
      <c r="C4168" s="69">
        <v>20.87372864982196</v>
      </c>
    </row>
    <row r="4169">
      <c r="A4169" s="62" t="s">
        <v>3916</v>
      </c>
      <c r="B4169" s="63">
        <v>44201.0</v>
      </c>
      <c r="C4169" s="69">
        <v>20.870381589549115</v>
      </c>
    </row>
    <row r="4170">
      <c r="A4170" s="62" t="s">
        <v>4589</v>
      </c>
      <c r="B4170" s="63">
        <v>44279.0</v>
      </c>
      <c r="C4170" s="69">
        <v>20.867333297609704</v>
      </c>
    </row>
    <row r="4171">
      <c r="A4171" s="62" t="s">
        <v>2696</v>
      </c>
      <c r="B4171" s="63">
        <v>44228.0</v>
      </c>
      <c r="C4171" s="69">
        <v>20.862766014497875</v>
      </c>
    </row>
    <row r="4172">
      <c r="A4172" s="62" t="s">
        <v>5196</v>
      </c>
      <c r="B4172" s="63">
        <v>44312.0</v>
      </c>
      <c r="C4172" s="69">
        <v>20.85723407417828</v>
      </c>
    </row>
    <row r="4173">
      <c r="A4173" s="62" t="s">
        <v>2666</v>
      </c>
      <c r="B4173" s="63">
        <v>44237.0</v>
      </c>
      <c r="C4173" s="69">
        <v>20.855264109621725</v>
      </c>
    </row>
    <row r="4174">
      <c r="A4174" s="62" t="s">
        <v>2655</v>
      </c>
      <c r="B4174" s="63">
        <v>44237.0</v>
      </c>
      <c r="C4174" s="69">
        <v>20.85277944873336</v>
      </c>
    </row>
    <row r="4175">
      <c r="A4175" s="62" t="s">
        <v>4192</v>
      </c>
      <c r="B4175" s="63">
        <v>44075.0</v>
      </c>
      <c r="C4175" s="69">
        <v>20.83270228458554</v>
      </c>
    </row>
    <row r="4176">
      <c r="A4176" s="62" t="s">
        <v>3573</v>
      </c>
      <c r="B4176" s="63">
        <v>44139.0</v>
      </c>
      <c r="C4176" s="69">
        <v>20.831040971335064</v>
      </c>
    </row>
    <row r="4177">
      <c r="A4177" s="62" t="s">
        <v>2988</v>
      </c>
      <c r="B4177" s="63">
        <v>44193.0</v>
      </c>
      <c r="C4177" s="69">
        <v>20.829964318790918</v>
      </c>
    </row>
    <row r="4178">
      <c r="A4178" s="62" t="s">
        <v>1453</v>
      </c>
      <c r="B4178" s="63">
        <v>44236.0</v>
      </c>
      <c r="C4178" s="69">
        <v>20.824054555201347</v>
      </c>
    </row>
    <row r="4179">
      <c r="A4179" s="62" t="s">
        <v>1131</v>
      </c>
      <c r="B4179" s="63">
        <v>44341.0</v>
      </c>
      <c r="C4179" s="69">
        <v>20.81466581840882</v>
      </c>
    </row>
    <row r="4180">
      <c r="A4180" s="62" t="s">
        <v>4989</v>
      </c>
      <c r="B4180" s="63">
        <v>44307.0</v>
      </c>
      <c r="C4180" s="69">
        <v>20.814066183695385</v>
      </c>
    </row>
    <row r="4181">
      <c r="A4181" s="62" t="s">
        <v>2445</v>
      </c>
      <c r="B4181" s="63">
        <v>44379.0</v>
      </c>
      <c r="C4181" s="69">
        <v>20.809012909832134</v>
      </c>
    </row>
    <row r="4182">
      <c r="A4182" s="62" t="s">
        <v>5524</v>
      </c>
      <c r="B4182" s="63">
        <v>44372.0</v>
      </c>
      <c r="C4182" s="69">
        <v>20.807202877782572</v>
      </c>
    </row>
    <row r="4183">
      <c r="A4183" s="62" t="s">
        <v>1129</v>
      </c>
      <c r="B4183" s="63">
        <v>44347.0</v>
      </c>
      <c r="C4183" s="69">
        <v>20.796992006774108</v>
      </c>
    </row>
    <row r="4184">
      <c r="A4184" s="62" t="s">
        <v>5180</v>
      </c>
      <c r="B4184" s="63">
        <v>44295.0</v>
      </c>
      <c r="C4184" s="69">
        <v>20.7954499930471</v>
      </c>
    </row>
    <row r="4185">
      <c r="A4185" s="62" t="s">
        <v>1847</v>
      </c>
      <c r="B4185" s="63">
        <v>44088.0</v>
      </c>
      <c r="C4185" s="69">
        <v>20.76639120820676</v>
      </c>
    </row>
    <row r="4186">
      <c r="A4186" s="62" t="s">
        <v>137</v>
      </c>
      <c r="B4186" s="63">
        <v>44390.0</v>
      </c>
      <c r="C4186" s="69">
        <v>20.765211408694462</v>
      </c>
    </row>
    <row r="4187">
      <c r="A4187" s="62" t="s">
        <v>3724</v>
      </c>
      <c r="B4187" s="63">
        <v>44165.0</v>
      </c>
      <c r="C4187" s="69">
        <v>20.76386858081458</v>
      </c>
    </row>
    <row r="4188">
      <c r="A4188" s="62" t="s">
        <v>1128</v>
      </c>
      <c r="B4188" s="63">
        <v>44332.0</v>
      </c>
      <c r="C4188" s="69">
        <v>20.763553167230988</v>
      </c>
    </row>
    <row r="4189">
      <c r="A4189" s="62" t="s">
        <v>3015</v>
      </c>
      <c r="B4189" s="63">
        <v>44203.0</v>
      </c>
      <c r="C4189" s="69">
        <v>20.760543271725773</v>
      </c>
    </row>
    <row r="4190">
      <c r="A4190" s="62" t="s">
        <v>4956</v>
      </c>
      <c r="B4190" s="63">
        <v>44281.0</v>
      </c>
      <c r="C4190" s="69">
        <v>20.757034860063435</v>
      </c>
    </row>
    <row r="4191">
      <c r="A4191" s="62" t="s">
        <v>1124</v>
      </c>
      <c r="B4191" s="63">
        <v>44340.0</v>
      </c>
      <c r="C4191" s="69">
        <v>20.75618970967759</v>
      </c>
    </row>
    <row r="4192">
      <c r="A4192" s="62" t="s">
        <v>876</v>
      </c>
      <c r="B4192" s="63">
        <v>44278.0</v>
      </c>
      <c r="C4192" s="69">
        <v>20.7559754444532</v>
      </c>
    </row>
    <row r="4193">
      <c r="A4193" s="62" t="s">
        <v>2544</v>
      </c>
      <c r="B4193" s="63">
        <v>44380.0</v>
      </c>
      <c r="C4193" s="69">
        <v>20.755642199338347</v>
      </c>
    </row>
    <row r="4194">
      <c r="A4194" s="62" t="s">
        <v>1153</v>
      </c>
      <c r="B4194" s="63">
        <v>44368.0</v>
      </c>
      <c r="C4194" s="69">
        <v>20.751901104804546</v>
      </c>
    </row>
    <row r="4195">
      <c r="A4195" s="62" t="s">
        <v>5519</v>
      </c>
      <c r="B4195" s="63">
        <v>44373.0</v>
      </c>
      <c r="C4195" s="69">
        <v>20.751379553716905</v>
      </c>
    </row>
    <row r="4196">
      <c r="A4196" s="62" t="s">
        <v>4642</v>
      </c>
      <c r="B4196" s="63">
        <v>44277.0</v>
      </c>
      <c r="C4196" s="69">
        <v>20.749768129667167</v>
      </c>
    </row>
    <row r="4197">
      <c r="A4197" s="62" t="s">
        <v>2603</v>
      </c>
      <c r="B4197" s="63">
        <v>44385.0</v>
      </c>
      <c r="C4197" s="69">
        <v>20.749193395611375</v>
      </c>
    </row>
    <row r="4198">
      <c r="A4198" s="62" t="s">
        <v>5199</v>
      </c>
      <c r="B4198" s="63">
        <v>44273.0</v>
      </c>
      <c r="C4198" s="69">
        <v>20.747838791662442</v>
      </c>
    </row>
    <row r="4199">
      <c r="A4199" s="62" t="s">
        <v>3207</v>
      </c>
      <c r="B4199" s="63">
        <v>44223.0</v>
      </c>
      <c r="C4199" s="69">
        <v>20.747592874138896</v>
      </c>
    </row>
    <row r="4200">
      <c r="A4200" s="62" t="s">
        <v>4701</v>
      </c>
      <c r="B4200" s="63">
        <v>44266.0</v>
      </c>
      <c r="C4200" s="69">
        <v>20.747020046393917</v>
      </c>
    </row>
    <row r="4201">
      <c r="A4201" s="62" t="s">
        <v>4661</v>
      </c>
      <c r="B4201" s="63">
        <v>44314.0</v>
      </c>
      <c r="C4201" s="69">
        <v>20.746903510108826</v>
      </c>
    </row>
    <row r="4202">
      <c r="A4202" s="62" t="s">
        <v>3572</v>
      </c>
      <c r="B4202" s="63">
        <v>44181.0</v>
      </c>
      <c r="C4202" s="69">
        <v>20.745879972807405</v>
      </c>
    </row>
    <row r="4203">
      <c r="A4203" s="62" t="s">
        <v>4117</v>
      </c>
      <c r="B4203" s="63">
        <v>44221.0</v>
      </c>
      <c r="C4203" s="69">
        <v>20.740216680035143</v>
      </c>
    </row>
    <row r="4204">
      <c r="A4204" s="62" t="s">
        <v>849</v>
      </c>
      <c r="B4204" s="63">
        <v>44365.0</v>
      </c>
      <c r="C4204" s="69">
        <v>20.731413043281535</v>
      </c>
    </row>
    <row r="4205">
      <c r="A4205" s="62" t="s">
        <v>3558</v>
      </c>
      <c r="B4205" s="63">
        <v>44214.0</v>
      </c>
      <c r="C4205" s="69">
        <v>20.728300769763255</v>
      </c>
    </row>
    <row r="4206">
      <c r="A4206" s="62" t="s">
        <v>4699</v>
      </c>
      <c r="B4206" s="63">
        <v>44314.0</v>
      </c>
      <c r="C4206" s="69">
        <v>20.72324274102264</v>
      </c>
    </row>
    <row r="4207">
      <c r="A4207" s="62" t="s">
        <v>3768</v>
      </c>
      <c r="B4207" s="63">
        <v>44245.0</v>
      </c>
      <c r="C4207" s="69">
        <v>20.711363531191314</v>
      </c>
    </row>
    <row r="4208">
      <c r="A4208" s="62" t="s">
        <v>4326</v>
      </c>
      <c r="B4208" s="63">
        <v>44249.0</v>
      </c>
      <c r="C4208" s="69">
        <v>20.708389426934687</v>
      </c>
    </row>
    <row r="4209">
      <c r="A4209" s="62" t="s">
        <v>2980</v>
      </c>
      <c r="B4209" s="63">
        <v>44104.0</v>
      </c>
      <c r="C4209" s="69">
        <v>20.70785133619069</v>
      </c>
    </row>
    <row r="4210">
      <c r="A4210" s="62" t="s">
        <v>3830</v>
      </c>
      <c r="B4210" s="63">
        <v>44216.0</v>
      </c>
      <c r="C4210" s="69">
        <v>20.70670462899441</v>
      </c>
    </row>
    <row r="4211">
      <c r="A4211" s="62" t="s">
        <v>6143</v>
      </c>
      <c r="B4211" s="63">
        <v>44356.0</v>
      </c>
      <c r="C4211" s="69">
        <v>20.70351662442753</v>
      </c>
    </row>
    <row r="4212">
      <c r="A4212" s="62" t="s">
        <v>2971</v>
      </c>
      <c r="B4212" s="63">
        <v>44247.0</v>
      </c>
      <c r="C4212" s="69">
        <v>20.70331482997739</v>
      </c>
    </row>
    <row r="4213">
      <c r="A4213" s="62" t="s">
        <v>3894</v>
      </c>
      <c r="B4213" s="63">
        <v>44104.0</v>
      </c>
      <c r="C4213" s="69">
        <v>20.70035887516331</v>
      </c>
    </row>
    <row r="4214">
      <c r="A4214" s="62" t="s">
        <v>3011</v>
      </c>
      <c r="B4214" s="63">
        <v>44102.0</v>
      </c>
      <c r="C4214" s="69">
        <v>20.695836659596072</v>
      </c>
    </row>
    <row r="4215">
      <c r="A4215" s="62" t="s">
        <v>1103</v>
      </c>
      <c r="B4215" s="63">
        <v>44334.0</v>
      </c>
      <c r="C4215" s="69">
        <v>20.688942949270405</v>
      </c>
    </row>
    <row r="4216">
      <c r="A4216" s="62" t="s">
        <v>6393</v>
      </c>
      <c r="B4216" s="63">
        <v>44358.0</v>
      </c>
      <c r="C4216" s="69">
        <v>20.681627443095042</v>
      </c>
    </row>
    <row r="4217">
      <c r="A4217" s="62" t="s">
        <v>832</v>
      </c>
      <c r="B4217" s="63">
        <v>44236.0</v>
      </c>
      <c r="C4217" s="69">
        <v>20.679162462806385</v>
      </c>
    </row>
    <row r="4218">
      <c r="A4218" s="62" t="s">
        <v>3257</v>
      </c>
      <c r="B4218" s="63">
        <v>44089.0</v>
      </c>
      <c r="C4218" s="69">
        <v>20.67581637118563</v>
      </c>
    </row>
    <row r="4219">
      <c r="A4219" s="62" t="s">
        <v>1425</v>
      </c>
      <c r="B4219" s="63">
        <v>44236.0</v>
      </c>
      <c r="C4219" s="69">
        <v>20.674466506321487</v>
      </c>
    </row>
    <row r="4220">
      <c r="A4220" s="62" t="s">
        <v>3787</v>
      </c>
      <c r="B4220" s="63">
        <v>44148.0</v>
      </c>
      <c r="C4220" s="69">
        <v>20.671396846134616</v>
      </c>
    </row>
    <row r="4221">
      <c r="A4221" s="62" t="s">
        <v>1100</v>
      </c>
      <c r="B4221" s="63">
        <v>44342.0</v>
      </c>
      <c r="C4221" s="69">
        <v>20.665181431830444</v>
      </c>
    </row>
    <row r="4222">
      <c r="A4222" s="62" t="s">
        <v>2623</v>
      </c>
      <c r="B4222" s="63">
        <v>44387.0</v>
      </c>
      <c r="C4222" s="69">
        <v>20.664596429605236</v>
      </c>
    </row>
    <row r="4223">
      <c r="A4223" s="62" t="s">
        <v>2309</v>
      </c>
      <c r="B4223" s="63">
        <v>44388.0</v>
      </c>
      <c r="C4223" s="69">
        <v>20.662823009385995</v>
      </c>
    </row>
    <row r="4224">
      <c r="A4224" s="62" t="s">
        <v>5342</v>
      </c>
      <c r="B4224" s="63">
        <v>44359.0</v>
      </c>
      <c r="C4224" s="69">
        <v>20.66042194695683</v>
      </c>
    </row>
    <row r="4225">
      <c r="A4225" s="62" t="s">
        <v>2210</v>
      </c>
      <c r="B4225" s="63">
        <v>44071.0</v>
      </c>
      <c r="C4225" s="69">
        <v>20.65806060591399</v>
      </c>
    </row>
    <row r="4226">
      <c r="A4226" s="62" t="s">
        <v>4645</v>
      </c>
      <c r="B4226" s="63">
        <v>44265.0</v>
      </c>
      <c r="C4226" s="69">
        <v>20.65771631266187</v>
      </c>
    </row>
    <row r="4227">
      <c r="A4227" s="62" t="s">
        <v>1094</v>
      </c>
      <c r="B4227" s="63">
        <v>44336.0</v>
      </c>
      <c r="C4227" s="69">
        <v>20.64879198857589</v>
      </c>
    </row>
    <row r="4228">
      <c r="A4228" s="62" t="s">
        <v>5950</v>
      </c>
      <c r="B4228" s="63">
        <v>44357.0</v>
      </c>
      <c r="C4228" s="69">
        <v>20.645618913806217</v>
      </c>
    </row>
    <row r="4229">
      <c r="A4229" s="62" t="s">
        <v>1087</v>
      </c>
      <c r="B4229" s="63">
        <v>44336.0</v>
      </c>
      <c r="C4229" s="69">
        <v>20.64551818705699</v>
      </c>
    </row>
    <row r="4230">
      <c r="A4230" s="62" t="s">
        <v>4942</v>
      </c>
      <c r="B4230" s="63">
        <v>44267.0</v>
      </c>
      <c r="C4230" s="69">
        <v>20.644369633361865</v>
      </c>
    </row>
    <row r="4231">
      <c r="A4231" s="62" t="s">
        <v>4308</v>
      </c>
      <c r="B4231" s="63">
        <v>44165.0</v>
      </c>
      <c r="C4231" s="69">
        <v>20.641456365856655</v>
      </c>
    </row>
    <row r="4232">
      <c r="A4232" s="62" t="s">
        <v>2719</v>
      </c>
      <c r="B4232" s="63">
        <v>44223.0</v>
      </c>
      <c r="C4232" s="69">
        <v>20.63902971389024</v>
      </c>
    </row>
    <row r="4233">
      <c r="A4233" s="62" t="s">
        <v>6123</v>
      </c>
      <c r="B4233" s="63">
        <v>44377.0</v>
      </c>
      <c r="C4233" s="69">
        <v>20.63677002745585</v>
      </c>
    </row>
    <row r="4234">
      <c r="A4234" s="62" t="s">
        <v>3930</v>
      </c>
      <c r="B4234" s="63">
        <v>44136.0</v>
      </c>
      <c r="C4234" s="69">
        <v>20.636045543774763</v>
      </c>
    </row>
    <row r="4235">
      <c r="A4235" s="62" t="s">
        <v>1603</v>
      </c>
      <c r="B4235" s="63">
        <v>44083.0</v>
      </c>
      <c r="C4235" s="69">
        <v>20.634800759093274</v>
      </c>
    </row>
    <row r="4236">
      <c r="A4236" s="62" t="s">
        <v>5264</v>
      </c>
      <c r="B4236" s="63">
        <v>44257.0</v>
      </c>
      <c r="C4236" s="69">
        <v>20.63208692588986</v>
      </c>
    </row>
    <row r="4237">
      <c r="A4237" s="62" t="s">
        <v>1077</v>
      </c>
      <c r="B4237" s="63">
        <v>44333.0</v>
      </c>
      <c r="C4237" s="69">
        <v>20.62810688826447</v>
      </c>
    </row>
    <row r="4238">
      <c r="A4238" s="62" t="s">
        <v>6428</v>
      </c>
      <c r="B4238" s="63">
        <v>44362.0</v>
      </c>
      <c r="C4238" s="69">
        <v>20.61865122721191</v>
      </c>
    </row>
    <row r="4239">
      <c r="A4239" s="62" t="s">
        <v>3586</v>
      </c>
      <c r="B4239" s="63">
        <v>44207.0</v>
      </c>
      <c r="C4239" s="69">
        <v>20.61780206359266</v>
      </c>
    </row>
    <row r="4240">
      <c r="A4240" s="62" t="s">
        <v>1356</v>
      </c>
      <c r="B4240" s="63">
        <v>44272.0</v>
      </c>
      <c r="C4240" s="69">
        <v>20.61650341699483</v>
      </c>
    </row>
    <row r="4241">
      <c r="A4241" s="62" t="s">
        <v>2699</v>
      </c>
      <c r="B4241" s="63">
        <v>44253.0</v>
      </c>
      <c r="C4241" s="69">
        <v>20.6062120047757</v>
      </c>
    </row>
    <row r="4242">
      <c r="A4242" s="62" t="s">
        <v>2223</v>
      </c>
      <c r="B4242" s="63">
        <v>44062.0</v>
      </c>
      <c r="C4242" s="69">
        <v>20.60416245613549</v>
      </c>
    </row>
    <row r="4243">
      <c r="A4243" s="62" t="s">
        <v>1073</v>
      </c>
      <c r="B4243" s="63">
        <v>44337.0</v>
      </c>
      <c r="C4243" s="69">
        <v>20.60257337253835</v>
      </c>
    </row>
    <row r="4244">
      <c r="A4244" s="62" t="s">
        <v>1069</v>
      </c>
      <c r="B4244" s="63">
        <v>44327.0</v>
      </c>
      <c r="C4244" s="69">
        <v>20.600505010206035</v>
      </c>
    </row>
    <row r="4245">
      <c r="A4245" s="62" t="s">
        <v>4311</v>
      </c>
      <c r="B4245" s="63">
        <v>44144.0</v>
      </c>
      <c r="C4245" s="69">
        <v>20.59174395536152</v>
      </c>
    </row>
    <row r="4246">
      <c r="A4246" s="62" t="s">
        <v>1099</v>
      </c>
      <c r="B4246" s="63">
        <v>44280.0</v>
      </c>
      <c r="C4246" s="69">
        <v>20.582343102333947</v>
      </c>
    </row>
    <row r="4247">
      <c r="A4247" s="62" t="s">
        <v>4434</v>
      </c>
      <c r="B4247" s="63">
        <v>44267.0</v>
      </c>
      <c r="C4247" s="69">
        <v>20.581326288076973</v>
      </c>
    </row>
    <row r="4248">
      <c r="A4248" s="62" t="s">
        <v>2993</v>
      </c>
      <c r="B4248" s="63">
        <v>44231.0</v>
      </c>
      <c r="C4248" s="69">
        <v>20.571787032448235</v>
      </c>
    </row>
    <row r="4249">
      <c r="A4249" s="62" t="s">
        <v>1067</v>
      </c>
      <c r="B4249" s="63">
        <v>44343.0</v>
      </c>
      <c r="C4249" s="69">
        <v>20.57093008047234</v>
      </c>
    </row>
    <row r="4250">
      <c r="A4250" s="62" t="s">
        <v>3675</v>
      </c>
      <c r="B4250" s="63">
        <v>44170.0</v>
      </c>
      <c r="C4250" s="69">
        <v>20.55646042270471</v>
      </c>
    </row>
    <row r="4251">
      <c r="A4251" s="62" t="s">
        <v>3892</v>
      </c>
      <c r="B4251" s="63">
        <v>44081.0</v>
      </c>
      <c r="C4251" s="69">
        <v>20.552590196448133</v>
      </c>
    </row>
    <row r="4252">
      <c r="A4252" s="62" t="s">
        <v>3368</v>
      </c>
      <c r="B4252" s="63">
        <v>44085.0</v>
      </c>
      <c r="C4252" s="69">
        <v>20.551536528157573</v>
      </c>
    </row>
    <row r="4253">
      <c r="A4253" s="62" t="s">
        <v>5080</v>
      </c>
      <c r="B4253" s="63">
        <v>44294.0</v>
      </c>
      <c r="C4253" s="69">
        <v>20.54505512802399</v>
      </c>
    </row>
    <row r="4254">
      <c r="A4254" s="62" t="s">
        <v>4595</v>
      </c>
      <c r="B4254" s="63">
        <v>44287.0</v>
      </c>
      <c r="C4254" s="69">
        <v>20.544973831676433</v>
      </c>
    </row>
    <row r="4255">
      <c r="A4255" s="62" t="s">
        <v>2675</v>
      </c>
      <c r="B4255" s="63">
        <v>44229.0</v>
      </c>
      <c r="C4255" s="69">
        <v>20.54268228840416</v>
      </c>
    </row>
    <row r="4256">
      <c r="A4256" s="62" t="s">
        <v>5673</v>
      </c>
      <c r="B4256" s="63">
        <v>44369.0</v>
      </c>
      <c r="C4256" s="69">
        <v>20.538149273976785</v>
      </c>
    </row>
    <row r="4257">
      <c r="A4257" s="62" t="s">
        <v>1066</v>
      </c>
      <c r="B4257" s="63">
        <v>44329.0</v>
      </c>
      <c r="C4257" s="69">
        <v>20.535719675229643</v>
      </c>
    </row>
    <row r="4258">
      <c r="A4258" s="62" t="s">
        <v>4532</v>
      </c>
      <c r="B4258" s="63">
        <v>44301.0</v>
      </c>
      <c r="C4258" s="69">
        <v>20.530809036258603</v>
      </c>
    </row>
    <row r="4259">
      <c r="A4259" s="62" t="s">
        <v>1838</v>
      </c>
      <c r="B4259" s="63">
        <v>44378.0</v>
      </c>
      <c r="C4259" s="69">
        <v>20.53042769013459</v>
      </c>
    </row>
    <row r="4260">
      <c r="A4260" s="62" t="s">
        <v>3311</v>
      </c>
      <c r="B4260" s="63">
        <v>44216.0</v>
      </c>
      <c r="C4260" s="69">
        <v>20.530302102030436</v>
      </c>
    </row>
    <row r="4261">
      <c r="A4261" s="62" t="s">
        <v>1061</v>
      </c>
      <c r="B4261" s="63">
        <v>44327.0</v>
      </c>
      <c r="C4261" s="69">
        <v>20.524414904940723</v>
      </c>
    </row>
    <row r="4262">
      <c r="A4262" s="62" t="s">
        <v>4573</v>
      </c>
      <c r="B4262" s="63">
        <v>44293.0</v>
      </c>
      <c r="C4262" s="69">
        <v>20.518886803851167</v>
      </c>
    </row>
    <row r="4263">
      <c r="A4263" s="62" t="s">
        <v>4916</v>
      </c>
      <c r="B4263" s="63">
        <v>44277.0</v>
      </c>
      <c r="C4263" s="69">
        <v>20.513089685278874</v>
      </c>
    </row>
    <row r="4264">
      <c r="A4264" s="62" t="s">
        <v>3758</v>
      </c>
      <c r="B4264" s="63">
        <v>44209.0</v>
      </c>
      <c r="C4264" s="69">
        <v>20.51147250510729</v>
      </c>
    </row>
    <row r="4265">
      <c r="A4265" s="62" t="s">
        <v>4742</v>
      </c>
      <c r="B4265" s="63">
        <v>44273.0</v>
      </c>
      <c r="C4265" s="69">
        <v>20.511059853998596</v>
      </c>
    </row>
    <row r="4266">
      <c r="A4266" s="62" t="s">
        <v>2166</v>
      </c>
      <c r="B4266" s="63">
        <v>44063.0</v>
      </c>
      <c r="C4266" s="69">
        <v>20.506082484860453</v>
      </c>
    </row>
    <row r="4267">
      <c r="A4267" s="62" t="s">
        <v>3509</v>
      </c>
      <c r="B4267" s="63">
        <v>44183.0</v>
      </c>
      <c r="C4267" s="69">
        <v>20.502783034706916</v>
      </c>
    </row>
    <row r="4268">
      <c r="A4268" s="62" t="s">
        <v>2689</v>
      </c>
      <c r="B4268" s="63">
        <v>44216.0</v>
      </c>
      <c r="C4268" s="69">
        <v>20.498851607148396</v>
      </c>
    </row>
    <row r="4269">
      <c r="A4269" s="62" t="s">
        <v>1908</v>
      </c>
      <c r="B4269" s="63">
        <v>44265.0</v>
      </c>
      <c r="C4269" s="69">
        <v>20.498810738866542</v>
      </c>
    </row>
    <row r="4270">
      <c r="A4270" s="62" t="s">
        <v>4016</v>
      </c>
      <c r="B4270" s="63">
        <v>44087.0</v>
      </c>
      <c r="C4270" s="69">
        <v>20.497811621268337</v>
      </c>
    </row>
    <row r="4271">
      <c r="A4271" s="62" t="s">
        <v>3162</v>
      </c>
      <c r="B4271" s="63">
        <v>44165.0</v>
      </c>
      <c r="C4271" s="69">
        <v>20.494090505377677</v>
      </c>
    </row>
    <row r="4272">
      <c r="A4272" s="62" t="s">
        <v>4126</v>
      </c>
      <c r="B4272" s="63">
        <v>44171.0</v>
      </c>
      <c r="C4272" s="69">
        <v>20.49347961423523</v>
      </c>
    </row>
    <row r="4273">
      <c r="A4273" s="62" t="s">
        <v>2876</v>
      </c>
      <c r="B4273" s="63">
        <v>44078.0</v>
      </c>
      <c r="C4273" s="69">
        <v>20.491045788367728</v>
      </c>
    </row>
    <row r="4274">
      <c r="A4274" s="62" t="s">
        <v>2554</v>
      </c>
      <c r="B4274" s="63">
        <v>44384.0</v>
      </c>
      <c r="C4274" s="69">
        <v>20.485442959014613</v>
      </c>
    </row>
    <row r="4275">
      <c r="A4275" s="62" t="s">
        <v>2030</v>
      </c>
      <c r="B4275" s="63">
        <v>44277.0</v>
      </c>
      <c r="C4275" s="69">
        <v>20.483900415816365</v>
      </c>
    </row>
    <row r="4276">
      <c r="A4276" s="62" t="s">
        <v>4995</v>
      </c>
      <c r="B4276" s="63">
        <v>44293.0</v>
      </c>
      <c r="C4276" s="69">
        <v>20.48105822486444</v>
      </c>
    </row>
    <row r="4277">
      <c r="A4277" s="62" t="s">
        <v>3079</v>
      </c>
      <c r="B4277" s="63">
        <v>44120.0</v>
      </c>
      <c r="C4277" s="69">
        <v>20.47929976293441</v>
      </c>
    </row>
    <row r="4278">
      <c r="A4278" s="62" t="s">
        <v>4763</v>
      </c>
      <c r="B4278" s="63">
        <v>44306.0</v>
      </c>
      <c r="C4278" s="69">
        <v>20.47172167361176</v>
      </c>
    </row>
    <row r="4279">
      <c r="A4279" s="62" t="s">
        <v>4548</v>
      </c>
      <c r="B4279" s="63">
        <v>44267.0</v>
      </c>
      <c r="C4279" s="69">
        <v>20.46737699345835</v>
      </c>
    </row>
    <row r="4280">
      <c r="A4280" s="62" t="s">
        <v>3729</v>
      </c>
      <c r="B4280" s="63">
        <v>44237.0</v>
      </c>
      <c r="C4280" s="69">
        <v>20.461397434724844</v>
      </c>
    </row>
    <row r="4281">
      <c r="A4281" s="62" t="s">
        <v>4932</v>
      </c>
      <c r="B4281" s="63">
        <v>44307.0</v>
      </c>
      <c r="C4281" s="69">
        <v>20.458853958527868</v>
      </c>
    </row>
    <row r="4282">
      <c r="A4282" s="62" t="s">
        <v>5633</v>
      </c>
      <c r="B4282" s="63">
        <v>44348.0</v>
      </c>
      <c r="C4282" s="69">
        <v>20.45652948159644</v>
      </c>
    </row>
    <row r="4283">
      <c r="A4283" s="62" t="s">
        <v>4198</v>
      </c>
      <c r="B4283" s="63">
        <v>44210.0</v>
      </c>
      <c r="C4283" s="69">
        <v>20.454430827887226</v>
      </c>
    </row>
    <row r="4284">
      <c r="A4284" s="62" t="s">
        <v>3985</v>
      </c>
      <c r="B4284" s="63">
        <v>44254.0</v>
      </c>
      <c r="C4284" s="69">
        <v>20.45319163293395</v>
      </c>
    </row>
    <row r="4285">
      <c r="A4285" s="62" t="s">
        <v>1056</v>
      </c>
      <c r="B4285" s="63">
        <v>44333.0</v>
      </c>
      <c r="C4285" s="69">
        <v>20.451640411389</v>
      </c>
    </row>
    <row r="4286">
      <c r="A4286" s="62" t="s">
        <v>236</v>
      </c>
      <c r="B4286" s="63">
        <v>44400.0</v>
      </c>
      <c r="C4286" s="69">
        <v>20.448592656004003</v>
      </c>
    </row>
    <row r="4287">
      <c r="A4287" s="62" t="s">
        <v>1032</v>
      </c>
      <c r="B4287" s="63">
        <v>44362.0</v>
      </c>
      <c r="C4287" s="69">
        <v>20.445106406236487</v>
      </c>
    </row>
    <row r="4288">
      <c r="A4288" s="62" t="s">
        <v>4063</v>
      </c>
      <c r="B4288" s="63">
        <v>44187.0</v>
      </c>
      <c r="C4288" s="69">
        <v>20.444826521924305</v>
      </c>
    </row>
    <row r="4289">
      <c r="A4289" s="62" t="s">
        <v>5009</v>
      </c>
      <c r="B4289" s="63">
        <v>44258.0</v>
      </c>
      <c r="C4289" s="69">
        <v>20.434767243214683</v>
      </c>
    </row>
    <row r="4290">
      <c r="A4290" s="62" t="s">
        <v>2746</v>
      </c>
      <c r="B4290" s="63">
        <v>44232.0</v>
      </c>
      <c r="C4290" s="69">
        <v>20.431967022284955</v>
      </c>
    </row>
    <row r="4291">
      <c r="A4291" s="62" t="s">
        <v>3336</v>
      </c>
      <c r="B4291" s="63">
        <v>44132.0</v>
      </c>
      <c r="C4291" s="69">
        <v>20.42648085508304</v>
      </c>
    </row>
    <row r="4292">
      <c r="A4292" s="62" t="s">
        <v>2926</v>
      </c>
      <c r="B4292" s="63">
        <v>44184.0</v>
      </c>
      <c r="C4292" s="69">
        <v>20.42004103593454</v>
      </c>
    </row>
    <row r="4293">
      <c r="A4293" s="62" t="s">
        <v>4620</v>
      </c>
      <c r="B4293" s="63">
        <v>44264.0</v>
      </c>
      <c r="C4293" s="69">
        <v>20.41781599255546</v>
      </c>
    </row>
    <row r="4294">
      <c r="A4294" s="62" t="s">
        <v>3324</v>
      </c>
      <c r="B4294" s="63">
        <v>44117.0</v>
      </c>
      <c r="C4294" s="69">
        <v>20.411518138063037</v>
      </c>
    </row>
    <row r="4295">
      <c r="A4295" s="62" t="s">
        <v>5442</v>
      </c>
      <c r="B4295" s="63">
        <v>44375.0</v>
      </c>
      <c r="C4295" s="69">
        <v>20.41127314588872</v>
      </c>
    </row>
    <row r="4296">
      <c r="A4296" s="62" t="s">
        <v>1038</v>
      </c>
      <c r="B4296" s="63">
        <v>44336.0</v>
      </c>
      <c r="C4296" s="69">
        <v>20.411212207282496</v>
      </c>
    </row>
    <row r="4297">
      <c r="A4297" s="62" t="s">
        <v>4881</v>
      </c>
      <c r="B4297" s="63">
        <v>44306.0</v>
      </c>
      <c r="C4297" s="69">
        <v>20.403417044067155</v>
      </c>
    </row>
    <row r="4298">
      <c r="A4298" s="62" t="s">
        <v>2451</v>
      </c>
      <c r="B4298" s="63">
        <v>44383.0</v>
      </c>
      <c r="C4298" s="69">
        <v>20.39757539318867</v>
      </c>
    </row>
    <row r="4299">
      <c r="A4299" s="62" t="s">
        <v>3201</v>
      </c>
      <c r="B4299" s="63">
        <v>44119.0</v>
      </c>
      <c r="C4299" s="69">
        <v>20.388956529454102</v>
      </c>
    </row>
    <row r="4300">
      <c r="A4300" s="62" t="s">
        <v>6186</v>
      </c>
      <c r="B4300" s="63">
        <v>44355.0</v>
      </c>
      <c r="C4300" s="69">
        <v>20.381384378476458</v>
      </c>
    </row>
    <row r="4301">
      <c r="A4301" s="62" t="s">
        <v>3680</v>
      </c>
      <c r="B4301" s="63">
        <v>44231.0</v>
      </c>
      <c r="C4301" s="69">
        <v>20.37840382846525</v>
      </c>
    </row>
    <row r="4302">
      <c r="A4302" s="62" t="s">
        <v>4440</v>
      </c>
      <c r="B4302" s="63">
        <v>44305.0</v>
      </c>
      <c r="C4302" s="69">
        <v>20.37509799578683</v>
      </c>
    </row>
    <row r="4303">
      <c r="A4303" s="62" t="s">
        <v>4485</v>
      </c>
      <c r="B4303" s="63">
        <v>44279.0</v>
      </c>
      <c r="C4303" s="69">
        <v>20.366921150135163</v>
      </c>
    </row>
    <row r="4304">
      <c r="A4304" s="62" t="s">
        <v>5569</v>
      </c>
      <c r="B4304" s="63">
        <v>44349.0</v>
      </c>
      <c r="C4304" s="69">
        <v>20.363755664776697</v>
      </c>
    </row>
    <row r="4305">
      <c r="A4305" s="62" t="s">
        <v>3748</v>
      </c>
      <c r="B4305" s="63">
        <v>44236.0</v>
      </c>
      <c r="C4305" s="69">
        <v>20.357578548126696</v>
      </c>
    </row>
    <row r="4306">
      <c r="A4306" s="62" t="s">
        <v>2667</v>
      </c>
      <c r="B4306" s="63">
        <v>44249.0</v>
      </c>
      <c r="C4306" s="69">
        <v>20.35457238825334</v>
      </c>
    </row>
    <row r="4307">
      <c r="A4307" s="62" t="s">
        <v>1030</v>
      </c>
      <c r="B4307" s="63">
        <v>44333.0</v>
      </c>
      <c r="C4307" s="69">
        <v>20.349530636496755</v>
      </c>
    </row>
    <row r="4308">
      <c r="A4308" s="62" t="s">
        <v>6517</v>
      </c>
      <c r="B4308" s="63">
        <v>44350.0</v>
      </c>
      <c r="C4308" s="69">
        <v>20.349089004481403</v>
      </c>
    </row>
    <row r="4309">
      <c r="A4309" s="62" t="s">
        <v>6284</v>
      </c>
      <c r="B4309" s="63">
        <v>44376.0</v>
      </c>
      <c r="C4309" s="69">
        <v>20.34623488827306</v>
      </c>
    </row>
    <row r="4310">
      <c r="A4310" s="62" t="s">
        <v>3180</v>
      </c>
      <c r="B4310" s="63">
        <v>44117.0</v>
      </c>
      <c r="C4310" s="69">
        <v>20.34364442148483</v>
      </c>
    </row>
    <row r="4311">
      <c r="A4311" s="62" t="s">
        <v>2861</v>
      </c>
      <c r="B4311" s="63">
        <v>44089.0</v>
      </c>
      <c r="C4311" s="69">
        <v>20.340019056973148</v>
      </c>
    </row>
    <row r="4312">
      <c r="A4312" s="62" t="s">
        <v>1437</v>
      </c>
      <c r="B4312" s="63">
        <v>44264.0</v>
      </c>
      <c r="C4312" s="69">
        <v>20.338757109728462</v>
      </c>
    </row>
    <row r="4313">
      <c r="A4313" s="62" t="s">
        <v>160</v>
      </c>
      <c r="B4313" s="63">
        <v>44389.0</v>
      </c>
      <c r="C4313" s="69">
        <v>20.338371876076824</v>
      </c>
    </row>
    <row r="4314">
      <c r="A4314" s="62" t="s">
        <v>199</v>
      </c>
      <c r="B4314" s="63">
        <v>44063.0</v>
      </c>
      <c r="C4314" s="69">
        <v>20.31957746854701</v>
      </c>
    </row>
    <row r="4315">
      <c r="A4315" s="62" t="s">
        <v>4275</v>
      </c>
      <c r="B4315" s="63">
        <v>44118.0</v>
      </c>
      <c r="C4315" s="69">
        <v>20.306481295539673</v>
      </c>
    </row>
    <row r="4316">
      <c r="A4316" s="62" t="s">
        <v>205</v>
      </c>
      <c r="B4316" s="63">
        <v>44068.0</v>
      </c>
      <c r="C4316" s="69">
        <v>20.30623196636419</v>
      </c>
    </row>
    <row r="4317">
      <c r="A4317" s="62" t="s">
        <v>4825</v>
      </c>
      <c r="B4317" s="63">
        <v>44272.0</v>
      </c>
      <c r="C4317" s="69">
        <v>20.306069797191803</v>
      </c>
    </row>
    <row r="4318">
      <c r="A4318" s="62" t="s">
        <v>4300</v>
      </c>
      <c r="B4318" s="63">
        <v>44173.0</v>
      </c>
      <c r="C4318" s="69">
        <v>20.299192312133627</v>
      </c>
    </row>
    <row r="4319">
      <c r="A4319" s="62" t="s">
        <v>4668</v>
      </c>
      <c r="B4319" s="63">
        <v>44286.0</v>
      </c>
      <c r="C4319" s="69">
        <v>20.298491747188447</v>
      </c>
    </row>
    <row r="4320">
      <c r="A4320" s="62" t="s">
        <v>314</v>
      </c>
      <c r="B4320" s="63">
        <v>44312.0</v>
      </c>
      <c r="C4320" s="69">
        <v>20.29758510845866</v>
      </c>
    </row>
    <row r="4321">
      <c r="A4321" s="62" t="s">
        <v>3689</v>
      </c>
      <c r="B4321" s="63">
        <v>44161.0</v>
      </c>
      <c r="C4321" s="69">
        <v>20.29757504612036</v>
      </c>
    </row>
    <row r="4322">
      <c r="A4322" s="62" t="s">
        <v>1607</v>
      </c>
      <c r="B4322" s="63">
        <v>44272.0</v>
      </c>
      <c r="C4322" s="69">
        <v>20.29466057596283</v>
      </c>
    </row>
    <row r="4323">
      <c r="A4323" s="62" t="s">
        <v>3313</v>
      </c>
      <c r="B4323" s="63">
        <v>44172.0</v>
      </c>
      <c r="C4323" s="69">
        <v>20.286815531126223</v>
      </c>
    </row>
    <row r="4324">
      <c r="A4324" s="62" t="s">
        <v>3732</v>
      </c>
      <c r="B4324" s="63">
        <v>44250.0</v>
      </c>
      <c r="C4324" s="69">
        <v>20.281840275999123</v>
      </c>
    </row>
    <row r="4325">
      <c r="A4325" s="62" t="s">
        <v>6210</v>
      </c>
      <c r="B4325" s="63">
        <v>44370.0</v>
      </c>
      <c r="C4325" s="69">
        <v>20.279608403475354</v>
      </c>
    </row>
    <row r="4326">
      <c r="A4326" s="62" t="s">
        <v>1024</v>
      </c>
      <c r="B4326" s="63">
        <v>44327.0</v>
      </c>
      <c r="C4326" s="69">
        <v>20.27919991273282</v>
      </c>
    </row>
    <row r="4327">
      <c r="A4327" s="62" t="s">
        <v>3119</v>
      </c>
      <c r="B4327" s="63">
        <v>44225.0</v>
      </c>
      <c r="C4327" s="69">
        <v>20.278123773489867</v>
      </c>
    </row>
    <row r="4328">
      <c r="A4328" s="62" t="s">
        <v>1684</v>
      </c>
      <c r="B4328" s="63">
        <v>44365.0</v>
      </c>
      <c r="C4328" s="69">
        <v>20.276502651629556</v>
      </c>
    </row>
    <row r="4329">
      <c r="A4329" s="62" t="s">
        <v>5389</v>
      </c>
      <c r="B4329" s="63">
        <v>44375.0</v>
      </c>
      <c r="C4329" s="69">
        <v>20.274929972152925</v>
      </c>
    </row>
    <row r="4330">
      <c r="A4330" s="62" t="s">
        <v>1023</v>
      </c>
      <c r="B4330" s="63">
        <v>44321.0</v>
      </c>
      <c r="C4330" s="69">
        <v>20.273325800806337</v>
      </c>
    </row>
    <row r="4331">
      <c r="A4331" s="62" t="s">
        <v>3263</v>
      </c>
      <c r="B4331" s="63">
        <v>44161.0</v>
      </c>
      <c r="C4331" s="69">
        <v>20.27323387211181</v>
      </c>
    </row>
    <row r="4332">
      <c r="A4332" s="62" t="s">
        <v>2427</v>
      </c>
      <c r="B4332" s="63">
        <v>44379.0</v>
      </c>
      <c r="C4332" s="69">
        <v>20.269205112599728</v>
      </c>
    </row>
    <row r="4333">
      <c r="A4333" s="62" t="s">
        <v>2707</v>
      </c>
      <c r="B4333" s="63">
        <v>44103.0</v>
      </c>
      <c r="C4333" s="69">
        <v>20.25688395613809</v>
      </c>
    </row>
    <row r="4334">
      <c r="A4334" s="62" t="s">
        <v>3545</v>
      </c>
      <c r="B4334" s="63">
        <v>44077.0</v>
      </c>
      <c r="C4334" s="69">
        <v>20.25282237300327</v>
      </c>
    </row>
    <row r="4335">
      <c r="A4335" s="62" t="s">
        <v>1151</v>
      </c>
      <c r="B4335" s="63">
        <v>44280.0</v>
      </c>
      <c r="C4335" s="69">
        <v>20.251070133535222</v>
      </c>
    </row>
    <row r="4336">
      <c r="A4336" s="62" t="s">
        <v>1022</v>
      </c>
      <c r="B4336" s="63">
        <v>44330.0</v>
      </c>
      <c r="C4336" s="69">
        <v>20.250291010217655</v>
      </c>
    </row>
    <row r="4337">
      <c r="A4337" s="62" t="s">
        <v>3531</v>
      </c>
      <c r="B4337" s="63">
        <v>44245.0</v>
      </c>
      <c r="C4337" s="69">
        <v>20.24638546099957</v>
      </c>
    </row>
    <row r="4338">
      <c r="A4338" s="62" t="s">
        <v>2902</v>
      </c>
      <c r="B4338" s="63">
        <v>44228.0</v>
      </c>
      <c r="C4338" s="69">
        <v>20.245774879086717</v>
      </c>
    </row>
    <row r="4339">
      <c r="A4339" s="62" t="s">
        <v>243</v>
      </c>
      <c r="B4339" s="63">
        <v>44060.0</v>
      </c>
      <c r="C4339" s="69">
        <v>20.23585506605226</v>
      </c>
    </row>
    <row r="4340">
      <c r="A4340" s="62" t="s">
        <v>3549</v>
      </c>
      <c r="B4340" s="63">
        <v>44235.0</v>
      </c>
      <c r="C4340" s="69">
        <v>20.233616570187788</v>
      </c>
    </row>
    <row r="4341">
      <c r="A4341" s="62" t="s">
        <v>4417</v>
      </c>
      <c r="B4341" s="63">
        <v>44077.0</v>
      </c>
      <c r="C4341" s="69">
        <v>20.229355376011707</v>
      </c>
    </row>
    <row r="4342">
      <c r="A4342" s="62" t="s">
        <v>3474</v>
      </c>
      <c r="B4342" s="63">
        <v>44109.0</v>
      </c>
      <c r="C4342" s="69">
        <v>20.227588892831562</v>
      </c>
    </row>
    <row r="4343">
      <c r="A4343" s="62" t="s">
        <v>3213</v>
      </c>
      <c r="B4343" s="63">
        <v>44201.0</v>
      </c>
      <c r="C4343" s="69">
        <v>20.226151201225548</v>
      </c>
    </row>
    <row r="4344">
      <c r="A4344" s="62" t="s">
        <v>2596</v>
      </c>
      <c r="B4344" s="63">
        <v>44399.0</v>
      </c>
      <c r="C4344" s="69">
        <v>20.223570427239142</v>
      </c>
    </row>
    <row r="4345">
      <c r="A4345" s="62" t="s">
        <v>4155</v>
      </c>
      <c r="B4345" s="63">
        <v>44230.0</v>
      </c>
      <c r="C4345" s="69">
        <v>20.22303594342204</v>
      </c>
    </row>
    <row r="4346">
      <c r="A4346" s="62" t="s">
        <v>6125</v>
      </c>
      <c r="B4346" s="63">
        <v>44356.0</v>
      </c>
      <c r="C4346" s="69">
        <v>20.222031549569046</v>
      </c>
    </row>
    <row r="4347">
      <c r="A4347" s="62" t="s">
        <v>3548</v>
      </c>
      <c r="B4347" s="63">
        <v>44093.0</v>
      </c>
      <c r="C4347" s="69">
        <v>20.21606431520189</v>
      </c>
    </row>
    <row r="4348">
      <c r="A4348" s="62" t="s">
        <v>6495</v>
      </c>
      <c r="B4348" s="63">
        <v>44359.0</v>
      </c>
      <c r="C4348" s="69">
        <v>20.21471117058062</v>
      </c>
    </row>
    <row r="4349">
      <c r="A4349" s="62" t="s">
        <v>2205</v>
      </c>
      <c r="B4349" s="63">
        <v>44062.0</v>
      </c>
      <c r="C4349" s="69">
        <v>20.211092505908578</v>
      </c>
    </row>
    <row r="4350">
      <c r="A4350" s="62" t="s">
        <v>3052</v>
      </c>
      <c r="B4350" s="63">
        <v>44225.0</v>
      </c>
      <c r="C4350" s="69">
        <v>20.20529697009686</v>
      </c>
    </row>
    <row r="4351">
      <c r="A4351" s="62" t="s">
        <v>5050</v>
      </c>
      <c r="B4351" s="63">
        <v>44257.0</v>
      </c>
      <c r="C4351" s="69">
        <v>20.202990979209613</v>
      </c>
    </row>
    <row r="4352">
      <c r="A4352" s="62" t="s">
        <v>1020</v>
      </c>
      <c r="B4352" s="63">
        <v>44323.0</v>
      </c>
      <c r="C4352" s="69">
        <v>20.19917112653735</v>
      </c>
    </row>
    <row r="4353">
      <c r="A4353" s="62" t="s">
        <v>963</v>
      </c>
      <c r="B4353" s="63">
        <v>44118.0</v>
      </c>
      <c r="C4353" s="69">
        <v>20.179984165933465</v>
      </c>
    </row>
    <row r="4354">
      <c r="A4354" s="62" t="s">
        <v>414</v>
      </c>
      <c r="B4354" s="63">
        <v>44228.0</v>
      </c>
      <c r="C4354" s="69">
        <v>20.179434860758803</v>
      </c>
    </row>
    <row r="4355">
      <c r="A4355" s="62" t="s">
        <v>1585</v>
      </c>
      <c r="B4355" s="63">
        <v>44151.0</v>
      </c>
      <c r="C4355" s="69">
        <v>20.171252856324816</v>
      </c>
    </row>
    <row r="4356">
      <c r="A4356" s="62" t="s">
        <v>4084</v>
      </c>
      <c r="B4356" s="63">
        <v>44215.0</v>
      </c>
      <c r="C4356" s="69">
        <v>20.170985476490074</v>
      </c>
    </row>
    <row r="4357">
      <c r="A4357" s="62" t="s">
        <v>1057</v>
      </c>
      <c r="B4357" s="63">
        <v>44365.0</v>
      </c>
      <c r="C4357" s="69">
        <v>20.170892723497044</v>
      </c>
    </row>
    <row r="4358">
      <c r="A4358" s="62" t="s">
        <v>2738</v>
      </c>
      <c r="B4358" s="63">
        <v>44076.0</v>
      </c>
      <c r="C4358" s="69">
        <v>20.16622753892165</v>
      </c>
    </row>
    <row r="4359">
      <c r="A4359" s="62" t="s">
        <v>2232</v>
      </c>
      <c r="B4359" s="63">
        <v>44069.0</v>
      </c>
      <c r="C4359" s="69">
        <v>20.16048871543895</v>
      </c>
    </row>
    <row r="4360">
      <c r="A4360" s="62" t="s">
        <v>4490</v>
      </c>
      <c r="B4360" s="63">
        <v>44306.0</v>
      </c>
      <c r="C4360" s="69">
        <v>20.15758487338806</v>
      </c>
    </row>
    <row r="4361">
      <c r="A4361" s="62" t="s">
        <v>6629</v>
      </c>
      <c r="B4361" s="63">
        <v>44357.0</v>
      </c>
      <c r="C4361" s="69">
        <v>20.15549132580274</v>
      </c>
    </row>
    <row r="4362">
      <c r="A4362" s="62" t="s">
        <v>2428</v>
      </c>
      <c r="B4362" s="63">
        <v>44383.0</v>
      </c>
      <c r="C4362" s="69">
        <v>20.154194461915512</v>
      </c>
    </row>
    <row r="4363">
      <c r="A4363" s="62" t="s">
        <v>1247</v>
      </c>
      <c r="B4363" s="63">
        <v>44385.0</v>
      </c>
      <c r="C4363" s="69">
        <v>20.143598352364354</v>
      </c>
    </row>
    <row r="4364">
      <c r="A4364" s="62" t="s">
        <v>1018</v>
      </c>
      <c r="B4364" s="63">
        <v>44345.0</v>
      </c>
      <c r="C4364" s="69">
        <v>20.143219515960528</v>
      </c>
    </row>
    <row r="4365">
      <c r="A4365" s="62" t="s">
        <v>6560</v>
      </c>
      <c r="B4365" s="63">
        <v>44357.0</v>
      </c>
      <c r="C4365" s="69">
        <v>20.141944490024244</v>
      </c>
    </row>
    <row r="4366">
      <c r="A4366" s="62" t="s">
        <v>2295</v>
      </c>
      <c r="B4366" s="63">
        <v>44383.0</v>
      </c>
      <c r="C4366" s="69">
        <v>20.137182613281194</v>
      </c>
    </row>
    <row r="4367">
      <c r="A4367" s="62" t="s">
        <v>3856</v>
      </c>
      <c r="B4367" s="63">
        <v>44244.0</v>
      </c>
      <c r="C4367" s="69">
        <v>20.13496048803072</v>
      </c>
    </row>
    <row r="4368">
      <c r="A4368" s="62" t="s">
        <v>3393</v>
      </c>
      <c r="B4368" s="63">
        <v>44231.0</v>
      </c>
      <c r="C4368" s="69">
        <v>20.133858660406506</v>
      </c>
    </row>
    <row r="4369">
      <c r="A4369" s="62" t="s">
        <v>2134</v>
      </c>
      <c r="B4369" s="63">
        <v>44102.0</v>
      </c>
      <c r="C4369" s="69">
        <v>20.13349378633249</v>
      </c>
    </row>
    <row r="4370">
      <c r="A4370" s="62" t="s">
        <v>4953</v>
      </c>
      <c r="B4370" s="63">
        <v>44263.0</v>
      </c>
      <c r="C4370" s="69">
        <v>20.12393297014459</v>
      </c>
    </row>
    <row r="4371">
      <c r="A4371" s="62" t="s">
        <v>1729</v>
      </c>
      <c r="B4371" s="63">
        <v>44375.0</v>
      </c>
      <c r="C4371" s="69">
        <v>20.122290114384008</v>
      </c>
    </row>
    <row r="4372">
      <c r="A4372" s="62" t="s">
        <v>2743</v>
      </c>
      <c r="B4372" s="63">
        <v>44097.0</v>
      </c>
      <c r="C4372" s="69">
        <v>20.11786161822058</v>
      </c>
    </row>
    <row r="4373">
      <c r="A4373" s="62" t="s">
        <v>4751</v>
      </c>
      <c r="B4373" s="63">
        <v>44272.0</v>
      </c>
      <c r="C4373" s="69">
        <v>20.10699312236442</v>
      </c>
    </row>
    <row r="4374">
      <c r="A4374" s="62" t="s">
        <v>4531</v>
      </c>
      <c r="B4374" s="63">
        <v>44279.0</v>
      </c>
      <c r="C4374" s="69">
        <v>20.106408749482412</v>
      </c>
    </row>
    <row r="4375">
      <c r="A4375" s="62" t="s">
        <v>995</v>
      </c>
      <c r="B4375" s="63">
        <v>44329.0</v>
      </c>
      <c r="C4375" s="69">
        <v>20.100556193618175</v>
      </c>
    </row>
    <row r="4376">
      <c r="A4376" s="62" t="s">
        <v>5392</v>
      </c>
      <c r="B4376" s="63">
        <v>44368.0</v>
      </c>
      <c r="C4376" s="69">
        <v>20.098035902014786</v>
      </c>
    </row>
    <row r="4377">
      <c r="A4377" s="62" t="s">
        <v>5260</v>
      </c>
      <c r="B4377" s="63">
        <v>44287.0</v>
      </c>
      <c r="C4377" s="69">
        <v>20.096269844317675</v>
      </c>
    </row>
    <row r="4378">
      <c r="A4378" s="62" t="s">
        <v>3751</v>
      </c>
      <c r="B4378" s="63">
        <v>44120.0</v>
      </c>
      <c r="C4378" s="69">
        <v>20.095828512096734</v>
      </c>
    </row>
    <row r="4379">
      <c r="A4379" s="62" t="s">
        <v>3026</v>
      </c>
      <c r="B4379" s="63">
        <v>44102.0</v>
      </c>
      <c r="C4379" s="69">
        <v>20.092541119945043</v>
      </c>
    </row>
    <row r="4380">
      <c r="A4380" s="62" t="s">
        <v>2550</v>
      </c>
      <c r="B4380" s="63">
        <v>44389.0</v>
      </c>
      <c r="C4380" s="69">
        <v>20.08751144763517</v>
      </c>
    </row>
    <row r="4381">
      <c r="A4381" s="62" t="s">
        <v>4924</v>
      </c>
      <c r="B4381" s="63">
        <v>44293.0</v>
      </c>
      <c r="C4381" s="69">
        <v>20.08703557661022</v>
      </c>
    </row>
    <row r="4382">
      <c r="A4382" s="62" t="s">
        <v>2371</v>
      </c>
      <c r="B4382" s="63">
        <v>44394.0</v>
      </c>
      <c r="C4382" s="69">
        <v>20.08480947774696</v>
      </c>
    </row>
    <row r="4383">
      <c r="A4383" s="62" t="s">
        <v>4703</v>
      </c>
      <c r="B4383" s="63">
        <v>44285.0</v>
      </c>
      <c r="C4383" s="69">
        <v>20.083124295975097</v>
      </c>
    </row>
    <row r="4384">
      <c r="A4384" s="62" t="s">
        <v>5036</v>
      </c>
      <c r="B4384" s="63">
        <v>44309.0</v>
      </c>
      <c r="C4384" s="69">
        <v>20.07964913352563</v>
      </c>
    </row>
    <row r="4385">
      <c r="A4385" s="62" t="s">
        <v>5447</v>
      </c>
      <c r="B4385" s="63">
        <v>44348.0</v>
      </c>
      <c r="C4385" s="69">
        <v>20.07206437988551</v>
      </c>
    </row>
    <row r="4386">
      <c r="A4386" s="62" t="s">
        <v>4420</v>
      </c>
      <c r="B4386" s="63">
        <v>44121.0</v>
      </c>
      <c r="C4386" s="69">
        <v>20.069236631007875</v>
      </c>
    </row>
    <row r="4387">
      <c r="A4387" s="62" t="s">
        <v>2754</v>
      </c>
      <c r="B4387" s="63">
        <v>44214.0</v>
      </c>
      <c r="C4387" s="69">
        <v>20.06829517367054</v>
      </c>
    </row>
    <row r="4388">
      <c r="A4388" s="62" t="s">
        <v>2362</v>
      </c>
      <c r="B4388" s="63">
        <v>44386.0</v>
      </c>
      <c r="C4388" s="69">
        <v>20.067813734552075</v>
      </c>
    </row>
    <row r="4389">
      <c r="A4389" s="62" t="s">
        <v>5229</v>
      </c>
      <c r="B4389" s="63">
        <v>44284.0</v>
      </c>
      <c r="C4389" s="69">
        <v>20.06500731138212</v>
      </c>
    </row>
    <row r="4390">
      <c r="A4390" s="62" t="s">
        <v>4918</v>
      </c>
      <c r="B4390" s="63">
        <v>44306.0</v>
      </c>
      <c r="C4390" s="69">
        <v>20.059094375330147</v>
      </c>
    </row>
    <row r="4391">
      <c r="A4391" s="62" t="s">
        <v>992</v>
      </c>
      <c r="B4391" s="63">
        <v>44347.0</v>
      </c>
      <c r="C4391" s="69">
        <v>20.055538214088756</v>
      </c>
    </row>
    <row r="4392">
      <c r="A4392" s="62" t="s">
        <v>140</v>
      </c>
      <c r="B4392" s="63">
        <v>44398.0</v>
      </c>
      <c r="C4392" s="69">
        <v>20.0522377057527</v>
      </c>
    </row>
    <row r="4393">
      <c r="A4393" s="62" t="s">
        <v>3176</v>
      </c>
      <c r="B4393" s="63">
        <v>44236.0</v>
      </c>
      <c r="C4393" s="69">
        <v>20.050288935465346</v>
      </c>
    </row>
    <row r="4394">
      <c r="A4394" s="62" t="s">
        <v>989</v>
      </c>
      <c r="B4394" s="63">
        <v>44347.0</v>
      </c>
      <c r="C4394" s="69">
        <v>20.035526116052313</v>
      </c>
    </row>
    <row r="4395">
      <c r="A4395" s="62" t="s">
        <v>4720</v>
      </c>
      <c r="B4395" s="63">
        <v>44312.0</v>
      </c>
      <c r="C4395" s="69">
        <v>20.021092907033427</v>
      </c>
    </row>
    <row r="4396">
      <c r="A4396" s="62" t="s">
        <v>6728</v>
      </c>
      <c r="B4396" s="63">
        <v>44349.0</v>
      </c>
      <c r="C4396" s="69">
        <v>20.02090897916931</v>
      </c>
    </row>
    <row r="4397">
      <c r="A4397" s="62" t="s">
        <v>568</v>
      </c>
      <c r="B4397" s="63">
        <v>44215.0</v>
      </c>
      <c r="C4397" s="69">
        <v>20.015733264990768</v>
      </c>
    </row>
    <row r="4398">
      <c r="A4398" s="62" t="s">
        <v>5544</v>
      </c>
      <c r="B4398" s="63">
        <v>44375.0</v>
      </c>
      <c r="C4398" s="69">
        <v>20.013180763395354</v>
      </c>
    </row>
    <row r="4399">
      <c r="A4399" s="62" t="s">
        <v>5032</v>
      </c>
      <c r="B4399" s="63">
        <v>44278.0</v>
      </c>
      <c r="C4399" s="69">
        <v>20.011361177107617</v>
      </c>
    </row>
    <row r="4400">
      <c r="A4400" s="62" t="s">
        <v>2954</v>
      </c>
      <c r="B4400" s="63">
        <v>44075.0</v>
      </c>
      <c r="C4400" s="69">
        <v>20.00846420805983</v>
      </c>
    </row>
    <row r="4401">
      <c r="A4401" s="62" t="s">
        <v>4571</v>
      </c>
      <c r="B4401" s="63">
        <v>44301.0</v>
      </c>
      <c r="C4401" s="69">
        <v>20.005439719799554</v>
      </c>
    </row>
    <row r="4402">
      <c r="A4402" s="62" t="s">
        <v>3237</v>
      </c>
      <c r="B4402" s="63">
        <v>44193.0</v>
      </c>
      <c r="C4402" s="69">
        <v>20.00108852400318</v>
      </c>
    </row>
    <row r="4403">
      <c r="A4403" s="62" t="s">
        <v>5257</v>
      </c>
      <c r="B4403" s="63">
        <v>44268.0</v>
      </c>
      <c r="C4403" s="69">
        <v>19.991111783762438</v>
      </c>
    </row>
    <row r="4404">
      <c r="A4404" s="62" t="s">
        <v>986</v>
      </c>
      <c r="B4404" s="63">
        <v>44328.0</v>
      </c>
      <c r="C4404" s="69">
        <v>19.91521857168323</v>
      </c>
    </row>
    <row r="4405">
      <c r="A4405" s="62" t="s">
        <v>4685</v>
      </c>
      <c r="B4405" s="63">
        <v>44294.0</v>
      </c>
      <c r="C4405" s="69">
        <v>19.875056441427258</v>
      </c>
    </row>
    <row r="4406">
      <c r="A4406" s="62" t="s">
        <v>2528</v>
      </c>
      <c r="B4406" s="63">
        <v>44390.0</v>
      </c>
      <c r="C4406" s="69">
        <v>19.85627502412499</v>
      </c>
    </row>
    <row r="4407">
      <c r="A4407" s="62" t="s">
        <v>6518</v>
      </c>
      <c r="B4407" s="63">
        <v>44361.0</v>
      </c>
      <c r="C4407" s="69">
        <v>19.78380789547</v>
      </c>
    </row>
    <row r="4408">
      <c r="A4408" s="62" t="s">
        <v>971</v>
      </c>
      <c r="B4408" s="63">
        <v>44336.0</v>
      </c>
      <c r="C4408" s="69">
        <v>19.69146283998593</v>
      </c>
    </row>
    <row r="4409">
      <c r="A4409" s="62" t="s">
        <v>1000</v>
      </c>
      <c r="B4409" s="63">
        <v>44267.0</v>
      </c>
      <c r="C4409" s="69">
        <v>19.653482530450027</v>
      </c>
    </row>
    <row r="4410">
      <c r="A4410" s="62" t="s">
        <v>5208</v>
      </c>
      <c r="B4410" s="63">
        <v>44315.0</v>
      </c>
      <c r="C4410" s="69">
        <v>19.650390886564594</v>
      </c>
    </row>
    <row r="4411">
      <c r="A4411" s="62" t="s">
        <v>5273</v>
      </c>
      <c r="B4411" s="63">
        <v>44274.0</v>
      </c>
      <c r="C4411" s="69">
        <v>19.581823546636492</v>
      </c>
    </row>
    <row r="4412">
      <c r="A4412" s="62" t="s">
        <v>968</v>
      </c>
      <c r="B4412" s="63">
        <v>44328.0</v>
      </c>
      <c r="C4412" s="69">
        <v>19.575873870163935</v>
      </c>
    </row>
    <row r="4413">
      <c r="A4413" s="62" t="s">
        <v>951</v>
      </c>
      <c r="B4413" s="63">
        <v>44343.0</v>
      </c>
      <c r="C4413" s="69">
        <v>19.57095109208834</v>
      </c>
    </row>
    <row r="4414">
      <c r="A4414" s="62" t="s">
        <v>1656</v>
      </c>
      <c r="B4414" s="63">
        <v>44270.0</v>
      </c>
      <c r="C4414" s="69">
        <v>19.551246828021394</v>
      </c>
    </row>
    <row r="4415">
      <c r="A4415" s="62" t="s">
        <v>1197</v>
      </c>
      <c r="B4415" s="63">
        <v>44280.0</v>
      </c>
      <c r="C4415" s="69">
        <v>19.500220767085573</v>
      </c>
    </row>
    <row r="4416">
      <c r="A4416" s="62" t="s">
        <v>4628</v>
      </c>
      <c r="B4416" s="63">
        <v>44306.0</v>
      </c>
      <c r="C4416" s="69">
        <v>19.481601599019385</v>
      </c>
    </row>
    <row r="4417">
      <c r="A4417" s="62" t="s">
        <v>2289</v>
      </c>
      <c r="B4417" s="63">
        <v>44382.0</v>
      </c>
      <c r="C4417" s="69">
        <v>19.471576430267504</v>
      </c>
    </row>
    <row r="4418">
      <c r="A4418" s="62" t="s">
        <v>3398</v>
      </c>
      <c r="B4418" s="63">
        <v>44076.0</v>
      </c>
      <c r="C4418" s="69">
        <v>19.406211615708514</v>
      </c>
    </row>
    <row r="4419">
      <c r="A4419" s="62" t="s">
        <v>4654</v>
      </c>
      <c r="B4419" s="63">
        <v>44309.0</v>
      </c>
      <c r="C4419" s="69">
        <v>19.401200797034992</v>
      </c>
    </row>
    <row r="4420">
      <c r="A4420" s="62" t="s">
        <v>2491</v>
      </c>
      <c r="B4420" s="63">
        <v>44378.0</v>
      </c>
      <c r="C4420" s="69">
        <v>19.313633661719273</v>
      </c>
    </row>
    <row r="4421">
      <c r="A4421" s="62" t="s">
        <v>4093</v>
      </c>
      <c r="B4421" s="63">
        <v>44200.0</v>
      </c>
      <c r="C4421" s="69">
        <v>19.307868777818356</v>
      </c>
    </row>
    <row r="4422">
      <c r="A4422" s="62" t="s">
        <v>936</v>
      </c>
      <c r="B4422" s="63">
        <v>44327.0</v>
      </c>
      <c r="C4422" s="69">
        <v>19.252256344955637</v>
      </c>
    </row>
    <row r="4423">
      <c r="A4423" s="62" t="s">
        <v>5105</v>
      </c>
      <c r="B4423" s="63">
        <v>44313.0</v>
      </c>
      <c r="C4423" s="69">
        <v>19.238136608600296</v>
      </c>
    </row>
    <row r="4424">
      <c r="A4424" s="62" t="s">
        <v>2167</v>
      </c>
      <c r="B4424" s="63">
        <v>44063.0</v>
      </c>
      <c r="C4424" s="69">
        <v>19.125988186200765</v>
      </c>
    </row>
    <row r="4425">
      <c r="A4425" s="62" t="s">
        <v>4711</v>
      </c>
      <c r="B4425" s="63">
        <v>44258.0</v>
      </c>
      <c r="C4425" s="69">
        <v>19.120804911005802</v>
      </c>
    </row>
    <row r="4426">
      <c r="A4426" s="62" t="s">
        <v>1515</v>
      </c>
      <c r="B4426" s="63">
        <v>44124.0</v>
      </c>
      <c r="C4426" s="69">
        <v>19.05520110866763</v>
      </c>
    </row>
    <row r="4427">
      <c r="A4427" s="62" t="s">
        <v>4758</v>
      </c>
      <c r="B4427" s="63">
        <v>44278.0</v>
      </c>
      <c r="C4427" s="69">
        <v>19.018694360323202</v>
      </c>
    </row>
    <row r="4428">
      <c r="A4428" s="62" t="s">
        <v>6596</v>
      </c>
      <c r="B4428" s="63">
        <v>44355.0</v>
      </c>
      <c r="C4428" s="69">
        <v>18.859332833899238</v>
      </c>
    </row>
    <row r="4429">
      <c r="A4429" s="62" t="s">
        <v>507</v>
      </c>
      <c r="B4429" s="63">
        <v>44355.0</v>
      </c>
      <c r="C4429" s="69">
        <v>18.84965800759539</v>
      </c>
    </row>
    <row r="4430">
      <c r="A4430" s="62" t="s">
        <v>932</v>
      </c>
      <c r="B4430" s="63">
        <v>44343.0</v>
      </c>
      <c r="C4430" s="69">
        <v>18.834541081549492</v>
      </c>
    </row>
    <row r="4431">
      <c r="A4431" s="62" t="s">
        <v>2987</v>
      </c>
      <c r="B4431" s="63">
        <v>44124.0</v>
      </c>
      <c r="C4431" s="69">
        <v>18.82578712019502</v>
      </c>
    </row>
    <row r="4432">
      <c r="A4432" s="62" t="s">
        <v>4923</v>
      </c>
      <c r="B4432" s="63">
        <v>44278.0</v>
      </c>
      <c r="C4432" s="69">
        <v>18.808587190823907</v>
      </c>
    </row>
    <row r="4433">
      <c r="A4433" s="62" t="s">
        <v>4481</v>
      </c>
      <c r="B4433" s="63">
        <v>44273.0</v>
      </c>
      <c r="C4433" s="69">
        <v>18.72557922776171</v>
      </c>
    </row>
    <row r="4434">
      <c r="A4434" s="62" t="s">
        <v>5771</v>
      </c>
      <c r="B4434" s="63">
        <v>44375.0</v>
      </c>
      <c r="C4434" s="69">
        <v>18.632836905167043</v>
      </c>
    </row>
    <row r="4435">
      <c r="A4435" s="62" t="s">
        <v>930</v>
      </c>
      <c r="B4435" s="63">
        <v>44333.0</v>
      </c>
      <c r="C4435" s="69">
        <v>18.56427612701133</v>
      </c>
    </row>
    <row r="4436">
      <c r="A4436" s="62" t="s">
        <v>2796</v>
      </c>
      <c r="B4436" s="63">
        <v>44109.0</v>
      </c>
      <c r="C4436" s="69">
        <v>18.543517198450278</v>
      </c>
    </row>
    <row r="4437">
      <c r="A4437" s="62" t="s">
        <v>5047</v>
      </c>
      <c r="B4437" s="63">
        <v>44299.0</v>
      </c>
      <c r="C4437" s="69">
        <v>18.523026814332994</v>
      </c>
    </row>
    <row r="4438">
      <c r="A4438" s="62" t="s">
        <v>1664</v>
      </c>
      <c r="B4438" s="63">
        <v>44235.0</v>
      </c>
      <c r="C4438" s="69">
        <v>18.500968182376514</v>
      </c>
    </row>
    <row r="4439">
      <c r="A4439" s="62" t="s">
        <v>364</v>
      </c>
      <c r="B4439" s="63">
        <v>44265.0</v>
      </c>
      <c r="C4439" s="69">
        <v>18.460401180042894</v>
      </c>
    </row>
    <row r="4440">
      <c r="A4440" s="62" t="s">
        <v>5157</v>
      </c>
      <c r="B4440" s="63">
        <v>44286.0</v>
      </c>
      <c r="C4440" s="69">
        <v>18.376957902860465</v>
      </c>
    </row>
    <row r="4441">
      <c r="A4441" s="62" t="s">
        <v>5016</v>
      </c>
      <c r="B4441" s="63">
        <v>44281.0</v>
      </c>
      <c r="C4441" s="69">
        <v>18.352908412740796</v>
      </c>
    </row>
    <row r="4442">
      <c r="A4442" s="62" t="s">
        <v>1430</v>
      </c>
      <c r="B4442" s="63">
        <v>44305.0</v>
      </c>
      <c r="C4442" s="69">
        <v>18.350488757951773</v>
      </c>
    </row>
    <row r="4443">
      <c r="A4443" s="62" t="s">
        <v>922</v>
      </c>
      <c r="B4443" s="63">
        <v>44342.0</v>
      </c>
      <c r="C4443" s="69">
        <v>18.321183390115085</v>
      </c>
    </row>
    <row r="4444">
      <c r="A4444" s="62" t="s">
        <v>4501</v>
      </c>
      <c r="B4444" s="63">
        <v>44280.0</v>
      </c>
      <c r="C4444" s="69">
        <v>18.301500615067756</v>
      </c>
    </row>
    <row r="4445">
      <c r="A4445" s="62" t="s">
        <v>5402</v>
      </c>
      <c r="B4445" s="63">
        <v>44375.0</v>
      </c>
      <c r="C4445" s="69">
        <v>18.274281535555943</v>
      </c>
    </row>
    <row r="4446">
      <c r="A4446" s="62" t="s">
        <v>5338</v>
      </c>
      <c r="B4446" s="63">
        <v>44370.0</v>
      </c>
      <c r="C4446" s="69">
        <v>18.16203089568321</v>
      </c>
    </row>
    <row r="4447">
      <c r="A4447" s="62" t="s">
        <v>918</v>
      </c>
      <c r="B4447" s="63">
        <v>44343.0</v>
      </c>
      <c r="C4447" s="69">
        <v>18.144258193186058</v>
      </c>
    </row>
    <row r="4448">
      <c r="A4448" s="62" t="s">
        <v>913</v>
      </c>
      <c r="B4448" s="63">
        <v>44337.0</v>
      </c>
      <c r="C4448" s="69">
        <v>18.079533370525116</v>
      </c>
    </row>
    <row r="4449">
      <c r="A4449" s="62" t="s">
        <v>3727</v>
      </c>
      <c r="B4449" s="63">
        <v>44232.0</v>
      </c>
      <c r="C4449" s="69">
        <v>18.07145309057004</v>
      </c>
    </row>
    <row r="4450">
      <c r="A4450" s="62" t="s">
        <v>2556</v>
      </c>
      <c r="B4450" s="63">
        <v>44385.0</v>
      </c>
      <c r="C4450" s="69">
        <v>18.065794211082494</v>
      </c>
    </row>
    <row r="4451">
      <c r="A4451" s="62" t="s">
        <v>5660</v>
      </c>
      <c r="B4451" s="63">
        <v>44376.0</v>
      </c>
      <c r="C4451" s="69">
        <v>17.96572840429964</v>
      </c>
    </row>
    <row r="4452">
      <c r="A4452" s="62" t="s">
        <v>4819</v>
      </c>
      <c r="B4452" s="63">
        <v>44273.0</v>
      </c>
      <c r="C4452" s="69">
        <v>17.953994426316623</v>
      </c>
    </row>
    <row r="4453">
      <c r="A4453" s="62" t="s">
        <v>5006</v>
      </c>
      <c r="B4453" s="63">
        <v>44314.0</v>
      </c>
      <c r="C4453" s="69">
        <v>17.94648690747862</v>
      </c>
    </row>
    <row r="4454">
      <c r="A4454" s="62" t="s">
        <v>5012</v>
      </c>
      <c r="B4454" s="63">
        <v>44302.0</v>
      </c>
      <c r="C4454" s="69">
        <v>17.74316797044344</v>
      </c>
    </row>
    <row r="4455">
      <c r="A4455" s="62" t="s">
        <v>5895</v>
      </c>
      <c r="B4455" s="63">
        <v>44373.0</v>
      </c>
      <c r="C4455" s="69">
        <v>17.684413432883858</v>
      </c>
    </row>
    <row r="4456">
      <c r="A4456" s="62" t="s">
        <v>4879</v>
      </c>
      <c r="B4456" s="63">
        <v>44313.0</v>
      </c>
      <c r="C4456" s="69">
        <v>17.49160610438508</v>
      </c>
    </row>
    <row r="4457">
      <c r="A4457" s="62" t="s">
        <v>5007</v>
      </c>
      <c r="B4457" s="63">
        <v>44263.0</v>
      </c>
      <c r="C4457" s="69">
        <v>17.445741585162995</v>
      </c>
    </row>
    <row r="4458">
      <c r="A4458" s="62" t="s">
        <v>907</v>
      </c>
      <c r="B4458" s="63">
        <v>44335.0</v>
      </c>
      <c r="C4458" s="69">
        <v>17.40643373151949</v>
      </c>
    </row>
    <row r="4459">
      <c r="A4459" s="62" t="s">
        <v>4929</v>
      </c>
      <c r="B4459" s="63">
        <v>44312.0</v>
      </c>
      <c r="C4459" s="69">
        <v>17.360503191610224</v>
      </c>
    </row>
    <row r="4460">
      <c r="A4460" s="62" t="s">
        <v>4968</v>
      </c>
      <c r="B4460" s="63">
        <v>44309.0</v>
      </c>
      <c r="C4460" s="69">
        <v>17.29212319940704</v>
      </c>
    </row>
    <row r="4461">
      <c r="A4461" s="62" t="s">
        <v>2001</v>
      </c>
      <c r="B4461" s="63">
        <v>44266.0</v>
      </c>
      <c r="C4461" s="69">
        <v>17.227159211323663</v>
      </c>
    </row>
    <row r="4462">
      <c r="A4462" s="62" t="s">
        <v>6324</v>
      </c>
      <c r="B4462" s="63">
        <v>44368.0</v>
      </c>
      <c r="C4462" s="69">
        <v>17.16602034365838</v>
      </c>
    </row>
    <row r="4463">
      <c r="A4463" s="62" t="s">
        <v>5825</v>
      </c>
      <c r="B4463" s="63">
        <v>44358.0</v>
      </c>
      <c r="C4463" s="69">
        <v>17.108210917157095</v>
      </c>
    </row>
    <row r="4464">
      <c r="A4464" s="62" t="s">
        <v>5256</v>
      </c>
      <c r="B4464" s="63">
        <v>44307.0</v>
      </c>
      <c r="C4464" s="69">
        <v>17.103726949388747</v>
      </c>
    </row>
    <row r="4465">
      <c r="A4465" s="62" t="s">
        <v>904</v>
      </c>
      <c r="B4465" s="63">
        <v>44328.0</v>
      </c>
      <c r="C4465" s="69">
        <v>17.084271557611487</v>
      </c>
    </row>
    <row r="4466">
      <c r="A4466" s="62" t="s">
        <v>5008</v>
      </c>
      <c r="B4466" s="63">
        <v>44277.0</v>
      </c>
      <c r="C4466" s="69">
        <v>16.995931232850058</v>
      </c>
    </row>
    <row r="4467">
      <c r="A4467" s="62" t="s">
        <v>3948</v>
      </c>
      <c r="B4467" s="63">
        <v>44243.0</v>
      </c>
      <c r="C4467" s="69">
        <v>16.98273723616312</v>
      </c>
    </row>
    <row r="4468">
      <c r="A4468" s="62" t="s">
        <v>3080</v>
      </c>
      <c r="B4468" s="63">
        <v>44236.0</v>
      </c>
      <c r="C4468" s="69">
        <v>16.9761839592593</v>
      </c>
    </row>
    <row r="4469">
      <c r="A4469" s="62" t="s">
        <v>3046</v>
      </c>
      <c r="B4469" s="63">
        <v>44237.0</v>
      </c>
      <c r="C4469" s="69">
        <v>16.966889519685772</v>
      </c>
    </row>
    <row r="4470">
      <c r="A4470" s="62" t="s">
        <v>3209</v>
      </c>
      <c r="B4470" s="63">
        <v>44230.0</v>
      </c>
      <c r="C4470" s="69">
        <v>16.92598223955221</v>
      </c>
    </row>
    <row r="4471">
      <c r="A4471" s="62" t="s">
        <v>2389</v>
      </c>
      <c r="B4471" s="63">
        <v>44378.0</v>
      </c>
      <c r="C4471" s="69">
        <v>16.92475178931229</v>
      </c>
    </row>
    <row r="4472">
      <c r="A4472" s="62" t="s">
        <v>893</v>
      </c>
      <c r="B4472" s="63">
        <v>44319.0</v>
      </c>
      <c r="C4472" s="69">
        <v>16.92026794441248</v>
      </c>
    </row>
    <row r="4473">
      <c r="A4473" s="62" t="s">
        <v>889</v>
      </c>
      <c r="B4473" s="63">
        <v>44335.0</v>
      </c>
      <c r="C4473" s="69">
        <v>16.916647687555315</v>
      </c>
    </row>
    <row r="4474">
      <c r="A4474" s="62" t="s">
        <v>2669</v>
      </c>
      <c r="B4474" s="63">
        <v>44111.0</v>
      </c>
      <c r="C4474" s="69">
        <v>16.876919275550655</v>
      </c>
    </row>
    <row r="4475">
      <c r="A4475" s="62" t="s">
        <v>4546</v>
      </c>
      <c r="B4475" s="63">
        <v>44279.0</v>
      </c>
      <c r="C4475" s="69">
        <v>16.872671384664418</v>
      </c>
    </row>
    <row r="4476">
      <c r="A4476" s="62" t="s">
        <v>5283</v>
      </c>
      <c r="B4476" s="63">
        <v>44376.0</v>
      </c>
      <c r="C4476" s="69">
        <v>16.81484871205413</v>
      </c>
    </row>
    <row r="4477">
      <c r="A4477" s="62" t="s">
        <v>6068</v>
      </c>
      <c r="B4477" s="63">
        <v>44371.0</v>
      </c>
      <c r="C4477" s="69">
        <v>16.810693034192436</v>
      </c>
    </row>
    <row r="4478">
      <c r="A4478" s="62" t="s">
        <v>4245</v>
      </c>
      <c r="B4478" s="63">
        <v>44158.0</v>
      </c>
      <c r="C4478" s="69">
        <v>16.806965585538013</v>
      </c>
    </row>
    <row r="4479">
      <c r="A4479" s="62" t="s">
        <v>6031</v>
      </c>
      <c r="B4479" s="63">
        <v>44361.0</v>
      </c>
      <c r="C4479" s="69">
        <v>16.801378068276602</v>
      </c>
    </row>
    <row r="4480">
      <c r="A4480" s="62" t="s">
        <v>133</v>
      </c>
      <c r="B4480" s="63">
        <v>44392.0</v>
      </c>
      <c r="C4480" s="69">
        <v>16.80050144663245</v>
      </c>
    </row>
    <row r="4481">
      <c r="A4481" s="62" t="s">
        <v>4714</v>
      </c>
      <c r="B4481" s="63">
        <v>44264.0</v>
      </c>
      <c r="C4481" s="69">
        <v>16.799839278544134</v>
      </c>
    </row>
    <row r="4482">
      <c r="A4482" s="62" t="s">
        <v>878</v>
      </c>
      <c r="B4482" s="63">
        <v>44336.0</v>
      </c>
      <c r="C4482" s="69">
        <v>16.7845395621951</v>
      </c>
    </row>
    <row r="4483">
      <c r="A4483" s="62" t="s">
        <v>5004</v>
      </c>
      <c r="B4483" s="63">
        <v>44256.0</v>
      </c>
      <c r="C4483" s="69">
        <v>16.78208999862421</v>
      </c>
    </row>
    <row r="4484">
      <c r="A4484" s="62" t="s">
        <v>5466</v>
      </c>
      <c r="B4484" s="63">
        <v>44358.0</v>
      </c>
      <c r="C4484" s="69">
        <v>16.774084371098517</v>
      </c>
    </row>
    <row r="4485">
      <c r="A4485" s="62" t="s">
        <v>4598</v>
      </c>
      <c r="B4485" s="63">
        <v>44284.0</v>
      </c>
      <c r="C4485" s="69">
        <v>16.770190076624548</v>
      </c>
    </row>
    <row r="4486">
      <c r="A4486" s="62" t="s">
        <v>6300</v>
      </c>
      <c r="B4486" s="63">
        <v>44372.0</v>
      </c>
      <c r="C4486" s="69">
        <v>16.76756545834146</v>
      </c>
    </row>
    <row r="4487">
      <c r="A4487" s="62" t="s">
        <v>5945</v>
      </c>
      <c r="B4487" s="63">
        <v>44357.0</v>
      </c>
      <c r="C4487" s="69">
        <v>16.76712729045085</v>
      </c>
    </row>
    <row r="4488">
      <c r="A4488" s="62" t="s">
        <v>3759</v>
      </c>
      <c r="B4488" s="63">
        <v>44152.0</v>
      </c>
      <c r="C4488" s="69">
        <v>16.766534594769386</v>
      </c>
    </row>
    <row r="4489">
      <c r="A4489" s="62" t="s">
        <v>5248</v>
      </c>
      <c r="B4489" s="63">
        <v>44257.0</v>
      </c>
      <c r="C4489" s="69">
        <v>16.753143267393014</v>
      </c>
    </row>
    <row r="4490">
      <c r="A4490" s="62" t="s">
        <v>3153</v>
      </c>
      <c r="B4490" s="63">
        <v>44137.0</v>
      </c>
      <c r="C4490" s="69">
        <v>16.721118685045905</v>
      </c>
    </row>
    <row r="4491">
      <c r="A4491" s="62" t="s">
        <v>2701</v>
      </c>
      <c r="B4491" s="63">
        <v>44208.0</v>
      </c>
      <c r="C4491" s="69">
        <v>16.695938389024608</v>
      </c>
    </row>
    <row r="4492">
      <c r="A4492" s="62" t="s">
        <v>5313</v>
      </c>
      <c r="B4492" s="63">
        <v>44366.0</v>
      </c>
      <c r="C4492" s="69">
        <v>16.688623654818574</v>
      </c>
    </row>
    <row r="4493">
      <c r="A4493" s="62" t="s">
        <v>5195</v>
      </c>
      <c r="B4493" s="63">
        <v>44286.0</v>
      </c>
      <c r="C4493" s="69">
        <v>16.67833536070726</v>
      </c>
    </row>
    <row r="4494">
      <c r="A4494" s="62" t="s">
        <v>1652</v>
      </c>
      <c r="B4494" s="63">
        <v>44358.0</v>
      </c>
      <c r="C4494" s="69">
        <v>16.67029957088442</v>
      </c>
    </row>
    <row r="4495">
      <c r="A4495" s="62" t="s">
        <v>3202</v>
      </c>
      <c r="B4495" s="63">
        <v>44208.0</v>
      </c>
      <c r="C4495" s="69">
        <v>16.667125385173055</v>
      </c>
    </row>
    <row r="4496">
      <c r="A4496" s="62" t="s">
        <v>3868</v>
      </c>
      <c r="B4496" s="63">
        <v>44232.0</v>
      </c>
      <c r="C4496" s="69">
        <v>16.65584743166941</v>
      </c>
    </row>
    <row r="4497">
      <c r="A4497" s="62" t="s">
        <v>4560</v>
      </c>
      <c r="B4497" s="63">
        <v>44313.0</v>
      </c>
      <c r="C4497" s="69">
        <v>16.62484550524917</v>
      </c>
    </row>
    <row r="4498">
      <c r="A4498" s="62" t="s">
        <v>4944</v>
      </c>
      <c r="B4498" s="63">
        <v>44259.0</v>
      </c>
      <c r="C4498" s="69">
        <v>16.622979091003252</v>
      </c>
    </row>
    <row r="4499">
      <c r="A4499" s="62" t="s">
        <v>1543</v>
      </c>
      <c r="B4499" s="63">
        <v>44273.0</v>
      </c>
      <c r="C4499" s="69">
        <v>16.611494352872462</v>
      </c>
    </row>
    <row r="4500">
      <c r="A4500" s="62" t="s">
        <v>827</v>
      </c>
      <c r="B4500" s="63">
        <v>44361.0</v>
      </c>
      <c r="C4500" s="69">
        <v>16.60630967812957</v>
      </c>
    </row>
    <row r="4501">
      <c r="A4501" s="62" t="s">
        <v>874</v>
      </c>
      <c r="B4501" s="63">
        <v>44326.0</v>
      </c>
      <c r="C4501" s="69">
        <v>16.59829570340503</v>
      </c>
    </row>
    <row r="4502">
      <c r="A4502" s="62" t="s">
        <v>4899</v>
      </c>
      <c r="B4502" s="63">
        <v>44257.0</v>
      </c>
      <c r="C4502" s="69">
        <v>16.59730225634846</v>
      </c>
    </row>
    <row r="4503">
      <c r="A4503" s="62" t="s">
        <v>4124</v>
      </c>
      <c r="B4503" s="63">
        <v>44230.0</v>
      </c>
      <c r="C4503" s="69">
        <v>16.572622711193592</v>
      </c>
    </row>
    <row r="4504">
      <c r="A4504" s="62" t="s">
        <v>2765</v>
      </c>
      <c r="B4504" s="63">
        <v>44221.0</v>
      </c>
      <c r="C4504" s="69">
        <v>16.546584318146454</v>
      </c>
    </row>
    <row r="4505">
      <c r="A4505" s="62" t="s">
        <v>866</v>
      </c>
      <c r="B4505" s="63">
        <v>44329.0</v>
      </c>
      <c r="C4505" s="69">
        <v>16.54203779532353</v>
      </c>
    </row>
    <row r="4506">
      <c r="A4506" s="62" t="s">
        <v>863</v>
      </c>
      <c r="B4506" s="63">
        <v>44328.0</v>
      </c>
      <c r="C4506" s="69">
        <v>16.53643275669118</v>
      </c>
    </row>
    <row r="4507">
      <c r="A4507" s="62" t="s">
        <v>5794</v>
      </c>
      <c r="B4507" s="63">
        <v>44376.0</v>
      </c>
      <c r="C4507" s="69">
        <v>16.53416926840353</v>
      </c>
    </row>
    <row r="4508">
      <c r="A4508" s="62" t="s">
        <v>5726</v>
      </c>
      <c r="B4508" s="63">
        <v>44376.0</v>
      </c>
      <c r="C4508" s="69">
        <v>16.529178090577275</v>
      </c>
    </row>
    <row r="4509">
      <c r="A4509" s="62" t="s">
        <v>3725</v>
      </c>
      <c r="B4509" s="63">
        <v>44151.0</v>
      </c>
      <c r="C4509" s="69">
        <v>16.52763983278171</v>
      </c>
    </row>
    <row r="4510">
      <c r="A4510" s="62" t="s">
        <v>6340</v>
      </c>
      <c r="B4510" s="63">
        <v>44377.0</v>
      </c>
      <c r="C4510" s="69">
        <v>16.52163778801276</v>
      </c>
    </row>
    <row r="4511">
      <c r="A4511" s="62" t="s">
        <v>3982</v>
      </c>
      <c r="B4511" s="63">
        <v>44140.0</v>
      </c>
      <c r="C4511" s="69">
        <v>16.520644995310136</v>
      </c>
    </row>
    <row r="4512">
      <c r="A4512" s="62" t="s">
        <v>1701</v>
      </c>
      <c r="B4512" s="63">
        <v>44235.0</v>
      </c>
      <c r="C4512" s="69">
        <v>16.519291285035955</v>
      </c>
    </row>
    <row r="4513">
      <c r="A4513" s="62" t="s">
        <v>3794</v>
      </c>
      <c r="B4513" s="63">
        <v>44151.0</v>
      </c>
      <c r="C4513" s="69">
        <v>16.515182598455542</v>
      </c>
    </row>
    <row r="4514">
      <c r="A4514" s="62" t="s">
        <v>859</v>
      </c>
      <c r="B4514" s="63">
        <v>44333.0</v>
      </c>
      <c r="C4514" s="69">
        <v>16.48651843411919</v>
      </c>
    </row>
    <row r="4515">
      <c r="A4515" s="62" t="s">
        <v>1037</v>
      </c>
      <c r="B4515" s="63">
        <v>44262.0</v>
      </c>
      <c r="C4515" s="69">
        <v>16.47816616942938</v>
      </c>
    </row>
    <row r="4516">
      <c r="A4516" s="62" t="s">
        <v>844</v>
      </c>
      <c r="B4516" s="63">
        <v>44321.0</v>
      </c>
      <c r="C4516" s="69">
        <v>16.472025189451976</v>
      </c>
    </row>
    <row r="4517">
      <c r="A4517" s="62" t="s">
        <v>842</v>
      </c>
      <c r="B4517" s="63">
        <v>44327.0</v>
      </c>
      <c r="C4517" s="69">
        <v>16.464227933563283</v>
      </c>
    </row>
    <row r="4518">
      <c r="A4518" s="62" t="s">
        <v>268</v>
      </c>
      <c r="B4518" s="63">
        <v>44383.0</v>
      </c>
      <c r="C4518" s="69">
        <v>16.453571229754267</v>
      </c>
    </row>
    <row r="4519">
      <c r="A4519" s="62" t="s">
        <v>900</v>
      </c>
      <c r="B4519" s="63">
        <v>44211.0</v>
      </c>
      <c r="C4519" s="69">
        <v>16.452565932919065</v>
      </c>
    </row>
    <row r="4520">
      <c r="A4520" s="62" t="s">
        <v>841</v>
      </c>
      <c r="B4520" s="63">
        <v>44344.0</v>
      </c>
      <c r="C4520" s="69">
        <v>16.452309011692996</v>
      </c>
    </row>
    <row r="4521">
      <c r="A4521" s="62" t="s">
        <v>4576</v>
      </c>
      <c r="B4521" s="63">
        <v>44294.0</v>
      </c>
      <c r="C4521" s="69">
        <v>16.44997784873682</v>
      </c>
    </row>
    <row r="4522">
      <c r="A4522" s="62" t="s">
        <v>4934</v>
      </c>
      <c r="B4522" s="63">
        <v>44278.0</v>
      </c>
      <c r="C4522" s="69">
        <v>16.43800565129895</v>
      </c>
    </row>
    <row r="4523">
      <c r="A4523" s="62" t="s">
        <v>2825</v>
      </c>
      <c r="B4523" s="63">
        <v>44098.0</v>
      </c>
      <c r="C4523" s="69">
        <v>16.432704790870073</v>
      </c>
    </row>
    <row r="4524">
      <c r="A4524" s="62" t="s">
        <v>3091</v>
      </c>
      <c r="B4524" s="63">
        <v>44211.0</v>
      </c>
      <c r="C4524" s="69">
        <v>16.41805904862755</v>
      </c>
    </row>
    <row r="4525">
      <c r="A4525" s="62" t="s">
        <v>3223</v>
      </c>
      <c r="B4525" s="63">
        <v>44152.0</v>
      </c>
      <c r="C4525" s="69">
        <v>16.404946540889206</v>
      </c>
    </row>
    <row r="4526">
      <c r="A4526" s="62" t="s">
        <v>2381</v>
      </c>
      <c r="B4526" s="63">
        <v>44383.0</v>
      </c>
      <c r="C4526" s="69">
        <v>16.40435195534035</v>
      </c>
    </row>
    <row r="4527">
      <c r="A4527" s="62" t="s">
        <v>6370</v>
      </c>
      <c r="B4527" s="63">
        <v>44375.0</v>
      </c>
      <c r="C4527" s="69">
        <v>16.403671415348594</v>
      </c>
    </row>
    <row r="4528">
      <c r="A4528" s="62" t="s">
        <v>824</v>
      </c>
      <c r="B4528" s="63">
        <v>44337.0</v>
      </c>
      <c r="C4528" s="69">
        <v>16.403575152576483</v>
      </c>
    </row>
    <row r="4529">
      <c r="A4529" s="62" t="s">
        <v>6295</v>
      </c>
      <c r="B4529" s="63">
        <v>44369.0</v>
      </c>
      <c r="C4529" s="69">
        <v>16.401855743078897</v>
      </c>
    </row>
    <row r="4530">
      <c r="A4530" s="62" t="s">
        <v>4492</v>
      </c>
      <c r="B4530" s="63">
        <v>44309.0</v>
      </c>
      <c r="C4530" s="69">
        <v>16.396609777028317</v>
      </c>
    </row>
    <row r="4531">
      <c r="A4531" s="62" t="s">
        <v>810</v>
      </c>
      <c r="B4531" s="63">
        <v>44338.0</v>
      </c>
      <c r="C4531" s="69">
        <v>16.37962531186616</v>
      </c>
    </row>
    <row r="4532">
      <c r="A4532" s="62" t="s">
        <v>804</v>
      </c>
      <c r="B4532" s="63">
        <v>44337.0</v>
      </c>
      <c r="C4532" s="69">
        <v>16.378613609082517</v>
      </c>
    </row>
    <row r="4533">
      <c r="A4533" s="62" t="s">
        <v>3199</v>
      </c>
      <c r="B4533" s="63">
        <v>44235.0</v>
      </c>
      <c r="C4533" s="69">
        <v>16.37716927030011</v>
      </c>
    </row>
    <row r="4534">
      <c r="A4534" s="62" t="s">
        <v>4183</v>
      </c>
      <c r="B4534" s="63">
        <v>44228.0</v>
      </c>
      <c r="C4534" s="69">
        <v>16.37351292160741</v>
      </c>
    </row>
    <row r="4535">
      <c r="A4535" s="62" t="s">
        <v>3400</v>
      </c>
      <c r="B4535" s="63">
        <v>44224.0</v>
      </c>
      <c r="C4535" s="69">
        <v>16.34227814085198</v>
      </c>
    </row>
    <row r="4536">
      <c r="A4536" s="62" t="s">
        <v>6635</v>
      </c>
      <c r="B4536" s="63">
        <v>44372.0</v>
      </c>
      <c r="C4536" s="69">
        <v>16.330452176671727</v>
      </c>
    </row>
    <row r="4537">
      <c r="A4537" s="62" t="s">
        <v>802</v>
      </c>
      <c r="B4537" s="63">
        <v>44330.0</v>
      </c>
      <c r="C4537" s="69">
        <v>16.32159155008442</v>
      </c>
    </row>
    <row r="4538">
      <c r="A4538" s="62" t="s">
        <v>4523</v>
      </c>
      <c r="B4538" s="63">
        <v>44312.0</v>
      </c>
      <c r="C4538" s="69">
        <v>16.305912501528873</v>
      </c>
    </row>
    <row r="4539">
      <c r="A4539" s="62" t="s">
        <v>623</v>
      </c>
      <c r="B4539" s="63">
        <v>44371.0</v>
      </c>
      <c r="C4539" s="69">
        <v>16.29978090774409</v>
      </c>
    </row>
    <row r="4540">
      <c r="A4540" s="62" t="s">
        <v>799</v>
      </c>
      <c r="B4540" s="63">
        <v>44347.0</v>
      </c>
      <c r="C4540" s="69">
        <v>16.29541126599259</v>
      </c>
    </row>
    <row r="4541">
      <c r="A4541" s="62" t="s">
        <v>4665</v>
      </c>
      <c r="B4541" s="63">
        <v>44301.0</v>
      </c>
      <c r="C4541" s="69">
        <v>16.28798700965116</v>
      </c>
    </row>
    <row r="4542">
      <c r="A4542" s="62" t="s">
        <v>4544</v>
      </c>
      <c r="B4542" s="63">
        <v>44274.0</v>
      </c>
      <c r="C4542" s="69">
        <v>16.287695177949477</v>
      </c>
    </row>
    <row r="4543">
      <c r="A4543" s="62" t="s">
        <v>4404</v>
      </c>
      <c r="B4543" s="63">
        <v>44155.0</v>
      </c>
      <c r="C4543" s="69">
        <v>16.28678336894423</v>
      </c>
    </row>
    <row r="4544">
      <c r="A4544" s="62" t="s">
        <v>1068</v>
      </c>
      <c r="B4544" s="63">
        <v>44369.0</v>
      </c>
      <c r="C4544" s="69">
        <v>16.248781321410434</v>
      </c>
    </row>
    <row r="4545">
      <c r="A4545" s="62" t="s">
        <v>4979</v>
      </c>
      <c r="B4545" s="63">
        <v>44284.0</v>
      </c>
      <c r="C4545" s="69">
        <v>16.24155989409472</v>
      </c>
    </row>
    <row r="4546">
      <c r="A4546" s="62" t="s">
        <v>4695</v>
      </c>
      <c r="B4546" s="63">
        <v>44278.0</v>
      </c>
      <c r="C4546" s="69">
        <v>16.23829971089441</v>
      </c>
    </row>
    <row r="4547">
      <c r="A4547" s="62" t="s">
        <v>5108</v>
      </c>
      <c r="B4547" s="63">
        <v>44266.0</v>
      </c>
      <c r="C4547" s="69">
        <v>16.229674038726714</v>
      </c>
    </row>
    <row r="4548">
      <c r="A4548" s="62" t="s">
        <v>5188</v>
      </c>
      <c r="B4548" s="63">
        <v>44284.0</v>
      </c>
      <c r="C4548" s="69">
        <v>16.214707497517576</v>
      </c>
    </row>
    <row r="4549">
      <c r="A4549" s="62" t="s">
        <v>5265</v>
      </c>
      <c r="B4549" s="63">
        <v>44307.0</v>
      </c>
      <c r="C4549" s="69">
        <v>16.20304980964022</v>
      </c>
    </row>
    <row r="4550">
      <c r="A4550" s="62" t="s">
        <v>3811</v>
      </c>
      <c r="B4550" s="63">
        <v>44109.0</v>
      </c>
      <c r="C4550" s="69">
        <v>16.19486760071511</v>
      </c>
    </row>
    <row r="4551">
      <c r="A4551" s="62" t="s">
        <v>2557</v>
      </c>
      <c r="B4551" s="63">
        <v>44393.0</v>
      </c>
      <c r="C4551" s="69">
        <v>16.16712549935857</v>
      </c>
    </row>
    <row r="4552">
      <c r="A4552" s="62" t="s">
        <v>6696</v>
      </c>
      <c r="B4552" s="63">
        <v>44375.0</v>
      </c>
      <c r="C4552" s="69">
        <v>16.161286921880006</v>
      </c>
    </row>
    <row r="4553">
      <c r="A4553" s="62" t="s">
        <v>5405</v>
      </c>
      <c r="B4553" s="63">
        <v>44358.0</v>
      </c>
      <c r="C4553" s="69">
        <v>16.122123660780716</v>
      </c>
    </row>
    <row r="4554">
      <c r="A4554" s="62" t="s">
        <v>5201</v>
      </c>
      <c r="B4554" s="63">
        <v>44257.0</v>
      </c>
      <c r="C4554" s="69">
        <v>16.080371687145707</v>
      </c>
    </row>
    <row r="4555">
      <c r="A4555" s="62" t="s">
        <v>3096</v>
      </c>
      <c r="B4555" s="63">
        <v>44225.0</v>
      </c>
      <c r="C4555" s="69">
        <v>16.07928649363115</v>
      </c>
    </row>
    <row r="4556">
      <c r="A4556" s="62" t="s">
        <v>3031</v>
      </c>
      <c r="B4556" s="63">
        <v>44118.0</v>
      </c>
      <c r="C4556" s="69">
        <v>16.066973854945996</v>
      </c>
    </row>
    <row r="4557">
      <c r="A4557" s="62" t="s">
        <v>3356</v>
      </c>
      <c r="B4557" s="63">
        <v>44228.0</v>
      </c>
      <c r="C4557" s="69">
        <v>16.06617818451432</v>
      </c>
    </row>
    <row r="4558">
      <c r="A4558" s="62" t="s">
        <v>4087</v>
      </c>
      <c r="B4558" s="63">
        <v>44105.0</v>
      </c>
      <c r="C4558" s="69">
        <v>16.057139948772534</v>
      </c>
    </row>
    <row r="4559">
      <c r="A4559" s="62" t="s">
        <v>3909</v>
      </c>
      <c r="B4559" s="63">
        <v>44214.0</v>
      </c>
      <c r="C4559" s="69">
        <v>16.04723962521662</v>
      </c>
    </row>
    <row r="4560">
      <c r="A4560" s="62" t="s">
        <v>4191</v>
      </c>
      <c r="B4560" s="63">
        <v>44232.0</v>
      </c>
      <c r="C4560" s="69">
        <v>16.04530326864212</v>
      </c>
    </row>
    <row r="4561">
      <c r="A4561" s="62" t="s">
        <v>6579</v>
      </c>
      <c r="B4561" s="63">
        <v>44377.0</v>
      </c>
      <c r="C4561" s="69">
        <v>16.036052707395374</v>
      </c>
    </row>
    <row r="4562">
      <c r="A4562" s="62" t="s">
        <v>3905</v>
      </c>
      <c r="B4562" s="63">
        <v>44131.0</v>
      </c>
      <c r="C4562" s="69">
        <v>16.02317245597479</v>
      </c>
    </row>
    <row r="4563">
      <c r="A4563" s="62" t="s">
        <v>591</v>
      </c>
      <c r="B4563" s="63">
        <v>44363.0</v>
      </c>
      <c r="C4563" s="69">
        <v>16.019570006260526</v>
      </c>
    </row>
    <row r="4564">
      <c r="A4564" s="62" t="s">
        <v>5206</v>
      </c>
      <c r="B4564" s="63">
        <v>44305.0</v>
      </c>
      <c r="C4564" s="69">
        <v>16.001905370783916</v>
      </c>
    </row>
    <row r="4565">
      <c r="A4565" s="62" t="s">
        <v>4508</v>
      </c>
      <c r="B4565" s="63">
        <v>44279.0</v>
      </c>
      <c r="C4565" s="69">
        <v>16.00107157878869</v>
      </c>
    </row>
    <row r="4566">
      <c r="A4566" s="62" t="s">
        <v>3150</v>
      </c>
      <c r="B4566" s="63">
        <v>44109.0</v>
      </c>
      <c r="C4566" s="69">
        <v>15.993600615636938</v>
      </c>
    </row>
    <row r="4567">
      <c r="A4567" s="62" t="s">
        <v>6278</v>
      </c>
      <c r="B4567" s="63">
        <v>44354.0</v>
      </c>
      <c r="C4567" s="69">
        <v>15.973451329841996</v>
      </c>
    </row>
    <row r="4568">
      <c r="A4568" s="62" t="s">
        <v>163</v>
      </c>
      <c r="B4568" s="63">
        <v>44068.0</v>
      </c>
      <c r="C4568" s="69">
        <v>15.956459154079203</v>
      </c>
    </row>
    <row r="4569">
      <c r="A4569" s="62" t="s">
        <v>5777</v>
      </c>
      <c r="B4569" s="63">
        <v>44368.0</v>
      </c>
      <c r="C4569" s="69">
        <v>15.937701818413824</v>
      </c>
    </row>
    <row r="4570">
      <c r="A4570" s="62" t="s">
        <v>6155</v>
      </c>
      <c r="B4570" s="63">
        <v>44375.0</v>
      </c>
      <c r="C4570" s="69">
        <v>15.93278485631354</v>
      </c>
    </row>
    <row r="4571">
      <c r="A4571" s="62" t="s">
        <v>5218</v>
      </c>
      <c r="B4571" s="63">
        <v>44299.0</v>
      </c>
      <c r="C4571" s="69">
        <v>15.92582416546341</v>
      </c>
    </row>
    <row r="4572">
      <c r="A4572" s="62" t="s">
        <v>3887</v>
      </c>
      <c r="B4572" s="63">
        <v>44085.0</v>
      </c>
      <c r="C4572" s="69">
        <v>15.921832936064328</v>
      </c>
    </row>
    <row r="4573">
      <c r="A4573" s="62" t="s">
        <v>2312</v>
      </c>
      <c r="B4573" s="63">
        <v>44382.0</v>
      </c>
      <c r="C4573" s="69">
        <v>15.919992121037607</v>
      </c>
    </row>
    <row r="4574">
      <c r="A4574" s="62" t="s">
        <v>4345</v>
      </c>
      <c r="B4574" s="63">
        <v>44224.0</v>
      </c>
      <c r="C4574" s="69">
        <v>15.912031826280288</v>
      </c>
    </row>
    <row r="4575">
      <c r="A4575" s="62" t="s">
        <v>6315</v>
      </c>
      <c r="B4575" s="63">
        <v>44376.0</v>
      </c>
      <c r="C4575" s="69">
        <v>15.907067174832756</v>
      </c>
    </row>
    <row r="4576">
      <c r="A4576" s="62" t="s">
        <v>2671</v>
      </c>
      <c r="B4576" s="63">
        <v>44218.0</v>
      </c>
      <c r="C4576" s="69">
        <v>15.902444520629121</v>
      </c>
    </row>
    <row r="4577">
      <c r="A4577" s="62" t="s">
        <v>1539</v>
      </c>
      <c r="B4577" s="63">
        <v>44375.0</v>
      </c>
      <c r="C4577" s="69">
        <v>15.901495496740676</v>
      </c>
    </row>
    <row r="4578">
      <c r="A4578" s="62" t="s">
        <v>2351</v>
      </c>
      <c r="B4578" s="63">
        <v>44394.0</v>
      </c>
      <c r="C4578" s="69">
        <v>15.897088309142875</v>
      </c>
    </row>
    <row r="4579">
      <c r="A4579" s="62" t="s">
        <v>796</v>
      </c>
      <c r="B4579" s="63">
        <v>44341.0</v>
      </c>
      <c r="C4579" s="69">
        <v>15.894703077220838</v>
      </c>
    </row>
    <row r="4580">
      <c r="A4580" s="62" t="s">
        <v>789</v>
      </c>
      <c r="B4580" s="63">
        <v>44323.0</v>
      </c>
      <c r="C4580" s="69">
        <v>15.892460245305287</v>
      </c>
    </row>
    <row r="4581">
      <c r="A4581" s="62" t="s">
        <v>3667</v>
      </c>
      <c r="B4581" s="63">
        <v>44231.0</v>
      </c>
      <c r="C4581" s="69">
        <v>15.886294008662208</v>
      </c>
    </row>
    <row r="4582">
      <c r="A4582" s="62" t="s">
        <v>762</v>
      </c>
      <c r="B4582" s="63">
        <v>44250.0</v>
      </c>
      <c r="C4582" s="69">
        <v>15.8795564742448</v>
      </c>
    </row>
    <row r="4583">
      <c r="A4583" s="62" t="s">
        <v>4014</v>
      </c>
      <c r="B4583" s="63">
        <v>44235.0</v>
      </c>
      <c r="C4583" s="69">
        <v>15.872552380128555</v>
      </c>
    </row>
    <row r="4584">
      <c r="A4584" s="62" t="s">
        <v>5943</v>
      </c>
      <c r="B4584" s="63">
        <v>44361.0</v>
      </c>
      <c r="C4584" s="69">
        <v>15.86213324147308</v>
      </c>
    </row>
    <row r="4585">
      <c r="A4585" s="62" t="s">
        <v>6447</v>
      </c>
      <c r="B4585" s="63">
        <v>44356.0</v>
      </c>
      <c r="C4585" s="69">
        <v>15.86206889280502</v>
      </c>
    </row>
    <row r="4586">
      <c r="A4586" s="62" t="s">
        <v>4255</v>
      </c>
      <c r="B4586" s="63">
        <v>44140.0</v>
      </c>
      <c r="C4586" s="69">
        <v>15.860839679261032</v>
      </c>
    </row>
    <row r="4587">
      <c r="A4587" s="62" t="s">
        <v>773</v>
      </c>
      <c r="B4587" s="63">
        <v>44347.0</v>
      </c>
      <c r="C4587" s="69">
        <v>15.851395562001919</v>
      </c>
    </row>
    <row r="4588">
      <c r="A4588" s="62" t="s">
        <v>6573</v>
      </c>
      <c r="B4588" s="63">
        <v>44355.0</v>
      </c>
      <c r="C4588" s="69">
        <v>15.841428887202717</v>
      </c>
    </row>
    <row r="4589">
      <c r="A4589" s="62" t="s">
        <v>2748</v>
      </c>
      <c r="B4589" s="63">
        <v>44198.0</v>
      </c>
      <c r="C4589" s="69">
        <v>15.817691918472478</v>
      </c>
    </row>
    <row r="4590">
      <c r="A4590" s="62" t="s">
        <v>772</v>
      </c>
      <c r="B4590" s="63">
        <v>44343.0</v>
      </c>
      <c r="C4590" s="69">
        <v>15.817024532722439</v>
      </c>
    </row>
    <row r="4591">
      <c r="A4591" s="62" t="s">
        <v>3786</v>
      </c>
      <c r="B4591" s="63">
        <v>44075.0</v>
      </c>
      <c r="C4591" s="69">
        <v>15.80769446612037</v>
      </c>
    </row>
    <row r="4592">
      <c r="A4592" s="62" t="s">
        <v>4513</v>
      </c>
      <c r="B4592" s="63">
        <v>44286.0</v>
      </c>
      <c r="C4592" s="69">
        <v>15.807504203763752</v>
      </c>
    </row>
    <row r="4593">
      <c r="A4593" s="62" t="s">
        <v>3683</v>
      </c>
      <c r="B4593" s="63">
        <v>44225.0</v>
      </c>
      <c r="C4593" s="69">
        <v>15.800836143616666</v>
      </c>
    </row>
    <row r="4594">
      <c r="A4594" s="62" t="s">
        <v>5763</v>
      </c>
      <c r="B4594" s="63">
        <v>44354.0</v>
      </c>
      <c r="C4594" s="69">
        <v>15.786823849910528</v>
      </c>
    </row>
    <row r="4595">
      <c r="A4595" s="62" t="s">
        <v>240</v>
      </c>
      <c r="B4595" s="63">
        <v>44399.0</v>
      </c>
      <c r="C4595" s="69">
        <v>15.782236323996289</v>
      </c>
    </row>
    <row r="4596">
      <c r="A4596" s="62" t="s">
        <v>1095</v>
      </c>
      <c r="B4596" s="63">
        <v>44293.0</v>
      </c>
      <c r="C4596" s="69">
        <v>15.770242951545114</v>
      </c>
    </row>
    <row r="4597">
      <c r="A4597" s="62" t="s">
        <v>761</v>
      </c>
      <c r="B4597" s="63">
        <v>44347.0</v>
      </c>
      <c r="C4597" s="69">
        <v>15.764353730349951</v>
      </c>
    </row>
    <row r="4598">
      <c r="A4598" s="62" t="s">
        <v>6565</v>
      </c>
      <c r="B4598" s="63">
        <v>44377.0</v>
      </c>
      <c r="C4598" s="69">
        <v>15.746050977384376</v>
      </c>
    </row>
    <row r="4599">
      <c r="A4599" s="62" t="s">
        <v>741</v>
      </c>
      <c r="B4599" s="63">
        <v>44330.0</v>
      </c>
      <c r="C4599" s="69">
        <v>15.73539168916572</v>
      </c>
    </row>
    <row r="4600">
      <c r="A4600" s="62" t="s">
        <v>4123</v>
      </c>
      <c r="B4600" s="63">
        <v>44232.0</v>
      </c>
      <c r="C4600" s="69">
        <v>15.72225508679291</v>
      </c>
    </row>
    <row r="4601">
      <c r="A4601" s="62" t="s">
        <v>2144</v>
      </c>
      <c r="B4601" s="63">
        <v>44069.0</v>
      </c>
      <c r="C4601" s="69">
        <v>15.719861291224575</v>
      </c>
    </row>
    <row r="4602">
      <c r="A4602" s="62" t="s">
        <v>6674</v>
      </c>
      <c r="B4602" s="63">
        <v>44372.0</v>
      </c>
      <c r="C4602" s="69">
        <v>15.71960321933678</v>
      </c>
    </row>
    <row r="4603">
      <c r="A4603" s="62" t="s">
        <v>3969</v>
      </c>
      <c r="B4603" s="63">
        <v>44232.0</v>
      </c>
      <c r="C4603" s="69">
        <v>15.717615434515888</v>
      </c>
    </row>
    <row r="4604">
      <c r="A4604" s="62" t="s">
        <v>737</v>
      </c>
      <c r="B4604" s="63">
        <v>44329.0</v>
      </c>
      <c r="C4604" s="69">
        <v>15.71071814084554</v>
      </c>
    </row>
    <row r="4605">
      <c r="A4605" s="62" t="s">
        <v>4884</v>
      </c>
      <c r="B4605" s="63">
        <v>44295.0</v>
      </c>
      <c r="C4605" s="69">
        <v>15.702623632191957</v>
      </c>
    </row>
    <row r="4606">
      <c r="A4606" s="62" t="s">
        <v>6269</v>
      </c>
      <c r="B4606" s="63">
        <v>44354.0</v>
      </c>
      <c r="C4606" s="69">
        <v>15.696466449648385</v>
      </c>
    </row>
    <row r="4607">
      <c r="A4607" s="62" t="s">
        <v>4169</v>
      </c>
      <c r="B4607" s="63">
        <v>44113.0</v>
      </c>
      <c r="C4607" s="69">
        <v>15.674161558669548</v>
      </c>
    </row>
    <row r="4608">
      <c r="A4608" s="62" t="s">
        <v>736</v>
      </c>
      <c r="B4608" s="63">
        <v>44331.0</v>
      </c>
      <c r="C4608" s="69">
        <v>15.663321376603182</v>
      </c>
    </row>
    <row r="4609">
      <c r="A4609" s="62" t="s">
        <v>6453</v>
      </c>
      <c r="B4609" s="63">
        <v>44362.0</v>
      </c>
      <c r="C4609" s="69">
        <v>15.652093526387684</v>
      </c>
    </row>
    <row r="4610">
      <c r="A4610" s="62" t="s">
        <v>676</v>
      </c>
      <c r="B4610" s="63">
        <v>44375.0</v>
      </c>
      <c r="C4610" s="69">
        <v>15.640470765633282</v>
      </c>
    </row>
    <row r="4611">
      <c r="A4611" s="62" t="s">
        <v>4469</v>
      </c>
      <c r="B4611" s="63">
        <v>44307.0</v>
      </c>
      <c r="C4611" s="69">
        <v>15.628064239397109</v>
      </c>
    </row>
    <row r="4612">
      <c r="A4612" s="62" t="s">
        <v>6462</v>
      </c>
      <c r="B4612" s="63">
        <v>44370.0</v>
      </c>
      <c r="C4612" s="69">
        <v>15.61754646687061</v>
      </c>
    </row>
    <row r="4613">
      <c r="A4613" s="62" t="s">
        <v>2929</v>
      </c>
      <c r="B4613" s="63">
        <v>44187.0</v>
      </c>
      <c r="C4613" s="69">
        <v>15.616572620149503</v>
      </c>
    </row>
    <row r="4614">
      <c r="A4614" s="62" t="s">
        <v>5792</v>
      </c>
      <c r="B4614" s="63">
        <v>44363.0</v>
      </c>
      <c r="C4614" s="69">
        <v>15.611239248933861</v>
      </c>
    </row>
    <row r="4615">
      <c r="A4615" s="62" t="s">
        <v>4228</v>
      </c>
      <c r="B4615" s="63">
        <v>44144.0</v>
      </c>
      <c r="C4615" s="69">
        <v>15.597701396305613</v>
      </c>
    </row>
    <row r="4616">
      <c r="A4616" s="62" t="s">
        <v>6746</v>
      </c>
      <c r="B4616" s="63">
        <v>44348.0</v>
      </c>
      <c r="C4616" s="69">
        <v>15.58642306224588</v>
      </c>
    </row>
    <row r="4617">
      <c r="A4617" s="62" t="s">
        <v>3761</v>
      </c>
      <c r="B4617" s="63">
        <v>44086.0</v>
      </c>
      <c r="C4617" s="69">
        <v>15.570994266888057</v>
      </c>
    </row>
    <row r="4618">
      <c r="A4618" s="62" t="s">
        <v>3359</v>
      </c>
      <c r="B4618" s="63">
        <v>44230.0</v>
      </c>
      <c r="C4618" s="69">
        <v>15.555372496834877</v>
      </c>
    </row>
    <row r="4619">
      <c r="A4619" s="62" t="s">
        <v>1665</v>
      </c>
      <c r="B4619" s="63">
        <v>44361.0</v>
      </c>
      <c r="C4619" s="69">
        <v>15.541656043358945</v>
      </c>
    </row>
    <row r="4620">
      <c r="A4620" s="62" t="s">
        <v>227</v>
      </c>
      <c r="B4620" s="63">
        <v>44393.0</v>
      </c>
      <c r="C4620" s="69">
        <v>15.522083183087776</v>
      </c>
    </row>
    <row r="4621">
      <c r="A4621" s="62" t="s">
        <v>732</v>
      </c>
      <c r="B4621" s="63">
        <v>44347.0</v>
      </c>
      <c r="C4621" s="69">
        <v>15.51161520104957</v>
      </c>
    </row>
    <row r="4622">
      <c r="A4622" s="62" t="s">
        <v>728</v>
      </c>
      <c r="B4622" s="63">
        <v>44321.0</v>
      </c>
      <c r="C4622" s="69">
        <v>15.49489520896068</v>
      </c>
    </row>
    <row r="4623">
      <c r="A4623" s="62" t="s">
        <v>723</v>
      </c>
      <c r="B4623" s="63">
        <v>44327.0</v>
      </c>
      <c r="C4623" s="69">
        <v>15.485481352780294</v>
      </c>
    </row>
    <row r="4624">
      <c r="A4624" s="62" t="s">
        <v>6468</v>
      </c>
      <c r="B4624" s="63">
        <v>44354.0</v>
      </c>
      <c r="C4624" s="69">
        <v>15.445134705117392</v>
      </c>
    </row>
    <row r="4625">
      <c r="A4625" s="62" t="s">
        <v>717</v>
      </c>
      <c r="B4625" s="63">
        <v>44330.0</v>
      </c>
      <c r="C4625" s="69">
        <v>15.425964786316184</v>
      </c>
    </row>
    <row r="4626">
      <c r="A4626" s="62" t="s">
        <v>6050</v>
      </c>
      <c r="B4626" s="63">
        <v>44350.0</v>
      </c>
      <c r="C4626" s="69">
        <v>15.417608941264058</v>
      </c>
    </row>
    <row r="4627">
      <c r="A4627" s="62" t="s">
        <v>5121</v>
      </c>
      <c r="B4627" s="63">
        <v>44274.0</v>
      </c>
      <c r="C4627" s="69">
        <v>15.417238243096607</v>
      </c>
    </row>
    <row r="4628">
      <c r="A4628" s="62" t="s">
        <v>710</v>
      </c>
      <c r="B4628" s="63">
        <v>44320.0</v>
      </c>
      <c r="C4628" s="69">
        <v>15.41252139728954</v>
      </c>
    </row>
    <row r="4629">
      <c r="A4629" s="62" t="s">
        <v>5202</v>
      </c>
      <c r="B4629" s="63">
        <v>44305.0</v>
      </c>
      <c r="C4629" s="69">
        <v>15.406554527070456</v>
      </c>
    </row>
    <row r="4630">
      <c r="A4630" s="62" t="s">
        <v>708</v>
      </c>
      <c r="B4630" s="63">
        <v>44326.0</v>
      </c>
      <c r="C4630" s="69">
        <v>15.402648194089432</v>
      </c>
    </row>
    <row r="4631">
      <c r="A4631" s="62" t="s">
        <v>174</v>
      </c>
      <c r="B4631" s="63">
        <v>44380.0</v>
      </c>
      <c r="C4631" s="69">
        <v>15.399178475521044</v>
      </c>
    </row>
    <row r="4632">
      <c r="A4632" s="62" t="s">
        <v>3743</v>
      </c>
      <c r="B4632" s="63">
        <v>44180.0</v>
      </c>
      <c r="C4632" s="69">
        <v>15.396173842939408</v>
      </c>
    </row>
    <row r="4633">
      <c r="A4633" s="62" t="s">
        <v>390</v>
      </c>
      <c r="B4633" s="63">
        <v>44098.0</v>
      </c>
      <c r="C4633" s="69">
        <v>15.394642131509158</v>
      </c>
    </row>
    <row r="4634">
      <c r="A4634" s="62" t="s">
        <v>4872</v>
      </c>
      <c r="B4634" s="63">
        <v>44307.0</v>
      </c>
      <c r="C4634" s="69">
        <v>15.381697103096336</v>
      </c>
    </row>
    <row r="4635">
      <c r="A4635" s="62" t="s">
        <v>703</v>
      </c>
      <c r="B4635" s="63">
        <v>44337.0</v>
      </c>
      <c r="C4635" s="69">
        <v>15.371566606764802</v>
      </c>
    </row>
    <row r="4636">
      <c r="A4636" s="62" t="s">
        <v>1982</v>
      </c>
      <c r="B4636" s="63">
        <v>44312.0</v>
      </c>
      <c r="C4636" s="69">
        <v>15.369211671538658</v>
      </c>
    </row>
    <row r="4637">
      <c r="A4637" s="62" t="s">
        <v>6199</v>
      </c>
      <c r="B4637" s="63">
        <v>44355.0</v>
      </c>
      <c r="C4637" s="69">
        <v>15.365053003396989</v>
      </c>
    </row>
    <row r="4638">
      <c r="A4638" s="62" t="s">
        <v>1008</v>
      </c>
      <c r="B4638" s="63">
        <v>44174.0</v>
      </c>
      <c r="C4638" s="69">
        <v>15.360408614946536</v>
      </c>
    </row>
    <row r="4639">
      <c r="A4639" s="62" t="s">
        <v>5952</v>
      </c>
      <c r="B4639" s="63">
        <v>44368.0</v>
      </c>
      <c r="C4639" s="69">
        <v>15.359942323395321</v>
      </c>
    </row>
    <row r="4640">
      <c r="A4640" s="62" t="s">
        <v>4876</v>
      </c>
      <c r="B4640" s="63">
        <v>44309.0</v>
      </c>
      <c r="C4640" s="69">
        <v>15.344760783151184</v>
      </c>
    </row>
    <row r="4641">
      <c r="A4641" s="62" t="s">
        <v>3875</v>
      </c>
      <c r="B4641" s="63">
        <v>44222.0</v>
      </c>
      <c r="C4641" s="69">
        <v>15.335334365767412</v>
      </c>
    </row>
    <row r="4642">
      <c r="A4642" s="62" t="s">
        <v>4252</v>
      </c>
      <c r="B4642" s="63">
        <v>44102.0</v>
      </c>
      <c r="C4642" s="69">
        <v>15.325496833111139</v>
      </c>
    </row>
    <row r="4643">
      <c r="A4643" s="62" t="s">
        <v>198</v>
      </c>
      <c r="B4643" s="63">
        <v>44389.0</v>
      </c>
      <c r="C4643" s="69">
        <v>15.302415002351012</v>
      </c>
    </row>
    <row r="4644">
      <c r="A4644" s="62" t="s">
        <v>2385</v>
      </c>
      <c r="B4644" s="63">
        <v>44382.0</v>
      </c>
      <c r="C4644" s="69">
        <v>15.293463690447243</v>
      </c>
    </row>
    <row r="4645">
      <c r="A4645" s="62" t="s">
        <v>3360</v>
      </c>
      <c r="B4645" s="63">
        <v>44223.0</v>
      </c>
      <c r="C4645" s="69">
        <v>15.287317075095249</v>
      </c>
    </row>
    <row r="4646">
      <c r="A4646" s="62" t="s">
        <v>1503</v>
      </c>
      <c r="B4646" s="63">
        <v>44263.0</v>
      </c>
      <c r="C4646" s="69">
        <v>15.274549561854357</v>
      </c>
    </row>
    <row r="4647">
      <c r="A4647" s="62" t="s">
        <v>6461</v>
      </c>
      <c r="B4647" s="63">
        <v>44375.0</v>
      </c>
      <c r="C4647" s="69">
        <v>15.265218572164967</v>
      </c>
    </row>
    <row r="4648">
      <c r="A4648" s="62" t="s">
        <v>5384</v>
      </c>
      <c r="B4648" s="63">
        <v>44355.0</v>
      </c>
      <c r="C4648" s="69">
        <v>15.245601676799335</v>
      </c>
    </row>
    <row r="4649">
      <c r="A4649" s="62" t="s">
        <v>178</v>
      </c>
      <c r="B4649" s="63">
        <v>44383.0</v>
      </c>
      <c r="C4649" s="69">
        <v>15.228991325990586</v>
      </c>
    </row>
    <row r="4650">
      <c r="A4650" s="62" t="s">
        <v>578</v>
      </c>
      <c r="B4650" s="63">
        <v>44349.0</v>
      </c>
      <c r="C4650" s="69">
        <v>15.217794010420128</v>
      </c>
    </row>
    <row r="4651">
      <c r="A4651" s="62" t="s">
        <v>687</v>
      </c>
      <c r="B4651" s="63">
        <v>44328.0</v>
      </c>
      <c r="C4651" s="69">
        <v>15.204456543588602</v>
      </c>
    </row>
    <row r="4652">
      <c r="A4652" s="62" t="s">
        <v>685</v>
      </c>
      <c r="B4652" s="63">
        <v>44336.0</v>
      </c>
      <c r="C4652" s="69">
        <v>15.19895722796763</v>
      </c>
    </row>
    <row r="4653">
      <c r="A4653" s="62" t="s">
        <v>684</v>
      </c>
      <c r="B4653" s="63">
        <v>44328.0</v>
      </c>
      <c r="C4653" s="69">
        <v>15.174638179765658</v>
      </c>
    </row>
    <row r="4654">
      <c r="A4654" s="62" t="s">
        <v>4676</v>
      </c>
      <c r="B4654" s="63">
        <v>44284.0</v>
      </c>
      <c r="C4654" s="69">
        <v>15.168085299057378</v>
      </c>
    </row>
    <row r="4655">
      <c r="A4655" s="62" t="s">
        <v>6187</v>
      </c>
      <c r="B4655" s="63">
        <v>44358.0</v>
      </c>
      <c r="C4655" s="69">
        <v>15.15284619841118</v>
      </c>
    </row>
    <row r="4656">
      <c r="A4656" s="62" t="s">
        <v>2357</v>
      </c>
      <c r="B4656" s="63">
        <v>44380.0</v>
      </c>
      <c r="C4656" s="69">
        <v>15.146896548257613</v>
      </c>
    </row>
    <row r="4657">
      <c r="A4657" s="62" t="s">
        <v>2372</v>
      </c>
      <c r="B4657" s="63">
        <v>44379.0</v>
      </c>
      <c r="C4657" s="69">
        <v>15.12117327589976</v>
      </c>
    </row>
    <row r="4658">
      <c r="A4658" s="62" t="s">
        <v>2934</v>
      </c>
      <c r="B4658" s="63">
        <v>44172.0</v>
      </c>
      <c r="C4658" s="69">
        <v>15.107857783545931</v>
      </c>
    </row>
    <row r="4659">
      <c r="A4659" s="62" t="s">
        <v>6653</v>
      </c>
      <c r="B4659" s="63">
        <v>44377.0</v>
      </c>
      <c r="C4659" s="69">
        <v>15.087394330231296</v>
      </c>
    </row>
    <row r="4660">
      <c r="A4660" s="62" t="s">
        <v>1926</v>
      </c>
      <c r="B4660" s="63">
        <v>44277.0</v>
      </c>
      <c r="C4660" s="69">
        <v>15.08174987220964</v>
      </c>
    </row>
    <row r="4661">
      <c r="A4661" s="62" t="s">
        <v>3178</v>
      </c>
      <c r="B4661" s="63">
        <v>44152.0</v>
      </c>
      <c r="C4661" s="69">
        <v>15.069456075313848</v>
      </c>
    </row>
    <row r="4662">
      <c r="A4662" s="62" t="s">
        <v>683</v>
      </c>
      <c r="B4662" s="63">
        <v>44334.0</v>
      </c>
      <c r="C4662" s="69">
        <v>15.058287360083648</v>
      </c>
    </row>
    <row r="4663">
      <c r="A4663" s="62" t="s">
        <v>672</v>
      </c>
      <c r="B4663" s="63">
        <v>44344.0</v>
      </c>
      <c r="C4663" s="69">
        <v>15.027751819831924</v>
      </c>
    </row>
    <row r="4664">
      <c r="A4664" s="62" t="s">
        <v>5438</v>
      </c>
      <c r="B4664" s="63">
        <v>44371.0</v>
      </c>
      <c r="C4664" s="69">
        <v>15.025619615277853</v>
      </c>
    </row>
    <row r="4665">
      <c r="A4665" s="62" t="s">
        <v>5056</v>
      </c>
      <c r="B4665" s="63">
        <v>44312.0</v>
      </c>
      <c r="C4665" s="69">
        <v>15.022397380984405</v>
      </c>
    </row>
    <row r="4666">
      <c r="A4666" s="62" t="s">
        <v>4167</v>
      </c>
      <c r="B4666" s="63">
        <v>44237.0</v>
      </c>
      <c r="C4666" s="69">
        <v>15.010940131041664</v>
      </c>
    </row>
    <row r="4667">
      <c r="A4667" s="62" t="s">
        <v>4941</v>
      </c>
      <c r="B4667" s="63">
        <v>44258.0</v>
      </c>
      <c r="C4667" s="69">
        <v>15.003097380992578</v>
      </c>
    </row>
    <row r="4668">
      <c r="A4668" s="62" t="s">
        <v>671</v>
      </c>
      <c r="B4668" s="63">
        <v>44342.0</v>
      </c>
      <c r="C4668" s="69">
        <v>14.98879340148927</v>
      </c>
    </row>
    <row r="4669">
      <c r="A4669" s="62" t="s">
        <v>4094</v>
      </c>
      <c r="B4669" s="63">
        <v>44177.0</v>
      </c>
      <c r="C4669" s="69">
        <v>14.987725593914426</v>
      </c>
    </row>
    <row r="4670">
      <c r="A4670" s="62" t="s">
        <v>3578</v>
      </c>
      <c r="B4670" s="63">
        <v>44097.0</v>
      </c>
      <c r="C4670" s="69">
        <v>14.981888254533986</v>
      </c>
    </row>
    <row r="4671">
      <c r="A4671" s="62" t="s">
        <v>649</v>
      </c>
      <c r="B4671" s="63">
        <v>44165.0</v>
      </c>
      <c r="C4671" s="69">
        <v>14.971486043259706</v>
      </c>
    </row>
    <row r="4672">
      <c r="A4672" s="62" t="s">
        <v>670</v>
      </c>
      <c r="B4672" s="63">
        <v>44327.0</v>
      </c>
      <c r="C4672" s="69">
        <v>14.96879287888849</v>
      </c>
    </row>
    <row r="4673">
      <c r="A4673" s="62" t="s">
        <v>2467</v>
      </c>
      <c r="B4673" s="63">
        <v>44392.0</v>
      </c>
      <c r="C4673" s="69">
        <v>14.968521266057293</v>
      </c>
    </row>
    <row r="4674">
      <c r="A4674" s="62" t="s">
        <v>5026</v>
      </c>
      <c r="B4674" s="63">
        <v>44273.0</v>
      </c>
      <c r="C4674" s="69">
        <v>14.965715776621673</v>
      </c>
    </row>
    <row r="4675">
      <c r="A4675" s="62" t="s">
        <v>3243</v>
      </c>
      <c r="B4675" s="63">
        <v>44247.0</v>
      </c>
      <c r="C4675" s="69">
        <v>14.959833646189168</v>
      </c>
    </row>
    <row r="4676">
      <c r="A4676" s="62" t="s">
        <v>668</v>
      </c>
      <c r="B4676" s="63">
        <v>44330.0</v>
      </c>
      <c r="C4676" s="69">
        <v>14.951779445439337</v>
      </c>
    </row>
    <row r="4677">
      <c r="A4677" s="62" t="s">
        <v>6623</v>
      </c>
      <c r="B4677" s="63">
        <v>44350.0</v>
      </c>
      <c r="C4677" s="69">
        <v>14.951707204458078</v>
      </c>
    </row>
    <row r="4678">
      <c r="A4678" s="62" t="s">
        <v>4749</v>
      </c>
      <c r="B4678" s="63">
        <v>44277.0</v>
      </c>
      <c r="C4678" s="69">
        <v>14.947575393267375</v>
      </c>
    </row>
    <row r="4679">
      <c r="A4679" s="62" t="s">
        <v>664</v>
      </c>
      <c r="B4679" s="63">
        <v>44343.0</v>
      </c>
      <c r="C4679" s="69">
        <v>14.93338796846718</v>
      </c>
    </row>
    <row r="4680">
      <c r="A4680" s="62" t="s">
        <v>4617</v>
      </c>
      <c r="B4680" s="63">
        <v>44309.0</v>
      </c>
      <c r="C4680" s="69">
        <v>14.932936250512302</v>
      </c>
    </row>
    <row r="4681">
      <c r="A4681" s="62" t="s">
        <v>3678</v>
      </c>
      <c r="B4681" s="63">
        <v>44223.0</v>
      </c>
      <c r="C4681" s="69">
        <v>14.920403662795314</v>
      </c>
    </row>
    <row r="4682">
      <c r="A4682" s="62" t="s">
        <v>5711</v>
      </c>
      <c r="B4682" s="63">
        <v>44359.0</v>
      </c>
      <c r="C4682" s="69">
        <v>14.918970004341435</v>
      </c>
    </row>
    <row r="4683">
      <c r="A4683" s="62" t="s">
        <v>633</v>
      </c>
      <c r="B4683" s="63">
        <v>44321.0</v>
      </c>
      <c r="C4683" s="69">
        <v>14.91842012438346</v>
      </c>
    </row>
    <row r="4684">
      <c r="A4684" s="62" t="s">
        <v>632</v>
      </c>
      <c r="B4684" s="63">
        <v>44330.0</v>
      </c>
      <c r="C4684" s="69">
        <v>14.910075353916845</v>
      </c>
    </row>
    <row r="4685">
      <c r="A4685" s="62" t="s">
        <v>5123</v>
      </c>
      <c r="B4685" s="63">
        <v>44284.0</v>
      </c>
      <c r="C4685" s="69">
        <v>14.898928365435376</v>
      </c>
    </row>
    <row r="4686">
      <c r="A4686" s="62" t="s">
        <v>5330</v>
      </c>
      <c r="B4686" s="63">
        <v>44368.0</v>
      </c>
      <c r="C4686" s="69">
        <v>14.898699067407874</v>
      </c>
    </row>
    <row r="4687">
      <c r="A4687" s="62" t="s">
        <v>5133</v>
      </c>
      <c r="B4687" s="63">
        <v>44301.0</v>
      </c>
      <c r="C4687" s="69">
        <v>14.893754123558553</v>
      </c>
    </row>
    <row r="4688">
      <c r="A4688" s="62" t="s">
        <v>2237</v>
      </c>
      <c r="B4688" s="63">
        <v>44063.0</v>
      </c>
      <c r="C4688" s="69">
        <v>14.88969633774885</v>
      </c>
    </row>
    <row r="4689">
      <c r="A4689" s="62" t="s">
        <v>6118</v>
      </c>
      <c r="B4689" s="63">
        <v>44349.0</v>
      </c>
      <c r="C4689" s="69">
        <v>14.885117911831333</v>
      </c>
    </row>
    <row r="4690">
      <c r="A4690" s="62" t="s">
        <v>3414</v>
      </c>
      <c r="B4690" s="63">
        <v>44176.0</v>
      </c>
      <c r="C4690" s="69">
        <v>14.884771388233498</v>
      </c>
    </row>
    <row r="4691">
      <c r="A4691" s="62" t="s">
        <v>795</v>
      </c>
      <c r="B4691" s="63">
        <v>44168.0</v>
      </c>
      <c r="C4691" s="69">
        <v>14.857037548316434</v>
      </c>
    </row>
    <row r="4692">
      <c r="A4692" s="62" t="s">
        <v>229</v>
      </c>
      <c r="B4692" s="63">
        <v>44387.0</v>
      </c>
      <c r="C4692" s="69">
        <v>14.850858380992465</v>
      </c>
    </row>
    <row r="4693">
      <c r="A4693" s="62" t="s">
        <v>2809</v>
      </c>
      <c r="B4693" s="63">
        <v>44168.0</v>
      </c>
      <c r="C4693" s="69">
        <v>14.84985244704946</v>
      </c>
    </row>
    <row r="4694">
      <c r="A4694" s="62" t="s">
        <v>5936</v>
      </c>
      <c r="B4694" s="63">
        <v>44377.0</v>
      </c>
      <c r="C4694" s="69">
        <v>14.83469873649815</v>
      </c>
    </row>
    <row r="4695">
      <c r="A4695" s="62" t="s">
        <v>459</v>
      </c>
      <c r="B4695" s="63">
        <v>44098.0</v>
      </c>
      <c r="C4695" s="69">
        <v>14.833605836397092</v>
      </c>
    </row>
    <row r="4696">
      <c r="A4696" s="62" t="s">
        <v>3773</v>
      </c>
      <c r="B4696" s="63">
        <v>44245.0</v>
      </c>
      <c r="C4696" s="69">
        <v>14.800399140206725</v>
      </c>
    </row>
    <row r="4697">
      <c r="A4697" s="62" t="s">
        <v>4652</v>
      </c>
      <c r="B4697" s="63">
        <v>44305.0</v>
      </c>
      <c r="C4697" s="69">
        <v>14.797455754242561</v>
      </c>
    </row>
    <row r="4698">
      <c r="A4698" s="62" t="s">
        <v>3177</v>
      </c>
      <c r="B4698" s="63">
        <v>44104.0</v>
      </c>
      <c r="C4698" s="69">
        <v>14.794646814133113</v>
      </c>
    </row>
    <row r="4699">
      <c r="A4699" s="62" t="s">
        <v>3274</v>
      </c>
      <c r="B4699" s="63">
        <v>44161.0</v>
      </c>
      <c r="C4699" s="69">
        <v>14.786491753451996</v>
      </c>
    </row>
    <row r="4700">
      <c r="A4700" s="62" t="s">
        <v>3491</v>
      </c>
      <c r="B4700" s="63">
        <v>44236.0</v>
      </c>
      <c r="C4700" s="69">
        <v>14.786325460647664</v>
      </c>
    </row>
    <row r="4701">
      <c r="A4701" s="62" t="s">
        <v>5393</v>
      </c>
      <c r="B4701" s="63">
        <v>44348.0</v>
      </c>
      <c r="C4701" s="69">
        <v>14.783755773707048</v>
      </c>
    </row>
    <row r="4702">
      <c r="A4702" s="62" t="s">
        <v>1961</v>
      </c>
      <c r="B4702" s="63">
        <v>44294.0</v>
      </c>
      <c r="C4702" s="69">
        <v>14.777903809371725</v>
      </c>
    </row>
    <row r="4703">
      <c r="A4703" s="62" t="s">
        <v>625</v>
      </c>
      <c r="B4703" s="63">
        <v>44347.0</v>
      </c>
      <c r="C4703" s="69">
        <v>14.772292561056762</v>
      </c>
    </row>
    <row r="4704">
      <c r="A4704" s="62" t="s">
        <v>674</v>
      </c>
      <c r="B4704" s="63">
        <v>44370.0</v>
      </c>
      <c r="C4704" s="69">
        <v>14.767191883860054</v>
      </c>
    </row>
    <row r="4705">
      <c r="A4705" s="62" t="s">
        <v>602</v>
      </c>
      <c r="B4705" s="63">
        <v>44328.0</v>
      </c>
      <c r="C4705" s="69">
        <v>14.765599892622987</v>
      </c>
    </row>
    <row r="4706">
      <c r="A4706" s="62" t="s">
        <v>565</v>
      </c>
      <c r="B4706" s="63">
        <v>44340.0</v>
      </c>
      <c r="C4706" s="69">
        <v>14.76324255205695</v>
      </c>
    </row>
    <row r="4707">
      <c r="A4707" s="62" t="s">
        <v>558</v>
      </c>
      <c r="B4707" s="63">
        <v>44321.0</v>
      </c>
      <c r="C4707" s="69">
        <v>14.761296442006</v>
      </c>
    </row>
    <row r="4708">
      <c r="A4708" s="62" t="s">
        <v>3866</v>
      </c>
      <c r="B4708" s="63">
        <v>44180.0</v>
      </c>
      <c r="C4708" s="69">
        <v>14.756047647260981</v>
      </c>
    </row>
    <row r="4709">
      <c r="A4709" s="62" t="s">
        <v>3109</v>
      </c>
      <c r="B4709" s="63">
        <v>44247.0</v>
      </c>
      <c r="C4709" s="69">
        <v>14.751667941932816</v>
      </c>
    </row>
    <row r="4710">
      <c r="A4710" s="62" t="s">
        <v>4791</v>
      </c>
      <c r="B4710" s="63">
        <v>44313.0</v>
      </c>
      <c r="C4710" s="69">
        <v>14.730647156944642</v>
      </c>
    </row>
    <row r="4711">
      <c r="A4711" s="62" t="s">
        <v>5966</v>
      </c>
      <c r="B4711" s="63">
        <v>44376.0</v>
      </c>
      <c r="C4711" s="69">
        <v>14.725191719998856</v>
      </c>
    </row>
    <row r="4712">
      <c r="A4712" s="62" t="s">
        <v>6479</v>
      </c>
      <c r="B4712" s="63">
        <v>44363.0</v>
      </c>
      <c r="C4712" s="69">
        <v>14.697795666052249</v>
      </c>
    </row>
    <row r="4713">
      <c r="A4713" s="62" t="s">
        <v>5761</v>
      </c>
      <c r="B4713" s="63">
        <v>44363.0</v>
      </c>
      <c r="C4713" s="69">
        <v>14.686062611267644</v>
      </c>
    </row>
    <row r="4714">
      <c r="A4714" s="62" t="s">
        <v>3152</v>
      </c>
      <c r="B4714" s="63">
        <v>44083.0</v>
      </c>
      <c r="C4714" s="69">
        <v>14.67380733050145</v>
      </c>
    </row>
    <row r="4715">
      <c r="A4715" s="62" t="s">
        <v>2762</v>
      </c>
      <c r="B4715" s="63">
        <v>44121.0</v>
      </c>
      <c r="C4715" s="69">
        <v>14.657608836904888</v>
      </c>
    </row>
    <row r="4716">
      <c r="A4716" s="62" t="s">
        <v>4484</v>
      </c>
      <c r="B4716" s="63">
        <v>44274.0</v>
      </c>
      <c r="C4716" s="69">
        <v>14.652102868385581</v>
      </c>
    </row>
    <row r="4717">
      <c r="A4717" s="62" t="s">
        <v>4148</v>
      </c>
      <c r="B4717" s="63">
        <v>44103.0</v>
      </c>
      <c r="C4717" s="69">
        <v>14.633810756958972</v>
      </c>
    </row>
    <row r="4718">
      <c r="A4718" s="62" t="s">
        <v>3449</v>
      </c>
      <c r="B4718" s="63">
        <v>44161.0</v>
      </c>
      <c r="C4718" s="69">
        <v>14.631901076238023</v>
      </c>
    </row>
    <row r="4719">
      <c r="A4719" s="62" t="s">
        <v>4609</v>
      </c>
      <c r="B4719" s="63">
        <v>44302.0</v>
      </c>
      <c r="C4719" s="69">
        <v>14.620491107750736</v>
      </c>
    </row>
    <row r="4720">
      <c r="A4720" s="62" t="s">
        <v>5242</v>
      </c>
      <c r="B4720" s="63">
        <v>44273.0</v>
      </c>
      <c r="C4720" s="69">
        <v>14.60893728274084</v>
      </c>
    </row>
    <row r="4721">
      <c r="A4721" s="62" t="s">
        <v>2430</v>
      </c>
      <c r="B4721" s="63">
        <v>44383.0</v>
      </c>
      <c r="C4721" s="69">
        <v>14.590358492894904</v>
      </c>
    </row>
    <row r="4722">
      <c r="A4722" s="62" t="s">
        <v>6657</v>
      </c>
      <c r="B4722" s="63">
        <v>44361.0</v>
      </c>
      <c r="C4722" s="69">
        <v>14.587693488667473</v>
      </c>
    </row>
    <row r="4723">
      <c r="A4723" s="62" t="s">
        <v>3329</v>
      </c>
      <c r="B4723" s="63">
        <v>44177.0</v>
      </c>
      <c r="C4723" s="69">
        <v>14.584606667171071</v>
      </c>
    </row>
    <row r="4724">
      <c r="A4724" s="62" t="s">
        <v>2079</v>
      </c>
      <c r="B4724" s="63">
        <v>44301.0</v>
      </c>
      <c r="C4724" s="69">
        <v>14.581929864578866</v>
      </c>
    </row>
    <row r="4725">
      <c r="A4725" s="62" t="s">
        <v>4902</v>
      </c>
      <c r="B4725" s="63">
        <v>44307.0</v>
      </c>
      <c r="C4725" s="69">
        <v>14.567722041067183</v>
      </c>
    </row>
    <row r="4726">
      <c r="A4726" s="62" t="s">
        <v>2812</v>
      </c>
      <c r="B4726" s="63">
        <v>44235.0</v>
      </c>
      <c r="C4726" s="69">
        <v>14.563810779838814</v>
      </c>
    </row>
    <row r="4727">
      <c r="A4727" s="62" t="s">
        <v>3174</v>
      </c>
      <c r="B4727" s="63">
        <v>44224.0</v>
      </c>
      <c r="C4727" s="69">
        <v>14.546748803371873</v>
      </c>
    </row>
    <row r="4728">
      <c r="A4728" s="62" t="s">
        <v>5424</v>
      </c>
      <c r="B4728" s="63">
        <v>44375.0</v>
      </c>
      <c r="C4728" s="69">
        <v>14.538942942716284</v>
      </c>
    </row>
    <row r="4729">
      <c r="A4729" s="62" t="s">
        <v>5200</v>
      </c>
      <c r="B4729" s="63">
        <v>44284.0</v>
      </c>
      <c r="C4729" s="69">
        <v>14.537553564435083</v>
      </c>
    </row>
    <row r="4730">
      <c r="A4730" s="62" t="s">
        <v>5173</v>
      </c>
      <c r="B4730" s="63">
        <v>44271.0</v>
      </c>
      <c r="C4730" s="69">
        <v>14.53735487736104</v>
      </c>
    </row>
    <row r="4731">
      <c r="A4731" s="62" t="s">
        <v>2565</v>
      </c>
      <c r="B4731" s="63">
        <v>44383.0</v>
      </c>
      <c r="C4731" s="69">
        <v>14.526693774310868</v>
      </c>
    </row>
    <row r="4732">
      <c r="A4732" s="62" t="s">
        <v>544</v>
      </c>
      <c r="B4732" s="63">
        <v>44341.0</v>
      </c>
      <c r="C4732" s="69">
        <v>14.51993531168007</v>
      </c>
    </row>
    <row r="4733">
      <c r="A4733" s="62" t="s">
        <v>3533</v>
      </c>
      <c r="B4733" s="63">
        <v>44119.0</v>
      </c>
      <c r="C4733" s="69">
        <v>14.51190758901773</v>
      </c>
    </row>
    <row r="4734">
      <c r="A4734" s="62" t="s">
        <v>542</v>
      </c>
      <c r="B4734" s="63">
        <v>44335.0</v>
      </c>
      <c r="C4734" s="69">
        <v>14.506285968929113</v>
      </c>
    </row>
    <row r="4735">
      <c r="A4735" s="62" t="s">
        <v>540</v>
      </c>
      <c r="B4735" s="63">
        <v>44340.0</v>
      </c>
      <c r="C4735" s="69">
        <v>14.50315070667525</v>
      </c>
    </row>
    <row r="4736">
      <c r="A4736" s="62" t="s">
        <v>3291</v>
      </c>
      <c r="B4736" s="63">
        <v>44243.0</v>
      </c>
      <c r="C4736" s="69">
        <v>14.47319202059505</v>
      </c>
    </row>
    <row r="4737">
      <c r="A4737" s="62" t="s">
        <v>637</v>
      </c>
      <c r="B4737" s="63">
        <v>44384.0</v>
      </c>
      <c r="C4737" s="69">
        <v>14.471971272495256</v>
      </c>
    </row>
    <row r="4738">
      <c r="A4738" s="62" t="s">
        <v>6564</v>
      </c>
      <c r="B4738" s="63">
        <v>44376.0</v>
      </c>
      <c r="C4738" s="69">
        <v>14.46573952120982</v>
      </c>
    </row>
    <row r="4739">
      <c r="A4739" s="62" t="s">
        <v>1088</v>
      </c>
      <c r="B4739" s="63">
        <v>44362.0</v>
      </c>
      <c r="C4739" s="69">
        <v>14.45889880267033</v>
      </c>
    </row>
    <row r="4740">
      <c r="A4740" s="62" t="s">
        <v>5205</v>
      </c>
      <c r="B4740" s="63">
        <v>44309.0</v>
      </c>
      <c r="C4740" s="69">
        <v>14.419759749477473</v>
      </c>
    </row>
    <row r="4741">
      <c r="A4741" s="62" t="s">
        <v>3113</v>
      </c>
      <c r="B4741" s="63">
        <v>44117.0</v>
      </c>
      <c r="C4741" s="69">
        <v>14.412416115874846</v>
      </c>
    </row>
    <row r="4742">
      <c r="A4742" s="62" t="s">
        <v>4451</v>
      </c>
      <c r="B4742" s="63">
        <v>44300.0</v>
      </c>
      <c r="C4742" s="69">
        <v>14.407974103692041</v>
      </c>
    </row>
    <row r="4743">
      <c r="A4743" s="62" t="s">
        <v>501</v>
      </c>
      <c r="B4743" s="63">
        <v>44315.0</v>
      </c>
      <c r="C4743" s="69">
        <v>14.404290658224017</v>
      </c>
    </row>
    <row r="4744">
      <c r="A4744" s="62" t="s">
        <v>3984</v>
      </c>
      <c r="B4744" s="63">
        <v>44109.0</v>
      </c>
      <c r="C4744" s="69">
        <v>14.383319164029677</v>
      </c>
    </row>
    <row r="4745">
      <c r="A4745" s="62" t="s">
        <v>4678</v>
      </c>
      <c r="B4745" s="63">
        <v>44278.0</v>
      </c>
      <c r="C4745" s="69">
        <v>14.374305779357893</v>
      </c>
    </row>
    <row r="4746">
      <c r="A4746" s="62" t="s">
        <v>2521</v>
      </c>
      <c r="B4746" s="63">
        <v>44379.0</v>
      </c>
      <c r="C4746" s="69">
        <v>14.359601262651429</v>
      </c>
    </row>
    <row r="4747">
      <c r="A4747" s="62" t="s">
        <v>4384</v>
      </c>
      <c r="B4747" s="63">
        <v>44083.0</v>
      </c>
      <c r="C4747" s="69">
        <v>14.349464609429365</v>
      </c>
    </row>
    <row r="4748">
      <c r="A4748" s="62" t="s">
        <v>3186</v>
      </c>
      <c r="B4748" s="63">
        <v>44228.0</v>
      </c>
      <c r="C4748" s="69">
        <v>14.344324069076443</v>
      </c>
    </row>
    <row r="4749">
      <c r="A4749" s="62" t="s">
        <v>531</v>
      </c>
      <c r="B4749" s="63">
        <v>44344.0</v>
      </c>
      <c r="C4749" s="69">
        <v>14.34154206381914</v>
      </c>
    </row>
    <row r="4750">
      <c r="A4750" s="62" t="s">
        <v>5024</v>
      </c>
      <c r="B4750" s="63">
        <v>44309.0</v>
      </c>
      <c r="C4750" s="69">
        <v>14.323416671148179</v>
      </c>
    </row>
    <row r="4751">
      <c r="A4751" s="62" t="s">
        <v>2852</v>
      </c>
      <c r="B4751" s="63">
        <v>44088.0</v>
      </c>
      <c r="C4751" s="69">
        <v>14.321683186095076</v>
      </c>
    </row>
    <row r="4752">
      <c r="A4752" s="62" t="s">
        <v>6650</v>
      </c>
      <c r="B4752" s="63">
        <v>44377.0</v>
      </c>
      <c r="C4752" s="69">
        <v>14.31436646375383</v>
      </c>
    </row>
    <row r="4753">
      <c r="A4753" s="62" t="s">
        <v>511</v>
      </c>
      <c r="B4753" s="63">
        <v>44347.0</v>
      </c>
      <c r="C4753" s="69">
        <v>14.31255600363147</v>
      </c>
    </row>
    <row r="4754">
      <c r="A4754" s="62" t="s">
        <v>2764</v>
      </c>
      <c r="B4754" s="63">
        <v>44224.0</v>
      </c>
      <c r="C4754" s="69">
        <v>14.296701181597776</v>
      </c>
    </row>
    <row r="4755">
      <c r="A4755" s="62" t="s">
        <v>2996</v>
      </c>
      <c r="B4755" s="63">
        <v>44224.0</v>
      </c>
      <c r="C4755" s="69">
        <v>14.292107069804738</v>
      </c>
    </row>
    <row r="4756">
      <c r="A4756" s="62" t="s">
        <v>1680</v>
      </c>
      <c r="B4756" s="63">
        <v>44355.0</v>
      </c>
      <c r="C4756" s="69">
        <v>14.287274391515709</v>
      </c>
    </row>
    <row r="4757">
      <c r="A4757" s="62" t="s">
        <v>3867</v>
      </c>
      <c r="B4757" s="63">
        <v>44172.0</v>
      </c>
      <c r="C4757" s="69">
        <v>14.28306904894547</v>
      </c>
    </row>
    <row r="4758">
      <c r="A4758" s="62" t="s">
        <v>4904</v>
      </c>
      <c r="B4758" s="63">
        <v>44307.0</v>
      </c>
      <c r="C4758" s="69">
        <v>14.26823405709569</v>
      </c>
    </row>
    <row r="4759">
      <c r="A4759" s="62" t="s">
        <v>1659</v>
      </c>
      <c r="B4759" s="63">
        <v>44357.0</v>
      </c>
      <c r="C4759" s="69">
        <v>14.227894696908358</v>
      </c>
    </row>
    <row r="4760">
      <c r="A4760" s="62" t="s">
        <v>5293</v>
      </c>
      <c r="B4760" s="63">
        <v>44368.0</v>
      </c>
      <c r="C4760" s="69">
        <v>14.209705323458351</v>
      </c>
    </row>
    <row r="4761">
      <c r="A4761" s="62" t="s">
        <v>5896</v>
      </c>
      <c r="B4761" s="63">
        <v>44369.0</v>
      </c>
      <c r="C4761" s="69">
        <v>14.209237934901795</v>
      </c>
    </row>
    <row r="4762">
      <c r="A4762" s="62" t="s">
        <v>495</v>
      </c>
      <c r="B4762" s="63">
        <v>44345.0</v>
      </c>
      <c r="C4762" s="69">
        <v>14.205467062430998</v>
      </c>
    </row>
    <row r="4763">
      <c r="A4763" s="62" t="s">
        <v>491</v>
      </c>
      <c r="B4763" s="63">
        <v>44341.0</v>
      </c>
      <c r="C4763" s="69">
        <v>14.203654288014453</v>
      </c>
    </row>
    <row r="4764">
      <c r="A4764" s="62" t="s">
        <v>2501</v>
      </c>
      <c r="B4764" s="63">
        <v>44394.0</v>
      </c>
      <c r="C4764" s="69">
        <v>14.203234767409409</v>
      </c>
    </row>
    <row r="4765">
      <c r="A4765" s="62" t="s">
        <v>2620</v>
      </c>
      <c r="B4765" s="63">
        <v>44398.0</v>
      </c>
      <c r="C4765" s="69">
        <v>14.184367392057188</v>
      </c>
    </row>
    <row r="4766">
      <c r="A4766" s="62" t="s">
        <v>3925</v>
      </c>
      <c r="B4766" s="63">
        <v>44245.0</v>
      </c>
      <c r="C4766" s="69">
        <v>14.18239295696292</v>
      </c>
    </row>
    <row r="4767">
      <c r="A4767" s="62" t="s">
        <v>5053</v>
      </c>
      <c r="B4767" s="63">
        <v>44313.0</v>
      </c>
      <c r="C4767" s="69">
        <v>14.178161161647507</v>
      </c>
    </row>
    <row r="4768">
      <c r="A4768" s="62" t="s">
        <v>478</v>
      </c>
      <c r="B4768" s="63">
        <v>44345.0</v>
      </c>
      <c r="C4768" s="69">
        <v>14.157265898778292</v>
      </c>
    </row>
    <row r="4769">
      <c r="A4769" s="62" t="s">
        <v>3275</v>
      </c>
      <c r="B4769" s="63">
        <v>44231.0</v>
      </c>
      <c r="C4769" s="69">
        <v>14.150387730807461</v>
      </c>
    </row>
    <row r="4770">
      <c r="A4770" s="62" t="s">
        <v>3591</v>
      </c>
      <c r="B4770" s="63">
        <v>44098.0</v>
      </c>
      <c r="C4770" s="69">
        <v>14.143720058769079</v>
      </c>
    </row>
    <row r="4771">
      <c r="A4771" s="62" t="s">
        <v>3901</v>
      </c>
      <c r="B4771" s="63">
        <v>44204.0</v>
      </c>
      <c r="C4771" s="69">
        <v>14.133491147215283</v>
      </c>
    </row>
    <row r="4772">
      <c r="A4772" s="62" t="s">
        <v>3900</v>
      </c>
      <c r="B4772" s="63">
        <v>44136.0</v>
      </c>
      <c r="C4772" s="69">
        <v>14.110993240758951</v>
      </c>
    </row>
    <row r="4773">
      <c r="A4773" s="62" t="s">
        <v>3919</v>
      </c>
      <c r="B4773" s="63">
        <v>44237.0</v>
      </c>
      <c r="C4773" s="69">
        <v>14.106316996228687</v>
      </c>
    </row>
    <row r="4774">
      <c r="A4774" s="62" t="s">
        <v>4030</v>
      </c>
      <c r="B4774" s="63">
        <v>44231.0</v>
      </c>
      <c r="C4774" s="69">
        <v>14.09875663957482</v>
      </c>
    </row>
    <row r="4775">
      <c r="A4775" s="62" t="s">
        <v>5194</v>
      </c>
      <c r="B4775" s="63">
        <v>44278.0</v>
      </c>
      <c r="C4775" s="69">
        <v>14.07975859938279</v>
      </c>
    </row>
    <row r="4776">
      <c r="A4776" s="62" t="s">
        <v>2611</v>
      </c>
      <c r="B4776" s="63">
        <v>44382.0</v>
      </c>
      <c r="C4776" s="69">
        <v>14.076583304443583</v>
      </c>
    </row>
    <row r="4777">
      <c r="A4777" s="62" t="s">
        <v>5753</v>
      </c>
      <c r="B4777" s="63">
        <v>44372.0</v>
      </c>
      <c r="C4777" s="69">
        <v>14.046751958367265</v>
      </c>
    </row>
    <row r="4778">
      <c r="A4778" s="62" t="s">
        <v>5567</v>
      </c>
      <c r="B4778" s="63">
        <v>44376.0</v>
      </c>
      <c r="C4778" s="69">
        <v>14.0382223773613</v>
      </c>
    </row>
    <row r="4779">
      <c r="A4779" s="62" t="s">
        <v>5019</v>
      </c>
      <c r="B4779" s="63">
        <v>44309.0</v>
      </c>
      <c r="C4779" s="69">
        <v>14.019560080534745</v>
      </c>
    </row>
    <row r="4780">
      <c r="A4780" s="62" t="s">
        <v>6590</v>
      </c>
      <c r="B4780" s="63">
        <v>44348.0</v>
      </c>
      <c r="C4780" s="69">
        <v>14.000630550451397</v>
      </c>
    </row>
    <row r="4781">
      <c r="A4781" s="62" t="s">
        <v>5216</v>
      </c>
      <c r="B4781" s="63">
        <v>44278.0</v>
      </c>
      <c r="C4781" s="69">
        <v>13.994046466182425</v>
      </c>
    </row>
    <row r="4782">
      <c r="A4782" s="62" t="s">
        <v>475</v>
      </c>
      <c r="B4782" s="63">
        <v>44321.0</v>
      </c>
      <c r="C4782" s="69">
        <v>13.975287700908058</v>
      </c>
    </row>
    <row r="4783">
      <c r="A4783" s="62" t="s">
        <v>470</v>
      </c>
      <c r="B4783" s="63">
        <v>44320.0</v>
      </c>
      <c r="C4783" s="69">
        <v>13.967874043002572</v>
      </c>
    </row>
    <row r="4784">
      <c r="A4784" s="62" t="s">
        <v>4667</v>
      </c>
      <c r="B4784" s="63">
        <v>44274.0</v>
      </c>
      <c r="C4784" s="69">
        <v>13.951757810821562</v>
      </c>
    </row>
    <row r="4785">
      <c r="A4785" s="62" t="s">
        <v>6259</v>
      </c>
      <c r="B4785" s="63">
        <v>44375.0</v>
      </c>
      <c r="C4785" s="69">
        <v>13.937105317656231</v>
      </c>
    </row>
    <row r="4786">
      <c r="A4786" s="62" t="s">
        <v>3042</v>
      </c>
      <c r="B4786" s="63">
        <v>44172.0</v>
      </c>
      <c r="C4786" s="69">
        <v>13.92996431786921</v>
      </c>
    </row>
    <row r="4787">
      <c r="A4787" s="62" t="s">
        <v>468</v>
      </c>
      <c r="B4787" s="63">
        <v>44320.0</v>
      </c>
      <c r="C4787" s="69">
        <v>13.913551545621036</v>
      </c>
    </row>
    <row r="4788">
      <c r="A4788" s="62" t="s">
        <v>4581</v>
      </c>
      <c r="B4788" s="63">
        <v>44280.0</v>
      </c>
      <c r="C4788" s="69">
        <v>13.905850022271114</v>
      </c>
    </row>
    <row r="4789">
      <c r="A4789" s="62" t="s">
        <v>465</v>
      </c>
      <c r="B4789" s="63">
        <v>44321.0</v>
      </c>
      <c r="C4789" s="69">
        <v>13.899441914828792</v>
      </c>
    </row>
    <row r="4790">
      <c r="A4790" s="62" t="s">
        <v>934</v>
      </c>
      <c r="B4790" s="63">
        <v>44236.0</v>
      </c>
      <c r="C4790" s="69">
        <v>13.896065914131363</v>
      </c>
    </row>
    <row r="4791">
      <c r="A4791" s="62" t="s">
        <v>1302</v>
      </c>
      <c r="B4791" s="63">
        <v>44376.0</v>
      </c>
      <c r="C4791" s="69">
        <v>13.890411464463845</v>
      </c>
    </row>
    <row r="4792">
      <c r="A4792" s="62" t="s">
        <v>451</v>
      </c>
      <c r="B4792" s="63">
        <v>44319.0</v>
      </c>
      <c r="C4792" s="69">
        <v>13.875213118549787</v>
      </c>
    </row>
    <row r="4793">
      <c r="A4793" s="62" t="s">
        <v>2407</v>
      </c>
      <c r="B4793" s="63">
        <v>44384.0</v>
      </c>
      <c r="C4793" s="69">
        <v>13.859834283814827</v>
      </c>
    </row>
    <row r="4794">
      <c r="A4794" s="62" t="s">
        <v>5106</v>
      </c>
      <c r="B4794" s="63">
        <v>44278.0</v>
      </c>
      <c r="C4794" s="69">
        <v>13.859674851711432</v>
      </c>
    </row>
    <row r="4795">
      <c r="A4795" s="62" t="s">
        <v>4379</v>
      </c>
      <c r="B4795" s="63">
        <v>44218.0</v>
      </c>
      <c r="C4795" s="69">
        <v>13.857499805004728</v>
      </c>
    </row>
    <row r="4796">
      <c r="A4796" s="62" t="s">
        <v>4854</v>
      </c>
      <c r="B4796" s="63">
        <v>44272.0</v>
      </c>
      <c r="C4796" s="69">
        <v>13.8557837720258</v>
      </c>
    </row>
    <row r="4797">
      <c r="A4797" s="62" t="s">
        <v>3346</v>
      </c>
      <c r="B4797" s="63">
        <v>44165.0</v>
      </c>
      <c r="C4797" s="69">
        <v>13.818687278427824</v>
      </c>
    </row>
    <row r="4798">
      <c r="A4798" s="62" t="s">
        <v>3490</v>
      </c>
      <c r="B4798" s="63">
        <v>44214.0</v>
      </c>
      <c r="C4798" s="69">
        <v>13.791272376840762</v>
      </c>
    </row>
    <row r="4799">
      <c r="A4799" s="62" t="s">
        <v>2314</v>
      </c>
      <c r="B4799" s="63">
        <v>44383.0</v>
      </c>
      <c r="C4799" s="69">
        <v>13.78448896509738</v>
      </c>
    </row>
    <row r="4800">
      <c r="A4800" s="62" t="s">
        <v>3836</v>
      </c>
      <c r="B4800" s="63">
        <v>44102.0</v>
      </c>
      <c r="C4800" s="69">
        <v>13.78227396321817</v>
      </c>
    </row>
    <row r="4801">
      <c r="A4801" s="62" t="s">
        <v>3440</v>
      </c>
      <c r="B4801" s="63">
        <v>44113.0</v>
      </c>
      <c r="C4801" s="69">
        <v>13.778684374152183</v>
      </c>
    </row>
    <row r="4802">
      <c r="A4802" s="62" t="s">
        <v>4142</v>
      </c>
      <c r="B4802" s="63">
        <v>44245.0</v>
      </c>
      <c r="C4802" s="69">
        <v>13.747549314844951</v>
      </c>
    </row>
    <row r="4803">
      <c r="A4803" s="62" t="s">
        <v>3979</v>
      </c>
      <c r="B4803" s="63">
        <v>44100.0</v>
      </c>
      <c r="C4803" s="69">
        <v>13.734069926174183</v>
      </c>
    </row>
    <row r="4804">
      <c r="A4804" s="62" t="s">
        <v>2185</v>
      </c>
      <c r="B4804" s="63">
        <v>44063.0</v>
      </c>
      <c r="C4804" s="69">
        <v>13.721628892409466</v>
      </c>
    </row>
    <row r="4805">
      <c r="A4805" s="62" t="s">
        <v>4150</v>
      </c>
      <c r="B4805" s="63">
        <v>44093.0</v>
      </c>
      <c r="C4805" s="69">
        <v>13.719044402930765</v>
      </c>
    </row>
    <row r="4806">
      <c r="A4806" s="62" t="s">
        <v>3700</v>
      </c>
      <c r="B4806" s="63">
        <v>44224.0</v>
      </c>
      <c r="C4806" s="69">
        <v>13.715288358435727</v>
      </c>
    </row>
    <row r="4807">
      <c r="A4807" s="62" t="s">
        <v>3347</v>
      </c>
      <c r="B4807" s="63">
        <v>44219.0</v>
      </c>
      <c r="C4807" s="69">
        <v>13.704224324994955</v>
      </c>
    </row>
    <row r="4808">
      <c r="A4808" s="62" t="s">
        <v>5798</v>
      </c>
      <c r="B4808" s="63">
        <v>44363.0</v>
      </c>
      <c r="C4808" s="69">
        <v>13.701251103595746</v>
      </c>
    </row>
    <row r="4809">
      <c r="A4809" s="62" t="s">
        <v>443</v>
      </c>
      <c r="B4809" s="63">
        <v>44337.0</v>
      </c>
      <c r="C4809" s="69">
        <v>13.700720657339303</v>
      </c>
    </row>
    <row r="4810">
      <c r="A4810" s="62" t="s">
        <v>4027</v>
      </c>
      <c r="B4810" s="63">
        <v>44086.0</v>
      </c>
      <c r="C4810" s="69">
        <v>13.690835890484923</v>
      </c>
    </row>
    <row r="4811">
      <c r="A4811" s="62" t="s">
        <v>1620</v>
      </c>
      <c r="B4811" s="63">
        <v>44169.0</v>
      </c>
      <c r="C4811" s="69">
        <v>13.659871225127194</v>
      </c>
    </row>
    <row r="4812">
      <c r="A4812" s="62" t="s">
        <v>2160</v>
      </c>
      <c r="B4812" s="63">
        <v>44061.0</v>
      </c>
      <c r="C4812" s="69">
        <v>13.635232663127358</v>
      </c>
    </row>
    <row r="4813">
      <c r="A4813" s="62" t="s">
        <v>2441</v>
      </c>
      <c r="B4813" s="63">
        <v>44387.0</v>
      </c>
      <c r="C4813" s="69">
        <v>13.588820466558476</v>
      </c>
    </row>
    <row r="4814">
      <c r="A4814" s="62" t="s">
        <v>3740</v>
      </c>
      <c r="B4814" s="63">
        <v>44229.0</v>
      </c>
      <c r="C4814" s="69">
        <v>13.572446829142425</v>
      </c>
    </row>
    <row r="4815">
      <c r="A4815" s="62" t="s">
        <v>5727</v>
      </c>
      <c r="B4815" s="63">
        <v>44354.0</v>
      </c>
      <c r="C4815" s="69">
        <v>13.570596461345929</v>
      </c>
    </row>
    <row r="4816">
      <c r="A4816" s="62" t="s">
        <v>6234</v>
      </c>
      <c r="B4816" s="63">
        <v>44370.0</v>
      </c>
      <c r="C4816" s="69">
        <v>13.564279989783273</v>
      </c>
    </row>
    <row r="4817">
      <c r="A4817" s="62" t="s">
        <v>5476</v>
      </c>
      <c r="B4817" s="63">
        <v>44373.0</v>
      </c>
      <c r="C4817" s="69">
        <v>13.560609846966607</v>
      </c>
    </row>
    <row r="4818">
      <c r="A4818" s="62" t="s">
        <v>5666</v>
      </c>
      <c r="B4818" s="63">
        <v>44365.0</v>
      </c>
      <c r="C4818" s="69">
        <v>13.557131081207663</v>
      </c>
    </row>
    <row r="4819">
      <c r="A4819" s="62" t="s">
        <v>519</v>
      </c>
      <c r="B4819" s="63">
        <v>44081.0</v>
      </c>
      <c r="C4819" s="69">
        <v>13.556445671014492</v>
      </c>
    </row>
    <row r="4820">
      <c r="A4820" s="62" t="s">
        <v>3101</v>
      </c>
      <c r="B4820" s="63">
        <v>44174.0</v>
      </c>
      <c r="C4820" s="69">
        <v>13.549071859451141</v>
      </c>
    </row>
    <row r="4821">
      <c r="A4821" s="62" t="s">
        <v>4688</v>
      </c>
      <c r="B4821" s="63">
        <v>44306.0</v>
      </c>
      <c r="C4821" s="69">
        <v>13.502194729432125</v>
      </c>
    </row>
    <row r="4822">
      <c r="A4822" s="62" t="s">
        <v>4862</v>
      </c>
      <c r="B4822" s="63">
        <v>44267.0</v>
      </c>
      <c r="C4822" s="69">
        <v>13.500671906444675</v>
      </c>
    </row>
    <row r="4823">
      <c r="A4823" s="62" t="s">
        <v>3874</v>
      </c>
      <c r="B4823" s="63">
        <v>44232.0</v>
      </c>
      <c r="C4823" s="69">
        <v>13.49437239375348</v>
      </c>
    </row>
    <row r="4824">
      <c r="A4824" s="62" t="s">
        <v>442</v>
      </c>
      <c r="B4824" s="63">
        <v>44330.0</v>
      </c>
      <c r="C4824" s="69">
        <v>13.477570633844627</v>
      </c>
    </row>
    <row r="4825">
      <c r="A4825" s="62" t="s">
        <v>4709</v>
      </c>
      <c r="B4825" s="63">
        <v>44258.0</v>
      </c>
      <c r="C4825" s="69">
        <v>13.467395973675838</v>
      </c>
    </row>
    <row r="4826">
      <c r="A4826" s="62" t="s">
        <v>3851</v>
      </c>
      <c r="B4826" s="63">
        <v>44215.0</v>
      </c>
      <c r="C4826" s="69">
        <v>13.444092995205636</v>
      </c>
    </row>
    <row r="4827">
      <c r="A4827" s="62" t="s">
        <v>3579</v>
      </c>
      <c r="B4827" s="63">
        <v>44197.0</v>
      </c>
      <c r="C4827" s="69">
        <v>13.438009621428385</v>
      </c>
    </row>
    <row r="4828">
      <c r="A4828" s="62" t="s">
        <v>3648</v>
      </c>
      <c r="B4828" s="63">
        <v>44114.0</v>
      </c>
      <c r="C4828" s="69">
        <v>13.41500862114826</v>
      </c>
    </row>
    <row r="4829">
      <c r="A4829" s="62" t="s">
        <v>433</v>
      </c>
      <c r="B4829" s="63">
        <v>44333.0</v>
      </c>
      <c r="C4829" s="69">
        <v>13.404835386346674</v>
      </c>
    </row>
    <row r="4830">
      <c r="A4830" s="62" t="s">
        <v>427</v>
      </c>
      <c r="B4830" s="63">
        <v>44333.0</v>
      </c>
      <c r="C4830" s="69">
        <v>13.393663112430598</v>
      </c>
    </row>
    <row r="4831">
      <c r="A4831" s="62" t="s">
        <v>423</v>
      </c>
      <c r="B4831" s="63">
        <v>44335.0</v>
      </c>
      <c r="C4831" s="69">
        <v>13.33225421398387</v>
      </c>
    </row>
    <row r="4832">
      <c r="A4832" s="62" t="s">
        <v>4254</v>
      </c>
      <c r="B4832" s="63">
        <v>44201.0</v>
      </c>
      <c r="C4832" s="69">
        <v>13.307235518426754</v>
      </c>
    </row>
    <row r="4833">
      <c r="A4833" s="62" t="s">
        <v>3876</v>
      </c>
      <c r="B4833" s="63">
        <v>44237.0</v>
      </c>
      <c r="C4833" s="69">
        <v>13.298114291413079</v>
      </c>
    </row>
    <row r="4834">
      <c r="A4834" s="62" t="s">
        <v>3798</v>
      </c>
      <c r="B4834" s="63">
        <v>44209.0</v>
      </c>
      <c r="C4834" s="69">
        <v>13.296415656285587</v>
      </c>
    </row>
    <row r="4835">
      <c r="A4835" s="62" t="s">
        <v>4068</v>
      </c>
      <c r="B4835" s="63">
        <v>44174.0</v>
      </c>
      <c r="C4835" s="69">
        <v>13.293176812602109</v>
      </c>
    </row>
    <row r="4836">
      <c r="A4836" s="62" t="s">
        <v>418</v>
      </c>
      <c r="B4836" s="63">
        <v>44334.0</v>
      </c>
      <c r="C4836" s="69">
        <v>13.277048543821618</v>
      </c>
    </row>
    <row r="4837">
      <c r="A4837" s="62" t="s">
        <v>416</v>
      </c>
      <c r="B4837" s="63">
        <v>44345.0</v>
      </c>
      <c r="C4837" s="69">
        <v>13.261536165649925</v>
      </c>
    </row>
    <row r="4838">
      <c r="A4838" s="62" t="s">
        <v>4225</v>
      </c>
      <c r="B4838" s="63">
        <v>44208.0</v>
      </c>
      <c r="C4838" s="69">
        <v>13.255697398637324</v>
      </c>
    </row>
    <row r="4839">
      <c r="A4839" s="62" t="s">
        <v>377</v>
      </c>
      <c r="B4839" s="63">
        <v>44388.0</v>
      </c>
      <c r="C4839" s="69">
        <v>13.24311749079865</v>
      </c>
    </row>
    <row r="4840">
      <c r="A4840" s="62" t="s">
        <v>6168</v>
      </c>
      <c r="B4840" s="63">
        <v>44372.0</v>
      </c>
      <c r="C4840" s="69">
        <v>13.241671982437946</v>
      </c>
    </row>
    <row r="4841">
      <c r="A4841" s="62" t="s">
        <v>2901</v>
      </c>
      <c r="B4841" s="63">
        <v>44124.0</v>
      </c>
      <c r="C4841" s="69">
        <v>13.173527430375147</v>
      </c>
    </row>
    <row r="4842">
      <c r="A4842" s="62" t="s">
        <v>1348</v>
      </c>
      <c r="B4842" s="63">
        <v>44230.0</v>
      </c>
      <c r="C4842" s="69">
        <v>13.172013125204067</v>
      </c>
    </row>
    <row r="4843">
      <c r="A4843" s="62" t="s">
        <v>2979</v>
      </c>
      <c r="B4843" s="63">
        <v>44091.0</v>
      </c>
      <c r="C4843" s="69">
        <v>13.165071224920062</v>
      </c>
    </row>
    <row r="4844">
      <c r="A4844" s="62" t="s">
        <v>4111</v>
      </c>
      <c r="B4844" s="63">
        <v>44109.0</v>
      </c>
      <c r="C4844" s="69">
        <v>13.162063146191347</v>
      </c>
    </row>
    <row r="4845">
      <c r="A4845" s="62" t="s">
        <v>2684</v>
      </c>
      <c r="B4845" s="63">
        <v>44231.0</v>
      </c>
      <c r="C4845" s="69">
        <v>13.156853155391971</v>
      </c>
    </row>
    <row r="4846">
      <c r="A4846" s="62" t="s">
        <v>3698</v>
      </c>
      <c r="B4846" s="63">
        <v>44245.0</v>
      </c>
      <c r="C4846" s="69">
        <v>13.152758880071428</v>
      </c>
    </row>
    <row r="4847">
      <c r="A4847" s="62" t="s">
        <v>4250</v>
      </c>
      <c r="B4847" s="63">
        <v>44246.0</v>
      </c>
      <c r="C4847" s="69">
        <v>13.13775126125574</v>
      </c>
    </row>
    <row r="4848">
      <c r="A4848" s="62" t="s">
        <v>2558</v>
      </c>
      <c r="B4848" s="63">
        <v>44389.0</v>
      </c>
      <c r="C4848" s="69">
        <v>13.135854400056823</v>
      </c>
    </row>
    <row r="4849">
      <c r="A4849" s="62" t="s">
        <v>2397</v>
      </c>
      <c r="B4849" s="63">
        <v>44396.0</v>
      </c>
      <c r="C4849" s="69">
        <v>13.12787951783199</v>
      </c>
    </row>
    <row r="4850">
      <c r="A4850" s="62" t="s">
        <v>6547</v>
      </c>
      <c r="B4850" s="63">
        <v>44377.0</v>
      </c>
      <c r="C4850" s="69">
        <v>13.109316443876313</v>
      </c>
    </row>
    <row r="4851">
      <c r="A4851" s="62" t="s">
        <v>3626</v>
      </c>
      <c r="B4851" s="63">
        <v>44133.0</v>
      </c>
      <c r="C4851" s="69">
        <v>13.095632366584072</v>
      </c>
    </row>
    <row r="4852">
      <c r="A4852" s="62" t="s">
        <v>6716</v>
      </c>
      <c r="B4852" s="63">
        <v>44368.0</v>
      </c>
      <c r="C4852" s="69">
        <v>13.087432430048747</v>
      </c>
    </row>
    <row r="4853">
      <c r="A4853" s="62" t="s">
        <v>3960</v>
      </c>
      <c r="B4853" s="63">
        <v>44081.0</v>
      </c>
      <c r="C4853" s="69">
        <v>13.083289279364136</v>
      </c>
    </row>
    <row r="4854">
      <c r="A4854" s="62" t="s">
        <v>3333</v>
      </c>
      <c r="B4854" s="63">
        <v>44180.0</v>
      </c>
      <c r="C4854" s="69">
        <v>13.077355560619747</v>
      </c>
    </row>
    <row r="4855">
      <c r="A4855" s="62" t="s">
        <v>2024</v>
      </c>
      <c r="B4855" s="63">
        <v>44229.0</v>
      </c>
      <c r="C4855" s="69">
        <v>13.051981845816766</v>
      </c>
    </row>
    <row r="4856">
      <c r="A4856" s="62" t="s">
        <v>415</v>
      </c>
      <c r="B4856" s="63">
        <v>44342.0</v>
      </c>
      <c r="C4856" s="69">
        <v>13.04373390552378</v>
      </c>
    </row>
    <row r="4857">
      <c r="A4857" s="62" t="s">
        <v>2472</v>
      </c>
      <c r="B4857" s="63">
        <v>44383.0</v>
      </c>
      <c r="C4857" s="69">
        <v>13.041832900270464</v>
      </c>
    </row>
    <row r="4858">
      <c r="A4858" s="62" t="s">
        <v>4810</v>
      </c>
      <c r="B4858" s="63">
        <v>44302.0</v>
      </c>
      <c r="C4858" s="69">
        <v>13.026722618128176</v>
      </c>
    </row>
    <row r="4859">
      <c r="A4859" s="62" t="s">
        <v>4438</v>
      </c>
      <c r="B4859" s="63">
        <v>44284.0</v>
      </c>
      <c r="C4859" s="69">
        <v>13.020584313269946</v>
      </c>
    </row>
    <row r="4860">
      <c r="A4860" s="62" t="s">
        <v>6084</v>
      </c>
      <c r="B4860" s="63">
        <v>44368.0</v>
      </c>
      <c r="C4860" s="69">
        <v>13.020131372706524</v>
      </c>
    </row>
    <row r="4861">
      <c r="A4861" s="62" t="s">
        <v>2293</v>
      </c>
      <c r="B4861" s="63">
        <v>44379.0</v>
      </c>
      <c r="C4861" s="69">
        <v>13.005171857571119</v>
      </c>
    </row>
    <row r="4862">
      <c r="A4862" s="62" t="s">
        <v>5326</v>
      </c>
      <c r="B4862" s="63">
        <v>44375.0</v>
      </c>
      <c r="C4862" s="69">
        <v>12.997472049310419</v>
      </c>
    </row>
    <row r="4863">
      <c r="A4863" s="62" t="s">
        <v>1182</v>
      </c>
      <c r="B4863" s="63">
        <v>44372.0</v>
      </c>
      <c r="C4863" s="69">
        <v>12.989404991641658</v>
      </c>
    </row>
    <row r="4864">
      <c r="A4864" s="62" t="s">
        <v>4794</v>
      </c>
      <c r="B4864" s="63">
        <v>44264.0</v>
      </c>
      <c r="C4864" s="69">
        <v>12.987223648280404</v>
      </c>
    </row>
    <row r="4865">
      <c r="A4865" s="62" t="s">
        <v>2957</v>
      </c>
      <c r="B4865" s="63">
        <v>44110.0</v>
      </c>
      <c r="C4865" s="69">
        <v>12.96572268177128</v>
      </c>
    </row>
    <row r="4866">
      <c r="A4866" s="62" t="s">
        <v>406</v>
      </c>
      <c r="B4866" s="63">
        <v>44333.0</v>
      </c>
      <c r="C4866" s="69">
        <v>12.952539063112944</v>
      </c>
    </row>
    <row r="4867">
      <c r="A4867" s="62" t="s">
        <v>2519</v>
      </c>
      <c r="B4867" s="63">
        <v>44384.0</v>
      </c>
      <c r="C4867" s="69">
        <v>12.911241699251544</v>
      </c>
    </row>
    <row r="4868">
      <c r="A4868" s="62" t="s">
        <v>5968</v>
      </c>
      <c r="B4868" s="63">
        <v>44376.0</v>
      </c>
      <c r="C4868" s="69">
        <v>12.908638092247243</v>
      </c>
    </row>
    <row r="4869">
      <c r="A4869" s="62" t="s">
        <v>4975</v>
      </c>
      <c r="B4869" s="63">
        <v>44263.0</v>
      </c>
      <c r="C4869" s="69">
        <v>12.905070441471944</v>
      </c>
    </row>
    <row r="4870">
      <c r="A4870" s="62" t="s">
        <v>399</v>
      </c>
      <c r="B4870" s="63">
        <v>44334.0</v>
      </c>
      <c r="C4870" s="69">
        <v>12.89442338106538</v>
      </c>
    </row>
    <row r="4871">
      <c r="A4871" s="62" t="s">
        <v>4983</v>
      </c>
      <c r="B4871" s="63">
        <v>44306.0</v>
      </c>
      <c r="C4871" s="69">
        <v>12.889719339072606</v>
      </c>
    </row>
    <row r="4872">
      <c r="A4872" s="62" t="s">
        <v>398</v>
      </c>
      <c r="B4872" s="63">
        <v>44327.0</v>
      </c>
      <c r="C4872" s="69">
        <v>12.862479660931779</v>
      </c>
    </row>
    <row r="4873">
      <c r="A4873" s="62" t="s">
        <v>3772</v>
      </c>
      <c r="B4873" s="63">
        <v>44222.0</v>
      </c>
      <c r="C4873" s="69">
        <v>12.855476166981346</v>
      </c>
    </row>
    <row r="4874">
      <c r="A4874" s="62" t="s">
        <v>2426</v>
      </c>
      <c r="B4874" s="63">
        <v>44382.0</v>
      </c>
      <c r="C4874" s="69">
        <v>12.827879853594395</v>
      </c>
    </row>
    <row r="4875">
      <c r="A4875" s="62" t="s">
        <v>4387</v>
      </c>
      <c r="B4875" s="63">
        <v>44081.0</v>
      </c>
      <c r="C4875" s="69">
        <v>12.82458915039931</v>
      </c>
    </row>
    <row r="4876">
      <c r="A4876" s="62" t="s">
        <v>6519</v>
      </c>
      <c r="B4876" s="63">
        <v>44370.0</v>
      </c>
      <c r="C4876" s="69">
        <v>12.793050893886562</v>
      </c>
    </row>
    <row r="4877">
      <c r="A4877" s="62" t="s">
        <v>397</v>
      </c>
      <c r="B4877" s="63">
        <v>44343.0</v>
      </c>
      <c r="C4877" s="69">
        <v>12.777252184586336</v>
      </c>
    </row>
    <row r="4878">
      <c r="A4878" s="62" t="s">
        <v>2052</v>
      </c>
      <c r="B4878" s="63">
        <v>44199.0</v>
      </c>
      <c r="C4878" s="69">
        <v>12.775537068707031</v>
      </c>
    </row>
    <row r="4879">
      <c r="A4879" s="62" t="s">
        <v>3526</v>
      </c>
      <c r="B4879" s="63">
        <v>44180.0</v>
      </c>
      <c r="C4879" s="69">
        <v>12.759452632253652</v>
      </c>
    </row>
    <row r="4880">
      <c r="A4880" s="62" t="s">
        <v>2123</v>
      </c>
      <c r="B4880" s="63">
        <v>44375.0</v>
      </c>
      <c r="C4880" s="69">
        <v>12.75699087058564</v>
      </c>
    </row>
    <row r="4881">
      <c r="A4881" s="62" t="s">
        <v>284</v>
      </c>
      <c r="B4881" s="63">
        <v>44382.0</v>
      </c>
      <c r="C4881" s="69">
        <v>12.750271851869599</v>
      </c>
    </row>
    <row r="4882">
      <c r="A4882" s="62" t="s">
        <v>4346</v>
      </c>
      <c r="B4882" s="63">
        <v>44254.0</v>
      </c>
      <c r="C4882" s="69">
        <v>12.747400403612236</v>
      </c>
    </row>
    <row r="4883">
      <c r="A4883" s="62" t="s">
        <v>4840</v>
      </c>
      <c r="B4883" s="63">
        <v>44274.0</v>
      </c>
      <c r="C4883" s="69">
        <v>12.741226731337097</v>
      </c>
    </row>
    <row r="4884">
      <c r="A4884" s="62" t="s">
        <v>6400</v>
      </c>
      <c r="B4884" s="63">
        <v>44377.0</v>
      </c>
      <c r="C4884" s="69">
        <v>12.727143346834506</v>
      </c>
    </row>
    <row r="4885">
      <c r="A4885" s="62" t="s">
        <v>394</v>
      </c>
      <c r="B4885" s="63">
        <v>44343.0</v>
      </c>
      <c r="C4885" s="69">
        <v>12.721655353635487</v>
      </c>
    </row>
    <row r="4886">
      <c r="A4886" s="62" t="s">
        <v>4864</v>
      </c>
      <c r="B4886" s="63">
        <v>44277.0</v>
      </c>
      <c r="C4886" s="69">
        <v>12.702527885222224</v>
      </c>
    </row>
    <row r="4887">
      <c r="A4887" s="62" t="s">
        <v>4630</v>
      </c>
      <c r="B4887" s="63">
        <v>44272.0</v>
      </c>
      <c r="C4887" s="69">
        <v>12.684824987315755</v>
      </c>
    </row>
    <row r="4888">
      <c r="A4888" s="62" t="s">
        <v>393</v>
      </c>
      <c r="B4888" s="63">
        <v>44330.0</v>
      </c>
      <c r="C4888" s="69">
        <v>12.665680618063195</v>
      </c>
    </row>
    <row r="4889">
      <c r="A4889" s="62" t="s">
        <v>4269</v>
      </c>
      <c r="B4889" s="63">
        <v>44147.0</v>
      </c>
      <c r="C4889" s="69">
        <v>12.665584105875727</v>
      </c>
    </row>
    <row r="4890">
      <c r="A4890" s="62" t="s">
        <v>4080</v>
      </c>
      <c r="B4890" s="63">
        <v>44238.0</v>
      </c>
      <c r="C4890" s="69">
        <v>12.663598661719897</v>
      </c>
    </row>
    <row r="4891">
      <c r="A4891" s="62" t="s">
        <v>6707</v>
      </c>
      <c r="B4891" s="63">
        <v>44370.0</v>
      </c>
      <c r="C4891" s="69">
        <v>12.647163645673885</v>
      </c>
    </row>
    <row r="4892">
      <c r="A4892" s="62" t="s">
        <v>6126</v>
      </c>
      <c r="B4892" s="63">
        <v>44349.0</v>
      </c>
      <c r="C4892" s="69">
        <v>12.624667141884753</v>
      </c>
    </row>
    <row r="4893">
      <c r="A4893" s="62" t="s">
        <v>5322</v>
      </c>
      <c r="B4893" s="63">
        <v>44350.0</v>
      </c>
      <c r="C4893" s="69">
        <v>12.605199415857808</v>
      </c>
    </row>
    <row r="4894">
      <c r="A4894" s="62" t="s">
        <v>5134</v>
      </c>
      <c r="B4894" s="63">
        <v>44272.0</v>
      </c>
      <c r="C4894" s="69">
        <v>12.593181172831917</v>
      </c>
    </row>
    <row r="4895">
      <c r="A4895" s="62" t="s">
        <v>2413</v>
      </c>
      <c r="B4895" s="63">
        <v>44396.0</v>
      </c>
      <c r="C4895" s="69">
        <v>12.586911007706508</v>
      </c>
    </row>
    <row r="4896">
      <c r="A4896" s="62" t="s">
        <v>1691</v>
      </c>
      <c r="B4896" s="63">
        <v>44349.0</v>
      </c>
      <c r="C4896" s="69">
        <v>12.572546284517045</v>
      </c>
    </row>
    <row r="4897">
      <c r="A4897" s="62" t="s">
        <v>3842</v>
      </c>
      <c r="B4897" s="63">
        <v>44142.0</v>
      </c>
      <c r="C4897" s="69">
        <v>12.551907212460014</v>
      </c>
    </row>
    <row r="4898">
      <c r="A4898" s="62" t="s">
        <v>1383</v>
      </c>
      <c r="B4898" s="63">
        <v>44223.0</v>
      </c>
      <c r="C4898" s="69">
        <v>12.550904008863935</v>
      </c>
    </row>
    <row r="4899">
      <c r="A4899" s="62" t="s">
        <v>3230</v>
      </c>
      <c r="B4899" s="63">
        <v>44097.0</v>
      </c>
      <c r="C4899" s="69">
        <v>12.54179854007525</v>
      </c>
    </row>
    <row r="4900">
      <c r="A4900" s="62" t="s">
        <v>871</v>
      </c>
      <c r="B4900" s="63">
        <v>44306.0</v>
      </c>
      <c r="C4900" s="69">
        <v>12.507045183729044</v>
      </c>
    </row>
    <row r="4901">
      <c r="A4901" s="62" t="s">
        <v>5277</v>
      </c>
      <c r="B4901" s="63">
        <v>44273.0</v>
      </c>
      <c r="C4901" s="69">
        <v>12.499161577630275</v>
      </c>
    </row>
    <row r="4902">
      <c r="A4902" s="62" t="s">
        <v>4498</v>
      </c>
      <c r="B4902" s="63">
        <v>44280.0</v>
      </c>
      <c r="C4902" s="69">
        <v>12.469786451433889</v>
      </c>
    </row>
    <row r="4903">
      <c r="A4903" s="62" t="s">
        <v>1269</v>
      </c>
      <c r="B4903" s="63">
        <v>44272.0</v>
      </c>
      <c r="C4903" s="69">
        <v>12.459372350344704</v>
      </c>
    </row>
    <row r="4904">
      <c r="A4904" s="62" t="s">
        <v>2364</v>
      </c>
      <c r="B4904" s="63">
        <v>44382.0</v>
      </c>
      <c r="C4904" s="69">
        <v>12.452682579099752</v>
      </c>
    </row>
    <row r="4905">
      <c r="A4905" s="62" t="s">
        <v>3644</v>
      </c>
      <c r="B4905" s="63">
        <v>44125.0</v>
      </c>
      <c r="C4905" s="69">
        <v>12.44155321691932</v>
      </c>
    </row>
    <row r="4906">
      <c r="A4906" s="62" t="s">
        <v>1958</v>
      </c>
      <c r="B4906" s="63">
        <v>44368.0</v>
      </c>
      <c r="C4906" s="69">
        <v>12.4139435009816</v>
      </c>
    </row>
    <row r="4907">
      <c r="A4907" s="62" t="s">
        <v>3863</v>
      </c>
      <c r="B4907" s="63">
        <v>44225.0</v>
      </c>
      <c r="C4907" s="69">
        <v>12.411738249173185</v>
      </c>
    </row>
    <row r="4908">
      <c r="A4908" s="62" t="s">
        <v>2421</v>
      </c>
      <c r="B4908" s="63">
        <v>44382.0</v>
      </c>
      <c r="C4908" s="69">
        <v>12.334309643208607</v>
      </c>
    </row>
    <row r="4909">
      <c r="A4909" s="62" t="s">
        <v>5039</v>
      </c>
      <c r="B4909" s="63">
        <v>44309.0</v>
      </c>
      <c r="C4909" s="69">
        <v>12.293395912952228</v>
      </c>
    </row>
    <row r="4910">
      <c r="A4910" s="62" t="s">
        <v>6630</v>
      </c>
      <c r="B4910" s="63">
        <v>44355.0</v>
      </c>
      <c r="C4910" s="69">
        <v>12.291720580244704</v>
      </c>
    </row>
    <row r="4911">
      <c r="A4911" s="62" t="s">
        <v>5871</v>
      </c>
      <c r="B4911" s="63">
        <v>44377.0</v>
      </c>
      <c r="C4911" s="69">
        <v>12.269868962818862</v>
      </c>
    </row>
    <row r="4912">
      <c r="A4912" s="62" t="s">
        <v>1756</v>
      </c>
      <c r="B4912" s="63">
        <v>44305.0</v>
      </c>
      <c r="C4912" s="69">
        <v>12.267340935053427</v>
      </c>
    </row>
    <row r="4913">
      <c r="A4913" s="62" t="s">
        <v>3075</v>
      </c>
      <c r="B4913" s="63">
        <v>44183.0</v>
      </c>
      <c r="C4913" s="69">
        <v>12.254404723703349</v>
      </c>
    </row>
    <row r="4914">
      <c r="A4914" s="62" t="s">
        <v>2269</v>
      </c>
      <c r="B4914" s="63">
        <v>44393.0</v>
      </c>
      <c r="C4914" s="69">
        <v>12.252684624028443</v>
      </c>
    </row>
    <row r="4915">
      <c r="A4915" s="62" t="s">
        <v>580</v>
      </c>
      <c r="B4915" s="63">
        <v>44355.0</v>
      </c>
      <c r="C4915" s="69">
        <v>12.236415767499613</v>
      </c>
    </row>
    <row r="4916">
      <c r="A4916" s="62" t="s">
        <v>2287</v>
      </c>
      <c r="B4916" s="63">
        <v>44382.0</v>
      </c>
      <c r="C4916" s="69">
        <v>12.207048242422303</v>
      </c>
    </row>
    <row r="4917">
      <c r="A4917" s="62" t="s">
        <v>3928</v>
      </c>
      <c r="B4917" s="63">
        <v>44207.0</v>
      </c>
      <c r="C4917" s="69">
        <v>12.193727420028985</v>
      </c>
    </row>
    <row r="4918">
      <c r="A4918" s="62" t="s">
        <v>188</v>
      </c>
      <c r="B4918" s="63">
        <v>44389.0</v>
      </c>
      <c r="C4918" s="69">
        <v>12.19359169992519</v>
      </c>
    </row>
    <row r="4919">
      <c r="A4919" s="62" t="s">
        <v>5640</v>
      </c>
      <c r="B4919" s="63">
        <v>44375.0</v>
      </c>
      <c r="C4919" s="69">
        <v>12.175881986534067</v>
      </c>
    </row>
    <row r="4920">
      <c r="A4920" s="62" t="s">
        <v>5052</v>
      </c>
      <c r="B4920" s="63">
        <v>44268.0</v>
      </c>
      <c r="C4920" s="69">
        <v>12.168255410467639</v>
      </c>
    </row>
    <row r="4921">
      <c r="A4921" s="62" t="s">
        <v>2964</v>
      </c>
      <c r="B4921" s="63">
        <v>44127.0</v>
      </c>
      <c r="C4921" s="69">
        <v>12.149918699536045</v>
      </c>
    </row>
    <row r="4922">
      <c r="A4922" s="62" t="s">
        <v>4137</v>
      </c>
      <c r="B4922" s="63">
        <v>44096.0</v>
      </c>
      <c r="C4922" s="69">
        <v>12.140685128699364</v>
      </c>
    </row>
    <row r="4923">
      <c r="A4923" s="62" t="s">
        <v>2360</v>
      </c>
      <c r="B4923" s="63">
        <v>44378.0</v>
      </c>
      <c r="C4923" s="69">
        <v>12.097630358596774</v>
      </c>
    </row>
    <row r="4924">
      <c r="A4924" s="62" t="s">
        <v>3149</v>
      </c>
      <c r="B4924" s="63">
        <v>44137.0</v>
      </c>
      <c r="C4924" s="69">
        <v>12.089526582285243</v>
      </c>
    </row>
    <row r="4925">
      <c r="A4925" s="62" t="s">
        <v>3071</v>
      </c>
      <c r="B4925" s="63">
        <v>44207.0</v>
      </c>
      <c r="C4925" s="69">
        <v>12.089053468055894</v>
      </c>
    </row>
    <row r="4926">
      <c r="A4926" s="62" t="s">
        <v>3289</v>
      </c>
      <c r="B4926" s="63">
        <v>44252.0</v>
      </c>
      <c r="C4926" s="69">
        <v>12.08651106974158</v>
      </c>
    </row>
    <row r="4927">
      <c r="A4927" s="62" t="s">
        <v>4222</v>
      </c>
      <c r="B4927" s="63">
        <v>44235.0</v>
      </c>
      <c r="C4927" s="69">
        <v>12.078396792515777</v>
      </c>
    </row>
    <row r="4928">
      <c r="A4928" s="62" t="s">
        <v>3386</v>
      </c>
      <c r="B4928" s="63">
        <v>44083.0</v>
      </c>
      <c r="C4928" s="69">
        <v>12.000448281180097</v>
      </c>
    </row>
    <row r="4929">
      <c r="A4929" s="62" t="s">
        <v>392</v>
      </c>
      <c r="B4929" s="63">
        <v>44337.0</v>
      </c>
      <c r="C4929" s="69">
        <v>11.992703556801734</v>
      </c>
    </row>
    <row r="4930">
      <c r="A4930" s="62" t="s">
        <v>386</v>
      </c>
      <c r="B4930" s="63">
        <v>44328.0</v>
      </c>
      <c r="C4930" s="69">
        <v>11.981313685481398</v>
      </c>
    </row>
    <row r="4931">
      <c r="A4931" s="62" t="s">
        <v>1714</v>
      </c>
      <c r="B4931" s="63">
        <v>44161.0</v>
      </c>
      <c r="C4931" s="69">
        <v>11.975333844138603</v>
      </c>
    </row>
    <row r="4932">
      <c r="A4932" s="62" t="s">
        <v>3326</v>
      </c>
      <c r="B4932" s="63">
        <v>44232.0</v>
      </c>
      <c r="C4932" s="69">
        <v>11.972899305127703</v>
      </c>
    </row>
    <row r="4933">
      <c r="A4933" s="62" t="s">
        <v>6103</v>
      </c>
      <c r="B4933" s="63">
        <v>44351.0</v>
      </c>
      <c r="C4933" s="69">
        <v>11.970684605420326</v>
      </c>
    </row>
    <row r="4934">
      <c r="A4934" s="62" t="s">
        <v>5350</v>
      </c>
      <c r="B4934" s="63">
        <v>44376.0</v>
      </c>
      <c r="C4934" s="69">
        <v>11.950413253613982</v>
      </c>
    </row>
    <row r="4935">
      <c r="A4935" s="62" t="s">
        <v>379</v>
      </c>
      <c r="B4935" s="63">
        <v>44333.0</v>
      </c>
      <c r="C4935" s="69">
        <v>11.915240332185736</v>
      </c>
    </row>
    <row r="4936">
      <c r="A4936" s="62" t="s">
        <v>2417</v>
      </c>
      <c r="B4936" s="63">
        <v>44398.0</v>
      </c>
      <c r="C4936" s="69">
        <v>11.909959277129051</v>
      </c>
    </row>
    <row r="4937">
      <c r="A4937" s="62" t="s">
        <v>4938</v>
      </c>
      <c r="B4937" s="63">
        <v>44312.0</v>
      </c>
      <c r="C4937" s="69">
        <v>11.882378698963937</v>
      </c>
    </row>
    <row r="4938">
      <c r="A4938" s="62" t="s">
        <v>5859</v>
      </c>
      <c r="B4938" s="63">
        <v>44370.0</v>
      </c>
      <c r="C4938" s="69">
        <v>11.875963095456697</v>
      </c>
    </row>
    <row r="4939">
      <c r="A4939" s="62" t="s">
        <v>375</v>
      </c>
      <c r="B4939" s="63">
        <v>44344.0</v>
      </c>
      <c r="C4939" s="69">
        <v>11.873433307728325</v>
      </c>
    </row>
    <row r="4940">
      <c r="A4940" s="62" t="s">
        <v>373</v>
      </c>
      <c r="B4940" s="63">
        <v>44327.0</v>
      </c>
      <c r="C4940" s="69">
        <v>11.86579734895275</v>
      </c>
    </row>
    <row r="4941">
      <c r="A4941" s="62" t="s">
        <v>2329</v>
      </c>
      <c r="B4941" s="63">
        <v>44380.0</v>
      </c>
      <c r="C4941" s="69">
        <v>11.856872504255394</v>
      </c>
    </row>
    <row r="4942">
      <c r="A4942" s="62" t="s">
        <v>3411</v>
      </c>
      <c r="B4942" s="63">
        <v>44092.0</v>
      </c>
      <c r="C4942" s="69">
        <v>11.846360662968598</v>
      </c>
    </row>
    <row r="4943">
      <c r="A4943" s="62" t="s">
        <v>5996</v>
      </c>
      <c r="B4943" s="63">
        <v>44372.0</v>
      </c>
      <c r="C4943" s="69">
        <v>11.840957423097008</v>
      </c>
    </row>
    <row r="4944">
      <c r="A4944" s="62" t="s">
        <v>2182</v>
      </c>
      <c r="B4944" s="63">
        <v>44068.0</v>
      </c>
      <c r="C4944" s="69">
        <v>11.787272775630422</v>
      </c>
    </row>
    <row r="4945">
      <c r="A4945" s="62" t="s">
        <v>3378</v>
      </c>
      <c r="B4945" s="63">
        <v>44116.0</v>
      </c>
      <c r="C4945" s="69">
        <v>11.768902911765249</v>
      </c>
    </row>
    <row r="4946">
      <c r="A4946" s="62" t="s">
        <v>369</v>
      </c>
      <c r="B4946" s="63">
        <v>44328.0</v>
      </c>
      <c r="C4946" s="69">
        <v>11.761816134273829</v>
      </c>
    </row>
    <row r="4947">
      <c r="A4947" s="62" t="s">
        <v>2610</v>
      </c>
      <c r="B4947" s="63">
        <v>44384.0</v>
      </c>
      <c r="C4947" s="69">
        <v>11.758070100673269</v>
      </c>
    </row>
    <row r="4948">
      <c r="A4948" s="62" t="s">
        <v>4770</v>
      </c>
      <c r="B4948" s="63">
        <v>44280.0</v>
      </c>
      <c r="C4948" s="69">
        <v>11.731096241451821</v>
      </c>
    </row>
    <row r="4949">
      <c r="A4949" s="62" t="s">
        <v>5212</v>
      </c>
      <c r="B4949" s="63">
        <v>44312.0</v>
      </c>
      <c r="C4949" s="69">
        <v>11.710248362758428</v>
      </c>
    </row>
    <row r="4950">
      <c r="A4950" s="62" t="s">
        <v>1365</v>
      </c>
      <c r="B4950" s="63">
        <v>44362.0</v>
      </c>
      <c r="C4950" s="69">
        <v>11.70714702829116</v>
      </c>
    </row>
    <row r="4951">
      <c r="A4951" s="62" t="s">
        <v>363</v>
      </c>
      <c r="B4951" s="63">
        <v>44347.0</v>
      </c>
      <c r="C4951" s="69">
        <v>11.680399771880744</v>
      </c>
    </row>
    <row r="4952">
      <c r="A4952" s="62" t="s">
        <v>2288</v>
      </c>
      <c r="B4952" s="63">
        <v>44386.0</v>
      </c>
      <c r="C4952" s="69">
        <v>11.65429284423954</v>
      </c>
    </row>
    <row r="4953">
      <c r="A4953" s="62" t="s">
        <v>395</v>
      </c>
      <c r="B4953" s="63">
        <v>44092.0</v>
      </c>
      <c r="C4953" s="69">
        <v>11.613870681293736</v>
      </c>
    </row>
    <row r="4954">
      <c r="A4954" s="62" t="s">
        <v>3271</v>
      </c>
      <c r="B4954" s="63">
        <v>44195.0</v>
      </c>
      <c r="C4954" s="69">
        <v>11.58962113166099</v>
      </c>
    </row>
    <row r="4955">
      <c r="A4955" s="62" t="s">
        <v>6395</v>
      </c>
      <c r="B4955" s="63">
        <v>44368.0</v>
      </c>
      <c r="C4955" s="69">
        <v>11.587057386563885</v>
      </c>
    </row>
    <row r="4956">
      <c r="A4956" s="62" t="s">
        <v>3127</v>
      </c>
      <c r="B4956" s="63">
        <v>44235.0</v>
      </c>
      <c r="C4956" s="69">
        <v>11.54465555057957</v>
      </c>
    </row>
    <row r="4957">
      <c r="A4957" s="62" t="s">
        <v>2188</v>
      </c>
      <c r="B4957" s="63">
        <v>44064.0</v>
      </c>
      <c r="C4957" s="69">
        <v>11.517158166504656</v>
      </c>
    </row>
    <row r="4958">
      <c r="A4958" s="62" t="s">
        <v>706</v>
      </c>
      <c r="B4958" s="63">
        <v>44109.0</v>
      </c>
      <c r="C4958" s="69">
        <v>11.504281214923326</v>
      </c>
    </row>
    <row r="4959">
      <c r="A4959" s="62" t="s">
        <v>2818</v>
      </c>
      <c r="B4959" s="63">
        <v>44152.0</v>
      </c>
      <c r="C4959" s="69">
        <v>11.502794360284568</v>
      </c>
    </row>
    <row r="4960">
      <c r="A4960" s="62" t="s">
        <v>3322</v>
      </c>
      <c r="B4960" s="63">
        <v>44233.0</v>
      </c>
      <c r="C4960" s="69">
        <v>11.488998127337972</v>
      </c>
    </row>
    <row r="4961">
      <c r="A4961" s="62" t="s">
        <v>4757</v>
      </c>
      <c r="B4961" s="63">
        <v>44263.0</v>
      </c>
      <c r="C4961" s="69">
        <v>11.477600106210284</v>
      </c>
    </row>
    <row r="4962">
      <c r="A4962" s="62" t="s">
        <v>2043</v>
      </c>
      <c r="B4962" s="63">
        <v>44377.0</v>
      </c>
      <c r="C4962" s="69">
        <v>11.465298831959904</v>
      </c>
    </row>
    <row r="4963">
      <c r="A4963" s="62" t="s">
        <v>2515</v>
      </c>
      <c r="B4963" s="63">
        <v>44386.0</v>
      </c>
      <c r="C4963" s="69">
        <v>11.455425215296799</v>
      </c>
    </row>
    <row r="4964">
      <c r="A4964" s="62" t="s">
        <v>734</v>
      </c>
      <c r="B4964" s="63">
        <v>44309.0</v>
      </c>
      <c r="C4964" s="69">
        <v>11.432539633012903</v>
      </c>
    </row>
    <row r="4965">
      <c r="A4965" s="62" t="s">
        <v>3967</v>
      </c>
      <c r="B4965" s="63">
        <v>44179.0</v>
      </c>
      <c r="C4965" s="69">
        <v>11.420456281773257</v>
      </c>
    </row>
    <row r="4966">
      <c r="A4966" s="62" t="s">
        <v>3116</v>
      </c>
      <c r="B4966" s="63">
        <v>44083.0</v>
      </c>
      <c r="C4966" s="69">
        <v>11.414889968809439</v>
      </c>
    </row>
    <row r="4967">
      <c r="A4967" s="62" t="s">
        <v>5097</v>
      </c>
      <c r="B4967" s="63">
        <v>44280.0</v>
      </c>
      <c r="C4967" s="69">
        <v>11.41068772714734</v>
      </c>
    </row>
    <row r="4968">
      <c r="A4968" s="62" t="s">
        <v>359</v>
      </c>
      <c r="B4968" s="63">
        <v>44319.0</v>
      </c>
      <c r="C4968" s="69">
        <v>11.39843292652689</v>
      </c>
    </row>
    <row r="4969">
      <c r="A4969" s="62" t="s">
        <v>2215</v>
      </c>
      <c r="B4969" s="63">
        <v>44071.0</v>
      </c>
      <c r="C4969" s="69">
        <v>11.373181342657823</v>
      </c>
    </row>
    <row r="4970">
      <c r="A4970" s="62" t="s">
        <v>4036</v>
      </c>
      <c r="B4970" s="63">
        <v>44147.0</v>
      </c>
      <c r="C4970" s="69">
        <v>11.337613556159313</v>
      </c>
    </row>
    <row r="4971">
      <c r="A4971" s="62" t="s">
        <v>2639</v>
      </c>
      <c r="B4971" s="63">
        <v>44208.0</v>
      </c>
      <c r="C4971" s="69">
        <v>11.278761907365816</v>
      </c>
    </row>
    <row r="4972">
      <c r="A4972" s="62" t="s">
        <v>6310</v>
      </c>
      <c r="B4972" s="63">
        <v>44372.0</v>
      </c>
      <c r="C4972" s="69">
        <v>11.276930510941426</v>
      </c>
    </row>
    <row r="4973">
      <c r="A4973" s="62" t="s">
        <v>462</v>
      </c>
      <c r="B4973" s="63">
        <v>44370.0</v>
      </c>
      <c r="C4973" s="69">
        <v>11.26828631380219</v>
      </c>
    </row>
    <row r="4974">
      <c r="A4974" s="62" t="s">
        <v>2408</v>
      </c>
      <c r="B4974" s="63">
        <v>44378.0</v>
      </c>
      <c r="C4974" s="69">
        <v>11.23089400237702</v>
      </c>
    </row>
    <row r="4975">
      <c r="A4975" s="62" t="s">
        <v>4555</v>
      </c>
      <c r="B4975" s="63">
        <v>44287.0</v>
      </c>
      <c r="C4975" s="69">
        <v>11.22235009236487</v>
      </c>
    </row>
    <row r="4976">
      <c r="A4976" s="62" t="s">
        <v>5525</v>
      </c>
      <c r="B4976" s="63">
        <v>44354.0</v>
      </c>
      <c r="C4976" s="69">
        <v>11.213308773698198</v>
      </c>
    </row>
    <row r="4977">
      <c r="A4977" s="62" t="s">
        <v>6633</v>
      </c>
      <c r="B4977" s="63">
        <v>44358.0</v>
      </c>
      <c r="C4977" s="69">
        <v>11.184434786328417</v>
      </c>
    </row>
    <row r="4978">
      <c r="A4978" s="62" t="s">
        <v>4543</v>
      </c>
      <c r="B4978" s="63">
        <v>44308.0</v>
      </c>
      <c r="C4978" s="69">
        <v>11.16567798439451</v>
      </c>
    </row>
    <row r="4979">
      <c r="A4979" s="62" t="s">
        <v>3191</v>
      </c>
      <c r="B4979" s="63">
        <v>44076.0</v>
      </c>
      <c r="C4979" s="69">
        <v>11.15604239954094</v>
      </c>
    </row>
    <row r="4980">
      <c r="A4980" s="62" t="s">
        <v>358</v>
      </c>
      <c r="B4980" s="63">
        <v>44337.0</v>
      </c>
      <c r="C4980" s="69">
        <v>11.145559026842161</v>
      </c>
    </row>
    <row r="4981">
      <c r="A4981" s="62" t="s">
        <v>3941</v>
      </c>
      <c r="B4981" s="63">
        <v>44172.0</v>
      </c>
      <c r="C4981" s="69">
        <v>11.114874560217983</v>
      </c>
    </row>
    <row r="4982">
      <c r="A4982" s="62" t="s">
        <v>2315</v>
      </c>
      <c r="B4982" s="63">
        <v>44382.0</v>
      </c>
      <c r="C4982" s="69">
        <v>11.113850878087765</v>
      </c>
    </row>
    <row r="4983">
      <c r="A4983" s="62" t="s">
        <v>4867</v>
      </c>
      <c r="B4983" s="63">
        <v>44294.0</v>
      </c>
      <c r="C4983" s="69">
        <v>11.103083583670939</v>
      </c>
    </row>
    <row r="4984">
      <c r="A4984" s="62" t="s">
        <v>353</v>
      </c>
      <c r="B4984" s="63">
        <v>44342.0</v>
      </c>
      <c r="C4984" s="69">
        <v>11.100157086369771</v>
      </c>
    </row>
    <row r="4985">
      <c r="A4985" s="62" t="s">
        <v>3308</v>
      </c>
      <c r="B4985" s="63">
        <v>44180.0</v>
      </c>
      <c r="C4985" s="69">
        <v>11.084456301853091</v>
      </c>
    </row>
    <row r="4986">
      <c r="A4986" s="62" t="s">
        <v>2291</v>
      </c>
      <c r="B4986" s="63">
        <v>44382.0</v>
      </c>
      <c r="C4986" s="69">
        <v>11.080012752094266</v>
      </c>
    </row>
    <row r="4987">
      <c r="A4987" s="62" t="s">
        <v>2409</v>
      </c>
      <c r="B4987" s="63">
        <v>44391.0</v>
      </c>
      <c r="C4987" s="69">
        <v>11.076309818425571</v>
      </c>
    </row>
    <row r="4988">
      <c r="A4988" s="62" t="s">
        <v>4355</v>
      </c>
      <c r="B4988" s="63">
        <v>44225.0</v>
      </c>
      <c r="C4988" s="69">
        <v>11.0671910974194</v>
      </c>
    </row>
    <row r="4989">
      <c r="A4989" s="62" t="s">
        <v>2266</v>
      </c>
      <c r="B4989" s="63">
        <v>44392.0</v>
      </c>
      <c r="C4989" s="69">
        <v>11.059630397105051</v>
      </c>
    </row>
    <row r="4990">
      <c r="A4990" s="62" t="s">
        <v>5065</v>
      </c>
      <c r="B4990" s="63">
        <v>44279.0</v>
      </c>
      <c r="C4990" s="69">
        <v>11.059013914216491</v>
      </c>
    </row>
    <row r="4991">
      <c r="A4991" s="62" t="s">
        <v>2405</v>
      </c>
      <c r="B4991" s="63">
        <v>44378.0</v>
      </c>
      <c r="C4991" s="69">
        <v>11.055561535040807</v>
      </c>
    </row>
    <row r="4992">
      <c r="A4992" s="62" t="s">
        <v>3661</v>
      </c>
      <c r="B4992" s="63">
        <v>44211.0</v>
      </c>
      <c r="C4992" s="69">
        <v>11.046708134674414</v>
      </c>
    </row>
    <row r="4993">
      <c r="A4993" s="62" t="s">
        <v>2253</v>
      </c>
      <c r="B4993" s="63">
        <v>44065.0</v>
      </c>
      <c r="C4993" s="69">
        <v>11.024866244125706</v>
      </c>
    </row>
    <row r="4994">
      <c r="A4994" s="62" t="s">
        <v>346</v>
      </c>
      <c r="B4994" s="63">
        <v>44335.0</v>
      </c>
      <c r="C4994" s="69">
        <v>11.017626896728473</v>
      </c>
    </row>
    <row r="4995">
      <c r="A4995" s="62" t="s">
        <v>3684</v>
      </c>
      <c r="B4995" s="63">
        <v>44139.0</v>
      </c>
      <c r="C4995" s="69">
        <v>11.015260512419173</v>
      </c>
    </row>
    <row r="4996">
      <c r="A4996" s="62" t="s">
        <v>344</v>
      </c>
      <c r="B4996" s="63">
        <v>44333.0</v>
      </c>
      <c r="C4996" s="69">
        <v>11.009143388725299</v>
      </c>
    </row>
    <row r="4997">
      <c r="A4997" s="62" t="s">
        <v>2685</v>
      </c>
      <c r="B4997" s="63">
        <v>44168.0</v>
      </c>
      <c r="C4997" s="69">
        <v>10.997153108503676</v>
      </c>
    </row>
    <row r="4998">
      <c r="A4998" s="62" t="s">
        <v>3007</v>
      </c>
      <c r="B4998" s="63">
        <v>44086.0</v>
      </c>
      <c r="C4998" s="69">
        <v>10.995584976097451</v>
      </c>
    </row>
    <row r="4999">
      <c r="A4999" s="62" t="s">
        <v>3987</v>
      </c>
      <c r="B4999" s="63">
        <v>44235.0</v>
      </c>
      <c r="C4999" s="69">
        <v>10.992580535012737</v>
      </c>
    </row>
    <row r="5000">
      <c r="A5000" s="62" t="s">
        <v>2777</v>
      </c>
      <c r="B5000" s="63">
        <v>44207.0</v>
      </c>
      <c r="C5000" s="69">
        <v>10.986519949997966</v>
      </c>
    </row>
    <row r="5001">
      <c r="A5001" s="62" t="s">
        <v>339</v>
      </c>
      <c r="B5001" s="63">
        <v>44327.0</v>
      </c>
      <c r="C5001" s="69">
        <v>10.970044477888774</v>
      </c>
    </row>
    <row r="5002">
      <c r="A5002" s="62" t="s">
        <v>4588</v>
      </c>
      <c r="B5002" s="63">
        <v>44291.0</v>
      </c>
      <c r="C5002" s="69">
        <v>10.95639126957958</v>
      </c>
    </row>
    <row r="5003">
      <c r="A5003" s="62" t="s">
        <v>5502</v>
      </c>
      <c r="B5003" s="63">
        <v>44368.0</v>
      </c>
      <c r="C5003" s="69">
        <v>10.951175680428737</v>
      </c>
    </row>
    <row r="5004">
      <c r="A5004" s="62" t="s">
        <v>4405</v>
      </c>
      <c r="B5004" s="63">
        <v>44174.0</v>
      </c>
      <c r="C5004" s="69">
        <v>10.94722168257179</v>
      </c>
    </row>
    <row r="5005">
      <c r="A5005" s="62" t="s">
        <v>3309</v>
      </c>
      <c r="B5005" s="63">
        <v>44083.0</v>
      </c>
      <c r="C5005" s="69">
        <v>10.945971333680218</v>
      </c>
    </row>
    <row r="5006">
      <c r="A5006" s="62" t="s">
        <v>2976</v>
      </c>
      <c r="B5006" s="63">
        <v>44135.0</v>
      </c>
      <c r="C5006" s="69">
        <v>10.943961565370888</v>
      </c>
    </row>
    <row r="5007">
      <c r="A5007" s="62" t="s">
        <v>3604</v>
      </c>
      <c r="B5007" s="63">
        <v>44221.0</v>
      </c>
      <c r="C5007" s="69">
        <v>10.937428259492725</v>
      </c>
    </row>
    <row r="5008">
      <c r="A5008" s="62" t="s">
        <v>2211</v>
      </c>
      <c r="B5008" s="63">
        <v>44063.0</v>
      </c>
      <c r="C5008" s="69">
        <v>10.910588353463863</v>
      </c>
    </row>
    <row r="5009">
      <c r="A5009" s="62" t="s">
        <v>3622</v>
      </c>
      <c r="B5009" s="63">
        <v>44125.0</v>
      </c>
      <c r="C5009" s="69">
        <v>10.888004990051762</v>
      </c>
    </row>
    <row r="5010">
      <c r="A5010" s="62" t="s">
        <v>2650</v>
      </c>
      <c r="B5010" s="63">
        <v>44120.0</v>
      </c>
      <c r="C5010" s="69">
        <v>10.886365973357803</v>
      </c>
    </row>
    <row r="5011">
      <c r="A5011" s="62" t="s">
        <v>1880</v>
      </c>
      <c r="B5011" s="63">
        <v>44364.0</v>
      </c>
      <c r="C5011" s="69">
        <v>10.884868383601665</v>
      </c>
    </row>
    <row r="5012">
      <c r="A5012" s="62" t="s">
        <v>2906</v>
      </c>
      <c r="B5012" s="63">
        <v>44084.0</v>
      </c>
      <c r="C5012" s="69">
        <v>10.873397230943072</v>
      </c>
    </row>
    <row r="5013">
      <c r="A5013" s="62" t="s">
        <v>2251</v>
      </c>
      <c r="B5013" s="63">
        <v>44062.0</v>
      </c>
      <c r="C5013" s="69">
        <v>10.860517238214758</v>
      </c>
    </row>
    <row r="5014">
      <c r="A5014" s="62" t="s">
        <v>5941</v>
      </c>
      <c r="B5014" s="63">
        <v>44377.0</v>
      </c>
      <c r="C5014" s="69">
        <v>10.840541133737474</v>
      </c>
    </row>
    <row r="5015">
      <c r="A5015" s="62" t="s">
        <v>1125</v>
      </c>
      <c r="B5015" s="63">
        <v>44154.0</v>
      </c>
      <c r="C5015" s="69">
        <v>10.827717469909505</v>
      </c>
    </row>
    <row r="5016">
      <c r="A5016" s="62" t="s">
        <v>4003</v>
      </c>
      <c r="B5016" s="63">
        <v>44093.0</v>
      </c>
      <c r="C5016" s="69">
        <v>10.827204309118567</v>
      </c>
    </row>
    <row r="5017">
      <c r="A5017" s="62" t="s">
        <v>4769</v>
      </c>
      <c r="B5017" s="63">
        <v>44272.0</v>
      </c>
      <c r="C5017" s="69">
        <v>10.82025410259233</v>
      </c>
    </row>
    <row r="5018">
      <c r="A5018" s="62" t="s">
        <v>4803</v>
      </c>
      <c r="B5018" s="63">
        <v>44272.0</v>
      </c>
      <c r="C5018" s="69">
        <v>10.80453092075099</v>
      </c>
    </row>
    <row r="5019">
      <c r="A5019" s="62" t="s">
        <v>3002</v>
      </c>
      <c r="B5019" s="63">
        <v>44215.0</v>
      </c>
      <c r="C5019" s="69">
        <v>10.766113967161964</v>
      </c>
    </row>
    <row r="5020">
      <c r="A5020" s="62" t="s">
        <v>2320</v>
      </c>
      <c r="B5020" s="63">
        <v>44378.0</v>
      </c>
      <c r="C5020" s="69">
        <v>10.731759214872003</v>
      </c>
    </row>
    <row r="5021">
      <c r="A5021" s="62" t="s">
        <v>6196</v>
      </c>
      <c r="B5021" s="63">
        <v>44377.0</v>
      </c>
      <c r="C5021" s="69">
        <v>10.711062672627655</v>
      </c>
    </row>
    <row r="5022">
      <c r="A5022" s="62" t="s">
        <v>4092</v>
      </c>
      <c r="B5022" s="63">
        <v>44235.0</v>
      </c>
      <c r="C5022" s="69">
        <v>10.658544650194601</v>
      </c>
    </row>
    <row r="5023">
      <c r="A5023" s="62" t="s">
        <v>6720</v>
      </c>
      <c r="B5023" s="63">
        <v>44364.0</v>
      </c>
      <c r="C5023" s="69">
        <v>10.658296221392455</v>
      </c>
    </row>
    <row r="5024">
      <c r="A5024" s="62" t="s">
        <v>3281</v>
      </c>
      <c r="B5024" s="63">
        <v>44216.0</v>
      </c>
      <c r="C5024" s="69">
        <v>10.653773627753676</v>
      </c>
    </row>
    <row r="5025">
      <c r="A5025" s="62" t="s">
        <v>3065</v>
      </c>
      <c r="B5025" s="63">
        <v>44090.0</v>
      </c>
      <c r="C5025" s="69">
        <v>10.646255716118112</v>
      </c>
    </row>
    <row r="5026">
      <c r="A5026" s="62" t="s">
        <v>1895</v>
      </c>
      <c r="B5026" s="63">
        <v>44370.0</v>
      </c>
      <c r="C5026" s="69">
        <v>10.643460818821783</v>
      </c>
    </row>
    <row r="5027">
      <c r="A5027" s="62" t="s">
        <v>2189</v>
      </c>
      <c r="B5027" s="63">
        <v>44061.0</v>
      </c>
      <c r="C5027" s="69">
        <v>10.596599157552207</v>
      </c>
    </row>
    <row r="5028">
      <c r="A5028" s="62" t="s">
        <v>3220</v>
      </c>
      <c r="B5028" s="63">
        <v>44228.0</v>
      </c>
      <c r="C5028" s="69">
        <v>10.572825238606828</v>
      </c>
    </row>
    <row r="5029">
      <c r="A5029" s="62" t="s">
        <v>3781</v>
      </c>
      <c r="B5029" s="63">
        <v>44254.0</v>
      </c>
      <c r="C5029" s="69">
        <v>10.571790710973314</v>
      </c>
    </row>
    <row r="5030">
      <c r="A5030" s="62" t="s">
        <v>4208</v>
      </c>
      <c r="B5030" s="63">
        <v>44232.0</v>
      </c>
      <c r="C5030" s="69">
        <v>10.567254063146041</v>
      </c>
    </row>
    <row r="5031">
      <c r="A5031" s="62" t="s">
        <v>331</v>
      </c>
      <c r="B5031" s="63">
        <v>44319.0</v>
      </c>
      <c r="C5031" s="69">
        <v>10.555571332032848</v>
      </c>
    </row>
    <row r="5032">
      <c r="A5032" s="62" t="s">
        <v>4476</v>
      </c>
      <c r="B5032" s="63">
        <v>44257.0</v>
      </c>
      <c r="C5032" s="69">
        <v>10.551144701279663</v>
      </c>
    </row>
    <row r="5033">
      <c r="A5033" s="62" t="s">
        <v>324</v>
      </c>
      <c r="B5033" s="63">
        <v>44326.0</v>
      </c>
      <c r="C5033" s="69">
        <v>10.51791160004709</v>
      </c>
    </row>
    <row r="5034">
      <c r="A5034" s="62" t="s">
        <v>4168</v>
      </c>
      <c r="B5034" s="63">
        <v>44127.0</v>
      </c>
      <c r="C5034" s="69">
        <v>10.513720923664422</v>
      </c>
    </row>
    <row r="5035">
      <c r="A5035" s="62" t="s">
        <v>3350</v>
      </c>
      <c r="B5035" s="63">
        <v>44223.0</v>
      </c>
      <c r="C5035" s="69">
        <v>10.495634008189075</v>
      </c>
    </row>
    <row r="5036">
      <c r="A5036" s="62" t="s">
        <v>316</v>
      </c>
      <c r="B5036" s="63">
        <v>44344.0</v>
      </c>
      <c r="C5036" s="69">
        <v>10.465821496076956</v>
      </c>
    </row>
    <row r="5037">
      <c r="A5037" s="62" t="s">
        <v>3770</v>
      </c>
      <c r="B5037" s="63">
        <v>44079.0</v>
      </c>
      <c r="C5037" s="69">
        <v>10.465038474083087</v>
      </c>
    </row>
    <row r="5038">
      <c r="A5038" s="62" t="s">
        <v>313</v>
      </c>
      <c r="B5038" s="63">
        <v>44328.0</v>
      </c>
      <c r="C5038" s="69">
        <v>10.446130337650724</v>
      </c>
    </row>
    <row r="5039">
      <c r="A5039" s="62" t="s">
        <v>5883</v>
      </c>
      <c r="B5039" s="63">
        <v>44348.0</v>
      </c>
      <c r="C5039" s="69">
        <v>10.422431366341527</v>
      </c>
    </row>
    <row r="5040">
      <c r="A5040" s="62" t="s">
        <v>4859</v>
      </c>
      <c r="B5040" s="63">
        <v>44306.0</v>
      </c>
      <c r="C5040" s="69">
        <v>10.414620181561894</v>
      </c>
    </row>
    <row r="5041">
      <c r="A5041" s="62" t="s">
        <v>2847</v>
      </c>
      <c r="B5041" s="63">
        <v>44179.0</v>
      </c>
      <c r="C5041" s="69">
        <v>10.404158792297007</v>
      </c>
    </row>
    <row r="5042">
      <c r="A5042" s="62" t="s">
        <v>3384</v>
      </c>
      <c r="B5042" s="63">
        <v>44159.0</v>
      </c>
      <c r="C5042" s="69">
        <v>10.379632078438386</v>
      </c>
    </row>
    <row r="5043">
      <c r="A5043" s="62" t="s">
        <v>3100</v>
      </c>
      <c r="B5043" s="63">
        <v>44231.0</v>
      </c>
      <c r="C5043" s="69">
        <v>10.378425094965996</v>
      </c>
    </row>
    <row r="5044">
      <c r="A5044" s="62" t="s">
        <v>312</v>
      </c>
      <c r="B5044" s="63">
        <v>44344.0</v>
      </c>
      <c r="C5044" s="69">
        <v>10.377395005939682</v>
      </c>
    </row>
    <row r="5045">
      <c r="A5045" s="62" t="s">
        <v>4383</v>
      </c>
      <c r="B5045" s="63">
        <v>44181.0</v>
      </c>
      <c r="C5045" s="69">
        <v>10.361864500397292</v>
      </c>
    </row>
    <row r="5046">
      <c r="A5046" s="62" t="s">
        <v>4147</v>
      </c>
      <c r="B5046" s="63">
        <v>44208.0</v>
      </c>
      <c r="C5046" s="69">
        <v>10.315148123872223</v>
      </c>
    </row>
    <row r="5047">
      <c r="A5047" s="62" t="s">
        <v>2870</v>
      </c>
      <c r="B5047" s="63">
        <v>44221.0</v>
      </c>
      <c r="C5047" s="69">
        <v>10.307455214644932</v>
      </c>
    </row>
    <row r="5048">
      <c r="A5048" s="62" t="s">
        <v>2597</v>
      </c>
      <c r="B5048" s="63">
        <v>44389.0</v>
      </c>
      <c r="C5048" s="69">
        <v>10.285531026870288</v>
      </c>
    </row>
    <row r="5049">
      <c r="A5049" s="62" t="s">
        <v>3210</v>
      </c>
      <c r="B5049" s="63">
        <v>44231.0</v>
      </c>
      <c r="C5049" s="69">
        <v>10.277414717811507</v>
      </c>
    </row>
    <row r="5050">
      <c r="A5050" s="62" t="s">
        <v>4996</v>
      </c>
      <c r="B5050" s="63">
        <v>44267.0</v>
      </c>
      <c r="C5050" s="69">
        <v>10.266379249437243</v>
      </c>
    </row>
    <row r="5051">
      <c r="A5051" s="62" t="s">
        <v>4656</v>
      </c>
      <c r="B5051" s="63">
        <v>44278.0</v>
      </c>
      <c r="C5051" s="69">
        <v>10.257203395452297</v>
      </c>
    </row>
    <row r="5052">
      <c r="A5052" s="62" t="s">
        <v>310</v>
      </c>
      <c r="B5052" s="63">
        <v>44343.0</v>
      </c>
      <c r="C5052" s="69">
        <v>10.251315389435984</v>
      </c>
    </row>
    <row r="5053">
      <c r="A5053" s="62" t="s">
        <v>5197</v>
      </c>
      <c r="B5053" s="63">
        <v>44286.0</v>
      </c>
      <c r="C5053" s="69">
        <v>10.23969843371199</v>
      </c>
    </row>
    <row r="5054">
      <c r="A5054" s="62" t="s">
        <v>3004</v>
      </c>
      <c r="B5054" s="63">
        <v>44240.0</v>
      </c>
      <c r="C5054" s="69">
        <v>10.238920811670306</v>
      </c>
    </row>
    <row r="5055">
      <c r="A5055" s="62" t="s">
        <v>3899</v>
      </c>
      <c r="B5055" s="63">
        <v>44231.0</v>
      </c>
      <c r="C5055" s="69">
        <v>10.228970627704346</v>
      </c>
    </row>
    <row r="5056">
      <c r="A5056" s="62" t="s">
        <v>298</v>
      </c>
      <c r="B5056" s="63">
        <v>44342.0</v>
      </c>
      <c r="C5056" s="69">
        <v>10.197572232935634</v>
      </c>
    </row>
    <row r="5057">
      <c r="A5057" s="62" t="s">
        <v>550</v>
      </c>
      <c r="B5057" s="63">
        <v>44274.0</v>
      </c>
      <c r="C5057" s="69">
        <v>10.174451501921519</v>
      </c>
    </row>
    <row r="5058">
      <c r="A5058" s="62" t="s">
        <v>295</v>
      </c>
      <c r="B5058" s="63">
        <v>44329.0</v>
      </c>
      <c r="C5058" s="69">
        <v>10.174155487460787</v>
      </c>
    </row>
    <row r="5059">
      <c r="A5059" s="62" t="s">
        <v>6726</v>
      </c>
      <c r="B5059" s="63">
        <v>44349.0</v>
      </c>
      <c r="C5059" s="69">
        <v>10.169943052545667</v>
      </c>
    </row>
    <row r="5060">
      <c r="A5060" s="62" t="s">
        <v>180</v>
      </c>
      <c r="B5060" s="63">
        <v>44383.0</v>
      </c>
      <c r="C5060" s="69">
        <v>10.158231698328859</v>
      </c>
    </row>
    <row r="5061">
      <c r="A5061" s="62" t="s">
        <v>4834</v>
      </c>
      <c r="B5061" s="63">
        <v>44273.0</v>
      </c>
      <c r="C5061" s="69">
        <v>10.144188243864786</v>
      </c>
    </row>
    <row r="5062">
      <c r="A5062" s="62" t="s">
        <v>5940</v>
      </c>
      <c r="B5062" s="63">
        <v>44355.0</v>
      </c>
      <c r="C5062" s="69">
        <v>10.074251755310401</v>
      </c>
    </row>
    <row r="5063">
      <c r="A5063" s="62" t="s">
        <v>5088</v>
      </c>
      <c r="B5063" s="63">
        <v>44274.0</v>
      </c>
      <c r="C5063" s="69">
        <v>10.028464599386371</v>
      </c>
    </row>
    <row r="5064">
      <c r="A5064" s="62" t="s">
        <v>3194</v>
      </c>
      <c r="B5064" s="63">
        <v>44211.0</v>
      </c>
      <c r="C5064" s="69">
        <v>10.015098016351828</v>
      </c>
    </row>
    <row r="5065">
      <c r="A5065" s="62" t="s">
        <v>2463</v>
      </c>
      <c r="B5065" s="63">
        <v>44380.0</v>
      </c>
      <c r="C5065" s="69">
        <v>10.011142632228179</v>
      </c>
    </row>
    <row r="5066">
      <c r="A5066" s="62" t="s">
        <v>5146</v>
      </c>
      <c r="B5066" s="63">
        <v>44307.0</v>
      </c>
      <c r="C5066" s="69">
        <v>9.224525538404794</v>
      </c>
    </row>
    <row r="5067">
      <c r="A5067" s="62" t="s">
        <v>6455</v>
      </c>
      <c r="B5067" s="63">
        <v>44375.0</v>
      </c>
      <c r="C5067" s="69">
        <v>9.21578122154715</v>
      </c>
    </row>
    <row r="5068">
      <c r="A5068" s="62" t="s">
        <v>5015</v>
      </c>
      <c r="B5068" s="63">
        <v>44287.0</v>
      </c>
      <c r="C5068" s="69">
        <v>8.999140213307777</v>
      </c>
    </row>
    <row r="5069">
      <c r="A5069" s="62" t="s">
        <v>5266</v>
      </c>
      <c r="B5069" s="63">
        <v>44259.0</v>
      </c>
      <c r="C5069" s="69">
        <v>8.770305072543342</v>
      </c>
    </row>
    <row r="5070">
      <c r="A5070" s="62" t="s">
        <v>5346</v>
      </c>
      <c r="B5070" s="63">
        <v>44348.0</v>
      </c>
      <c r="C5070" s="69">
        <v>8.59715211246212</v>
      </c>
    </row>
    <row r="5071">
      <c r="A5071" s="62" t="s">
        <v>289</v>
      </c>
      <c r="B5071" s="63">
        <v>44342.0</v>
      </c>
      <c r="C5071" s="69">
        <v>8.556238183879968</v>
      </c>
    </row>
    <row r="5072">
      <c r="A5072" s="62" t="s">
        <v>4139</v>
      </c>
      <c r="B5072" s="63">
        <v>44253.0</v>
      </c>
      <c r="C5072" s="69">
        <v>8.29792459130676</v>
      </c>
    </row>
    <row r="5073">
      <c r="A5073" s="62" t="s">
        <v>4789</v>
      </c>
      <c r="B5073" s="63">
        <v>44312.0</v>
      </c>
      <c r="C5073" s="69">
        <v>8.092889146678392</v>
      </c>
    </row>
    <row r="5074">
      <c r="A5074" s="62" t="s">
        <v>4520</v>
      </c>
      <c r="B5074" s="63">
        <v>44312.0</v>
      </c>
      <c r="C5074" s="69">
        <v>7.695485748123255</v>
      </c>
    </row>
    <row r="5075">
      <c r="A5075" s="62" t="s">
        <v>5071</v>
      </c>
      <c r="B5075" s="63">
        <v>44309.0</v>
      </c>
      <c r="C5075" s="69">
        <v>7.673431908756134</v>
      </c>
    </row>
    <row r="5076">
      <c r="A5076" s="62" t="s">
        <v>4563</v>
      </c>
      <c r="B5076" s="63">
        <v>44306.0</v>
      </c>
      <c r="C5076" s="69">
        <v>7.45601490133454</v>
      </c>
    </row>
    <row r="5077">
      <c r="A5077" s="62" t="s">
        <v>4874</v>
      </c>
      <c r="B5077" s="63">
        <v>44313.0</v>
      </c>
      <c r="C5077" s="69">
        <v>7.233910560552842</v>
      </c>
    </row>
  </sheetData>
  <autoFilter ref="$A$1:$C$5077">
    <sortState ref="A1:C5077">
      <sortCondition descending="1" ref="C1:C5077"/>
    </sortState>
  </autoFilter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12.25"/>
    <col customWidth="1" min="3" max="3" width="19.38"/>
    <col customWidth="1" min="4" max="4" width="16.0"/>
    <col customWidth="1" min="5" max="5" width="16.38"/>
    <col customWidth="1" min="6" max="6" width="16.88"/>
  </cols>
  <sheetData>
    <row r="1">
      <c r="A1" s="70" t="s">
        <v>6764</v>
      </c>
      <c r="B1" s="70" t="s">
        <v>6765</v>
      </c>
      <c r="C1" s="70" t="s">
        <v>6766</v>
      </c>
      <c r="D1" s="70" t="s">
        <v>6767</v>
      </c>
      <c r="E1" s="70" t="s">
        <v>6768</v>
      </c>
      <c r="F1" s="70" t="s">
        <v>6769</v>
      </c>
    </row>
    <row r="2">
      <c r="A2" s="71" t="s">
        <v>6770</v>
      </c>
      <c r="B2" s="72">
        <v>43831.0</v>
      </c>
      <c r="C2" s="73">
        <v>44196.0</v>
      </c>
      <c r="D2" s="71">
        <v>6.0</v>
      </c>
      <c r="E2" s="71">
        <f>SUMIFS('1. Sales Database'!$D$2:$D$6618,'1. Sales Database'!$C$2:$C$6618,"NET",'1. Sales Database'!$B$2:$B$6618,"&lt;"&amp;DATE(2021,1,1))</f>
        <v>52852.5</v>
      </c>
      <c r="F2" s="74">
        <f t="shared" ref="F2:F8" si="1">E2*0.02*(0.97*(1-0.97^D2)/0.03)</f>
        <v>5708.674464</v>
      </c>
    </row>
    <row r="3">
      <c r="A3" s="71" t="s">
        <v>6771</v>
      </c>
      <c r="B3" s="72">
        <v>44197.0</v>
      </c>
      <c r="C3" s="72">
        <v>44227.0</v>
      </c>
      <c r="D3" s="71">
        <v>6.0</v>
      </c>
      <c r="E3" s="71">
        <f>SUMIFS('1. Sales Database'!$D$2:$D$6618,'1. Sales Database'!$C$2:$C$6618,"NET",'1. Sales Database'!$B$2:$B$6618,"&gt;="&amp;DATE(2021,1,1),'1. Sales Database'!$B$2:$B$6618,"&lt;"&amp;DATE(2021,2,1))</f>
        <v>20697.5</v>
      </c>
      <c r="F3" s="74">
        <f t="shared" si="1"/>
        <v>2235.566713</v>
      </c>
    </row>
    <row r="4">
      <c r="A4" s="71" t="s">
        <v>6772</v>
      </c>
      <c r="B4" s="72">
        <v>44228.0</v>
      </c>
      <c r="C4" s="72">
        <v>44255.0</v>
      </c>
      <c r="D4" s="71">
        <v>5.0</v>
      </c>
      <c r="E4" s="71">
        <f>SUMIFS('1. Sales Database'!$D$2:$D$6618,'1. Sales Database'!$C$2:$C$6618,"NET",'1. Sales Database'!$B$2:$B$6618,"&gt;="&amp;DATE(2021,2,1),'1. Sales Database'!$B$2:$B$6618,"&lt;"&amp;DATE(2021,3,1))</f>
        <v>20612.5</v>
      </c>
      <c r="F4" s="74">
        <f t="shared" si="1"/>
        <v>1882.993032</v>
      </c>
    </row>
    <row r="5">
      <c r="A5" s="71" t="s">
        <v>6773</v>
      </c>
      <c r="B5" s="72">
        <v>44256.0</v>
      </c>
      <c r="C5" s="72">
        <v>44286.0</v>
      </c>
      <c r="D5" s="71">
        <v>4.0</v>
      </c>
      <c r="E5" s="71">
        <f>SUMIFS('1. Sales Database'!$D$2:$D$6618,'1. Sales Database'!$C$2:$C$6618,"NET",'1. Sales Database'!$B$2:$B$6618,"&gt;="&amp;DATE(2021,3,1),'1. Sales Database'!$B$2:$B$6618,"&lt;"&amp;DATE(2021,4,1))</f>
        <v>25785</v>
      </c>
      <c r="F5" s="74">
        <f t="shared" si="1"/>
        <v>1912.662098</v>
      </c>
    </row>
    <row r="6">
      <c r="A6" s="71" t="s">
        <v>6774</v>
      </c>
      <c r="B6" s="72">
        <v>44287.0</v>
      </c>
      <c r="C6" s="72">
        <v>44316.0</v>
      </c>
      <c r="D6" s="71">
        <v>3.0</v>
      </c>
      <c r="E6" s="71">
        <f>SUMIFS('1. Sales Database'!$D$2:$D$6618,'1. Sales Database'!$C$2:$C$6618,"NET",'1. Sales Database'!$B$2:$B$6618,"&gt;="&amp;DATE(2021,4,1),'1. Sales Database'!$B$2:$B$6618,"&lt;"&amp;DATE(2021,5,1))</f>
        <v>18810</v>
      </c>
      <c r="F6" s="74">
        <f t="shared" si="1"/>
        <v>1062.228163</v>
      </c>
    </row>
    <row r="7">
      <c r="A7" s="71" t="s">
        <v>6775</v>
      </c>
      <c r="B7" s="72">
        <v>44317.0</v>
      </c>
      <c r="C7" s="72">
        <v>44347.0</v>
      </c>
      <c r="D7" s="71">
        <v>2.0</v>
      </c>
      <c r="E7" s="71">
        <f>SUMIFS('1. Sales Database'!$D$2:$D$6618,'1. Sales Database'!$C$2:$C$6618,"NET",'1. Sales Database'!$B$2:$B$6618,"&gt;="&amp;DATE(2021,5,1),'1. Sales Database'!$B$2:$B$6618,"&lt;"&amp;DATE(2021,6,1))</f>
        <v>37905</v>
      </c>
      <c r="F7" s="74">
        <f t="shared" si="1"/>
        <v>1448.65329</v>
      </c>
    </row>
    <row r="8">
      <c r="A8" s="71" t="s">
        <v>6776</v>
      </c>
      <c r="B8" s="72">
        <v>44348.0</v>
      </c>
      <c r="C8" s="72">
        <v>44377.0</v>
      </c>
      <c r="D8" s="71">
        <v>1.0</v>
      </c>
      <c r="E8" s="71">
        <f>SUMIFS('1. Sales Database'!$D$2:$D$6618,'1. Sales Database'!$C$2:$C$6618,"NET",'1. Sales Database'!$B$2:$B$6618,"&gt;="&amp;DATE(2021,6,1),'1. Sales Database'!$B$2:$B$6618,"&lt;"&amp;DATE(2021,7,1))</f>
        <v>43415</v>
      </c>
      <c r="F8" s="74">
        <f t="shared" si="1"/>
        <v>842.251</v>
      </c>
    </row>
    <row r="9">
      <c r="A9" s="75"/>
      <c r="B9" s="75"/>
      <c r="C9" s="75"/>
      <c r="D9" s="75"/>
      <c r="E9" s="75"/>
      <c r="F9" s="76">
        <f>SUM(F2:F8)</f>
        <v>15093.02876</v>
      </c>
    </row>
    <row r="11">
      <c r="A11" s="77" t="s">
        <v>6764</v>
      </c>
      <c r="B11" s="77" t="s">
        <v>6767</v>
      </c>
      <c r="C11" s="77" t="s">
        <v>6777</v>
      </c>
      <c r="D11" s="77" t="s">
        <v>6769</v>
      </c>
    </row>
    <row r="12">
      <c r="A12" s="71" t="s">
        <v>6778</v>
      </c>
      <c r="B12" s="71">
        <v>4.0</v>
      </c>
      <c r="C12" s="71">
        <f>SUMIFS('1. Sales Database'!$D$2:$D$6618,'1. Sales Database'!$C$2:$C$6618,"NET",'1. Sales Database'!$J$2:$J$6618,"Farming",'1. Sales Database'!$B$2:$B$6618,"&lt;"&amp;DATE(2021,2,1))</f>
        <v>9067.5</v>
      </c>
      <c r="D12" s="74">
        <f t="shared" ref="D12:D16" si="2">C12*0.02*(0.97*(1-0.97^B12)/0.03)</f>
        <v>672.6028146</v>
      </c>
    </row>
    <row r="13">
      <c r="A13" s="71" t="s">
        <v>6772</v>
      </c>
      <c r="B13" s="71">
        <v>4.0</v>
      </c>
      <c r="C13" s="71">
        <f>SUMIFS('1. Sales Database'!$D$2:$D$6618,'1. Sales Database'!$C$2:$C$6618,"NET",'1. Sales Database'!$J$2:$J$6618,"Farming",'1. Sales Database'!$B$2:$B$6618,"&gt;="&amp;DATE(2021,2,1),'1. Sales Database'!$B$2:$B$6618,"&lt;"&amp;DATE(2021,3,1))</f>
        <v>2252.5</v>
      </c>
      <c r="D13" s="74">
        <f t="shared" si="2"/>
        <v>167.0844047</v>
      </c>
    </row>
    <row r="14">
      <c r="A14" s="71" t="s">
        <v>6773</v>
      </c>
      <c r="B14" s="71">
        <v>3.0</v>
      </c>
      <c r="C14" s="71">
        <f>SUMIFS('1. Sales Database'!$D$2:$D$6618,'1. Sales Database'!$C$2:$C$6618,"NET",'1. Sales Database'!$J$2:$J$6618,"Farming",'1. Sales Database'!$B$2:$B$6618,"&gt;="&amp;DATE(2021,3,1),'1. Sales Database'!$B$2:$B$6618,"&lt;"&amp;DATE(2021,4,1))</f>
        <v>5085</v>
      </c>
      <c r="D14" s="74">
        <f t="shared" si="2"/>
        <v>287.1573741</v>
      </c>
    </row>
    <row r="15">
      <c r="A15" s="71" t="s">
        <v>6774</v>
      </c>
      <c r="B15" s="71">
        <v>2.0</v>
      </c>
      <c r="C15" s="71">
        <f>SUMIFS('1. Sales Database'!$D$2:$D$6618,'1. Sales Database'!$C$2:$C$6618,"NET",'1. Sales Database'!$J$2:$J$6618,"Farming",'1. Sales Database'!$B$2:$B$6618,"&gt;="&amp;DATE(2021,4,1),'1. Sales Database'!$B$2:$B$6618,"&lt;"&amp;DATE(2021,5,1))</f>
        <v>3150</v>
      </c>
      <c r="D15" s="74">
        <f t="shared" si="2"/>
        <v>120.3867</v>
      </c>
    </row>
    <row r="16">
      <c r="A16" s="71" t="s">
        <v>6775</v>
      </c>
      <c r="B16" s="71">
        <v>1.0</v>
      </c>
      <c r="C16" s="71">
        <f>SUMIFS('1. Sales Database'!$D$2:$D$6618,'1. Sales Database'!$C$2:$C$6618,"NET",'1. Sales Database'!$J$2:$J$6618,"Farming",'1. Sales Database'!$B$2:$B$6618,"&gt;="&amp;DATE(2021,5,1),'1. Sales Database'!$B$2:$B$6618,"&lt;"&amp;DATE(2021,6,1))</f>
        <v>1995</v>
      </c>
      <c r="D16" s="74">
        <f t="shared" si="2"/>
        <v>38.703</v>
      </c>
    </row>
    <row r="17">
      <c r="A17" s="75"/>
      <c r="B17" s="75"/>
      <c r="C17" s="75"/>
      <c r="D17" s="76">
        <f>SUM(D12:D16)</f>
        <v>1285.934293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41.75"/>
    <col customWidth="1" min="3" max="3" width="16.5"/>
  </cols>
  <sheetData>
    <row r="1" ht="21.0" customHeight="1">
      <c r="A1" s="78" t="s">
        <v>6779</v>
      </c>
      <c r="C1" s="79"/>
    </row>
    <row r="2">
      <c r="A2" s="80" t="s">
        <v>6780</v>
      </c>
      <c r="B2" s="81" t="s">
        <v>6781</v>
      </c>
      <c r="C2" s="82" t="s">
        <v>6782</v>
      </c>
    </row>
    <row r="3">
      <c r="A3" s="71" t="s">
        <v>6783</v>
      </c>
      <c r="B3" s="83" t="s">
        <v>36</v>
      </c>
      <c r="C3" s="71" t="s">
        <v>6784</v>
      </c>
    </row>
    <row r="4">
      <c r="A4" s="71" t="s">
        <v>6785</v>
      </c>
      <c r="B4" s="83" t="s">
        <v>6786</v>
      </c>
      <c r="C4" s="71" t="s">
        <v>6784</v>
      </c>
    </row>
    <row r="5">
      <c r="A5" s="71" t="s">
        <v>6787</v>
      </c>
      <c r="B5" s="83" t="s">
        <v>6788</v>
      </c>
      <c r="C5" s="71" t="s">
        <v>6784</v>
      </c>
    </row>
    <row r="6">
      <c r="A6" s="71" t="s">
        <v>6789</v>
      </c>
      <c r="B6" s="83" t="s">
        <v>6790</v>
      </c>
      <c r="C6" s="71" t="s">
        <v>6784</v>
      </c>
    </row>
    <row r="7">
      <c r="A7" s="71" t="s">
        <v>6791</v>
      </c>
      <c r="B7" s="83" t="s">
        <v>6788</v>
      </c>
      <c r="C7" s="71" t="s">
        <v>6784</v>
      </c>
    </row>
    <row r="8">
      <c r="A8" s="71" t="s">
        <v>6792</v>
      </c>
      <c r="B8" s="83" t="s">
        <v>6793</v>
      </c>
      <c r="C8" s="71" t="s">
        <v>6784</v>
      </c>
    </row>
    <row r="9">
      <c r="A9" s="71" t="s">
        <v>6794</v>
      </c>
      <c r="B9" s="83" t="s">
        <v>6795</v>
      </c>
      <c r="C9" s="71" t="s">
        <v>6784</v>
      </c>
    </row>
  </sheetData>
  <mergeCells count="1">
    <mergeCell ref="A1:C1"/>
  </mergeCells>
  <drawing r:id="rId1"/>
</worksheet>
</file>